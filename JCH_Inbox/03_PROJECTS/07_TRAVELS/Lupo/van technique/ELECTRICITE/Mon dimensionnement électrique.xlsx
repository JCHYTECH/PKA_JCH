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 Dimensionnement" sheetId="1" r:id="rId4"/>
  </sheets>
  <definedNames/>
  <calcPr/>
  <extLst>
    <ext uri="GoogleSheetsCustomDataVersion2">
      <go:sheetsCustomData xmlns:go="http://customooxmlschemas.google.com/" r:id="rId5" roundtripDataChecksum="vPAXyM55XqPD/hkdeR7QJ3NNjKCRmMQ3FPPy/Kv61Is="/>
    </ext>
  </extLst>
</workbook>
</file>

<file path=xl/sharedStrings.xml><?xml version="1.0" encoding="utf-8"?>
<sst xmlns="http://schemas.openxmlformats.org/spreadsheetml/2006/main" count="111" uniqueCount="57">
  <si>
    <r>
      <t xml:space="preserve">
</t>
    </r>
    <r>
      <rPr>
        <rFont val="Avenir"/>
        <b/>
        <color rgb="FF000000"/>
        <sz val="12.0"/>
      </rPr>
      <t>Dimensionnement du réseau électrique</t>
    </r>
    <r>
      <rPr>
        <rFont val="Avenir"/>
        <color rgb="FF000000"/>
        <sz val="12.0"/>
      </rPr>
      <t xml:space="preserve">
</t>
    </r>
    <r>
      <rPr>
        <rFont val="Avenir"/>
        <i/>
        <color rgb="FF000000"/>
        <sz val="8.0"/>
      </rPr>
      <t xml:space="preserve">Notes : 
Les cases en bleu se remplissent automatiquement.
Le panier des câbles à acheter est généré automatiquement en bas de page.
Les distances en case F sont exprimées en aller (et non en aller-retour).
</t>
    </r>
  </si>
  <si>
    <t>Emplacement</t>
  </si>
  <si>
    <t>Puissance (W)</t>
  </si>
  <si>
    <t>Intensité (A)</t>
  </si>
  <si>
    <t>Longueur câble aller (m)</t>
  </si>
  <si>
    <r>
      <rPr>
        <rFont val="Avenir"/>
        <color rgb="FF000000"/>
        <sz val="10.0"/>
      </rPr>
      <t>Section de câble (mm</t>
    </r>
    <r>
      <rPr>
        <rFont val="Avenir"/>
        <color rgb="FF000000"/>
        <sz val="10.0"/>
        <vertAlign val="superscript"/>
      </rPr>
      <t>2</t>
    </r>
    <r>
      <rPr>
        <rFont val="Avenir"/>
        <color rgb="FF000000"/>
        <sz val="10.0"/>
      </rPr>
      <t>)</t>
    </r>
  </si>
  <si>
    <t>Fusible maximal (A)</t>
  </si>
  <si>
    <t>Fusible idéal (A)</t>
  </si>
  <si>
    <t>ÉCLAIRAGES</t>
  </si>
  <si>
    <t xml:space="preserve">                                   Convertisseur                         
                     Puissance (W) —&gt; Intensité (A)</t>
  </si>
  <si>
    <t>Barre LED 1 &lt;-&gt; panneau fusible</t>
  </si>
  <si>
    <t>Spot LED 1</t>
  </si>
  <si>
    <t>Ta puissance en Watt :</t>
  </si>
  <si>
    <t>W</t>
  </si>
  <si>
    <t>…</t>
  </si>
  <si>
    <t>Ta tension en Volt :</t>
  </si>
  <si>
    <t>V</t>
  </si>
  <si>
    <t>L’intensité en Ampère est de :</t>
  </si>
  <si>
    <t>A</t>
  </si>
  <si>
    <t xml:space="preserve">                                   Convertisseur                         Intensité (A) —&gt; Puissance (W)</t>
  </si>
  <si>
    <t>Ton intensité en Ampère :</t>
  </si>
  <si>
    <t>La puissance en Watt est de :</t>
  </si>
  <si>
    <t>3, 5Note</t>
  </si>
  <si>
    <t>PRISES 12V</t>
  </si>
  <si>
    <t>USB *2</t>
  </si>
  <si>
    <t>USB *2 + allume cigare</t>
  </si>
  <si>
    <t>ÉQUIPEMENTS</t>
  </si>
  <si>
    <t>Frigo</t>
  </si>
  <si>
    <t>COFFRE ÉLEC</t>
  </si>
  <si>
    <t>Dc/Dc &lt;-&gt; batterie véhicule</t>
  </si>
  <si>
    <t>Dc/Dc &lt;-&gt; busbar + ou -</t>
  </si>
  <si>
    <t>Mppt &lt;-&gt; panneaux solaires</t>
  </si>
  <si>
    <t>-</t>
  </si>
  <si>
    <t>Mppt &lt;-&gt; busbar + ou -</t>
  </si>
  <si>
    <t>Panneau fusible &lt;-&gt; busbar + ou -</t>
  </si>
  <si>
    <t>Coupe circuit général &lt;-&gt; bornier +</t>
  </si>
  <si>
    <t>Convertisseur &lt;-&gt; P17</t>
  </si>
  <si>
    <t>FOURNI</t>
  </si>
  <si>
    <t>Busbar + &lt;-&gt; batterie auxiliaire</t>
  </si>
  <si>
    <t>Busbar - &lt;-&gt; batterie auxiliaire</t>
  </si>
  <si>
    <t>Batteries &lt;-&gt; batteries</t>
  </si>
  <si>
    <t>CIRCUIT 230V</t>
  </si>
  <si>
    <t>Prise 230V</t>
  </si>
  <si>
    <t>Convertisseur &lt;-&gt; Panneau 230V</t>
  </si>
  <si>
    <t xml:space="preserve">
Note : Certaines sections de câbles sont automatiquement surdimensionnées, pour éviter tout risque d'incendie. 
Exemples : 
* sections de câble de 16mm2 à minima pour les câbles entre les équipements type MPPT, DC/DC... et la batterie auxiliaire.
* sections de câble de 2.5 mm2 à minima pour des spots LED
* sections de câble de 4mm2 à minima pour un frigo ou glacière à compression, 6mm2 usuellement</t>
  </si>
  <si>
    <t>PANIER D’ACHAT</t>
  </si>
  <si>
    <r>
      <rPr>
        <rFont val="Avenir Heavy"/>
        <color rgb="FF000000"/>
        <sz val="9.0"/>
      </rPr>
      <t>CÂBLES 12V (∅ en mm</t>
    </r>
    <r>
      <rPr>
        <rFont val="Avenir Heavy"/>
        <color rgb="FF000000"/>
        <sz val="9.0"/>
        <vertAlign val="superscript"/>
      </rPr>
      <t>2</t>
    </r>
    <r>
      <rPr>
        <rFont val="Avenir Heavy"/>
        <color rgb="FF000000"/>
        <sz val="9.0"/>
      </rPr>
      <t>)</t>
    </r>
  </si>
  <si>
    <t>Bleu (m)</t>
  </si>
  <si>
    <t>Rouge (m)</t>
  </si>
  <si>
    <r>
      <rPr>
        <rFont val="Helvetica Neue"/>
        <color rgb="FF000000"/>
        <sz val="10.0"/>
      </rPr>
      <t xml:space="preserve">-&gt; sur </t>
    </r>
    <r>
      <rPr>
        <rFont val="Helvetica Neue"/>
        <color rgb="FF1155CC"/>
        <sz val="10.0"/>
        <u/>
      </rPr>
      <t>https://www.comptoir-du-cable.com/</t>
    </r>
    <r>
      <rPr>
        <rFont val="Helvetica Neue"/>
        <color rgb="FF000000"/>
        <sz val="10.0"/>
      </rPr>
      <t xml:space="preserve"> </t>
    </r>
  </si>
  <si>
    <t>mètres</t>
  </si>
  <si>
    <r>
      <rPr>
        <rFont val="Avenir Heavy"/>
        <color rgb="FF000000"/>
        <sz val="9.0"/>
      </rPr>
      <t>CÂBLES 230V (∅ en mm</t>
    </r>
    <r>
      <rPr>
        <rFont val="Avenir Heavy"/>
        <color rgb="FF000000"/>
        <sz val="9.0"/>
        <vertAlign val="superscript"/>
      </rPr>
      <t>2</t>
    </r>
    <r>
      <rPr>
        <rFont val="Avenir Heavy"/>
        <color rgb="FF000000"/>
        <sz val="9.0"/>
      </rPr>
      <t>)</t>
    </r>
  </si>
  <si>
    <t>-&gt; en magasin de bricolage</t>
  </si>
  <si>
    <t>BOBINE SOLAIRE (∅ en mm2)</t>
  </si>
  <si>
    <t>-&gt; en boutique spécialisée, qualité solaire</t>
  </si>
  <si>
    <t>⬇️ ⬇️ ⬇️ ⬇️ ⬇️</t>
  </si>
  <si>
    <r>
      <rPr>
        <rFont val="Avenir"/>
        <color rgb="FFFF0000"/>
        <sz val="10.0"/>
      </rPr>
      <t>Si tu veux retrouver la liste des produits (cosses, câbles, bobine...) :</t>
    </r>
    <r>
      <rPr>
        <rFont val="Avenir"/>
        <color rgb="FF000000"/>
        <sz val="10.0"/>
      </rPr>
      <t xml:space="preserve"> </t>
    </r>
    <r>
      <rPr>
        <rFont val="Avenir"/>
        <color rgb="FF1155CC"/>
        <sz val="10.0"/>
        <u/>
      </rPr>
      <t>https://www.levanalafrancaise.fr/produit/pack-electricite-installation-fixe-schema-complet-etude-des-besoins-dimensionnement-liste-du-materiel/</t>
    </r>
    <r>
      <rPr>
        <rFont val="Avenir"/>
        <color rgb="FF000000"/>
        <sz val="10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</si>
</sst>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0.0"/>
      <color rgb="FF000000"/>
      <name val="Helvetica Neue"/>
      <scheme val="minor"/>
    </font>
    <font>
      <sz val="12.0"/>
      <color rgb="FF000000"/>
      <name val="Avenir"/>
    </font>
    <font>
      <sz val="10.0"/>
      <color rgb="FF000000"/>
      <name val="Helvetica Neue"/>
    </font>
    <font>
      <sz val="10.0"/>
      <color rgb="FF000000"/>
      <name val="Avenir"/>
    </font>
    <font>
      <sz val="9.0"/>
      <color rgb="FF000000"/>
      <name val="Avenir"/>
    </font>
    <font>
      <i/>
      <sz val="9.0"/>
      <color rgb="FF000000"/>
      <name val="Avenir"/>
    </font>
    <font/>
    <font>
      <sz val="9.0"/>
      <color rgb="FFFEFFFE"/>
      <name val="Avenir"/>
    </font>
    <font>
      <sz val="10.0"/>
      <color rgb="FFFEFFFE"/>
      <name val="Avenir"/>
    </font>
    <font>
      <b/>
      <sz val="9.0"/>
      <color rgb="FF000000"/>
      <name val="Avenir"/>
    </font>
    <font>
      <u/>
      <sz val="10.0"/>
      <color rgb="FF000000"/>
      <name val="Helvetica Neue"/>
    </font>
    <font>
      <sz val="9.0"/>
      <color rgb="FF000000"/>
      <name val="Arial"/>
    </font>
    <font>
      <u/>
      <sz val="10.0"/>
      <color rgb="FF000000"/>
      <name val="Avenir"/>
    </font>
  </fonts>
  <fills count="17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FFD931"/>
        <bgColor rgb="FFFFD931"/>
      </patternFill>
    </fill>
    <fill>
      <patternFill patternType="solid">
        <fgColor rgb="FFFFF056"/>
        <bgColor rgb="FFFFF056"/>
      </patternFill>
    </fill>
    <fill>
      <patternFill patternType="solid">
        <fgColor rgb="FF6C8DC2"/>
        <bgColor rgb="FF6C8DC2"/>
      </patternFill>
    </fill>
    <fill>
      <patternFill patternType="solid">
        <fgColor rgb="FFEAEAEA"/>
        <bgColor rgb="FFEAEAEA"/>
      </patternFill>
    </fill>
    <fill>
      <patternFill patternType="solid">
        <fgColor rgb="FFFDAD00"/>
        <bgColor rgb="FFFDAD00"/>
      </patternFill>
    </fill>
    <fill>
      <patternFill patternType="solid">
        <fgColor rgb="FFFECE7B"/>
        <bgColor rgb="FFFECE7B"/>
      </patternFill>
    </fill>
    <fill>
      <patternFill patternType="solid">
        <fgColor rgb="FF50C23A"/>
        <bgColor rgb="FF50C23A"/>
      </patternFill>
    </fill>
    <fill>
      <patternFill patternType="solid">
        <fgColor rgb="FFAAEA95"/>
        <bgColor rgb="FFAAEA95"/>
      </patternFill>
    </fill>
    <fill>
      <patternFill patternType="solid">
        <fgColor rgb="FFAD83DB"/>
        <bgColor rgb="FFAD83DB"/>
      </patternFill>
    </fill>
    <fill>
      <patternFill patternType="solid">
        <fgColor rgb="FFD8C4EE"/>
        <bgColor rgb="FFD8C4EE"/>
      </patternFill>
    </fill>
    <fill>
      <patternFill patternType="solid">
        <fgColor rgb="FF56C1FE"/>
        <bgColor rgb="FF56C1FE"/>
      </patternFill>
    </fill>
    <fill>
      <patternFill patternType="solid">
        <fgColor rgb="FF9EDBFE"/>
        <bgColor rgb="FF9EDBFE"/>
      </patternFill>
    </fill>
    <fill>
      <patternFill patternType="solid">
        <fgColor rgb="FF00A1FE"/>
        <bgColor rgb="FF00A1FE"/>
      </patternFill>
    </fill>
    <fill>
      <patternFill patternType="solid">
        <fgColor rgb="FFED220B"/>
        <bgColor rgb="FFED220B"/>
      </patternFill>
    </fill>
  </fills>
  <borders count="16">
    <border/>
    <border>
      <bottom style="thin">
        <color rgb="FF000000"/>
      </bottom>
    </border>
    <border>
      <right style="thin">
        <color rgb="FFA5A5A5"/>
      </right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A5A5A5"/>
      </left>
      <bottom style="thin">
        <color rgb="FF000000"/>
      </bottom>
    </border>
    <border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/>
      <right/>
      <top/>
      <bottom/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top style="thin">
        <color rgb="FFA5A5A5"/>
      </top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3" fillId="2" fontId="3" numFmtId="49" xfId="0" applyAlignment="1" applyBorder="1" applyFill="1" applyFont="1" applyNumberFormat="1">
      <alignment horizontal="center" shrinkToFit="0" vertical="center" wrapText="1"/>
    </xf>
    <xf borderId="3" fillId="2" fontId="3" numFmtId="49" xfId="0" applyAlignment="1" applyBorder="1" applyFont="1" applyNumberForma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5" fillId="0" fontId="4" numFmtId="0" xfId="0" applyAlignment="1" applyBorder="1" applyFont="1">
      <alignment shrinkToFit="0" vertical="top" wrapText="1"/>
    </xf>
    <xf borderId="5" fillId="0" fontId="5" numFmtId="0" xfId="0" applyAlignment="1" applyBorder="1" applyFont="1">
      <alignment horizontal="left" readingOrder="0" shrinkToFit="0" vertical="center" wrapText="1"/>
    </xf>
    <xf borderId="5" fillId="0" fontId="6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6" fillId="3" fontId="8" numFmtId="0" xfId="0" applyAlignment="1" applyBorder="1" applyFill="1" applyFont="1">
      <alignment shrinkToFit="0" vertical="top" wrapText="1"/>
    </xf>
    <xf borderId="7" fillId="3" fontId="8" numFmtId="49" xfId="0" applyAlignment="1" applyBorder="1" applyFont="1" applyNumberFormat="1">
      <alignment readingOrder="0" shrinkToFit="0" vertical="top" wrapText="1"/>
    </xf>
    <xf borderId="8" fillId="3" fontId="4" numFmtId="0" xfId="0" applyAlignment="1" applyBorder="1" applyFont="1">
      <alignment shrinkToFit="0" vertical="top" wrapText="1"/>
    </xf>
    <xf borderId="9" fillId="0" fontId="6" numFmtId="0" xfId="0" applyAlignment="1" applyBorder="1" applyFont="1">
      <alignment shrinkToFit="0" vertical="top" wrapText="1"/>
    </xf>
    <xf borderId="10" fillId="0" fontId="6" numFmtId="0" xfId="0" applyAlignment="1" applyBorder="1" applyFont="1">
      <alignment shrinkToFit="0" vertical="top" wrapText="1"/>
    </xf>
    <xf borderId="11" fillId="0" fontId="4" numFmtId="0" xfId="0" applyAlignment="1" applyBorder="1" applyFont="1">
      <alignment shrinkToFit="0" vertical="top" wrapText="1"/>
    </xf>
    <xf borderId="0" fillId="0" fontId="9" numFmtId="49" xfId="0" applyAlignment="1" applyFont="1" applyNumberFormat="1">
      <alignment horizontal="left" readingOrder="0" shrinkToFit="0" vertical="top" wrapText="1"/>
    </xf>
    <xf borderId="6" fillId="4" fontId="4" numFmtId="0" xfId="0" applyAlignment="1" applyBorder="1" applyFill="1" applyFont="1">
      <alignment shrinkToFit="0" vertical="top" wrapText="1"/>
    </xf>
    <xf borderId="7" fillId="4" fontId="4" numFmtId="49" xfId="0" applyAlignment="1" applyBorder="1" applyFont="1" applyNumberFormat="1">
      <alignment shrinkToFit="0" vertical="top" wrapText="1"/>
    </xf>
    <xf borderId="12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6" fillId="0" fontId="4" numFmtId="164" xfId="0" applyAlignment="1" applyBorder="1" applyFont="1" applyNumberFormat="1">
      <alignment horizontal="center" shrinkToFit="0" vertical="center" wrapText="1"/>
    </xf>
    <xf borderId="6" fillId="5" fontId="7" numFmtId="164" xfId="0" applyAlignment="1" applyBorder="1" applyFill="1" applyFont="1" applyNumberFormat="1">
      <alignment horizontal="center" shrinkToFit="0" vertical="center" wrapText="1"/>
    </xf>
    <xf borderId="6" fillId="5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0" fillId="0" fontId="4" numFmtId="49" xfId="0" applyAlignment="1" applyFont="1" applyNumberFormat="1">
      <alignment horizontal="left" shrinkToFit="0" vertical="top" wrapText="1"/>
    </xf>
    <xf borderId="13" fillId="6" fontId="4" numFmtId="0" xfId="0" applyAlignment="1" applyBorder="1" applyFill="1" applyFont="1">
      <alignment horizontal="center" shrinkToFit="0" vertical="top" wrapText="1"/>
    </xf>
    <xf borderId="13" fillId="6" fontId="4" numFmtId="0" xfId="0" applyAlignment="1" applyBorder="1" applyFont="1">
      <alignment horizontal="center" readingOrder="0" shrinkToFit="0" vertical="top" wrapText="1"/>
    </xf>
    <xf borderId="0" fillId="0" fontId="4" numFmtId="164" xfId="0" applyAlignment="1" applyFont="1" applyNumberFormat="1">
      <alignment horizontal="center" shrinkToFit="0" vertical="top" wrapText="1"/>
    </xf>
    <xf borderId="11" fillId="0" fontId="6" numFmtId="0" xfId="0" applyAlignment="1" applyBorder="1" applyFont="1">
      <alignment shrinkToFit="0" vertical="top" wrapText="1"/>
    </xf>
    <xf borderId="0" fillId="0" fontId="4" numFmtId="1" xfId="0" applyAlignment="1" applyFont="1" applyNumberFormat="1">
      <alignment horizontal="center" shrinkToFit="0" vertical="top" wrapText="1"/>
    </xf>
    <xf borderId="9" fillId="0" fontId="4" numFmtId="0" xfId="0" applyAlignment="1" applyBorder="1" applyFont="1">
      <alignment shrinkToFit="0" vertical="top" wrapText="1"/>
    </xf>
    <xf borderId="9" fillId="0" fontId="4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0" fillId="0" fontId="7" numFmtId="49" xfId="0" applyAlignment="1" applyFont="1" applyNumberFormat="1">
      <alignment horizontal="center" readingOrder="0" shrinkToFit="0" vertical="center" wrapText="1"/>
    </xf>
    <xf borderId="6" fillId="7" fontId="8" numFmtId="0" xfId="0" applyAlignment="1" applyBorder="1" applyFill="1" applyFont="1">
      <alignment shrinkToFit="0" vertical="top" wrapText="1"/>
    </xf>
    <xf borderId="7" fillId="7" fontId="8" numFmtId="49" xfId="0" applyAlignment="1" applyBorder="1" applyFont="1" applyNumberFormat="1">
      <alignment shrinkToFit="0" vertical="top" wrapText="1"/>
    </xf>
    <xf borderId="8" fillId="7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6" fillId="8" fontId="4" numFmtId="0" xfId="0" applyAlignment="1" applyBorder="1" applyFill="1" applyFont="1">
      <alignment shrinkToFit="0" vertical="top" wrapText="1"/>
    </xf>
    <xf borderId="7" fillId="8" fontId="4" numFmtId="49" xfId="0" applyAlignment="1" applyBorder="1" applyFont="1" applyNumberFormat="1">
      <alignment shrinkToFit="0" vertical="top" wrapText="1"/>
    </xf>
    <xf borderId="6" fillId="9" fontId="8" numFmtId="0" xfId="0" applyAlignment="1" applyBorder="1" applyFill="1" applyFont="1">
      <alignment shrinkToFit="0" vertical="top" wrapText="1"/>
    </xf>
    <xf borderId="7" fillId="9" fontId="8" numFmtId="49" xfId="0" applyAlignment="1" applyBorder="1" applyFont="1" applyNumberFormat="1">
      <alignment shrinkToFit="0" vertical="top" wrapText="1"/>
    </xf>
    <xf borderId="8" fillId="9" fontId="4" numFmtId="0" xfId="0" applyAlignment="1" applyBorder="1" applyFont="1">
      <alignment horizontal="center" shrinkToFit="0" vertical="center" wrapText="1"/>
    </xf>
    <xf borderId="6" fillId="9" fontId="4" numFmtId="0" xfId="0" applyAlignment="1" applyBorder="1" applyFont="1">
      <alignment horizontal="center" shrinkToFit="0" vertical="center" wrapText="1"/>
    </xf>
    <xf borderId="6" fillId="10" fontId="4" numFmtId="0" xfId="0" applyAlignment="1" applyBorder="1" applyFill="1" applyFont="1">
      <alignment shrinkToFit="0" vertical="top" wrapText="1"/>
    </xf>
    <xf borderId="7" fillId="10" fontId="4" numFmtId="49" xfId="0" applyAlignment="1" applyBorder="1" applyFont="1" applyNumberFormat="1">
      <alignment shrinkToFit="0" vertical="top" wrapText="1"/>
    </xf>
    <xf borderId="6" fillId="11" fontId="8" numFmtId="0" xfId="0" applyAlignment="1" applyBorder="1" applyFill="1" applyFont="1">
      <alignment shrinkToFit="0" vertical="top" wrapText="1"/>
    </xf>
    <xf borderId="7" fillId="11" fontId="8" numFmtId="49" xfId="0" applyAlignment="1" applyBorder="1" applyFont="1" applyNumberFormat="1">
      <alignment shrinkToFit="0" vertical="top" wrapText="1"/>
    </xf>
    <xf borderId="8" fillId="11" fontId="4" numFmtId="0" xfId="0" applyAlignment="1" applyBorder="1" applyFont="1">
      <alignment horizontal="center" shrinkToFit="0" vertical="center" wrapText="1"/>
    </xf>
    <xf borderId="6" fillId="11" fontId="4" numFmtId="0" xfId="0" applyAlignment="1" applyBorder="1" applyFont="1">
      <alignment horizontal="center" shrinkToFit="0" vertical="center" wrapText="1"/>
    </xf>
    <xf borderId="6" fillId="12" fontId="4" numFmtId="0" xfId="0" applyAlignment="1" applyBorder="1" applyFill="1" applyFont="1">
      <alignment shrinkToFit="0" vertical="top" wrapText="1"/>
    </xf>
    <xf borderId="7" fillId="12" fontId="4" numFmtId="49" xfId="0" applyAlignment="1" applyBorder="1" applyFont="1" applyNumberFormat="1">
      <alignment shrinkToFit="0" vertical="top" wrapText="1"/>
    </xf>
    <xf borderId="12" fillId="0" fontId="4" numFmtId="49" xfId="0" applyAlignment="1" applyBorder="1" applyFont="1" applyNumberFormat="1">
      <alignment horizontal="center" shrinkToFit="0" vertical="center" wrapText="1"/>
    </xf>
    <xf borderId="7" fillId="12" fontId="4" numFmtId="49" xfId="0" applyAlignment="1" applyBorder="1" applyFont="1" applyNumberFormat="1">
      <alignment readingOrder="0" shrinkToFit="0" vertical="top" wrapText="1"/>
    </xf>
    <xf borderId="6" fillId="5" fontId="7" numFmtId="164" xfId="0" applyAlignment="1" applyBorder="1" applyFont="1" applyNumberFormat="1">
      <alignment horizontal="center" readingOrder="0" shrinkToFit="0" vertical="center" wrapText="1"/>
    </xf>
    <xf borderId="6" fillId="5" fontId="7" numFmtId="0" xfId="0" applyAlignment="1" applyBorder="1" applyFont="1">
      <alignment horizontal="center" readingOrder="0" shrinkToFit="0" vertical="center" wrapText="1"/>
    </xf>
    <xf borderId="14" fillId="0" fontId="5" numFmtId="49" xfId="0" applyAlignment="1" applyBorder="1" applyFont="1" applyNumberFormat="1">
      <alignment horizontal="center" readingOrder="0" shrinkToFit="0" vertical="center" wrapText="1"/>
    </xf>
    <xf borderId="6" fillId="13" fontId="8" numFmtId="0" xfId="0" applyAlignment="1" applyBorder="1" applyFill="1" applyFont="1">
      <alignment shrinkToFit="0" vertical="top" wrapText="1"/>
    </xf>
    <xf borderId="7" fillId="13" fontId="8" numFmtId="49" xfId="0" applyAlignment="1" applyBorder="1" applyFont="1" applyNumberFormat="1">
      <alignment shrinkToFit="0" vertical="top" wrapText="1"/>
    </xf>
    <xf borderId="8" fillId="13" fontId="4" numFmtId="0" xfId="0" applyAlignment="1" applyBorder="1" applyFont="1">
      <alignment horizontal="center" shrinkToFit="0" vertical="center" wrapText="1"/>
    </xf>
    <xf borderId="6" fillId="13" fontId="4" numFmtId="0" xfId="0" applyAlignment="1" applyBorder="1" applyFont="1">
      <alignment horizontal="center" shrinkToFit="0" vertical="center" wrapText="1"/>
    </xf>
    <xf borderId="6" fillId="14" fontId="4" numFmtId="0" xfId="0" applyAlignment="1" applyBorder="1" applyFill="1" applyFont="1">
      <alignment shrinkToFit="0" vertical="top" wrapText="1"/>
    </xf>
    <xf borderId="7" fillId="14" fontId="4" numFmtId="49" xfId="0" applyAlignment="1" applyBorder="1" applyFont="1" applyNumberFormat="1">
      <alignment shrinkToFit="0" vertical="top" wrapText="1"/>
    </xf>
    <xf borderId="7" fillId="14" fontId="4" numFmtId="49" xfId="0" applyAlignment="1" applyBorder="1" applyFont="1" applyNumberFormat="1">
      <alignment readingOrder="0" shrinkToFit="0" vertical="top" wrapText="1"/>
    </xf>
    <xf borderId="15" fillId="0" fontId="4" numFmtId="0" xfId="0" applyAlignment="1" applyBorder="1" applyFont="1">
      <alignment shrinkToFit="0" vertical="top" wrapText="1"/>
    </xf>
    <xf borderId="15" fillId="0" fontId="4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  <xf borderId="13" fillId="2" fontId="4" numFmtId="49" xfId="0" applyAlignment="1" applyBorder="1" applyFont="1" applyNumberFormat="1">
      <alignment shrinkToFit="0" vertical="center" wrapText="1"/>
    </xf>
    <xf borderId="13" fillId="2" fontId="4" numFmtId="49" xfId="0" applyAlignment="1" applyBorder="1" applyFont="1" applyNumberFormat="1">
      <alignment horizontal="center" shrinkToFit="0" vertical="center" wrapText="1"/>
    </xf>
    <xf borderId="13" fillId="15" fontId="7" numFmtId="49" xfId="0" applyAlignment="1" applyBorder="1" applyFill="1" applyFont="1" applyNumberFormat="1">
      <alignment horizontal="center" shrinkToFit="0" vertical="center" wrapText="1"/>
    </xf>
    <xf borderId="13" fillId="16" fontId="7" numFmtId="49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top" wrapText="1"/>
    </xf>
    <xf borderId="0" fillId="0" fontId="4" numFmtId="0" xfId="0" applyAlignment="1" applyFont="1">
      <alignment horizontal="right" shrinkToFit="0" vertical="center" wrapText="1"/>
    </xf>
    <xf borderId="13" fillId="5" fontId="7" numFmtId="1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top" wrapText="1"/>
    </xf>
    <xf borderId="0" fillId="0" fontId="4" numFmtId="0" xfId="0" applyAlignment="1" applyFont="1">
      <alignment horizontal="right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 shrinkToFit="0" vertical="top" wrapText="1"/>
    </xf>
    <xf borderId="13" fillId="2" fontId="11" numFmtId="49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top" wrapText="1"/>
    </xf>
    <xf borderId="0" fillId="0" fontId="1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mptoir-du-cable.com/" TargetMode="External"/><Relationship Id="rId2" Type="http://schemas.openxmlformats.org/officeDocument/2006/relationships/hyperlink" Target="https://www.levanalafrancaise.fr/produit/pack-electricite-installation-fixe-schema-complet-etude-des-besoins-dimensionnement-liste-du-materiel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4.43"/>
    <col customWidth="1" min="2" max="2" width="31.29"/>
    <col customWidth="1" min="3" max="3" width="27.14"/>
    <col customWidth="1" min="4" max="5" width="16.29"/>
    <col customWidth="1" min="6" max="6" width="27.86"/>
    <col customWidth="1" min="7" max="7" width="23.86"/>
    <col customWidth="1" min="8" max="8" width="20.29"/>
    <col customWidth="1" min="9" max="9" width="17.57"/>
    <col customWidth="1" min="10" max="10" width="15.57"/>
    <col customWidth="1" min="11" max="11" width="24.71"/>
    <col customWidth="1" min="12" max="13" width="15.57"/>
    <col customWidth="1" min="14" max="26" width="16.29"/>
  </cols>
  <sheetData>
    <row r="1" ht="105.75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/>
      <c r="B2" s="4"/>
      <c r="C2" s="5" t="s">
        <v>1</v>
      </c>
      <c r="D2" s="5" t="s">
        <v>2</v>
      </c>
      <c r="E2" s="5" t="s">
        <v>3</v>
      </c>
      <c r="F2" s="6" t="s">
        <v>4</v>
      </c>
      <c r="G2" s="5" t="s">
        <v>5</v>
      </c>
      <c r="H2" s="5" t="s">
        <v>6</v>
      </c>
      <c r="I2" s="5" t="s">
        <v>7</v>
      </c>
      <c r="J2" s="7"/>
      <c r="K2" s="8"/>
      <c r="L2" s="8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/>
      <c r="B3" s="10"/>
      <c r="C3" s="11"/>
      <c r="D3" s="12"/>
      <c r="E3" s="12"/>
      <c r="F3" s="12"/>
      <c r="G3" s="12"/>
      <c r="H3" s="12"/>
      <c r="I3" s="12"/>
      <c r="J3" s="13"/>
      <c r="K3" s="13"/>
      <c r="L3" s="13"/>
      <c r="M3" s="1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14"/>
      <c r="B4" s="15" t="s">
        <v>8</v>
      </c>
      <c r="C4" s="16"/>
      <c r="D4" s="17"/>
      <c r="E4" s="17"/>
      <c r="F4" s="17"/>
      <c r="G4" s="17"/>
      <c r="H4" s="17"/>
      <c r="I4" s="18"/>
      <c r="J4" s="19"/>
      <c r="K4" s="20" t="s">
        <v>9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21"/>
      <c r="B5" s="22" t="s">
        <v>10</v>
      </c>
      <c r="C5" s="23"/>
      <c r="D5" s="24"/>
      <c r="E5" s="25">
        <f t="shared" ref="E5:E17" si="1">D5/12</f>
        <v>0</v>
      </c>
      <c r="F5" s="24"/>
      <c r="G5" s="26">
        <f t="shared" ref="G5:G17" si="2">IF(((0.02*(F5*2)*E5)/((12/100)*3))=0,0,IF(((0.02*(F5*2)*E5)/((12/100)*3))&lt;=1.5,2.5,IF(((0.02*(F5*2)*E5)/((12/100)*3))&lt;=2,2.5,IF(((0.02*(F5*2)*E5)/((12/100)*3))&lt;=3.5,4,IF(((0.02*(F5*2)*E5)/((12/100)*3))&lt;=5.5,6,IF(((0.02*(F5*2)*E5)/((12/100)*3))&lt;=9.5,10,IF(((0.02*(F5*2)*E5)/((12/100)*3))&lt;=15.5,16,IF(((0.02*(F5*2)*E5)/((12/100)*3))&lt;=24.5,25,IF(((0.02*(F5*2)*E5)/((12/100)*3))&lt;=34.5,35,IF(((0.02*(F5*2)*E5)/((12/100)*3))&lt;=45.5,50,IF(((0.02*(F5*2)*E5)/((12/100)*3))&lt;=70,70,IF(((0.02*(F5*2)*E5)/((12/100)*3))&lt;=95,95,"TROP GROS"))))))))))))</f>
        <v>0</v>
      </c>
      <c r="H5" s="27">
        <f t="shared" ref="H5:H17" si="3">IF(E5=0,0,IF(E5&lt;1,1,IF(E5&lt;2,2,IF(E5&lt;3,3,IF(E5&lt;4,4,IF(E5&lt;5,5,IF(E5&lt;7.5,7.5,IF(E5&lt;10,10,IF(E5&lt;15,15,IF(E5&lt;20,20,IF(E5&lt;25,25,IF(E5&lt;30,30,IF(E5&lt;35,35,IF(E5&lt;40,40,"PRENDRE MEGA FUSE ADAPTÉ"))))))))))))))</f>
        <v>0</v>
      </c>
      <c r="I5" s="27">
        <f t="shared" ref="I5:I17" si="4">IF(E5=0,0,IF(E5&lt;=1,1,IF(E5&lt;=2,2,IF(E5&lt;=3,3,IF(E5&lt;=4,4,IF(E5&lt;=5,5,IF(E5&lt;=7.5,7.5,IF(E5&lt;=10,10,IF(E5&lt;=15,15,IF(E5&lt;=20,20,IF(E5&lt;=25,25,IF(E5&lt;=30,30,IF(E5&lt;=35,35,IF(E5&lt;=40,40,"PRENDRE MEGA FUSE ADAPTÉ"))))))))))))))</f>
        <v>0</v>
      </c>
      <c r="J5" s="28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21"/>
      <c r="B6" s="22" t="s">
        <v>11</v>
      </c>
      <c r="C6" s="23"/>
      <c r="D6" s="29"/>
      <c r="E6" s="25">
        <f t="shared" si="1"/>
        <v>0</v>
      </c>
      <c r="F6" s="29"/>
      <c r="G6" s="26">
        <f t="shared" si="2"/>
        <v>0</v>
      </c>
      <c r="H6" s="27">
        <f t="shared" si="3"/>
        <v>0</v>
      </c>
      <c r="I6" s="27">
        <f t="shared" si="4"/>
        <v>0</v>
      </c>
      <c r="J6" s="28"/>
      <c r="K6" s="30" t="s">
        <v>12</v>
      </c>
      <c r="L6" s="31"/>
      <c r="M6" s="30" t="s">
        <v>13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21"/>
      <c r="B7" s="22" t="s">
        <v>14</v>
      </c>
      <c r="C7" s="23"/>
      <c r="D7" s="29"/>
      <c r="E7" s="25">
        <f t="shared" si="1"/>
        <v>0</v>
      </c>
      <c r="F7" s="29"/>
      <c r="G7" s="26">
        <f t="shared" si="2"/>
        <v>0</v>
      </c>
      <c r="H7" s="27">
        <f t="shared" si="3"/>
        <v>0</v>
      </c>
      <c r="I7" s="27">
        <f t="shared" si="4"/>
        <v>0</v>
      </c>
      <c r="J7" s="28"/>
      <c r="K7" s="30" t="s">
        <v>15</v>
      </c>
      <c r="L7" s="32">
        <v>12.0</v>
      </c>
      <c r="M7" s="30" t="s">
        <v>16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21"/>
      <c r="B8" s="22" t="s">
        <v>14</v>
      </c>
      <c r="C8" s="23"/>
      <c r="D8" s="29"/>
      <c r="E8" s="25">
        <f t="shared" si="1"/>
        <v>0</v>
      </c>
      <c r="F8" s="29"/>
      <c r="G8" s="26">
        <f t="shared" si="2"/>
        <v>0</v>
      </c>
      <c r="H8" s="27">
        <f t="shared" si="3"/>
        <v>0</v>
      </c>
      <c r="I8" s="27">
        <f t="shared" si="4"/>
        <v>0</v>
      </c>
      <c r="J8" s="28"/>
      <c r="K8" s="30" t="s">
        <v>17</v>
      </c>
      <c r="L8" s="33">
        <f>L6/L7</f>
        <v>0</v>
      </c>
      <c r="M8" s="30" t="s">
        <v>18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21"/>
      <c r="B9" s="22" t="s">
        <v>14</v>
      </c>
      <c r="C9" s="23"/>
      <c r="D9" s="29"/>
      <c r="E9" s="25">
        <f t="shared" si="1"/>
        <v>0</v>
      </c>
      <c r="F9" s="29"/>
      <c r="G9" s="26">
        <f t="shared" si="2"/>
        <v>0</v>
      </c>
      <c r="H9" s="27">
        <f t="shared" si="3"/>
        <v>0</v>
      </c>
      <c r="I9" s="27">
        <f t="shared" si="4"/>
        <v>0</v>
      </c>
      <c r="J9" s="28"/>
      <c r="K9" s="13"/>
      <c r="L9" s="13"/>
      <c r="M9" s="1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21"/>
      <c r="B10" s="22" t="s">
        <v>14</v>
      </c>
      <c r="C10" s="23"/>
      <c r="D10" s="29"/>
      <c r="E10" s="25">
        <f t="shared" si="1"/>
        <v>0</v>
      </c>
      <c r="F10" s="29"/>
      <c r="G10" s="26">
        <f t="shared" si="2"/>
        <v>0</v>
      </c>
      <c r="H10" s="27">
        <f t="shared" si="3"/>
        <v>0</v>
      </c>
      <c r="I10" s="27">
        <f t="shared" si="4"/>
        <v>0</v>
      </c>
      <c r="J10" s="34"/>
      <c r="K10" s="30" t="s">
        <v>19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21"/>
      <c r="B11" s="22" t="s">
        <v>14</v>
      </c>
      <c r="C11" s="23"/>
      <c r="D11" s="29"/>
      <c r="E11" s="25">
        <f t="shared" si="1"/>
        <v>0</v>
      </c>
      <c r="F11" s="29"/>
      <c r="G11" s="26">
        <f t="shared" si="2"/>
        <v>0</v>
      </c>
      <c r="H11" s="27">
        <f t="shared" si="3"/>
        <v>0</v>
      </c>
      <c r="I11" s="27">
        <f t="shared" si="4"/>
        <v>0</v>
      </c>
      <c r="J11" s="2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21"/>
      <c r="B12" s="22" t="s">
        <v>14</v>
      </c>
      <c r="C12" s="23"/>
      <c r="D12" s="29"/>
      <c r="E12" s="25">
        <f t="shared" si="1"/>
        <v>0</v>
      </c>
      <c r="F12" s="29"/>
      <c r="G12" s="26">
        <f t="shared" si="2"/>
        <v>0</v>
      </c>
      <c r="H12" s="27">
        <f t="shared" si="3"/>
        <v>0</v>
      </c>
      <c r="I12" s="27">
        <f t="shared" si="4"/>
        <v>0</v>
      </c>
      <c r="J12" s="28"/>
      <c r="K12" s="30" t="s">
        <v>20</v>
      </c>
      <c r="L12" s="31"/>
      <c r="M12" s="30" t="s">
        <v>18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21"/>
      <c r="B13" s="22" t="s">
        <v>14</v>
      </c>
      <c r="C13" s="23"/>
      <c r="D13" s="29"/>
      <c r="E13" s="25">
        <f t="shared" si="1"/>
        <v>0</v>
      </c>
      <c r="F13" s="29"/>
      <c r="G13" s="26">
        <f t="shared" si="2"/>
        <v>0</v>
      </c>
      <c r="H13" s="27">
        <f t="shared" si="3"/>
        <v>0</v>
      </c>
      <c r="I13" s="27">
        <f t="shared" si="4"/>
        <v>0</v>
      </c>
      <c r="J13" s="28"/>
      <c r="K13" s="30" t="s">
        <v>15</v>
      </c>
      <c r="L13" s="31">
        <v>12.0</v>
      </c>
      <c r="M13" s="30" t="s">
        <v>16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21"/>
      <c r="B14" s="22" t="s">
        <v>14</v>
      </c>
      <c r="C14" s="23"/>
      <c r="D14" s="29"/>
      <c r="E14" s="25">
        <f t="shared" si="1"/>
        <v>0</v>
      </c>
      <c r="F14" s="29"/>
      <c r="G14" s="26">
        <f t="shared" si="2"/>
        <v>0</v>
      </c>
      <c r="H14" s="27">
        <f t="shared" si="3"/>
        <v>0</v>
      </c>
      <c r="I14" s="27">
        <f t="shared" si="4"/>
        <v>0</v>
      </c>
      <c r="J14" s="28"/>
      <c r="K14" s="30" t="s">
        <v>21</v>
      </c>
      <c r="L14" s="35">
        <f>L12*L13</f>
        <v>0</v>
      </c>
      <c r="M14" s="30" t="s">
        <v>13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21"/>
      <c r="B15" s="22" t="s">
        <v>14</v>
      </c>
      <c r="C15" s="23"/>
      <c r="D15" s="29"/>
      <c r="E15" s="25">
        <f t="shared" si="1"/>
        <v>0</v>
      </c>
      <c r="F15" s="29"/>
      <c r="G15" s="26">
        <f t="shared" si="2"/>
        <v>0</v>
      </c>
      <c r="H15" s="27">
        <f t="shared" si="3"/>
        <v>0</v>
      </c>
      <c r="I15" s="27">
        <f t="shared" si="4"/>
        <v>0</v>
      </c>
      <c r="J15" s="2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21"/>
      <c r="B16" s="22" t="s">
        <v>14</v>
      </c>
      <c r="C16" s="23"/>
      <c r="D16" s="29"/>
      <c r="E16" s="25">
        <f t="shared" si="1"/>
        <v>0</v>
      </c>
      <c r="F16" s="29"/>
      <c r="G16" s="26">
        <f t="shared" si="2"/>
        <v>0</v>
      </c>
      <c r="H16" s="27">
        <f t="shared" si="3"/>
        <v>0</v>
      </c>
      <c r="I16" s="27">
        <f t="shared" si="4"/>
        <v>0</v>
      </c>
      <c r="J16" s="2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21"/>
      <c r="B17" s="22" t="s">
        <v>14</v>
      </c>
      <c r="C17" s="23"/>
      <c r="D17" s="29"/>
      <c r="E17" s="25">
        <f t="shared" si="1"/>
        <v>0</v>
      </c>
      <c r="F17" s="29"/>
      <c r="G17" s="26">
        <f t="shared" si="2"/>
        <v>0</v>
      </c>
      <c r="H17" s="27">
        <f t="shared" si="3"/>
        <v>0</v>
      </c>
      <c r="I17" s="27">
        <f t="shared" si="4"/>
        <v>0</v>
      </c>
      <c r="J17" s="2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36"/>
      <c r="B18" s="36"/>
      <c r="C18" s="37"/>
      <c r="D18" s="37"/>
      <c r="E18" s="37"/>
      <c r="F18" s="37"/>
      <c r="G18" s="38"/>
      <c r="H18" s="38"/>
      <c r="I18" s="38"/>
      <c r="J18" s="13"/>
      <c r="K18" s="39" t="s">
        <v>22</v>
      </c>
      <c r="L18" s="13"/>
      <c r="M18" s="1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40"/>
      <c r="B19" s="41" t="s">
        <v>23</v>
      </c>
      <c r="C19" s="42"/>
      <c r="D19" s="17"/>
      <c r="E19" s="17"/>
      <c r="F19" s="17"/>
      <c r="G19" s="17"/>
      <c r="H19" s="17"/>
      <c r="I19" s="18"/>
      <c r="J19" s="43"/>
      <c r="K19" s="44"/>
      <c r="L19" s="44"/>
      <c r="M19" s="4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45"/>
      <c r="B20" s="46" t="s">
        <v>24</v>
      </c>
      <c r="C20" s="23"/>
      <c r="D20" s="24">
        <v>60.0</v>
      </c>
      <c r="E20" s="25">
        <f t="shared" ref="E20:E31" si="5">D20/12</f>
        <v>5</v>
      </c>
      <c r="F20" s="24"/>
      <c r="G20" s="26">
        <f>IF(((0.02*(F20*2)*E20)/((12/100)*3))=0,0,IF(((0.02*(F20*2)*E20)/((12/100)*3))&lt;=0.5,2.5,IF(((0.02*(F20*2)*E20)/((12/100)*3))&lt;=1.5,4,IF(((0.02*(F20*2)*E20)/((12/100)*3))&lt;=3.5,4,IF(((0.02*(F20*2)*E20)/((12/100)*3))&lt;=5.5,6,IF(((0.02*(F20*2)*E20)/((12/100)*3))&lt;=9.5,10,IF(((0.02*(F20*2)*E20)/((12/100)*3))&lt;=15.5,16,IF(((0.02*(F20*2)*E20)/((12/100)*3))&lt;=24.5,25,IF(((0.02*(F20*2)*E20)/((12/100)*3))&lt;=34.5,35,IF(((0.02*(F20*2)*E20)/((12/100)*3))&lt;=45.5,50,IF(((0.02*(F20*2)*E20)/((12/100)*3))&lt;=70,70,IF(((0.02*(F20*2)*E20)/((12/100)*3))&lt;=95,95,"TROP GROS"))))))))))))</f>
        <v>0</v>
      </c>
      <c r="H20" s="27">
        <f t="shared" ref="H20:H31" si="6">IF(E20=0,0,IF(E20&lt;1,1,IF(E20&lt;2,2,IF(E20&lt;3,3,IF(E20&lt;4,4,IF(E20&lt;5,5,IF(E20&lt;7.5,7.5,IF(E20&lt;10,10,IF(E20&lt;15,15,IF(E20&lt;20,20,IF(E20&lt;25,25,IF(E20&lt;30,30,IF(E20&lt;35,35,IF(E20&lt;40,40,"PRENDRE MEGA FUSE ADAPTÉ"))))))))))))))</f>
        <v>7.5</v>
      </c>
      <c r="I20" s="27">
        <f t="shared" ref="I20:I31" si="7">IF(E20=0,0,IF(E20&lt;=1,1,IF(E20&lt;=2,2,IF(E20&lt;=3,3,IF(E20&lt;=4,4,IF(E20&lt;=5,5,IF(E20&lt;=7.5,7.5,IF(E20&lt;=10,10,IF(E20&lt;=15,15,IF(E20&lt;=20,20,IF(E20&lt;=25,25,IF(E20&lt;=30,30,IF(E20&lt;=35,35,IF(E20&lt;=40,40,"PRENDRE MEGA FUSE ADAPTÉ"))))))))))))))</f>
        <v>5</v>
      </c>
      <c r="J20" s="28"/>
      <c r="K20" s="44"/>
      <c r="L20" s="13"/>
      <c r="M20" s="1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45"/>
      <c r="B21" s="46" t="s">
        <v>25</v>
      </c>
      <c r="C21" s="23"/>
      <c r="D21" s="24">
        <v>60.0</v>
      </c>
      <c r="E21" s="25">
        <f t="shared" si="5"/>
        <v>5</v>
      </c>
      <c r="F21" s="29"/>
      <c r="G21" s="26">
        <f t="shared" ref="G21:G31" si="8">IF(((0.02*(F21*2)*E21)/((12/100)*3))=0,0,IF(((0.02*(F21*2)*E21)/((12/100)*3))&lt;=1,2.5,IF(((0.02*(F21*2)*E21)/((12/100)*3))&lt;=2,4,IF(((0.02*(F21*2)*E21)/((12/100)*3))&lt;=3.5,4,IF(((0.02*(F21*2)*E21)/((12/100)*3))&lt;=5.5,6,IF(((0.02*(F21*2)*E21)/((12/100)*3))&lt;=9.5,10,IF(((0.02*(F21*2)*E21)/((12/100)*3))&lt;=15.5,16,IF(((0.02*(F21*2)*E21)/((12/100)*3))&lt;=24.5,25,IF(((0.02*(F21*2)*E21)/((12/100)*3))&lt;=34.5,35,IF(((0.02*(F21*2)*E21)/((12/100)*3))&lt;=45.5,50,IF(((0.02*(F21*2)*E21)/((12/100)*3))&lt;=70,70,IF(((0.02*(F21*2)*E21)/((12/100)*3))&lt;=95,95,"TROP GROS"))))))))))))</f>
        <v>0</v>
      </c>
      <c r="H21" s="27">
        <f t="shared" si="6"/>
        <v>7.5</v>
      </c>
      <c r="I21" s="27">
        <f t="shared" si="7"/>
        <v>5</v>
      </c>
      <c r="J21" s="28"/>
      <c r="K21" s="13"/>
      <c r="L21" s="13"/>
      <c r="M21" s="1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45"/>
      <c r="B22" s="46" t="s">
        <v>14</v>
      </c>
      <c r="C22" s="23"/>
      <c r="D22" s="29"/>
      <c r="E22" s="25">
        <f t="shared" si="5"/>
        <v>0</v>
      </c>
      <c r="F22" s="29"/>
      <c r="G22" s="26">
        <f t="shared" si="8"/>
        <v>0</v>
      </c>
      <c r="H22" s="27">
        <f t="shared" si="6"/>
        <v>0</v>
      </c>
      <c r="I22" s="27">
        <f t="shared" si="7"/>
        <v>0</v>
      </c>
      <c r="J22" s="28"/>
      <c r="K22" s="13"/>
      <c r="L22" s="13"/>
      <c r="M22" s="1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45"/>
      <c r="B23" s="46" t="s">
        <v>14</v>
      </c>
      <c r="C23" s="23"/>
      <c r="D23" s="29"/>
      <c r="E23" s="25">
        <f t="shared" si="5"/>
        <v>0</v>
      </c>
      <c r="F23" s="29"/>
      <c r="G23" s="26">
        <f t="shared" si="8"/>
        <v>0</v>
      </c>
      <c r="H23" s="27">
        <f t="shared" si="6"/>
        <v>0</v>
      </c>
      <c r="I23" s="27">
        <f t="shared" si="7"/>
        <v>0</v>
      </c>
      <c r="J23" s="28"/>
      <c r="K23" s="13"/>
      <c r="L23" s="13"/>
      <c r="M23" s="1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45"/>
      <c r="B24" s="46" t="s">
        <v>14</v>
      </c>
      <c r="C24" s="23"/>
      <c r="D24" s="29"/>
      <c r="E24" s="25">
        <f t="shared" si="5"/>
        <v>0</v>
      </c>
      <c r="F24" s="29"/>
      <c r="G24" s="26">
        <f t="shared" si="8"/>
        <v>0</v>
      </c>
      <c r="H24" s="27">
        <f t="shared" si="6"/>
        <v>0</v>
      </c>
      <c r="I24" s="27">
        <f t="shared" si="7"/>
        <v>0</v>
      </c>
      <c r="J24" s="28"/>
      <c r="K24" s="13"/>
      <c r="L24" s="13"/>
      <c r="M24" s="1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45"/>
      <c r="B25" s="46" t="s">
        <v>14</v>
      </c>
      <c r="C25" s="23"/>
      <c r="D25" s="29"/>
      <c r="E25" s="25">
        <f t="shared" si="5"/>
        <v>0</v>
      </c>
      <c r="F25" s="29"/>
      <c r="G25" s="26">
        <f t="shared" si="8"/>
        <v>0</v>
      </c>
      <c r="H25" s="27">
        <f t="shared" si="6"/>
        <v>0</v>
      </c>
      <c r="I25" s="27">
        <f t="shared" si="7"/>
        <v>0</v>
      </c>
      <c r="J25" s="28"/>
      <c r="K25" s="13"/>
      <c r="L25" s="13"/>
      <c r="M25" s="1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45"/>
      <c r="B26" s="46" t="s">
        <v>14</v>
      </c>
      <c r="C26" s="23"/>
      <c r="D26" s="29"/>
      <c r="E26" s="25">
        <f t="shared" si="5"/>
        <v>0</v>
      </c>
      <c r="F26" s="29"/>
      <c r="G26" s="26">
        <f t="shared" si="8"/>
        <v>0</v>
      </c>
      <c r="H26" s="27">
        <f t="shared" si="6"/>
        <v>0</v>
      </c>
      <c r="I26" s="27">
        <f t="shared" si="7"/>
        <v>0</v>
      </c>
      <c r="J26" s="28"/>
      <c r="K26" s="13"/>
      <c r="L26" s="13"/>
      <c r="M26" s="1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45"/>
      <c r="B27" s="46" t="s">
        <v>14</v>
      </c>
      <c r="C27" s="23"/>
      <c r="D27" s="29"/>
      <c r="E27" s="25">
        <f t="shared" si="5"/>
        <v>0</v>
      </c>
      <c r="F27" s="29"/>
      <c r="G27" s="26">
        <f t="shared" si="8"/>
        <v>0</v>
      </c>
      <c r="H27" s="27">
        <f t="shared" si="6"/>
        <v>0</v>
      </c>
      <c r="I27" s="27">
        <f t="shared" si="7"/>
        <v>0</v>
      </c>
      <c r="J27" s="28"/>
      <c r="K27" s="13"/>
      <c r="L27" s="13"/>
      <c r="M27" s="1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45"/>
      <c r="B28" s="46" t="s">
        <v>14</v>
      </c>
      <c r="C28" s="23"/>
      <c r="D28" s="29"/>
      <c r="E28" s="25">
        <f t="shared" si="5"/>
        <v>0</v>
      </c>
      <c r="F28" s="29"/>
      <c r="G28" s="26">
        <f t="shared" si="8"/>
        <v>0</v>
      </c>
      <c r="H28" s="27">
        <f t="shared" si="6"/>
        <v>0</v>
      </c>
      <c r="I28" s="27">
        <f t="shared" si="7"/>
        <v>0</v>
      </c>
      <c r="J28" s="28"/>
      <c r="K28" s="13"/>
      <c r="L28" s="13"/>
      <c r="M28" s="1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45"/>
      <c r="B29" s="46" t="s">
        <v>14</v>
      </c>
      <c r="C29" s="23"/>
      <c r="D29" s="29"/>
      <c r="E29" s="25">
        <f t="shared" si="5"/>
        <v>0</v>
      </c>
      <c r="F29" s="29"/>
      <c r="G29" s="26">
        <f t="shared" si="8"/>
        <v>0</v>
      </c>
      <c r="H29" s="27">
        <f t="shared" si="6"/>
        <v>0</v>
      </c>
      <c r="I29" s="27">
        <f t="shared" si="7"/>
        <v>0</v>
      </c>
      <c r="J29" s="28"/>
      <c r="K29" s="13"/>
      <c r="L29" s="13"/>
      <c r="M29" s="1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45"/>
      <c r="B30" s="46" t="s">
        <v>14</v>
      </c>
      <c r="C30" s="23"/>
      <c r="D30" s="29"/>
      <c r="E30" s="25">
        <f t="shared" si="5"/>
        <v>0</v>
      </c>
      <c r="F30" s="29"/>
      <c r="G30" s="26">
        <f t="shared" si="8"/>
        <v>0</v>
      </c>
      <c r="H30" s="27">
        <f t="shared" si="6"/>
        <v>0</v>
      </c>
      <c r="I30" s="27">
        <f t="shared" si="7"/>
        <v>0</v>
      </c>
      <c r="J30" s="28"/>
      <c r="K30" s="13"/>
      <c r="L30" s="13"/>
      <c r="M30" s="1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45"/>
      <c r="B31" s="46" t="s">
        <v>14</v>
      </c>
      <c r="C31" s="23"/>
      <c r="D31" s="29"/>
      <c r="E31" s="25">
        <f t="shared" si="5"/>
        <v>0</v>
      </c>
      <c r="F31" s="29"/>
      <c r="G31" s="26">
        <f t="shared" si="8"/>
        <v>0</v>
      </c>
      <c r="H31" s="27">
        <f t="shared" si="6"/>
        <v>0</v>
      </c>
      <c r="I31" s="27">
        <f t="shared" si="7"/>
        <v>0</v>
      </c>
      <c r="J31" s="28"/>
      <c r="K31" s="13"/>
      <c r="L31" s="13"/>
      <c r="M31" s="1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36"/>
      <c r="B32" s="36"/>
      <c r="C32" s="37"/>
      <c r="D32" s="37"/>
      <c r="E32" s="37"/>
      <c r="F32" s="37"/>
      <c r="G32" s="38"/>
      <c r="H32" s="38"/>
      <c r="I32" s="38"/>
      <c r="J32" s="13"/>
      <c r="K32" s="13"/>
      <c r="L32" s="13"/>
      <c r="M32" s="1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47"/>
      <c r="B33" s="48" t="s">
        <v>26</v>
      </c>
      <c r="C33" s="49"/>
      <c r="D33" s="17"/>
      <c r="E33" s="17"/>
      <c r="F33" s="17"/>
      <c r="G33" s="17"/>
      <c r="H33" s="18"/>
      <c r="I33" s="50"/>
      <c r="J33" s="43"/>
      <c r="K33" s="44"/>
      <c r="L33" s="44"/>
      <c r="M33" s="44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51"/>
      <c r="B34" s="52" t="s">
        <v>27</v>
      </c>
      <c r="C34" s="23"/>
      <c r="D34" s="24">
        <v>50.0</v>
      </c>
      <c r="E34" s="25">
        <f t="shared" ref="E34:E47" si="9">D34/12</f>
        <v>4.166666667</v>
      </c>
      <c r="F34" s="24"/>
      <c r="G34" s="26">
        <f>IF(((0.02*(F34*2)*E34)/((12/100)*3))=0,0,IF(((0.02*(F34*2)*E34)/((12/100)*3))&lt;=0.5,4,IF(((0.02*(F34*2)*E34)/((12/100)*3))&lt;=1.5,6,IF(((0.02*(F34*2)*E34)/((12/100)*3))&lt;=3,6,IF(((0.02*(F34*2)*E34)/((12/100)*3))&lt;=5.5,6,IF(((0.02*(F34*2)*E34)/((12/100)*3))&lt;=9.5,10,IF(((0.02*(F34*2)*E34)/((12/100)*3))&lt;=15.5,16,IF(((0.02*(F34*2)*E34)/((12/100)*3))&lt;=24.5,25,IF(((0.02*(F34*2)*E34)/((12/100)*3))&lt;=34.5,35,IF(((0.02*(F34*2)*E34)/((12/100)*3))&lt;=45.5,50,IF(((0.02*(F34*2)*E34)/((12/100)*3))&lt;=70,70,IF(((0.02*(F34*2)*E34)/((12/100)*3))&lt;=95,95,"TROP GROS"))))))))))))</f>
        <v>0</v>
      </c>
      <c r="H34" s="27">
        <f t="shared" ref="H34:H47" si="10">IF(E34=0,0,IF(E34&lt;1,1,IF(E34&lt;2,2,IF(E34&lt;3,3,IF(E34&lt;4,4,IF(E34&lt;5,5,IF(E34&lt;7.5,7.5,IF(E34&lt;10,10,IF(E34&lt;15,15,IF(E34&lt;20,20,IF(E34&lt;25,25,IF(E34&lt;30,30,IF(E34&lt;35,35,IF(E34&lt;40,40,"PRENDRE MEGA FUSE ADAPTÉ"))))))))))))))</f>
        <v>5</v>
      </c>
      <c r="I34" s="27">
        <f t="shared" ref="I34:I47" si="11">IF(E34=0,0,IF(E34&lt;=1,1,IF(E34&lt;=2,2,IF(E34&lt;=3,3,IF(E34&lt;=4,4,IF(E34&lt;=5,5,IF(E34&lt;=7.5,7.5,IF(E34&lt;=10,10,IF(E34&lt;=15,15,IF(E34&lt;=20,20,IF(E34&lt;=25,25,IF(E34&lt;=30,30,IF(E34&lt;=35,35,IF(E34&lt;=40,40,"PRENDRE MEGA FUSE ADAPTÉ"))))))))))))))</f>
        <v>5</v>
      </c>
      <c r="J34" s="28"/>
      <c r="K34" s="13"/>
      <c r="L34" s="13"/>
      <c r="M34" s="1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51"/>
      <c r="B35" s="52"/>
      <c r="C35" s="23"/>
      <c r="D35" s="24"/>
      <c r="E35" s="25">
        <f t="shared" si="9"/>
        <v>0</v>
      </c>
      <c r="F35" s="24"/>
      <c r="G35" s="26">
        <f t="shared" ref="G35:G47" si="12">IF(((0.02*(F35*2)*E35)/((12/100)*3))=0,0,IF(((0.02*(F35*2)*E35)/((12/100)*3))&lt;=1.5,2.5,IF(((0.02*(F35*2)*E35)/((12/100)*3))&lt;=1.5,2.5,IF(((0.02*(F35*2)*E35)/((12/100)*3))&lt;=3,4,IF(((0.02*(F35*2)*E35)/((12/100)*3))&lt;=5,6,IF(((0.02*(F35*2)*E35)/((12/100)*3))&lt;=9,10,IF(((0.02*(F35*2)*E35)/((12/100)*3))&lt;=15,16,IF(((0.02*(F35*2)*E35)/((12/100)*3))&lt;=20,25,IF(((0.02*(F35*2)*E35)/((12/100)*3))&lt;=30,35,IF(((0.02*(F35*2)*E35)/((12/100)*3))&lt;=45,50,IF(((0.02*(F35*2)*E35)/((12/100)*3))&lt;=65,70,IF(((0.02*(F35*2)*E35)/((12/100)*3))&lt;=90,95,"TROP GROS"))))))))))))</f>
        <v>0</v>
      </c>
      <c r="H35" s="27">
        <f t="shared" si="10"/>
        <v>0</v>
      </c>
      <c r="I35" s="27">
        <f t="shared" si="11"/>
        <v>0</v>
      </c>
      <c r="J35" s="28"/>
      <c r="K35" s="13"/>
      <c r="L35" s="13"/>
      <c r="M35" s="1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51"/>
      <c r="B36" s="52"/>
      <c r="C36" s="23"/>
      <c r="D36" s="29"/>
      <c r="E36" s="25">
        <f t="shared" si="9"/>
        <v>0</v>
      </c>
      <c r="F36" s="29"/>
      <c r="G36" s="26">
        <f t="shared" si="12"/>
        <v>0</v>
      </c>
      <c r="H36" s="27">
        <f t="shared" si="10"/>
        <v>0</v>
      </c>
      <c r="I36" s="27">
        <f t="shared" si="11"/>
        <v>0</v>
      </c>
      <c r="J36" s="28"/>
      <c r="K36" s="13"/>
      <c r="L36" s="13"/>
      <c r="M36" s="1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51"/>
      <c r="B37" s="52"/>
      <c r="C37" s="23"/>
      <c r="D37" s="29"/>
      <c r="E37" s="25">
        <f t="shared" si="9"/>
        <v>0</v>
      </c>
      <c r="F37" s="29"/>
      <c r="G37" s="26">
        <f t="shared" si="12"/>
        <v>0</v>
      </c>
      <c r="H37" s="27">
        <f t="shared" si="10"/>
        <v>0</v>
      </c>
      <c r="I37" s="27">
        <f t="shared" si="11"/>
        <v>0</v>
      </c>
      <c r="J37" s="28"/>
      <c r="K37" s="13"/>
      <c r="L37" s="13"/>
      <c r="M37" s="1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51"/>
      <c r="B38" s="52"/>
      <c r="C38" s="23"/>
      <c r="D38" s="29"/>
      <c r="E38" s="25">
        <f t="shared" si="9"/>
        <v>0</v>
      </c>
      <c r="F38" s="29"/>
      <c r="G38" s="26">
        <f t="shared" si="12"/>
        <v>0</v>
      </c>
      <c r="H38" s="27">
        <f t="shared" si="10"/>
        <v>0</v>
      </c>
      <c r="I38" s="27">
        <f t="shared" si="11"/>
        <v>0</v>
      </c>
      <c r="J38" s="28"/>
      <c r="K38" s="13"/>
      <c r="L38" s="13"/>
      <c r="M38" s="1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51"/>
      <c r="B39" s="52"/>
      <c r="C39" s="23"/>
      <c r="D39" s="29"/>
      <c r="E39" s="25">
        <f t="shared" si="9"/>
        <v>0</v>
      </c>
      <c r="F39" s="29"/>
      <c r="G39" s="26">
        <f t="shared" si="12"/>
        <v>0</v>
      </c>
      <c r="H39" s="27">
        <f t="shared" si="10"/>
        <v>0</v>
      </c>
      <c r="I39" s="27">
        <f t="shared" si="11"/>
        <v>0</v>
      </c>
      <c r="J39" s="28"/>
      <c r="K39" s="13"/>
      <c r="L39" s="13"/>
      <c r="M39" s="1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51"/>
      <c r="B40" s="52"/>
      <c r="C40" s="23"/>
      <c r="D40" s="29"/>
      <c r="E40" s="25">
        <f t="shared" si="9"/>
        <v>0</v>
      </c>
      <c r="F40" s="29"/>
      <c r="G40" s="26">
        <f t="shared" si="12"/>
        <v>0</v>
      </c>
      <c r="H40" s="27">
        <f t="shared" si="10"/>
        <v>0</v>
      </c>
      <c r="I40" s="27">
        <f t="shared" si="11"/>
        <v>0</v>
      </c>
      <c r="J40" s="28"/>
      <c r="K40" s="13"/>
      <c r="L40" s="13"/>
      <c r="M40" s="1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51"/>
      <c r="B41" s="52"/>
      <c r="C41" s="23"/>
      <c r="D41" s="29"/>
      <c r="E41" s="25">
        <f t="shared" si="9"/>
        <v>0</v>
      </c>
      <c r="F41" s="29"/>
      <c r="G41" s="26">
        <f t="shared" si="12"/>
        <v>0</v>
      </c>
      <c r="H41" s="27">
        <f t="shared" si="10"/>
        <v>0</v>
      </c>
      <c r="I41" s="27">
        <f t="shared" si="11"/>
        <v>0</v>
      </c>
      <c r="J41" s="28"/>
      <c r="K41" s="13"/>
      <c r="L41" s="13"/>
      <c r="M41" s="1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51"/>
      <c r="B42" s="52"/>
      <c r="C42" s="23"/>
      <c r="D42" s="29"/>
      <c r="E42" s="25">
        <f t="shared" si="9"/>
        <v>0</v>
      </c>
      <c r="F42" s="29"/>
      <c r="G42" s="26">
        <f t="shared" si="12"/>
        <v>0</v>
      </c>
      <c r="H42" s="27">
        <f t="shared" si="10"/>
        <v>0</v>
      </c>
      <c r="I42" s="27">
        <f t="shared" si="11"/>
        <v>0</v>
      </c>
      <c r="J42" s="28"/>
      <c r="K42" s="13"/>
      <c r="L42" s="13"/>
      <c r="M42" s="1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51"/>
      <c r="B43" s="52" t="s">
        <v>14</v>
      </c>
      <c r="C43" s="23"/>
      <c r="D43" s="29"/>
      <c r="E43" s="25">
        <f t="shared" si="9"/>
        <v>0</v>
      </c>
      <c r="F43" s="29"/>
      <c r="G43" s="26">
        <f t="shared" si="12"/>
        <v>0</v>
      </c>
      <c r="H43" s="27">
        <f t="shared" si="10"/>
        <v>0</v>
      </c>
      <c r="I43" s="27">
        <f t="shared" si="11"/>
        <v>0</v>
      </c>
      <c r="J43" s="28"/>
      <c r="K43" s="13"/>
      <c r="L43" s="13"/>
      <c r="M43" s="1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51"/>
      <c r="B44" s="52" t="s">
        <v>14</v>
      </c>
      <c r="C44" s="23"/>
      <c r="D44" s="29"/>
      <c r="E44" s="25">
        <f t="shared" si="9"/>
        <v>0</v>
      </c>
      <c r="F44" s="29"/>
      <c r="G44" s="26">
        <f t="shared" si="12"/>
        <v>0</v>
      </c>
      <c r="H44" s="27">
        <f t="shared" si="10"/>
        <v>0</v>
      </c>
      <c r="I44" s="27">
        <f t="shared" si="11"/>
        <v>0</v>
      </c>
      <c r="J44" s="28"/>
      <c r="K44" s="13"/>
      <c r="L44" s="13"/>
      <c r="M44" s="1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51"/>
      <c r="B45" s="52" t="s">
        <v>14</v>
      </c>
      <c r="C45" s="23"/>
      <c r="D45" s="29"/>
      <c r="E45" s="25">
        <f t="shared" si="9"/>
        <v>0</v>
      </c>
      <c r="F45" s="29"/>
      <c r="G45" s="26">
        <f t="shared" si="12"/>
        <v>0</v>
      </c>
      <c r="H45" s="27">
        <f t="shared" si="10"/>
        <v>0</v>
      </c>
      <c r="I45" s="27">
        <f t="shared" si="11"/>
        <v>0</v>
      </c>
      <c r="J45" s="28"/>
      <c r="K45" s="13"/>
      <c r="L45" s="13"/>
      <c r="M45" s="1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51"/>
      <c r="B46" s="52" t="s">
        <v>14</v>
      </c>
      <c r="C46" s="23"/>
      <c r="D46" s="29"/>
      <c r="E46" s="25">
        <f t="shared" si="9"/>
        <v>0</v>
      </c>
      <c r="F46" s="29"/>
      <c r="G46" s="26">
        <f t="shared" si="12"/>
        <v>0</v>
      </c>
      <c r="H46" s="27">
        <f t="shared" si="10"/>
        <v>0</v>
      </c>
      <c r="I46" s="27">
        <f t="shared" si="11"/>
        <v>0</v>
      </c>
      <c r="J46" s="28"/>
      <c r="K46" s="13"/>
      <c r="L46" s="13"/>
      <c r="M46" s="1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51"/>
      <c r="B47" s="52" t="s">
        <v>14</v>
      </c>
      <c r="C47" s="23"/>
      <c r="D47" s="29"/>
      <c r="E47" s="25">
        <f t="shared" si="9"/>
        <v>0</v>
      </c>
      <c r="F47" s="29"/>
      <c r="G47" s="26">
        <f t="shared" si="12"/>
        <v>0</v>
      </c>
      <c r="H47" s="27">
        <f t="shared" si="10"/>
        <v>0</v>
      </c>
      <c r="I47" s="27">
        <f t="shared" si="11"/>
        <v>0</v>
      </c>
      <c r="J47" s="28"/>
      <c r="K47" s="13"/>
      <c r="L47" s="13"/>
      <c r="M47" s="1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36"/>
      <c r="B48" s="36"/>
      <c r="C48" s="37"/>
      <c r="D48" s="37"/>
      <c r="E48" s="37"/>
      <c r="F48" s="37"/>
      <c r="G48" s="38"/>
      <c r="H48" s="38"/>
      <c r="I48" s="38"/>
      <c r="J48" s="13"/>
      <c r="K48" s="13"/>
      <c r="L48" s="13"/>
      <c r="M48" s="1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75" customHeight="1">
      <c r="A49" s="53"/>
      <c r="B49" s="54" t="s">
        <v>28</v>
      </c>
      <c r="C49" s="55"/>
      <c r="D49" s="17"/>
      <c r="E49" s="17"/>
      <c r="F49" s="17"/>
      <c r="G49" s="17"/>
      <c r="H49" s="18"/>
      <c r="I49" s="56"/>
      <c r="J49" s="43"/>
      <c r="K49" s="44"/>
      <c r="L49" s="44"/>
      <c r="M49" s="44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57"/>
      <c r="B50" s="58" t="s">
        <v>29</v>
      </c>
      <c r="C50" s="59"/>
      <c r="D50" s="24"/>
      <c r="E50" s="25">
        <f t="shared" ref="E50:E55" si="13">D50/12</f>
        <v>0</v>
      </c>
      <c r="F50" s="24"/>
      <c r="G50" s="26">
        <f t="shared" ref="G50:G51" si="14">IF(((0.02*(F50*2)*E50)/((12/100)*3))=0,0,IF(((0.02*(F50*2)*E50)/((12/100)*3))&lt;=1.5,16,IF(((0.02*(F50*2)*E50)/((12/100)*3))&lt;=1.5,16,IF(((0.02*(F50*2)*E50)/((12/100)*3))&lt;=3,16,IF(((0.02*(F50*2)*E50)/((12/100)*3))&lt;=5,16,IF(((0.02*(F50*2)*E50)/((12/100)*3))&lt;=9,16,IF(((0.02*(F50*2)*E50)/((12/100)*3))&lt;=15,16,IF(((0.02*(F50*2)*E50)/((12/100)*3))&lt;=20,25,IF(((0.02*(F50*2)*E50)/((12/100)*3))&lt;=30,35,IF(((0.02*(F50*2)*E50)/((12/100)*3))&lt;=45,50,IF(((0.02*(F50*2)*E50)/((12/100)*3))&lt;=65,70,IF(((0.02*(F50*2)*E50)/((12/100)*3))&lt;=90,95,"TROP GROS"))))))))))))</f>
        <v>0</v>
      </c>
      <c r="H50" s="27">
        <f t="shared" ref="H50:H51" si="15">IF(E50=0,0,IF(E50&lt;30,30,IF(E50&lt;40,40,IF(E50&lt;60,60,IF(E50&lt;80,80,IF(E50&lt;100,100,IF(E50&lt;125,125,"PRENDRE MEGA FUSE ADAPTÉ")))))))</f>
        <v>0</v>
      </c>
      <c r="I50" s="27">
        <f t="shared" ref="I50:I51" si="16">IF(E50=0,0,IF(E50&lt;30,30,IF(E50&lt;40,40,IF(E50&lt;60,60,IF(E50&lt;80,80,IF(E50&lt;100,100,IF(E50&lt;125,125,"PRENDRE MEGA FUSE ADAPTÉ")))))))</f>
        <v>0</v>
      </c>
      <c r="J50" s="28"/>
      <c r="K50" s="13"/>
      <c r="L50" s="13"/>
      <c r="M50" s="1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57"/>
      <c r="B51" s="60" t="s">
        <v>30</v>
      </c>
      <c r="C51" s="59"/>
      <c r="D51" s="24"/>
      <c r="E51" s="25">
        <f t="shared" si="13"/>
        <v>0</v>
      </c>
      <c r="F51" s="29"/>
      <c r="G51" s="26">
        <f t="shared" si="14"/>
        <v>0</v>
      </c>
      <c r="H51" s="27">
        <f t="shared" si="15"/>
        <v>0</v>
      </c>
      <c r="I51" s="27">
        <f t="shared" si="16"/>
        <v>0</v>
      </c>
      <c r="J51" s="28"/>
      <c r="K51" s="13"/>
      <c r="L51" s="13"/>
      <c r="M51" s="1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57"/>
      <c r="B52" s="58" t="s">
        <v>31</v>
      </c>
      <c r="C52" s="59"/>
      <c r="D52" s="24"/>
      <c r="E52" s="25">
        <f t="shared" si="13"/>
        <v>0</v>
      </c>
      <c r="F52" s="24"/>
      <c r="G52" s="61">
        <v>6.0</v>
      </c>
      <c r="H52" s="62" t="s">
        <v>32</v>
      </c>
      <c r="I52" s="62" t="s">
        <v>32</v>
      </c>
      <c r="J52" s="28"/>
      <c r="K52" s="13"/>
      <c r="L52" s="13"/>
      <c r="M52" s="1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57"/>
      <c r="B53" s="60" t="s">
        <v>33</v>
      </c>
      <c r="C53" s="59"/>
      <c r="D53" s="29"/>
      <c r="E53" s="25">
        <f t="shared" si="13"/>
        <v>0</v>
      </c>
      <c r="F53" s="29"/>
      <c r="G53" s="26">
        <f>IF(((0.02*(F53*2)*E53)/((12/100)*3))=0,0,IF(((0.02*(F53*2)*E53)/((12/100)*3))&lt;=1.5,16,IF(((0.02*(F53*2)*E53)/((12/100)*3))&lt;=1.5,16,IF(((0.02*(F53*2)*E53)/((12/100)*3))&lt;=3,16,IF(((0.02*(F53*2)*E53)/((12/100)*3))&lt;=5,16,IF(((0.02*(F53*2)*E53)/((12/100)*3))&lt;=9,16,IF(((0.02*(F53*2)*E53)/((12/100)*3))&lt;=15,16,IF(((0.02*(F53*2)*E53)/((12/100)*3))&lt;=20,25,IF(((0.02*(F53*2)*E53)/((12/100)*3))&lt;=30,35,IF(((0.02*(F53*2)*E53)/((12/100)*3))&lt;=45,50,IF(((0.02*(F53*2)*E53)/((12/100)*3))&lt;=65,70,IF(((0.02*(F53*2)*E53)/((12/100)*3))&lt;=90,95,"TROP GROS"))))))))))))</f>
        <v>0</v>
      </c>
      <c r="H53" s="27">
        <f t="shared" ref="H53:H54" si="17">IF(E53=0,0,IF(E53&lt;30,30,IF(E53&lt;40,40,IF(E53&lt;60,60,IF(E53&lt;80,80,IF(E53&lt;100,100,IF(E53&lt;125,125,"PRENDRE MEGA FUSE ADAPTÉ")))))))</f>
        <v>0</v>
      </c>
      <c r="I53" s="27">
        <f t="shared" ref="I53:I54" si="18">IF(E53=0,0,IF(E53&lt;30,30,IF(E53&lt;40,40,IF(E53&lt;60,60,IF(E53&lt;80,80,IF(E53&lt;100,100,IF(E53&lt;125,125,"PRENDRE MEGA FUSE ADAPTÉ")))))))</f>
        <v>0</v>
      </c>
      <c r="J53" s="28"/>
      <c r="K53" s="13"/>
      <c r="L53" s="13"/>
      <c r="M53" s="1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57"/>
      <c r="B54" s="60" t="s">
        <v>34</v>
      </c>
      <c r="C54" s="59"/>
      <c r="D54" s="29"/>
      <c r="E54" s="25">
        <f t="shared" si="13"/>
        <v>0</v>
      </c>
      <c r="F54" s="29"/>
      <c r="G54" s="26">
        <f>IF(((0.02*(F54*2)*E54)/((12/100)*3))=0,0,IF(((0.02*(F54*2)*E54)/((12/100)*3))&lt;=1.5,10,IF(((0.02*(F54*2)*E54)/((12/100)*3))&lt;=1.5,10,IF(((0.02*(F54*2)*E54)/((12/100)*3))&lt;=3,10,IF(((0.02*(F54*2)*E54)/((12/100)*3))&lt;=5,10,IF(((0.02*(F54*2)*E54)/((12/100)*3))&lt;=9,16,IF(((0.02*(F54*2)*E54)/((12/100)*3))&lt;=15,16,IF(((0.02*(F54*2)*E54)/((12/100)*3))&lt;=20,25,IF(((0.02*(F54*2)*E54)/((12/100)*3))&lt;=30,35,IF(((0.02*(F54*2)*E54)/((12/100)*3))&lt;=45,50,IF(((0.02*(F54*2)*E54)/((12/100)*3))&lt;=65,70,IF(((0.02*(F54*2)*E54)/((12/100)*3))&lt;=90,95,"TROP GROS"))))))))))))</f>
        <v>0</v>
      </c>
      <c r="H54" s="27">
        <f t="shared" si="17"/>
        <v>0</v>
      </c>
      <c r="I54" s="27">
        <f t="shared" si="18"/>
        <v>0</v>
      </c>
      <c r="J54" s="28"/>
      <c r="K54" s="13"/>
      <c r="L54" s="13"/>
      <c r="M54" s="1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57"/>
      <c r="B55" s="60" t="s">
        <v>35</v>
      </c>
      <c r="C55" s="59"/>
      <c r="D55" s="29"/>
      <c r="E55" s="25">
        <f t="shared" si="13"/>
        <v>0</v>
      </c>
      <c r="F55" s="29"/>
      <c r="G55" s="26">
        <f>IF(((0.02*(F55*2)*E55)/((12/100)*3))=0,0,IF(((0.02*(F55*2)*E55)/((12/100)*3))&lt;=1.5,16,IF(((0.02*(F55*2)*E55)/((12/100)*3))&lt;=1.5,16,IF(((0.02*(F55*2)*E55)/((12/100)*3))&lt;=3,16,IF(((0.02*(F55*2)*E55)/((12/100)*3))&lt;=5,16,IF(((0.02*(F55*2)*E55)/((12/100)*3))&lt;=9,16,IF(((0.02*(F55*2)*E55)/((12/100)*3))&lt;=15,16,IF(((0.02*(F55*2)*E55)/((12/100)*3))&lt;=20,25,IF(((0.02*(F55*2)*E55)/((12/100)*3))&lt;=30,35,IF(((0.02*(F55*2)*E55)/((12/100)*3))&lt;=45,50,IF(((0.02*(F55*2)*E55)/((12/100)*3))&lt;=65,70,IF(((0.02*(F55*2)*E55)/((12/100)*3))&lt;=90,95,"TROP GROS"))))))))))))</f>
        <v>0</v>
      </c>
      <c r="H55" s="62" t="s">
        <v>32</v>
      </c>
      <c r="I55" s="62" t="s">
        <v>32</v>
      </c>
      <c r="J55" s="28"/>
      <c r="K55" s="13"/>
      <c r="L55" s="13"/>
      <c r="M55" s="1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57"/>
      <c r="B56" s="58" t="s">
        <v>36</v>
      </c>
      <c r="C56" s="59"/>
      <c r="D56" s="63" t="s">
        <v>37</v>
      </c>
      <c r="E56" s="18"/>
      <c r="F56" s="29"/>
      <c r="G56" s="61" t="s">
        <v>32</v>
      </c>
      <c r="H56" s="27"/>
      <c r="I56" s="27"/>
      <c r="J56" s="28"/>
      <c r="K56" s="13"/>
      <c r="L56" s="13"/>
      <c r="M56" s="1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57"/>
      <c r="B57" s="60" t="s">
        <v>38</v>
      </c>
      <c r="C57" s="59"/>
      <c r="D57" s="24"/>
      <c r="E57" s="25">
        <f t="shared" ref="E57:E61" si="19">D57/12</f>
        <v>0</v>
      </c>
      <c r="F57" s="24"/>
      <c r="G57" s="26">
        <f t="shared" ref="G57:G59" si="20">IF(((0.02*(F57*2)*E57)/((12/100)*3))=0,0,IF(((0.02*(F57*2)*E57)/((12/100)*3))&lt;=1.5,25,IF(((0.02*(F57*2)*E57)/((12/100)*3))&lt;=1.5,25,IF(((0.02*(F57*2)*E57)/((12/100)*3))&lt;=3,25,IF(((0.02*(F57*2)*E57)/((12/100)*3))&lt;=5,25,IF(((0.02*(F57*2)*E57)/((12/100)*3))&lt;=9,25,IF(((0.02*(F57*2)*E57)/((12/100)*3))&lt;=15,25,IF(((0.02*(F57*2)*E57)/((12/100)*3))&lt;=20,25,IF(((0.02*(F57*2)*E57)/((12/100)*3))&lt;=30,35,IF(((0.02*(F57*2)*E57)/((12/100)*3))&lt;=45,50,IF(((0.02*(F57*2)*E57)/((12/100)*3))&lt;=65,70,IF(((0.02*(F57*2)*E57)/((12/100)*3))&lt;=90,95,"TROP GROS"))))))))))))</f>
        <v>0</v>
      </c>
      <c r="H57" s="27"/>
      <c r="I57" s="27"/>
      <c r="J57" s="28"/>
      <c r="K57" s="13"/>
      <c r="L57" s="13"/>
      <c r="M57" s="1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57"/>
      <c r="B58" s="60" t="s">
        <v>39</v>
      </c>
      <c r="C58" s="59"/>
      <c r="D58" s="24"/>
      <c r="E58" s="25">
        <f t="shared" si="19"/>
        <v>0</v>
      </c>
      <c r="F58" s="24"/>
      <c r="G58" s="26">
        <f t="shared" si="20"/>
        <v>0</v>
      </c>
      <c r="H58" s="27"/>
      <c r="I58" s="27"/>
      <c r="J58" s="28"/>
      <c r="K58" s="13"/>
      <c r="L58" s="13"/>
      <c r="M58" s="1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57"/>
      <c r="B59" s="58" t="s">
        <v>40</v>
      </c>
      <c r="C59" s="59"/>
      <c r="D59" s="24"/>
      <c r="E59" s="25">
        <f t="shared" si="19"/>
        <v>0</v>
      </c>
      <c r="F59" s="24"/>
      <c r="G59" s="26">
        <f t="shared" si="20"/>
        <v>0</v>
      </c>
      <c r="H59" s="27">
        <f t="shared" ref="H59:H61" si="21">IF(E59=0,0,IF(E59&lt;30,30,IF(E59&lt;40,40,IF(E59&lt;60,60,IF(E59&lt;80,80,IF(E59&lt;100,100,IF(E59&lt;125,125,"PRENDRE MEGA FUSE ADAPTÉ")))))))</f>
        <v>0</v>
      </c>
      <c r="I59" s="27">
        <f t="shared" ref="I59:I61" si="22">IF(E59=0,0,IF(E59&lt;30,30,IF(E59&lt;40,40,IF(E59&lt;60,60,IF(E59&lt;80,80,IF(E59&lt;100,100,IF(E59&lt;125,125,"PRENDRE MEGA FUSE ADAPTÉ")))))))</f>
        <v>0</v>
      </c>
      <c r="J59" s="28"/>
      <c r="K59" s="13"/>
      <c r="L59" s="13"/>
      <c r="M59" s="1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57"/>
      <c r="B60" s="58" t="s">
        <v>14</v>
      </c>
      <c r="C60" s="23"/>
      <c r="D60" s="29"/>
      <c r="E60" s="25">
        <f t="shared" si="19"/>
        <v>0</v>
      </c>
      <c r="F60" s="29"/>
      <c r="G60" s="26">
        <f t="shared" ref="G60:G61" si="23">IF(((0.02*(F60*2)*E60)/((12/100)*3))=0,0,IF(((0.02*(F60*2)*E60)/((12/100)*3))&lt;=1.5,16,IF(((0.02*(F60*2)*E60)/((12/100)*3))&lt;=1.5,16,IF(((0.02*(F60*2)*E60)/((12/100)*3))&lt;=3,16,IF(((0.02*(F60*2)*E60)/((12/100)*3))&lt;=5,16,IF(((0.02*(F60*2)*E60)/((12/100)*3))&lt;=9,16,IF(((0.02*(F60*2)*E60)/((12/100)*3))&lt;=15,16,IF(((0.02*(F60*2)*E60)/((12/100)*3))&lt;=20,25,IF(((0.02*(F60*2)*E60)/((12/100)*3))&lt;=30,35,IF(((0.02*(F60*2)*E60)/((12/100)*3))&lt;=45,50,IF(((0.02*(F60*2)*E60)/((12/100)*3))&lt;=65,70,IF(((0.02*(F60*2)*E60)/((12/100)*3))&lt;=90,95,"TROP GROS"))))))))))))</f>
        <v>0</v>
      </c>
      <c r="H60" s="27">
        <f t="shared" si="21"/>
        <v>0</v>
      </c>
      <c r="I60" s="27">
        <f t="shared" si="22"/>
        <v>0</v>
      </c>
      <c r="J60" s="28"/>
      <c r="K60" s="13"/>
      <c r="L60" s="13"/>
      <c r="M60" s="1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57"/>
      <c r="B61" s="58" t="s">
        <v>14</v>
      </c>
      <c r="C61" s="23"/>
      <c r="D61" s="29"/>
      <c r="E61" s="25">
        <f t="shared" si="19"/>
        <v>0</v>
      </c>
      <c r="F61" s="29"/>
      <c r="G61" s="26">
        <f t="shared" si="23"/>
        <v>0</v>
      </c>
      <c r="H61" s="27">
        <f t="shared" si="21"/>
        <v>0</v>
      </c>
      <c r="I61" s="27">
        <f t="shared" si="22"/>
        <v>0</v>
      </c>
      <c r="J61" s="28"/>
      <c r="K61" s="13"/>
      <c r="L61" s="13"/>
      <c r="M61" s="1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36"/>
      <c r="B62" s="36"/>
      <c r="C62" s="37"/>
      <c r="D62" s="37"/>
      <c r="E62" s="37"/>
      <c r="F62" s="37"/>
      <c r="G62" s="38"/>
      <c r="H62" s="38"/>
      <c r="I62" s="38"/>
      <c r="J62" s="13"/>
      <c r="K62" s="13"/>
      <c r="L62" s="13"/>
      <c r="M62" s="1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75" customHeight="1">
      <c r="A63" s="64"/>
      <c r="B63" s="65" t="s">
        <v>41</v>
      </c>
      <c r="C63" s="66"/>
      <c r="D63" s="17"/>
      <c r="E63" s="17"/>
      <c r="F63" s="17"/>
      <c r="G63" s="17"/>
      <c r="H63" s="18"/>
      <c r="I63" s="67"/>
      <c r="J63" s="43"/>
      <c r="K63" s="44"/>
      <c r="L63" s="44"/>
      <c r="M63" s="44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68"/>
      <c r="B64" s="69" t="s">
        <v>42</v>
      </c>
      <c r="C64" s="23"/>
      <c r="D64" s="29">
        <v>90.0</v>
      </c>
      <c r="E64" s="29"/>
      <c r="F64" s="29"/>
      <c r="G64" s="27">
        <v>2.5</v>
      </c>
      <c r="H64" s="27"/>
      <c r="I64" s="27"/>
      <c r="J64" s="28"/>
      <c r="K64" s="13"/>
      <c r="L64" s="13"/>
      <c r="M64" s="1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68"/>
      <c r="B65" s="70" t="s">
        <v>43</v>
      </c>
      <c r="C65" s="23"/>
      <c r="D65" s="29"/>
      <c r="E65" s="29"/>
      <c r="F65" s="29"/>
      <c r="G65" s="27">
        <v>2.5</v>
      </c>
      <c r="H65" s="27"/>
      <c r="I65" s="27"/>
      <c r="J65" s="28"/>
      <c r="K65" s="13"/>
      <c r="L65" s="13"/>
      <c r="M65" s="1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68"/>
      <c r="B66" s="69" t="s">
        <v>14</v>
      </c>
      <c r="C66" s="23"/>
      <c r="D66" s="29"/>
      <c r="E66" s="29"/>
      <c r="F66" s="29"/>
      <c r="G66" s="27">
        <v>2.5</v>
      </c>
      <c r="H66" s="27"/>
      <c r="I66" s="27"/>
      <c r="J66" s="28"/>
      <c r="K66" s="13"/>
      <c r="L66" s="13"/>
      <c r="M66" s="1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68"/>
      <c r="B67" s="69" t="s">
        <v>14</v>
      </c>
      <c r="C67" s="23"/>
      <c r="D67" s="29"/>
      <c r="E67" s="29"/>
      <c r="F67" s="29"/>
      <c r="G67" s="27">
        <v>2.5</v>
      </c>
      <c r="H67" s="27"/>
      <c r="I67" s="27"/>
      <c r="J67" s="28"/>
      <c r="K67" s="13"/>
      <c r="L67" s="13"/>
      <c r="M67" s="1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68"/>
      <c r="B68" s="69" t="s">
        <v>14</v>
      </c>
      <c r="C68" s="23"/>
      <c r="D68" s="29"/>
      <c r="E68" s="29"/>
      <c r="F68" s="29"/>
      <c r="G68" s="27">
        <v>2.5</v>
      </c>
      <c r="H68" s="27"/>
      <c r="I68" s="27"/>
      <c r="J68" s="28"/>
      <c r="K68" s="13"/>
      <c r="L68" s="13"/>
      <c r="M68" s="1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68"/>
      <c r="B69" s="69" t="s">
        <v>14</v>
      </c>
      <c r="C69" s="23"/>
      <c r="D69" s="29"/>
      <c r="E69" s="29"/>
      <c r="F69" s="29"/>
      <c r="G69" s="27">
        <v>2.5</v>
      </c>
      <c r="H69" s="27"/>
      <c r="I69" s="27"/>
      <c r="J69" s="28"/>
      <c r="K69" s="13"/>
      <c r="L69" s="13"/>
      <c r="M69" s="1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68"/>
      <c r="B70" s="69" t="s">
        <v>14</v>
      </c>
      <c r="C70" s="23"/>
      <c r="D70" s="29"/>
      <c r="E70" s="29"/>
      <c r="F70" s="29"/>
      <c r="G70" s="27">
        <v>2.5</v>
      </c>
      <c r="H70" s="27"/>
      <c r="I70" s="27"/>
      <c r="J70" s="28"/>
      <c r="K70" s="13"/>
      <c r="L70" s="13"/>
      <c r="M70" s="1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68"/>
      <c r="B71" s="69" t="s">
        <v>14</v>
      </c>
      <c r="C71" s="23"/>
      <c r="D71" s="29"/>
      <c r="E71" s="29"/>
      <c r="F71" s="29"/>
      <c r="G71" s="27">
        <v>2.5</v>
      </c>
      <c r="H71" s="27"/>
      <c r="I71" s="27"/>
      <c r="J71" s="28"/>
      <c r="K71" s="13"/>
      <c r="L71" s="13"/>
      <c r="M71" s="1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68"/>
      <c r="B72" s="69" t="s">
        <v>14</v>
      </c>
      <c r="C72" s="23"/>
      <c r="D72" s="29"/>
      <c r="E72" s="29"/>
      <c r="F72" s="29"/>
      <c r="G72" s="27">
        <v>2.5</v>
      </c>
      <c r="H72" s="27"/>
      <c r="I72" s="27"/>
      <c r="J72" s="28"/>
      <c r="K72" s="13"/>
      <c r="L72" s="13"/>
      <c r="M72" s="1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68"/>
      <c r="B73" s="69" t="s">
        <v>14</v>
      </c>
      <c r="C73" s="23"/>
      <c r="D73" s="29"/>
      <c r="E73" s="29"/>
      <c r="F73" s="29"/>
      <c r="G73" s="27">
        <v>2.5</v>
      </c>
      <c r="H73" s="27"/>
      <c r="I73" s="27"/>
      <c r="J73" s="28"/>
      <c r="K73" s="13"/>
      <c r="L73" s="13"/>
      <c r="M73" s="1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71"/>
      <c r="B74" s="71"/>
      <c r="C74" s="72"/>
      <c r="D74" s="72"/>
      <c r="E74" s="72"/>
      <c r="F74" s="72"/>
      <c r="G74" s="73"/>
      <c r="H74" s="73"/>
      <c r="I74" s="73"/>
      <c r="J74" s="13"/>
      <c r="K74" s="13"/>
      <c r="L74" s="13"/>
      <c r="M74" s="1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2.25" customHeight="1">
      <c r="A75" s="74"/>
      <c r="B75" s="74"/>
      <c r="C75" s="75" t="s">
        <v>44</v>
      </c>
      <c r="J75" s="44"/>
      <c r="K75" s="44"/>
      <c r="L75" s="44"/>
      <c r="M75" s="44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74"/>
      <c r="B76" s="7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76"/>
      <c r="B77" s="77" t="s">
        <v>45</v>
      </c>
      <c r="C77" s="78" t="s">
        <v>46</v>
      </c>
      <c r="D77" s="79" t="s">
        <v>47</v>
      </c>
      <c r="E77" s="80" t="s">
        <v>48</v>
      </c>
      <c r="F77" s="81"/>
      <c r="G77" s="82" t="s">
        <v>49</v>
      </c>
      <c r="I77" s="83"/>
      <c r="J77" s="83"/>
      <c r="K77" s="83"/>
      <c r="L77" s="83"/>
      <c r="M77" s="83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ht="19.5" customHeight="1">
      <c r="A78" s="74"/>
      <c r="B78" s="74"/>
      <c r="C78" s="44">
        <v>2.5</v>
      </c>
      <c r="D78" s="84">
        <f t="shared" ref="D78:D87" si="24">(IF($G$5=C78,$F$5,0))+(IF($G$6=C78,$F$6,0))+(IF($G$7=C78,$F$7,0))+(IF($G$8=C78,$F$8,0))+(IF($G$9=C78,$F$9,0))+(IF($G$10=C78,$F$10,0))+(IF($G$11=C78,$F$11,0))+(IF($G$12=C78,$F$12,0))+(IF($G$13=C78,$F$13,0))+(IF($G$14=C78,$F$14,0))+(IF($G$15=C78,$F$15,0))+(IF($G$16=C78,$F$16,0))+(IF($G$17=C78,$F$17,0))+(IF($G$20=C78,$F$20,0))+(IF($G$21=C78,$F$21,0))+(IF($G$22=C78,$F$22,0))+(IF($G$23=C78,$F$23,0))+(IF($G$24=C78,$F$24,0))+(IF($G$25=C78,$F$25,0))+(IF($G$26=C78,$F$26,0))+(IF($G$27=C78,$F$27,0))+(IF($G$28=C78,$F$28,0))+(IF($G$29=C78,$F$29,0))+(IF($G$30=C78,$F$30,0))+(IF($G$31=C78,$F$31,0))+(IF($G$34=C78,$F$34,0))+(IF($G$35=C78,$F$35,0))+(IF($G$36=C78,$F$36,0))+(IF($G$37=C78,$F$37,0))+(IF($G$38=C78,$F$38,0))+(IF($G$39=C78,$F$39,0))+(IF($G$40=C78,$F$40,0))+(IF($G$41=C78,$F$41,0))+(IF($G$42=C78,$F$42,0))+(IF($G$43=C78,$F$43,0))+(IF($G$44=C78,$F$44,0))+(IF($G$45=C78,$F$45,0))+(IF($G$46=C78,$F$46,0))+(IF($G$47=C78,$F$47,0))+(IF($G$50=C78,$F$50,0))+(IF($G$51=C78,$F$51,0))+(IF($G$53=C78,$F$53,0))+(IF($G$54=C78,$F$54,0))+(IF($G$55=C78,$F$55,0))+(IF($G$57=C78,$F$57,0))+(IF($G$58=C78,$F$58,0))+(IF($G$59=C78,$F$59,0))+(IF($G$60=C78,$F$60,0))+(IF($G$61=C78,$F$61,0))</f>
        <v>0</v>
      </c>
      <c r="E78" s="84">
        <f t="shared" ref="E78:E87" si="25">D78</f>
        <v>0</v>
      </c>
      <c r="F78" s="30" t="s">
        <v>50</v>
      </c>
      <c r="G78" s="44"/>
      <c r="H78" s="74"/>
      <c r="I78" s="74"/>
      <c r="J78" s="74"/>
      <c r="K78" s="74"/>
      <c r="L78" s="74"/>
      <c r="M78" s="74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74"/>
      <c r="B79" s="74"/>
      <c r="C79" s="44">
        <v>4.0</v>
      </c>
      <c r="D79" s="84">
        <f t="shared" si="24"/>
        <v>0</v>
      </c>
      <c r="E79" s="84">
        <f t="shared" si="25"/>
        <v>0</v>
      </c>
      <c r="F79" s="30" t="s">
        <v>50</v>
      </c>
      <c r="G79" s="44"/>
      <c r="H79" s="74"/>
      <c r="I79" s="74"/>
      <c r="J79" s="74"/>
      <c r="K79" s="74"/>
      <c r="L79" s="74"/>
      <c r="M79" s="74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74"/>
      <c r="B80" s="74"/>
      <c r="C80" s="44">
        <v>6.0</v>
      </c>
      <c r="D80" s="84">
        <f t="shared" si="24"/>
        <v>0</v>
      </c>
      <c r="E80" s="84">
        <f t="shared" si="25"/>
        <v>0</v>
      </c>
      <c r="F80" s="30" t="s">
        <v>50</v>
      </c>
      <c r="G80" s="44"/>
      <c r="H80" s="74"/>
      <c r="I80" s="74"/>
      <c r="J80" s="74"/>
      <c r="K80" s="74"/>
      <c r="L80" s="74"/>
      <c r="M80" s="74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74"/>
      <c r="B81" s="74"/>
      <c r="C81" s="44">
        <v>10.0</v>
      </c>
      <c r="D81" s="84">
        <f t="shared" si="24"/>
        <v>0</v>
      </c>
      <c r="E81" s="84">
        <f t="shared" si="25"/>
        <v>0</v>
      </c>
      <c r="F81" s="30" t="s">
        <v>50</v>
      </c>
      <c r="G81" s="44"/>
      <c r="H81" s="74"/>
      <c r="I81" s="74"/>
      <c r="J81" s="74"/>
      <c r="K81" s="74"/>
      <c r="L81" s="74"/>
      <c r="M81" s="74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74"/>
      <c r="B82" s="74"/>
      <c r="C82" s="44">
        <v>16.0</v>
      </c>
      <c r="D82" s="84">
        <f t="shared" si="24"/>
        <v>0</v>
      </c>
      <c r="E82" s="84">
        <f t="shared" si="25"/>
        <v>0</v>
      </c>
      <c r="F82" s="30" t="s">
        <v>50</v>
      </c>
      <c r="G82" s="44"/>
      <c r="H82" s="74"/>
      <c r="I82" s="74"/>
      <c r="J82" s="74"/>
      <c r="K82" s="74"/>
      <c r="L82" s="74"/>
      <c r="M82" s="74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74"/>
      <c r="B83" s="74"/>
      <c r="C83" s="44">
        <v>25.0</v>
      </c>
      <c r="D83" s="84">
        <f t="shared" si="24"/>
        <v>0</v>
      </c>
      <c r="E83" s="84">
        <f t="shared" si="25"/>
        <v>0</v>
      </c>
      <c r="F83" s="30" t="s">
        <v>50</v>
      </c>
      <c r="G83" s="44"/>
      <c r="H83" s="74"/>
      <c r="I83" s="74"/>
      <c r="J83" s="74"/>
      <c r="K83" s="74"/>
      <c r="L83" s="74"/>
      <c r="M83" s="74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74"/>
      <c r="B84" s="74"/>
      <c r="C84" s="44">
        <v>35.0</v>
      </c>
      <c r="D84" s="84">
        <f t="shared" si="24"/>
        <v>0</v>
      </c>
      <c r="E84" s="84">
        <f t="shared" si="25"/>
        <v>0</v>
      </c>
      <c r="F84" s="30" t="s">
        <v>50</v>
      </c>
      <c r="G84" s="44"/>
      <c r="H84" s="74"/>
      <c r="I84" s="74"/>
      <c r="J84" s="74"/>
      <c r="K84" s="74"/>
      <c r="L84" s="74"/>
      <c r="M84" s="74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74"/>
      <c r="B85" s="74"/>
      <c r="C85" s="44">
        <v>50.0</v>
      </c>
      <c r="D85" s="84">
        <f t="shared" si="24"/>
        <v>0</v>
      </c>
      <c r="E85" s="84">
        <f t="shared" si="25"/>
        <v>0</v>
      </c>
      <c r="F85" s="30" t="s">
        <v>50</v>
      </c>
      <c r="G85" s="44"/>
      <c r="H85" s="74"/>
      <c r="I85" s="74"/>
      <c r="J85" s="74"/>
      <c r="K85" s="74"/>
      <c r="L85" s="74"/>
      <c r="M85" s="74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74"/>
      <c r="B86" s="74"/>
      <c r="C86" s="44">
        <v>70.0</v>
      </c>
      <c r="D86" s="84">
        <f t="shared" si="24"/>
        <v>0</v>
      </c>
      <c r="E86" s="84">
        <f t="shared" si="25"/>
        <v>0</v>
      </c>
      <c r="F86" s="30" t="s">
        <v>50</v>
      </c>
      <c r="G86" s="44"/>
      <c r="H86" s="74"/>
      <c r="I86" s="74"/>
      <c r="J86" s="74"/>
      <c r="K86" s="74"/>
      <c r="L86" s="74"/>
      <c r="M86" s="74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74"/>
      <c r="B87" s="74"/>
      <c r="C87" s="44">
        <v>95.0</v>
      </c>
      <c r="D87" s="84">
        <f t="shared" si="24"/>
        <v>0</v>
      </c>
      <c r="E87" s="84">
        <f t="shared" si="25"/>
        <v>0</v>
      </c>
      <c r="F87" s="30" t="s">
        <v>50</v>
      </c>
      <c r="G87" s="44"/>
      <c r="H87" s="74"/>
      <c r="I87" s="74"/>
      <c r="J87" s="74"/>
      <c r="K87" s="74"/>
      <c r="L87" s="74"/>
      <c r="M87" s="74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74"/>
      <c r="B88" s="74"/>
      <c r="C88" s="85"/>
      <c r="D88" s="86"/>
      <c r="E88" s="44"/>
      <c r="F88" s="44"/>
      <c r="G88" s="44"/>
      <c r="H88" s="74"/>
      <c r="I88" s="74"/>
      <c r="J88" s="74"/>
      <c r="K88" s="74"/>
      <c r="L88" s="74"/>
      <c r="M88" s="74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74"/>
      <c r="B89" s="74"/>
      <c r="C89" s="78" t="s">
        <v>51</v>
      </c>
      <c r="D89" s="87"/>
      <c r="E89" s="44"/>
      <c r="F89" s="44"/>
      <c r="G89" s="44"/>
      <c r="H89" s="74"/>
      <c r="I89" s="74"/>
      <c r="J89" s="74"/>
      <c r="K89" s="74"/>
      <c r="L89" s="74"/>
      <c r="M89" s="74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74"/>
      <c r="B90" s="74"/>
      <c r="C90" s="44">
        <v>2.5</v>
      </c>
      <c r="D90" s="84">
        <f>SUM(F64:F73)</f>
        <v>0</v>
      </c>
      <c r="E90" s="30" t="s">
        <v>50</v>
      </c>
      <c r="F90" s="88" t="s">
        <v>52</v>
      </c>
      <c r="G90" s="44"/>
      <c r="H90" s="74"/>
      <c r="I90" s="74"/>
      <c r="J90" s="74"/>
      <c r="K90" s="74"/>
      <c r="L90" s="74"/>
      <c r="M90" s="74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74"/>
      <c r="B91" s="74"/>
      <c r="C91" s="86"/>
      <c r="D91" s="44"/>
      <c r="E91" s="44"/>
      <c r="G91" s="44"/>
      <c r="H91" s="44"/>
      <c r="I91" s="44"/>
      <c r="J91" s="44"/>
      <c r="K91" s="44"/>
      <c r="L91" s="44"/>
      <c r="M91" s="44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89" t="s">
        <v>53</v>
      </c>
      <c r="D92" s="87"/>
      <c r="E92" s="4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90">
        <v>6.0</v>
      </c>
      <c r="D93" s="84">
        <f>(IF(F52&gt;0,F52,0))*2</f>
        <v>0</v>
      </c>
      <c r="E93" s="30" t="s">
        <v>50</v>
      </c>
      <c r="F93" s="88" t="s">
        <v>54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91" t="s">
        <v>55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92" t="s">
        <v>56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mergeCells count="17">
    <mergeCell ref="A1:M1"/>
    <mergeCell ref="C4:I4"/>
    <mergeCell ref="K4:M5"/>
    <mergeCell ref="J9:J10"/>
    <mergeCell ref="K10:M11"/>
    <mergeCell ref="C19:I19"/>
    <mergeCell ref="C33:H33"/>
    <mergeCell ref="C3:I3"/>
    <mergeCell ref="C97:G98"/>
    <mergeCell ref="C96:E96"/>
    <mergeCell ref="C49:H49"/>
    <mergeCell ref="D56:E56"/>
    <mergeCell ref="C63:H63"/>
    <mergeCell ref="E91:F91"/>
    <mergeCell ref="C75:I75"/>
    <mergeCell ref="F93:G93"/>
    <mergeCell ref="G77:H77"/>
  </mergeCells>
  <dataValidations>
    <dataValidation type="list" allowBlank="1" showErrorMessage="1" sqref="L7 L13">
      <formula1>"12,24,48,230"</formula1>
    </dataValidation>
  </dataValidations>
  <hyperlinks>
    <hyperlink r:id="rId1" ref="G77"/>
    <hyperlink r:id="rId2" ref="C97"/>
  </hyperlinks>
  <printOptions/>
  <pageMargins bottom="0.75" footer="0.0" header="0.0" left="0.5" right="0.5" top="0.75"/>
  <pageSetup scale="72" orientation="portrait"/>
  <headerFooter>
    <oddFooter>&amp;C000000&amp;P</oddFooter>
  </headerFooter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