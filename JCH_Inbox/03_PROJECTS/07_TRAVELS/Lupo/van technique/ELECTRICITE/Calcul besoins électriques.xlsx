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Calcul tes besoins" sheetId="1" r:id="rId4"/>
    <sheet name="Exemple" sheetId="2" r:id="rId5"/>
  </sheets>
</workbook>
</file>

<file path=xl/sharedStrings.xml><?xml version="1.0" encoding="utf-8"?>
<sst xmlns="http://schemas.openxmlformats.org/spreadsheetml/2006/main" uniqueCount="81">
  <si>
    <t>CALCULE TES BESOINS ÉLECTRIQUES 
en véhicule aménagé</t>
  </si>
  <si>
    <r>
      <rPr>
        <b val="1"/>
        <sz val="10"/>
        <color indexed="8"/>
        <rFont val="Helvetica Neue"/>
      </rPr>
      <t xml:space="preserve">Étape 1 : Liste les équipements de ton van
</t>
    </r>
    <r>
      <rPr>
        <b val="1"/>
        <sz val="10"/>
        <color indexed="8"/>
        <rFont val="Helvetica Neue"/>
      </rPr>
      <t xml:space="preserve">
</t>
    </r>
    <r>
      <rPr>
        <i val="1"/>
        <sz val="10"/>
        <color indexed="8"/>
        <rFont val="Helvetica Neue"/>
      </rPr>
      <t xml:space="preserve">Rempli le tableau ci-dessous (cases bleues) : </t>
    </r>
    <r>
      <rPr>
        <b val="1"/>
        <sz val="10"/>
        <color indexed="8"/>
        <rFont val="Helvetica Neue"/>
      </rPr>
      <t> </t>
    </r>
    <r>
      <rPr>
        <i val="1"/>
        <sz val="10"/>
        <color indexed="8"/>
        <rFont val="Helvetica Neue"/>
      </rPr>
      <t xml:space="preserve">- Liste tous tes appareils et leur nombre (colonnes 1 et 2). Tu peux rajouter d’autres appareils dans les cases « … » - Indique la puissance de chaque appareil en Watt (colonne 3). Si tu n’as que l’intensité de l’appareil, utilises le convertisseur situé à droite (colonne 6). - Précise le nombre d’heures par jour nécessaire pour les charger ou les alimenter (colonne 4) Par exemple, si tu recharges un drone tous les 2 jours pendant 1 heure, indique « 0,5 » (pour faire le ratio sur 1 journée) Par exemple, si tu allumes des spots LED pendant 1 heure tous les jours, indique « 1 »
</t>
    </r>
    <r>
      <rPr>
        <i val="1"/>
        <sz val="10"/>
        <color indexed="8"/>
        <rFont val="Helvetica Neue"/>
      </rPr>
      <t>- Ajoute la tension de chaque appareil : 12 ou 230V (colonne 5)</t>
    </r>
  </si>
  <si>
    <t>colonne 1</t>
  </si>
  <si>
    <t>colonne 2</t>
  </si>
  <si>
    <t>colonne 3</t>
  </si>
  <si>
    <t>colonne 4</t>
  </si>
  <si>
    <t>colonne 5</t>
  </si>
  <si>
    <t>Consommateurs</t>
  </si>
  <si>
    <t>Nombre</t>
  </si>
  <si>
    <t>Consommation appareil (W)</t>
  </si>
  <si>
    <t>Durée utilisation (h/j)</t>
  </si>
  <si>
    <t>Tension (V)</t>
  </si>
  <si>
    <t>Consommation journalière (Wj)</t>
  </si>
  <si>
    <t>Convertisseur Intensité &gt;&gt; Puissance</t>
  </si>
  <si>
    <t>Smartphone</t>
  </si>
  <si>
    <t>Intensité (A)</t>
  </si>
  <si>
    <t>Puissance (W)</t>
  </si>
  <si>
    <t>Tablette</t>
  </si>
  <si>
    <t>Ordinateur portable</t>
  </si>
  <si>
    <t>Appareil photo</t>
  </si>
  <si>
    <t>Drone</t>
  </si>
  <si>
    <t>Pour connaitre la consommation d’un appareil (colonne 3), tu dois trouver la mention « OUTPUT »</t>
  </si>
  <si>
    <t>Enceinte Bluetooth</t>
  </si>
  <si>
    <t>Caméra de surveillance</t>
  </si>
  <si>
    <t>Box internet</t>
  </si>
  <si>
    <t>Frigo</t>
  </si>
  <si>
    <t>Ventilateur de lanterneau</t>
  </si>
  <si>
    <t>Ventilateur</t>
  </si>
  <si>
    <t>Pompe à eau</t>
  </si>
  <si>
    <t>Convertisseur / multiplus</t>
  </si>
  <si>
    <t>Chauffage / chauffe eau</t>
  </si>
  <si>
    <t>Spots LED</t>
  </si>
  <si>
    <t>Bandes LED</t>
  </si>
  <si>
    <t>Consommation appareil (W) = output (V) x intensité (A)</t>
  </si>
  <si>
    <t>Vélo électrique</t>
  </si>
  <si>
    <t xml:space="preserve">Par exemple ici,  consommation ordinateur (W) = 19.0 (V) x 3.42 (A) = 65 W </t>
  </si>
  <si>
    <t>Vidéo projecteur</t>
  </si>
  <si>
    <t>Playstation / Xbox / Console de jeu</t>
  </si>
  <si>
    <t>…</t>
  </si>
  <si>
    <t>Consommation journalière totale</t>
  </si>
  <si>
    <t>watts / jour</t>
  </si>
  <si>
    <r>
      <rPr>
        <b val="1"/>
        <sz val="10"/>
        <color indexed="8"/>
        <rFont val="Helvetica Neue"/>
      </rPr>
      <t xml:space="preserve">Étape 2 : Détermine la batterie la plus adaptée à tes besoins
</t>
    </r>
    <r>
      <rPr>
        <b val="1"/>
        <sz val="10"/>
        <color indexed="8"/>
        <rFont val="Helvetica Neue"/>
      </rPr>
      <t xml:space="preserve">
</t>
    </r>
    <r>
      <rPr>
        <i val="1"/>
        <sz val="10"/>
        <color indexed="8"/>
        <rFont val="Helvetica Neue"/>
      </rPr>
      <t xml:space="preserve">Rempli le tableau ci-dessous (cases bleues) : </t>
    </r>
    <r>
      <rPr>
        <b val="1"/>
        <sz val="10"/>
        <color indexed="8"/>
        <rFont val="Helvetica Neue"/>
      </rPr>
      <t xml:space="preserve">
</t>
    </r>
    <r>
      <rPr>
        <i val="1"/>
        <sz val="10"/>
        <color indexed="8"/>
        <rFont val="Helvetica Neue"/>
      </rPr>
      <t xml:space="preserve">- Choisi la tension de ton parc batterie (ligne 1)
</t>
    </r>
    <r>
      <rPr>
        <i val="1"/>
        <sz val="10"/>
        <color indexed="8"/>
        <rFont val="Helvetica Neue"/>
      </rPr>
      <t xml:space="preserve">Généralement du 12V en van/fourgon aménagé
</t>
    </r>
    <r>
      <rPr>
        <i val="1"/>
        <sz val="10"/>
        <color indexed="8"/>
        <rFont val="Helvetica Neue"/>
      </rPr>
      <t xml:space="preserve">- Indique le type de batterie souhaitée (ligne 2)
</t>
    </r>
    <r>
      <rPr>
        <i val="1"/>
        <sz val="10"/>
        <color indexed="8"/>
        <rFont val="Helvetica Neue"/>
      </rPr>
      <t xml:space="preserve">Choix : AGM, Gel, Gel plomb-carbone ou lithium) - Le tableau calcule automatiquement la capacité minimale de ta batterie en fonction de tes besoins électriques et du type de batterie sélectionné (ligne 3)
</t>
    </r>
    <r>
      <rPr>
        <i val="1"/>
        <sz val="10"/>
        <color indexed="8"/>
        <rFont val="Helvetica Neue"/>
      </rPr>
      <t xml:space="preserve">Par exemple, « 146 Ah » veux dire que tu as besoin d’une batterie d’au moins 146 Ah pour couvrir tous tes besoins électriques sur 1 journée sans dépasser le taux de décharge maximale autorisé
</t>
    </r>
    <r>
      <rPr>
        <i val="1"/>
        <sz val="10"/>
        <color indexed="8"/>
        <rFont val="Helvetica Neue"/>
      </rPr>
      <t xml:space="preserve">- Indique le choix final de la capacité de ton parc batterie (ligne 4)
</t>
    </r>
    <r>
      <rPr>
        <i val="1"/>
        <sz val="10"/>
        <color indexed="8"/>
        <rFont val="Helvetica Neue"/>
      </rPr>
      <t xml:space="preserve">Par exemple, si tu choisis 2 batteries de 150 Ah chacune, indique « 300 » Ah.
</t>
    </r>
    <r>
      <rPr>
        <i val="1"/>
        <sz val="10"/>
        <color indexed="8"/>
        <rFont val="Helvetica Neue"/>
      </rPr>
      <t xml:space="preserve">Note : un surlignage rouge indique que la capacité totale indiquée n’est pas suffisante pour couvrir tes besoins électriques journaliers.  2 choix : diminuer le nombre d’équipements électriques ou augmenter la capacité de ton parc batteries
</t>
    </r>
    <r>
      <rPr>
        <i val="1"/>
        <sz val="10"/>
        <color indexed="8"/>
        <rFont val="Helvetica Neue"/>
      </rPr>
      <t xml:space="preserve">- Le tableau indique le nombre de jours d’autonomie possible avec la capacité de batteries choisie (ligne 5)
</t>
    </r>
    <r>
      <rPr>
        <i val="1"/>
        <sz val="10"/>
        <color indexed="8"/>
        <rFont val="Helvetica Neue"/>
      </rPr>
      <t>Note : si les batteries sont chargées à 100% par un panneau solaire, un chargeur DC/DC, un booster, un chargeur de batterie…</t>
    </r>
  </si>
  <si>
    <t>CHOIX - BATTERIE</t>
  </si>
  <si>
    <t>Tension de batterie souhaitée</t>
  </si>
  <si>
    <t>V</t>
  </si>
  <si>
    <t>ligne 1</t>
  </si>
  <si>
    <t>Type de batterie souhaitée</t>
  </si>
  <si>
    <t>Lithium</t>
  </si>
  <si>
    <t>ligne 2</t>
  </si>
  <si>
    <t xml:space="preserve">Décharge maximale :    AGM = 70%       Gel = 50%        Gel plomb carbone = 40%      Lithium = 20%  </t>
  </si>
  <si>
    <t>Capacité minimale de batterie       &gt;&gt;&gt;</t>
  </si>
  <si>
    <t>Ah</t>
  </si>
  <si>
    <t>ligne 3</t>
  </si>
  <si>
    <t>Capacité minimale = pour avoir 1 journée d’autonomie avec tous les équipements listés</t>
  </si>
  <si>
    <t xml:space="preserve">Capacité totale batterie(s) choisie </t>
  </si>
  <si>
    <t>ligne 4</t>
  </si>
  <si>
    <t xml:space="preserve">Nombre de jour d’autonomie       </t>
  </si>
  <si>
    <t>j</t>
  </si>
  <si>
    <t>ligne 5</t>
  </si>
  <si>
    <t>Si parc à batterie chargé à 100% et en déchargeant ta batterie jusqu’au seuil maximal de décharge autorisé (donc sans l’endommager)</t>
  </si>
  <si>
    <r>
      <rPr>
        <b val="1"/>
        <sz val="10"/>
        <color indexed="8"/>
        <rFont val="Helvetica Neue"/>
      </rPr>
      <t xml:space="preserve">Étape 3 : Détermine quel panneau solaire il te faut pour être autonome à 100%
</t>
    </r>
    <r>
      <rPr>
        <b val="1"/>
        <sz val="10"/>
        <color indexed="8"/>
        <rFont val="Helvetica Neue"/>
      </rPr>
      <t xml:space="preserve">
</t>
    </r>
    <r>
      <rPr>
        <i val="1"/>
        <sz val="10"/>
        <color indexed="8"/>
        <rFont val="Helvetica Neue"/>
      </rPr>
      <t xml:space="preserve">Rempli le tableau ci-dessous (cases bleues) : </t>
    </r>
    <r>
      <rPr>
        <b val="1"/>
        <sz val="10"/>
        <color indexed="8"/>
        <rFont val="Helvetica Neue"/>
      </rPr>
      <t xml:space="preserve">
</t>
    </r>
    <r>
      <rPr>
        <i val="1"/>
        <sz val="10"/>
        <color indexed="8"/>
        <rFont val="Helvetica Neue"/>
      </rPr>
      <t xml:space="preserve">- Choisi le nombre de panneaux que tu souhaites installer sur le toit (ligne 6)
</t>
    </r>
    <r>
      <rPr>
        <i val="1"/>
        <sz val="10"/>
        <color indexed="8"/>
        <rFont val="Helvetica Neue"/>
      </rPr>
      <t xml:space="preserve">- Indique le nombre d’heures d’ensoleillement par jour dans la région où tu vas être (ligne 7)
</t>
    </r>
    <r>
      <rPr>
        <i val="1"/>
        <sz val="10"/>
        <color indexed="8"/>
        <rFont val="Helvetica Neue"/>
      </rPr>
      <t xml:space="preserve">- Le tableau calcule automatiquement la puissance minimale de chaque panneau pour qu’ils couvrent 100% de tes besoins électriques journaliers (ligne 8)
</t>
    </r>
    <r>
      <rPr>
        <i val="1"/>
        <sz val="10"/>
        <color indexed="8"/>
        <rFont val="Helvetica Neue"/>
      </rPr>
      <t xml:space="preserve">Par exemple, « 500W » indique que tu as besoin d’un panneau de 500W (ou 2 panneaux de 250W) pour couvrir 100% de ta conso électrique (donc que ta batterie reste chargée à 100%)
</t>
    </r>
    <r>
      <rPr>
        <i val="1"/>
        <sz val="10"/>
        <color indexed="8"/>
        <rFont val="Helvetica Neue"/>
      </rPr>
      <t xml:space="preserve">- Indique le choix final de la puissance totale de tes panneaux solaires (ligne 9)
</t>
    </r>
    <r>
      <rPr>
        <i val="1"/>
        <sz val="10"/>
        <color indexed="8"/>
        <rFont val="Helvetica Neue"/>
      </rPr>
      <t xml:space="preserve">Par exemple, si tu optes pour 2 panneaux de 250W, indique « 500 W »
</t>
    </r>
    <r>
      <rPr>
        <i val="1"/>
        <sz val="10"/>
        <color indexed="8"/>
        <rFont val="Helvetica Neue"/>
      </rPr>
      <t xml:space="preserve">- Le tableau calcule automatiquement le % de tes besoins électriques pris en charge avec les panneaux que tu as sélectionnés (ligne 10)
</t>
    </r>
    <r>
      <rPr>
        <i val="1"/>
        <sz val="10"/>
        <color indexed="8"/>
        <rFont val="Helvetica Neue"/>
      </rPr>
      <t xml:space="preserve">Par exemple, s’il indique « 100% », c’est que tous tes besoins électriques journaliers sont pris en charge avec le solaire (donc sans décharger ta batterie)
</t>
    </r>
    <r>
      <rPr>
        <i val="1"/>
        <sz val="10"/>
        <color indexed="8"/>
        <rFont val="Helvetica Neue"/>
      </rPr>
      <t xml:space="preserve">Par exemple, s’il indique « 50% », c’est que la moitié de tes besoins électriques journaliers sont pris en charge avec le solaire (donc il va falloir utiliser 50% de ta batterie pour couvrir l’autre moitié)
</t>
    </r>
    <r>
      <rPr>
        <i val="1"/>
        <sz val="10"/>
        <color indexed="8"/>
        <rFont val="Helvetica Neue"/>
      </rPr>
      <t>Note : si capacité totale batterie(s) choisie (ligne 4) est supérieure à capacité minimale de batterie (ligne 3), s’assurer que le pourcentage obtenu (ligne 10) soit supérieur à 100% de sorte à ce que le(s) panneau(x) couvre(nt) les besoins électriques journaliers et recharge(nt) également la/les batterie(s)</t>
    </r>
  </si>
  <si>
    <t>CHOIX - PANNEAU(X) SOLAIRE(S)</t>
  </si>
  <si>
    <t>Nombre de panneaux souhaité</t>
  </si>
  <si>
    <t>ligne 6</t>
  </si>
  <si>
    <t>Heures d’ensoleillement / jour</t>
  </si>
  <si>
    <t>h</t>
  </si>
  <si>
    <t>ligne 7</t>
  </si>
  <si>
    <t>On parle ici de plein ensoleillement. Si nuageux, diviser le temps par 2</t>
  </si>
  <si>
    <t>Puissance de chaque panneau     &gt;&gt;&gt;</t>
  </si>
  <si>
    <t>W</t>
  </si>
  <si>
    <t>ligne 8</t>
  </si>
  <si>
    <t>Couvre 100% de tes besoins électriques journaliers (= recharge entièrement la batterie indiquée en ligne 3)</t>
  </si>
  <si>
    <t>Puissance totale panneau(x) choisis</t>
  </si>
  <si>
    <t>ligne 9</t>
  </si>
  <si>
    <t>Besoins élec pris en charge / jour</t>
  </si>
  <si>
    <t>%</t>
  </si>
  <si>
    <t>ligne 10</t>
  </si>
  <si>
    <t>Une valeur supérieure à 100% indique que le panneau subvient à 100% des besoins électriques journaliers + recharge la batterie si déchargée</t>
  </si>
  <si>
    <t>colonne 6</t>
  </si>
  <si>
    <t>Chauffe eau</t>
  </si>
  <si>
    <t>Plaque à induction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</si>
</sst>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.0"/>
  </numFmts>
  <fonts count="13">
    <font>
      <sz val="10"/>
      <color indexed="8"/>
      <name val="Helvetica Neue"/>
    </font>
    <font>
      <sz val="12"/>
      <color indexed="8"/>
      <name val="Helvetica Neue"/>
    </font>
    <font>
      <b val="1"/>
      <sz val="15"/>
      <color indexed="9"/>
      <name val="Helvetica Neue"/>
    </font>
    <font>
      <b val="1"/>
      <sz val="10"/>
      <color indexed="8"/>
      <name val="Helvetica Neue"/>
    </font>
    <font>
      <sz val="10"/>
      <color indexed="9"/>
      <name val="Helvetica Neue"/>
    </font>
    <font>
      <i val="1"/>
      <sz val="10"/>
      <color indexed="8"/>
      <name val="Helvetica Neue"/>
    </font>
    <font>
      <sz val="8"/>
      <color indexed="11"/>
      <name val="Helvetica Neue"/>
    </font>
    <font>
      <b val="1"/>
      <sz val="10"/>
      <color indexed="9"/>
      <name val="Helvetica Neue"/>
    </font>
    <font>
      <sz val="8"/>
      <color indexed="8"/>
      <name val="Helvetica Neue"/>
    </font>
    <font>
      <i val="1"/>
      <sz val="8"/>
      <color indexed="8"/>
      <name val="Helvetica Neue"/>
    </font>
    <font>
      <i val="1"/>
      <sz val="8"/>
      <color indexed="11"/>
      <name val="Helvetica Neue"/>
    </font>
    <font>
      <b val="1"/>
      <sz val="8"/>
      <color indexed="11"/>
      <name val="Helvetica Neue"/>
    </font>
    <font>
      <sz val="10"/>
      <color indexed="19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6">
    <border>
      <left/>
      <right/>
      <top/>
      <bottom/>
      <diagonal/>
    </border>
    <border>
      <left>
        <color indexed="8"/>
      </left>
      <right>
        <color indexed="8"/>
      </right>
      <top>
        <color indexed="8"/>
      </top>
      <bottom>
        <color indexed="8"/>
      </bottom>
      <diagonal/>
    </border>
    <border>
      <left>
        <color indexed="8"/>
      </left>
      <right>
        <color indexed="8"/>
      </right>
      <top>
        <color indexed="8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>
        <color indexed="8"/>
      </top>
      <bottom>
        <color indexed="8"/>
      </bottom>
      <diagonal/>
    </border>
    <border>
      <left style="thin">
        <color indexed="12"/>
      </left>
      <right>
        <color indexed="8"/>
      </right>
      <top>
        <color indexed="8"/>
      </top>
      <bottom>
        <color indexed="8"/>
      </bottom>
      <diagonal/>
    </border>
    <border>
      <left>
        <color indexed="8"/>
      </left>
      <right>
        <color indexed="8"/>
      </right>
      <top style="thin">
        <color indexed="12"/>
      </top>
      <bottom>
        <color indexed="8"/>
      </bottom>
      <diagonal/>
    </border>
    <border>
      <left>
        <color indexed="8"/>
      </left>
      <right style="thin">
        <color indexed="12"/>
      </right>
      <top style="thin">
        <color indexed="12"/>
      </top>
      <bottom>
        <color indexed="8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>
        <color indexed="8"/>
      </bottom>
      <diagonal/>
    </border>
    <border>
      <left style="thin">
        <color indexed="12"/>
      </left>
      <right>
        <color indexed="8"/>
      </right>
      <top style="thin">
        <color indexed="12"/>
      </top>
      <bottom>
        <color indexed="8"/>
      </bottom>
      <diagonal/>
    </border>
    <border>
      <left>
        <color indexed="8"/>
      </left>
      <right style="thin">
        <color indexed="12"/>
      </right>
      <top>
        <color indexed="8"/>
      </top>
      <bottom>
        <color indexed="8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18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12"/>
      </left>
      <right style="thin">
        <color indexed="12"/>
      </right>
      <top style="thin">
        <color indexed="18"/>
      </top>
      <bottom style="thin">
        <color indexed="12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7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2" borderId="1" applyNumberFormat="1" applyFont="1" applyFill="1" applyBorder="1" applyAlignment="1" applyProtection="0">
      <alignment horizontal="center" vertical="center" wrapText="1"/>
    </xf>
    <xf numFmtId="0" fontId="0" borderId="1" applyNumberFormat="0" applyFont="1" applyFill="0" applyBorder="1" applyAlignment="1" applyProtection="0">
      <alignment vertical="top" wrapText="1"/>
    </xf>
    <xf numFmtId="0" fontId="3" borderId="1" applyNumberFormat="0" applyFont="1" applyFill="0" applyBorder="1" applyAlignment="1" applyProtection="0">
      <alignment horizontal="left" vertical="top" wrapText="1"/>
    </xf>
    <xf numFmtId="0" fontId="4" borderId="1" applyNumberFormat="0" applyFont="1" applyFill="0" applyBorder="1" applyAlignment="1" applyProtection="0">
      <alignment vertical="top" wrapText="1"/>
    </xf>
    <xf numFmtId="49" fontId="3" borderId="1" applyNumberFormat="1" applyFont="1" applyFill="0" applyBorder="1" applyAlignment="1" applyProtection="0">
      <alignment horizontal="left" vertical="top" wrapText="1"/>
    </xf>
    <xf numFmtId="49" fontId="6" borderId="2" applyNumberFormat="1" applyFont="1" applyFill="0" applyBorder="1" applyAlignment="1" applyProtection="0">
      <alignment horizontal="center" vertical="top" wrapText="1"/>
    </xf>
    <xf numFmtId="0" fontId="0" borderId="2" applyNumberFormat="0" applyFont="1" applyFill="0" applyBorder="1" applyAlignment="1" applyProtection="0">
      <alignment vertical="top" wrapText="1"/>
    </xf>
    <xf numFmtId="0" fontId="6" borderId="2" applyNumberFormat="0" applyFont="1" applyFill="0" applyBorder="1" applyAlignment="1" applyProtection="0">
      <alignment horizontal="center" vertical="top" wrapText="1"/>
    </xf>
    <xf numFmtId="0" fontId="6" borderId="1" applyNumberFormat="0" applyFont="1" applyFill="0" applyBorder="1" applyAlignment="1" applyProtection="0">
      <alignment horizontal="center" vertical="top" wrapText="1"/>
    </xf>
    <xf numFmtId="49" fontId="7" fillId="2" borderId="3" applyNumberFormat="1" applyFont="1" applyFill="1" applyBorder="1" applyAlignment="1" applyProtection="0">
      <alignment horizontal="center" vertical="center" wrapText="1"/>
    </xf>
    <xf numFmtId="0" fontId="0" borderId="4" applyNumberFormat="0" applyFont="1" applyFill="0" applyBorder="1" applyAlignment="1" applyProtection="0">
      <alignment vertical="top" wrapText="1"/>
    </xf>
    <xf numFmtId="0" fontId="7" fillId="2" borderId="3" applyNumberFormat="0" applyFont="1" applyFill="1" applyBorder="1" applyAlignment="1" applyProtection="0">
      <alignment horizontal="center" vertical="center" wrapText="1"/>
    </xf>
    <xf numFmtId="0" fontId="0" borderId="5" applyNumberFormat="0" applyFont="1" applyFill="0" applyBorder="1" applyAlignment="1" applyProtection="0">
      <alignment horizontal="center" vertical="top" wrapText="1"/>
    </xf>
    <xf numFmtId="0" fontId="0" borderId="1" applyNumberFormat="0" applyFont="1" applyFill="0" applyBorder="1" applyAlignment="1" applyProtection="0">
      <alignment horizontal="center" vertical="top" wrapText="1"/>
    </xf>
    <xf numFmtId="49" fontId="0" borderId="3" applyNumberFormat="1" applyFont="1" applyFill="0" applyBorder="1" applyAlignment="1" applyProtection="0">
      <alignment vertical="top" wrapText="1"/>
    </xf>
    <xf numFmtId="1" fontId="4" fillId="3" borderId="3" applyNumberFormat="1" applyFont="1" applyFill="1" applyBorder="1" applyAlignment="1" applyProtection="0">
      <alignment horizontal="center" vertical="center" wrapText="1"/>
    </xf>
    <xf numFmtId="59" fontId="0" borderId="3" applyNumberFormat="1" applyFont="1" applyFill="0" applyBorder="1" applyAlignment="1" applyProtection="0">
      <alignment horizontal="center" vertical="center" wrapText="1"/>
    </xf>
    <xf numFmtId="49" fontId="0" borderId="3" applyNumberFormat="1" applyFont="1" applyFill="0" applyBorder="1" applyAlignment="1" applyProtection="0">
      <alignment horizontal="center" vertical="top" wrapText="1"/>
    </xf>
    <xf numFmtId="0" fontId="0" fillId="3" borderId="3" applyNumberFormat="0" applyFont="1" applyFill="1" applyBorder="1" applyAlignment="1" applyProtection="0">
      <alignment horizontal="center" vertical="top" wrapText="1"/>
    </xf>
    <xf numFmtId="0" fontId="0" borderId="3" applyNumberFormat="1" applyFont="1" applyFill="0" applyBorder="1" applyAlignment="1" applyProtection="0">
      <alignment horizontal="center" vertical="top" wrapText="1"/>
    </xf>
    <xf numFmtId="0" fontId="0" borderId="5" applyNumberFormat="0" applyFont="1" applyFill="0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49" fontId="8" borderId="1" applyNumberFormat="1" applyFont="1" applyFill="0" applyBorder="1" applyAlignment="1" applyProtection="0">
      <alignment vertical="top" wrapText="1"/>
    </xf>
    <xf numFmtId="49" fontId="9" borderId="1" applyNumberFormat="1" applyFont="1" applyFill="0" applyBorder="1" applyAlignment="1" applyProtection="0">
      <alignment vertical="top" wrapText="1"/>
    </xf>
    <xf numFmtId="59" fontId="4" fillId="3" borderId="3" applyNumberFormat="1" applyFont="1" applyFill="1" applyBorder="1" applyAlignment="1" applyProtection="0">
      <alignment horizontal="center" vertical="center" wrapText="1"/>
    </xf>
    <xf numFmtId="1" fontId="0" fillId="3" borderId="3" applyNumberFormat="1" applyFont="1" applyFill="1" applyBorder="1" applyAlignment="1" applyProtection="0">
      <alignment horizontal="center" vertical="center" wrapText="1"/>
    </xf>
    <xf numFmtId="49" fontId="3" borderId="7" applyNumberFormat="1" applyFont="1" applyFill="0" applyBorder="1" applyAlignment="1" applyProtection="0">
      <alignment horizontal="right" vertical="top" wrapText="1"/>
    </xf>
    <xf numFmtId="0" fontId="0" borderId="8" applyNumberFormat="0" applyFont="1" applyFill="0" applyBorder="1" applyAlignment="1" applyProtection="0">
      <alignment vertical="top" wrapText="1"/>
    </xf>
    <xf numFmtId="0" fontId="0" borderId="9" applyNumberFormat="0" applyFont="1" applyFill="0" applyBorder="1" applyAlignment="1" applyProtection="0">
      <alignment vertical="top" wrapText="1"/>
    </xf>
    <xf numFmtId="0" fontId="3" borderId="6" applyNumberFormat="1" applyFont="1" applyFill="0" applyBorder="1" applyAlignment="1" applyProtection="0">
      <alignment horizontal="center" vertical="center" wrapText="1"/>
    </xf>
    <xf numFmtId="49" fontId="3" borderId="1" applyNumberFormat="1" applyFont="1" applyFill="0" applyBorder="1" applyAlignment="1" applyProtection="0">
      <alignment vertical="top" wrapText="1"/>
    </xf>
    <xf numFmtId="0" fontId="3" borderId="1" applyNumberFormat="0" applyFont="1" applyFill="0" applyBorder="1" applyAlignment="1" applyProtection="0">
      <alignment horizontal="right" vertical="top" wrapText="1"/>
    </xf>
    <xf numFmtId="0" fontId="3" borderId="1" applyNumberFormat="0" applyFont="1" applyFill="0" applyBorder="1" applyAlignment="1" applyProtection="0">
      <alignment horizontal="center" vertical="center" wrapText="1"/>
    </xf>
    <xf numFmtId="0" fontId="3" borderId="1" applyNumberFormat="0" applyFont="1" applyFill="0" applyBorder="1" applyAlignment="1" applyProtection="0">
      <alignment vertical="top" wrapText="1"/>
    </xf>
    <xf numFmtId="0" fontId="3" borderId="2" applyNumberFormat="0" applyFont="1" applyFill="0" applyBorder="1" applyAlignment="1" applyProtection="0">
      <alignment horizontal="right" vertical="top" wrapText="1"/>
    </xf>
    <xf numFmtId="49" fontId="7" fillId="2" borderId="3" applyNumberFormat="1" applyFont="1" applyFill="1" applyBorder="1" applyAlignment="1" applyProtection="0">
      <alignment horizontal="center" vertical="top" wrapText="1"/>
    </xf>
    <xf numFmtId="0" fontId="0" borderId="3" applyNumberFormat="0" applyFont="1" applyFill="0" applyBorder="1" applyAlignment="1" applyProtection="0">
      <alignment vertical="top" wrapText="1"/>
    </xf>
    <xf numFmtId="49" fontId="4" fillId="2" borderId="3" applyNumberFormat="1" applyFont="1" applyFill="1" applyBorder="1" applyAlignment="1" applyProtection="0">
      <alignment horizontal="left" vertical="top" wrapText="1"/>
    </xf>
    <xf numFmtId="0" fontId="4" fillId="3" borderId="3" applyNumberFormat="1" applyFont="1" applyFill="1" applyBorder="1" applyAlignment="1" applyProtection="0">
      <alignment horizontal="center" vertical="top" wrapText="1"/>
    </xf>
    <xf numFmtId="49" fontId="0" borderId="9" applyNumberFormat="1" applyFont="1" applyFill="0" applyBorder="1" applyAlignment="1" applyProtection="0">
      <alignment vertical="top" wrapText="1"/>
    </xf>
    <xf numFmtId="49" fontId="6" borderId="1" applyNumberFormat="1" applyFont="1" applyFill="0" applyBorder="1" applyAlignment="1" applyProtection="0">
      <alignment horizontal="left" vertical="center" wrapText="1"/>
    </xf>
    <xf numFmtId="49" fontId="4" fillId="3" borderId="3" applyNumberFormat="1" applyFont="1" applyFill="1" applyBorder="1" applyAlignment="1" applyProtection="0">
      <alignment horizontal="center" vertical="top" wrapText="1"/>
    </xf>
    <xf numFmtId="0" fontId="5" borderId="5" applyNumberFormat="0" applyFont="1" applyFill="0" applyBorder="1" applyAlignment="1" applyProtection="0">
      <alignment vertical="top" wrapText="1"/>
    </xf>
    <xf numFmtId="49" fontId="10" borderId="1" applyNumberFormat="1" applyFont="1" applyFill="0" applyBorder="1" applyAlignment="1" applyProtection="0">
      <alignment vertical="top" wrapText="1"/>
    </xf>
    <xf numFmtId="0" fontId="10" borderId="1" applyNumberFormat="0" applyFont="1" applyFill="0" applyBorder="1" applyAlignment="1" applyProtection="0">
      <alignment vertical="top" wrapText="1"/>
    </xf>
    <xf numFmtId="1" fontId="0" fillId="4" borderId="3" applyNumberFormat="1" applyFont="1" applyFill="1" applyBorder="1" applyAlignment="1" applyProtection="0">
      <alignment horizontal="center" vertical="top" wrapText="1"/>
    </xf>
    <xf numFmtId="49" fontId="0" fillId="4" borderId="5" applyNumberFormat="1" applyFont="1" applyFill="1" applyBorder="1" applyAlignment="1" applyProtection="0">
      <alignment vertical="top" wrapText="1"/>
    </xf>
    <xf numFmtId="1" fontId="4" fillId="3" borderId="3" applyNumberFormat="1" applyFont="1" applyFill="1" applyBorder="1" applyAlignment="1" applyProtection="0">
      <alignment horizontal="center" vertical="top" wrapText="1"/>
    </xf>
    <xf numFmtId="49" fontId="0" borderId="5" applyNumberFormat="1" applyFont="1" applyFill="0" applyBorder="1" applyAlignment="1" applyProtection="0">
      <alignment vertical="top" wrapText="1"/>
    </xf>
    <xf numFmtId="1" fontId="11" borderId="1" applyNumberFormat="1" applyFont="1" applyFill="0" applyBorder="1" applyAlignment="1" applyProtection="0">
      <alignment horizontal="center" vertical="center" wrapText="1"/>
    </xf>
    <xf numFmtId="0" fontId="11" borderId="1" applyNumberFormat="0" applyFont="1" applyFill="0" applyBorder="1" applyAlignment="1" applyProtection="0">
      <alignment vertical="top" wrapText="1"/>
    </xf>
    <xf numFmtId="0" fontId="6" borderId="1" applyNumberFormat="0" applyFont="1" applyFill="0" applyBorder="1" applyAlignment="1" applyProtection="0">
      <alignment vertical="top" wrapText="1"/>
    </xf>
    <xf numFmtId="59" fontId="0" fillId="4" borderId="3" applyNumberFormat="1" applyFont="1" applyFill="1" applyBorder="1" applyAlignment="1" applyProtection="0">
      <alignment horizontal="center" vertical="top" wrapText="1"/>
    </xf>
    <xf numFmtId="49" fontId="10" borderId="1" applyNumberFormat="1" applyFont="1" applyFill="0" applyBorder="1" applyAlignment="1" applyProtection="0">
      <alignment horizontal="left" vertical="center" wrapText="1"/>
    </xf>
    <xf numFmtId="0" fontId="10" borderId="1" applyNumberFormat="0" applyFont="1" applyFill="0" applyBorder="1" applyAlignment="1" applyProtection="0">
      <alignment horizontal="left" vertical="center" wrapText="1"/>
    </xf>
    <xf numFmtId="0" fontId="3" borderId="6" applyNumberFormat="0" applyFont="1" applyFill="0" applyBorder="1" applyAlignment="1" applyProtection="0">
      <alignment horizontal="left" vertical="top" wrapText="1"/>
    </xf>
    <xf numFmtId="1" fontId="3" borderId="1" applyNumberFormat="1" applyFont="1" applyFill="0" applyBorder="1" applyAlignment="1" applyProtection="0">
      <alignment horizontal="center" vertical="center" wrapText="1"/>
    </xf>
    <xf numFmtId="0" fontId="0" borderId="10" applyNumberFormat="0" applyFont="1" applyFill="0" applyBorder="1" applyAlignment="1" applyProtection="0">
      <alignment vertical="top" wrapText="1"/>
    </xf>
    <xf numFmtId="0" fontId="3" borderId="2" applyNumberFormat="0" applyFont="1" applyFill="0" applyBorder="1" applyAlignment="1" applyProtection="0">
      <alignment horizontal="left" vertical="top" wrapText="1"/>
    </xf>
    <xf numFmtId="0" fontId="5" borderId="1" applyNumberFormat="0" applyFont="1" applyFill="0" applyBorder="1" applyAlignment="1" applyProtection="0">
      <alignment horizontal="left" vertical="center" wrapText="1"/>
    </xf>
    <xf numFmtId="0" fontId="5" borderId="1" applyNumberFormat="0" applyFont="1" applyFill="0" applyBorder="1" applyAlignment="1" applyProtection="0">
      <alignment vertical="top" wrapText="1"/>
    </xf>
    <xf numFmtId="0" fontId="0" borderId="1" applyNumberFormat="0" applyFont="1" applyFill="0" applyBorder="1" applyAlignment="1" applyProtection="0">
      <alignment vertical="center" wrapText="1"/>
    </xf>
    <xf numFmtId="0" fontId="0" applyNumberFormat="1" applyFont="1" applyFill="0" applyBorder="0" applyAlignment="1" applyProtection="0">
      <alignment vertical="top" wrapText="1"/>
    </xf>
    <xf numFmtId="49" fontId="7" fillId="2" borderId="11" applyNumberFormat="1" applyFont="1" applyFill="1" applyBorder="1" applyAlignment="1" applyProtection="0">
      <alignment horizontal="center" vertical="center" wrapText="1"/>
    </xf>
    <xf numFmtId="49" fontId="0" borderId="12" applyNumberFormat="1" applyFont="1" applyFill="0" applyBorder="1" applyAlignment="1" applyProtection="0">
      <alignment vertical="top" wrapText="1"/>
    </xf>
    <xf numFmtId="1" fontId="12" fillId="3" borderId="12" applyNumberFormat="1" applyFont="1" applyFill="1" applyBorder="1" applyAlignment="1" applyProtection="0">
      <alignment horizontal="center" vertical="center" wrapText="1"/>
    </xf>
    <xf numFmtId="59" fontId="12" fillId="3" borderId="12" applyNumberFormat="1" applyFont="1" applyFill="1" applyBorder="1" applyAlignment="1" applyProtection="0">
      <alignment horizontal="center" vertical="center" wrapText="1"/>
    </xf>
    <xf numFmtId="1" fontId="4" fillId="3" borderId="13" applyNumberFormat="1" applyFont="1" applyFill="1" applyBorder="1" applyAlignment="1" applyProtection="0">
      <alignment horizontal="center" vertical="center" wrapText="1"/>
    </xf>
    <xf numFmtId="49" fontId="0" borderId="14" applyNumberFormat="1" applyFont="1" applyFill="0" applyBorder="1" applyAlignment="1" applyProtection="0">
      <alignment vertical="top" wrapText="1"/>
    </xf>
    <xf numFmtId="49" fontId="0" borderId="15" applyNumberFormat="1" applyFont="1" applyFill="0" applyBorder="1" applyAlignment="1" applyProtection="0">
      <alignment vertical="top" wrapText="1"/>
    </xf>
    <xf numFmtId="1" fontId="0" fillId="3" borderId="15" applyNumberFormat="1" applyFont="1" applyFill="1" applyBorder="1" applyAlignment="1" applyProtection="0">
      <alignment horizontal="center" vertical="center" wrapText="1"/>
    </xf>
    <xf numFmtId="59" fontId="0" fillId="3" borderId="15" applyNumberFormat="1" applyFont="1" applyFill="1" applyBorder="1" applyAlignment="1" applyProtection="0">
      <alignment horizontal="center" vertical="center" wrapText="1"/>
    </xf>
    <xf numFmtId="59" fontId="0" fillId="3" borderId="3" applyNumberFormat="1" applyFont="1" applyFill="1" applyBorder="1" applyAlignment="1" applyProtection="0">
      <alignment horizontal="center" vertical="center" wrapText="1"/>
    </xf>
    <xf numFmtId="0" fontId="3" borderId="6" applyNumberFormat="0" applyFont="1" applyFill="0" applyBorder="1" applyAlignment="1" applyProtection="0">
      <alignment horizontal="right" vertical="top" wrapText="1"/>
    </xf>
    <xf numFmtId="59" fontId="3" borderId="6" applyNumberFormat="1" applyFont="1" applyFill="0" applyBorder="1" applyAlignment="1" applyProtection="0">
      <alignment horizontal="center" vertical="center" wrapText="1"/>
    </xf>
    <xf numFmtId="0" fontId="6" borderId="1" applyNumberFormat="0" applyFont="1" applyFill="0" applyBorder="1" applyAlignment="1" applyProtection="0">
      <alignment horizontal="left" vertical="center" wrapText="1"/>
    </xf>
  </cellXfs>
  <cellStyles count="1">
    <cellStyle name="Normal" xfId="0" builtinId="0"/>
  </cellStyles>
  <dxfs count="5">
    <dxf>
      <font>
        <color rgb="ff000000"/>
      </font>
      <fill>
        <patternFill patternType="solid">
          <fgColor indexed="15"/>
          <bgColor indexed="13"/>
        </patternFill>
      </fill>
    </dxf>
    <dxf>
      <font>
        <color rgb="ff000000"/>
      </font>
      <fill>
        <patternFill patternType="solid">
          <fgColor indexed="15"/>
          <bgColor indexed="16"/>
        </patternFill>
      </fill>
    </dxf>
    <dxf>
      <font>
        <color rgb="ff000000"/>
      </font>
      <fill>
        <patternFill patternType="solid">
          <fgColor indexed="15"/>
          <bgColor indexed="17"/>
        </patternFill>
      </fill>
    </dxf>
    <dxf>
      <font>
        <color rgb="ff000000"/>
      </font>
      <fill>
        <patternFill patternType="solid">
          <fgColor indexed="15"/>
          <bgColor indexed="16"/>
        </patternFill>
      </fill>
    </dxf>
    <dxf>
      <font>
        <color rgb="ff000000"/>
      </font>
      <fill>
        <patternFill patternType="solid">
          <fgColor indexed="15"/>
          <bgColor indexed="17"/>
        </patternFill>
      </fill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efffe"/>
      <rgbColor rgb="ffcab6a0"/>
      <rgbColor rgb="ff5e5e5e"/>
      <rgbColor rgb="ffa5a5a5"/>
      <rgbColor rgb="ff6d8ec3"/>
      <rgbColor rgb="fffff056"/>
      <rgbColor rgb="00000000"/>
      <rgbColor rgb="e5ff9781"/>
      <rgbColor rgb="e5afe489"/>
      <rgbColor rgb="ffa5a5a5"/>
      <rgbColor rgb="fffefff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K62"/>
  <sheetViews>
    <sheetView workbookViewId="0" showGridLines="0" defaultGridColor="1"/>
  </sheetViews>
  <sheetFormatPr defaultColWidth="16.3333" defaultRowHeight="19.9" customHeight="1" outlineLevelRow="0" outlineLevelCol="0"/>
  <cols>
    <col min="1" max="1" width="30.1875" style="1" customWidth="1"/>
    <col min="2" max="2" width="10.2344" style="1" customWidth="1"/>
    <col min="3" max="3" width="14.2266" style="1" customWidth="1"/>
    <col min="4" max="5" width="13.6016" style="1" customWidth="1"/>
    <col min="6" max="6" width="15.8359" style="1" customWidth="1"/>
    <col min="7" max="11" width="16.3516" style="1" customWidth="1"/>
    <col min="12" max="16384" width="16.3516" style="1" customWidth="1"/>
  </cols>
  <sheetData>
    <row r="1" ht="74.55" customHeight="1">
      <c r="A1" t="s" s="2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ht="19.7" customHeight="1">
      <c r="A2" s="4"/>
      <c r="B2" s="3"/>
      <c r="C2" s="3"/>
      <c r="D2" s="3"/>
      <c r="E2" s="3"/>
      <c r="F2" s="3"/>
      <c r="G2" s="3"/>
      <c r="H2" s="3"/>
      <c r="I2" s="3"/>
      <c r="J2" s="3"/>
      <c r="K2" s="5"/>
    </row>
    <row r="3" ht="115.75" customHeight="1">
      <c r="A3" t="s" s="6">
        <v>1</v>
      </c>
      <c r="B3" s="3"/>
      <c r="C3" s="3"/>
      <c r="D3" s="3"/>
      <c r="E3" s="3"/>
      <c r="F3" s="3"/>
      <c r="G3" s="3"/>
      <c r="H3" s="3"/>
      <c r="I3" s="3"/>
      <c r="J3" s="3"/>
      <c r="K3" s="5"/>
    </row>
    <row r="4" ht="19.7" customHeight="1">
      <c r="A4" s="4"/>
      <c r="B4" s="3"/>
      <c r="C4" s="3"/>
      <c r="D4" s="3"/>
      <c r="E4" s="3"/>
      <c r="F4" s="3"/>
      <c r="G4" s="3"/>
      <c r="H4" s="3"/>
      <c r="I4" s="3"/>
      <c r="J4" s="3"/>
      <c r="K4" s="3"/>
    </row>
    <row r="5" ht="19.85" customHeight="1">
      <c r="A5" t="s" s="7">
        <v>2</v>
      </c>
      <c r="B5" t="s" s="7">
        <v>3</v>
      </c>
      <c r="C5" t="s" s="7">
        <v>4</v>
      </c>
      <c r="D5" t="s" s="7">
        <v>5</v>
      </c>
      <c r="E5" t="s" s="7">
        <v>6</v>
      </c>
      <c r="F5" s="8"/>
      <c r="G5" s="3"/>
      <c r="H5" t="s" s="7">
        <v>6</v>
      </c>
      <c r="I5" s="9"/>
      <c r="J5" s="10"/>
      <c r="K5" s="10"/>
    </row>
    <row r="6" ht="42.65" customHeight="1">
      <c r="A6" t="s" s="11">
        <v>7</v>
      </c>
      <c r="B6" t="s" s="11">
        <v>8</v>
      </c>
      <c r="C6" t="s" s="11">
        <v>9</v>
      </c>
      <c r="D6" t="s" s="11">
        <v>10</v>
      </c>
      <c r="E6" t="s" s="11">
        <v>11</v>
      </c>
      <c r="F6" t="s" s="11">
        <v>12</v>
      </c>
      <c r="G6" s="12"/>
      <c r="H6" t="s" s="11">
        <v>13</v>
      </c>
      <c r="I6" s="13"/>
      <c r="J6" s="14"/>
      <c r="K6" s="15"/>
    </row>
    <row r="7" ht="20.05" customHeight="1">
      <c r="A7" t="s" s="16">
        <v>14</v>
      </c>
      <c r="B7" s="17">
        <v>0</v>
      </c>
      <c r="C7" s="17">
        <v>18</v>
      </c>
      <c r="D7" s="17">
        <v>0</v>
      </c>
      <c r="E7" s="17">
        <v>12</v>
      </c>
      <c r="F7" s="18">
        <f>IF(E7=230,(B7*(C7*D7))/0.85,(B7*(C7*D7)))</f>
        <v>0</v>
      </c>
      <c r="G7" s="12"/>
      <c r="H7" t="s" s="19">
        <v>15</v>
      </c>
      <c r="I7" t="s" s="19">
        <v>16</v>
      </c>
      <c r="J7" s="14"/>
      <c r="K7" s="15"/>
    </row>
    <row r="8" ht="20.05" customHeight="1">
      <c r="A8" t="s" s="16">
        <v>17</v>
      </c>
      <c r="B8" s="17">
        <v>0</v>
      </c>
      <c r="C8" s="17">
        <v>12</v>
      </c>
      <c r="D8" s="17">
        <v>0</v>
      </c>
      <c r="E8" s="17">
        <v>12</v>
      </c>
      <c r="F8" s="18">
        <f>IF(E8=230,(B8*(C8*D8))/0.85,(B8*(C8*D8)))</f>
        <v>0</v>
      </c>
      <c r="G8" s="12"/>
      <c r="H8" s="20"/>
      <c r="I8" s="21">
        <f>H8*12</f>
        <v>0</v>
      </c>
      <c r="J8" s="22"/>
      <c r="K8" s="3"/>
    </row>
    <row r="9" ht="20.05" customHeight="1">
      <c r="A9" t="s" s="16">
        <v>18</v>
      </c>
      <c r="B9" s="17">
        <v>0</v>
      </c>
      <c r="C9" s="17">
        <v>60</v>
      </c>
      <c r="D9" s="17">
        <v>0</v>
      </c>
      <c r="E9" s="17">
        <v>230</v>
      </c>
      <c r="F9" s="18">
        <f>IF(E9=230,(B9*(C9*D9))/0.85,(B9*(C9*D9)))</f>
        <v>0</v>
      </c>
      <c r="G9" s="22"/>
      <c r="H9" s="23"/>
      <c r="I9" s="23"/>
      <c r="J9" s="3"/>
      <c r="K9" s="3"/>
    </row>
    <row r="10" ht="20.05" customHeight="1">
      <c r="A10" t="s" s="16">
        <v>19</v>
      </c>
      <c r="B10" s="17">
        <v>0</v>
      </c>
      <c r="C10" s="17">
        <v>15</v>
      </c>
      <c r="D10" s="17">
        <v>0</v>
      </c>
      <c r="E10" s="17">
        <v>12</v>
      </c>
      <c r="F10" s="18">
        <f>IF(E10=230,(B10*(C10*D10))/0.85,(B10*(C10*D10)))</f>
        <v>0</v>
      </c>
      <c r="G10" s="22"/>
      <c r="H10" s="3"/>
      <c r="I10" s="3"/>
      <c r="J10" s="3"/>
      <c r="K10" s="3"/>
    </row>
    <row r="11" ht="20.05" customHeight="1">
      <c r="A11" t="s" s="16">
        <v>20</v>
      </c>
      <c r="B11" s="17">
        <v>0</v>
      </c>
      <c r="C11" s="17">
        <v>16</v>
      </c>
      <c r="D11" s="17">
        <v>0</v>
      </c>
      <c r="E11" s="17">
        <v>12</v>
      </c>
      <c r="F11" s="18">
        <f>IF(E11=230,(B11*(C11*D11))/0.85,(B11*(C11*D11)))</f>
        <v>0</v>
      </c>
      <c r="G11" s="22"/>
      <c r="H11" t="s" s="24">
        <v>21</v>
      </c>
      <c r="I11" s="3"/>
      <c r="J11" s="3"/>
      <c r="K11" s="3"/>
    </row>
    <row r="12" ht="20.05" customHeight="1">
      <c r="A12" t="s" s="16">
        <v>22</v>
      </c>
      <c r="B12" s="17">
        <v>0</v>
      </c>
      <c r="C12" s="17">
        <v>5</v>
      </c>
      <c r="D12" s="17">
        <v>0</v>
      </c>
      <c r="E12" s="17">
        <v>12</v>
      </c>
      <c r="F12" s="18">
        <f>IF(E12=230,(B12*(C12*D12))/0.85,(B12*(C12*D12)))</f>
        <v>0</v>
      </c>
      <c r="G12" s="22"/>
      <c r="H12" s="3"/>
      <c r="I12" s="3"/>
      <c r="J12" s="3"/>
      <c r="K12" s="3"/>
    </row>
    <row r="13" ht="20.05" customHeight="1">
      <c r="A13" t="s" s="16">
        <v>23</v>
      </c>
      <c r="B13" s="17">
        <v>0</v>
      </c>
      <c r="C13" s="17">
        <v>5</v>
      </c>
      <c r="D13" s="17">
        <v>0</v>
      </c>
      <c r="E13" s="17">
        <v>12</v>
      </c>
      <c r="F13" s="18">
        <f>IF(E13=230,(B13*(C13*D13))/0.85,(B13*(C13*D13)))</f>
        <v>0</v>
      </c>
      <c r="G13" s="22"/>
      <c r="H13" s="3"/>
      <c r="I13" s="3"/>
      <c r="J13" s="3"/>
      <c r="K13" s="3"/>
    </row>
    <row r="14" ht="20.05" customHeight="1">
      <c r="A14" t="s" s="16">
        <v>24</v>
      </c>
      <c r="B14" s="17">
        <v>0</v>
      </c>
      <c r="C14" s="17">
        <v>15</v>
      </c>
      <c r="D14" s="17">
        <v>0</v>
      </c>
      <c r="E14" s="17">
        <v>230</v>
      </c>
      <c r="F14" s="18">
        <f>IF(E14=230,(B14*(C14*D14))/0.85,(B14*(C14*D14)))</f>
        <v>0</v>
      </c>
      <c r="G14" s="22"/>
      <c r="H14" s="3"/>
      <c r="I14" s="3"/>
      <c r="J14" s="3"/>
      <c r="K14" s="3"/>
    </row>
    <row r="15" ht="20.05" customHeight="1">
      <c r="A15" t="s" s="16">
        <v>25</v>
      </c>
      <c r="B15" s="17">
        <v>0</v>
      </c>
      <c r="C15" s="17">
        <v>35</v>
      </c>
      <c r="D15" s="17">
        <v>0</v>
      </c>
      <c r="E15" s="17">
        <v>230</v>
      </c>
      <c r="F15" s="18">
        <f>IF(E15=230,(B15*(C15*D15))/0.85,(B15*(C15*D15)))</f>
        <v>0</v>
      </c>
      <c r="G15" s="22"/>
      <c r="H15" s="3"/>
      <c r="I15" s="3"/>
      <c r="J15" s="3"/>
      <c r="K15" s="3"/>
    </row>
    <row r="16" ht="20.05" customHeight="1">
      <c r="A16" t="s" s="16">
        <v>26</v>
      </c>
      <c r="B16" s="17">
        <v>0</v>
      </c>
      <c r="C16" s="17">
        <v>25</v>
      </c>
      <c r="D16" s="17">
        <v>0</v>
      </c>
      <c r="E16" s="17">
        <v>12</v>
      </c>
      <c r="F16" s="18">
        <f>IF(E16=230,(B16*(C16*D16))/0.85,(B16*(C16*D16)))</f>
        <v>0</v>
      </c>
      <c r="G16" s="22"/>
      <c r="H16" s="3"/>
      <c r="I16" s="3"/>
      <c r="J16" s="3"/>
      <c r="K16" s="3"/>
    </row>
    <row r="17" ht="20.05" customHeight="1">
      <c r="A17" t="s" s="16">
        <v>27</v>
      </c>
      <c r="B17" s="17">
        <v>0</v>
      </c>
      <c r="C17" s="17">
        <v>5</v>
      </c>
      <c r="D17" s="17">
        <v>0</v>
      </c>
      <c r="E17" s="17">
        <v>12</v>
      </c>
      <c r="F17" s="18">
        <f>IF(E17=230,(B17*(C17*D17))/0.85,(B17*(C17*D17)))</f>
        <v>0</v>
      </c>
      <c r="G17" s="22"/>
      <c r="H17" s="3"/>
      <c r="I17" s="3"/>
      <c r="J17" s="3"/>
      <c r="K17" s="3"/>
    </row>
    <row r="18" ht="20.05" customHeight="1">
      <c r="A18" t="s" s="16">
        <v>28</v>
      </c>
      <c r="B18" s="17">
        <v>0</v>
      </c>
      <c r="C18" s="17">
        <v>50</v>
      </c>
      <c r="D18" s="17">
        <v>0</v>
      </c>
      <c r="E18" s="17">
        <v>12</v>
      </c>
      <c r="F18" s="18">
        <f>IF(E18=230,(B18*(C18*D18))/0.85,(B18*(C18*D18)))</f>
        <v>0</v>
      </c>
      <c r="G18" s="22"/>
      <c r="H18" s="3"/>
      <c r="I18" s="3"/>
      <c r="J18" s="3"/>
      <c r="K18" s="3"/>
    </row>
    <row r="19" ht="20.05" customHeight="1">
      <c r="A19" t="s" s="16">
        <v>29</v>
      </c>
      <c r="B19" s="17">
        <v>0</v>
      </c>
      <c r="C19" s="17">
        <v>8</v>
      </c>
      <c r="D19" s="17">
        <v>0</v>
      </c>
      <c r="E19" s="17">
        <v>12</v>
      </c>
      <c r="F19" s="18">
        <f>IF(E19=230,(B19*(C19*D19))/0.85,(B19*(C19*D19)))</f>
        <v>0</v>
      </c>
      <c r="G19" s="22"/>
      <c r="H19" s="3"/>
      <c r="I19" s="3"/>
      <c r="J19" s="3"/>
      <c r="K19" s="3"/>
    </row>
    <row r="20" ht="20.05" customHeight="1">
      <c r="A20" t="s" s="16">
        <v>30</v>
      </c>
      <c r="B20" s="17">
        <v>0</v>
      </c>
      <c r="C20" s="17">
        <v>15</v>
      </c>
      <c r="D20" s="17">
        <v>0</v>
      </c>
      <c r="E20" s="17">
        <v>12</v>
      </c>
      <c r="F20" s="18">
        <f>IF(E20=230,(B20*(C20*D20))/0.85,(B20*(C20*D20)))</f>
        <v>0</v>
      </c>
      <c r="G20" s="12"/>
      <c r="H20" s="12"/>
      <c r="I20" s="12"/>
      <c r="J20" s="12"/>
      <c r="K20" s="12"/>
    </row>
    <row r="21" ht="20.05" customHeight="1">
      <c r="A21" t="s" s="16">
        <v>31</v>
      </c>
      <c r="B21" s="17">
        <v>0</v>
      </c>
      <c r="C21" s="17">
        <v>3</v>
      </c>
      <c r="D21" s="17">
        <v>0</v>
      </c>
      <c r="E21" s="17">
        <v>12</v>
      </c>
      <c r="F21" s="18">
        <f>IF(E21=230,(B21*(C21*D21))/0.85,(B21*(C21*D21)))</f>
        <v>0</v>
      </c>
      <c r="G21" s="22"/>
      <c r="H21" s="3"/>
      <c r="I21" s="3"/>
      <c r="J21" s="3"/>
      <c r="K21" s="3"/>
    </row>
    <row r="22" ht="20.05" customHeight="1">
      <c r="A22" t="s" s="16">
        <v>32</v>
      </c>
      <c r="B22" s="17">
        <v>0</v>
      </c>
      <c r="C22" s="17">
        <v>10</v>
      </c>
      <c r="D22" s="17">
        <v>0</v>
      </c>
      <c r="E22" s="17">
        <v>12</v>
      </c>
      <c r="F22" s="18">
        <f>IF(E22=230,(B22*(C22*D22))/0.85,(B22*(C22*D22)))</f>
        <v>0</v>
      </c>
      <c r="G22" s="22"/>
      <c r="H22" t="s" s="24">
        <v>33</v>
      </c>
      <c r="I22" s="3"/>
      <c r="J22" s="3"/>
      <c r="K22" s="3"/>
    </row>
    <row r="23" ht="20.05" customHeight="1">
      <c r="A23" t="s" s="16">
        <v>34</v>
      </c>
      <c r="B23" s="17">
        <v>0</v>
      </c>
      <c r="C23" s="17">
        <v>120</v>
      </c>
      <c r="D23" s="17">
        <v>0</v>
      </c>
      <c r="E23" s="17">
        <v>230</v>
      </c>
      <c r="F23" s="18">
        <f>IF(E23=230,(B23*(C23*D23))/0.85,(B23*(C23*D23)))</f>
        <v>0</v>
      </c>
      <c r="G23" s="22"/>
      <c r="H23" t="s" s="25">
        <v>35</v>
      </c>
      <c r="I23" s="3"/>
      <c r="J23" s="3"/>
      <c r="K23" s="3"/>
    </row>
    <row r="24" ht="20.05" customHeight="1">
      <c r="A24" t="s" s="16">
        <v>36</v>
      </c>
      <c r="B24" s="17">
        <v>0</v>
      </c>
      <c r="C24" s="17">
        <v>15</v>
      </c>
      <c r="D24" s="17">
        <v>0</v>
      </c>
      <c r="E24" s="17">
        <v>230</v>
      </c>
      <c r="F24" s="18">
        <f>IF(E24=230,(B24*(C24*D24))/0.85,(B24*(C24*D24)))</f>
        <v>0</v>
      </c>
      <c r="G24" s="22"/>
      <c r="H24" s="3"/>
      <c r="I24" s="3"/>
      <c r="J24" s="3"/>
      <c r="K24" s="3"/>
    </row>
    <row r="25" ht="20.05" customHeight="1">
      <c r="A25" t="s" s="16">
        <v>37</v>
      </c>
      <c r="B25" s="17">
        <v>0</v>
      </c>
      <c r="C25" s="17">
        <v>100</v>
      </c>
      <c r="D25" s="17">
        <v>0</v>
      </c>
      <c r="E25" s="17">
        <v>230</v>
      </c>
      <c r="F25" s="18">
        <f>IF(E25=230,(B25*(C25*D25))/0.85,(B25*(C25*D25)))</f>
        <v>0</v>
      </c>
      <c r="G25" s="22"/>
      <c r="H25" s="3"/>
      <c r="I25" s="3"/>
      <c r="J25" s="3"/>
      <c r="K25" s="3"/>
    </row>
    <row r="26" ht="20.05" customHeight="1">
      <c r="A26" t="s" s="16">
        <v>38</v>
      </c>
      <c r="B26" s="17"/>
      <c r="C26" s="17"/>
      <c r="D26" s="17"/>
      <c r="E26" s="26"/>
      <c r="F26" s="18">
        <f>IF(E26=230,(B26*(C26*D26))/0.85,(B26*(C26*D26)))</f>
        <v>0</v>
      </c>
      <c r="G26" s="22"/>
      <c r="H26" s="3"/>
      <c r="I26" s="3"/>
      <c r="J26" s="3"/>
      <c r="K26" s="3"/>
    </row>
    <row r="27" ht="20.05" customHeight="1">
      <c r="A27" t="s" s="16">
        <v>38</v>
      </c>
      <c r="B27" s="17"/>
      <c r="C27" s="17"/>
      <c r="D27" s="17"/>
      <c r="E27" s="26"/>
      <c r="F27" s="18">
        <f>IF(E27=230,(B27*(C27*D27))/0.85,(B27*(C27*D27)))</f>
        <v>0</v>
      </c>
      <c r="G27" s="22"/>
      <c r="H27" s="3"/>
      <c r="I27" s="3"/>
      <c r="J27" s="3"/>
      <c r="K27" s="3"/>
    </row>
    <row r="28" ht="20.05" customHeight="1">
      <c r="A28" t="s" s="16">
        <v>38</v>
      </c>
      <c r="B28" s="17"/>
      <c r="C28" s="17"/>
      <c r="D28" s="17"/>
      <c r="E28" s="26"/>
      <c r="F28" s="18">
        <f>IF(E28=230,(B28*(C28*D28))/0.85,(B28*(C28*D28)))</f>
        <v>0</v>
      </c>
      <c r="G28" s="22"/>
      <c r="H28" s="3"/>
      <c r="I28" s="3"/>
      <c r="J28" s="3"/>
      <c r="K28" s="3"/>
    </row>
    <row r="29" ht="20.05" customHeight="1">
      <c r="A29" t="s" s="16">
        <v>38</v>
      </c>
      <c r="B29" s="17"/>
      <c r="C29" s="17"/>
      <c r="D29" s="17"/>
      <c r="E29" s="26"/>
      <c r="F29" s="18">
        <f>IF(E29=230,(B29*(C29*D29))/0.85,(B29*(C29*D29)))</f>
        <v>0</v>
      </c>
      <c r="G29" s="22"/>
      <c r="H29" s="3"/>
      <c r="I29" s="3"/>
      <c r="J29" s="3"/>
      <c r="K29" s="3"/>
    </row>
    <row r="30" ht="20.05" customHeight="1">
      <c r="A30" t="s" s="16">
        <v>38</v>
      </c>
      <c r="B30" s="17"/>
      <c r="C30" s="17"/>
      <c r="D30" s="17"/>
      <c r="E30" s="26"/>
      <c r="F30" s="18">
        <f>IF(E30=230,(B30*(C30*D30))/0.85,(B30*(C30*D30)))</f>
        <v>0</v>
      </c>
      <c r="G30" s="22"/>
      <c r="H30" s="3"/>
      <c r="I30" s="3"/>
      <c r="J30" s="3"/>
      <c r="K30" s="3"/>
    </row>
    <row r="31" ht="20.05" customHeight="1">
      <c r="A31" t="s" s="16">
        <v>38</v>
      </c>
      <c r="B31" s="17"/>
      <c r="C31" s="17"/>
      <c r="D31" s="17"/>
      <c r="E31" s="26"/>
      <c r="F31" s="18">
        <f>IF(E31=230,(B31*(C31*D31))/0.85,(B31*(C31*D31)))</f>
        <v>0</v>
      </c>
      <c r="G31" s="22"/>
      <c r="H31" s="3"/>
      <c r="I31" s="3"/>
      <c r="J31" s="3"/>
      <c r="K31" s="3"/>
    </row>
    <row r="32" ht="20.05" customHeight="1">
      <c r="A32" t="s" s="16">
        <v>38</v>
      </c>
      <c r="B32" s="17"/>
      <c r="C32" s="17"/>
      <c r="D32" s="17"/>
      <c r="E32" s="26"/>
      <c r="F32" s="18">
        <f>IF(E32=230,(B32*(C32*D32))/0.85,(B32*(C32*D32)))</f>
        <v>0</v>
      </c>
      <c r="G32" s="22"/>
      <c r="H32" s="3"/>
      <c r="I32" s="3"/>
      <c r="J32" s="3"/>
      <c r="K32" s="3"/>
    </row>
    <row r="33" ht="20.05" customHeight="1">
      <c r="A33" t="s" s="16">
        <v>38</v>
      </c>
      <c r="B33" s="17"/>
      <c r="C33" s="17"/>
      <c r="D33" s="17"/>
      <c r="E33" s="26"/>
      <c r="F33" s="18">
        <f>IF(E33=230,(B33*(C33*D33))/0.85,(B33*(C33*D33)))</f>
        <v>0</v>
      </c>
      <c r="G33" s="22"/>
      <c r="H33" s="3"/>
      <c r="I33" s="3"/>
      <c r="J33" s="3"/>
      <c r="K33" s="3"/>
    </row>
    <row r="34" ht="20.05" customHeight="1">
      <c r="A34" t="s" s="16">
        <v>38</v>
      </c>
      <c r="B34" s="17"/>
      <c r="C34" s="17"/>
      <c r="D34" s="27"/>
      <c r="E34" s="26"/>
      <c r="F34" s="18">
        <f>IF(E34=230,(B34*(C34*D34))/0.85,(B34*(C34*D34)))</f>
        <v>0</v>
      </c>
      <c r="G34" s="22"/>
      <c r="H34" s="3"/>
      <c r="I34" s="3"/>
      <c r="J34" s="3"/>
      <c r="K34" s="3"/>
    </row>
    <row r="35" ht="20.05" customHeight="1">
      <c r="A35" t="s" s="16">
        <v>38</v>
      </c>
      <c r="B35" s="17"/>
      <c r="C35" s="17"/>
      <c r="D35" s="27"/>
      <c r="E35" s="26"/>
      <c r="F35" s="18">
        <f>IF(E35=230,(B35*(C35*D35))/0.85,(B35*(C35*D35)))</f>
        <v>0</v>
      </c>
      <c r="G35" s="22"/>
      <c r="H35" s="3"/>
      <c r="I35" s="3"/>
      <c r="J35" s="3"/>
      <c r="K35" s="3"/>
    </row>
    <row r="36" ht="20.05" customHeight="1">
      <c r="A36" t="s" s="16">
        <v>38</v>
      </c>
      <c r="B36" s="17"/>
      <c r="C36" s="17"/>
      <c r="D36" s="27"/>
      <c r="E36" s="26"/>
      <c r="F36" s="18">
        <f>IF(E36=230,(B36*(C36*D36))/0.85,(B36*(C36*D36)))</f>
        <v>0</v>
      </c>
      <c r="G36" s="22"/>
      <c r="H36" s="3"/>
      <c r="I36" s="3"/>
      <c r="J36" s="3"/>
      <c r="K36" s="3"/>
    </row>
    <row r="37" ht="19.85" customHeight="1">
      <c r="A37" t="s" s="28">
        <v>39</v>
      </c>
      <c r="B37" s="29"/>
      <c r="C37" s="29"/>
      <c r="D37" s="30"/>
      <c r="E37" s="23"/>
      <c r="F37" s="31">
        <f>SUM(F7:F36)</f>
        <v>0</v>
      </c>
      <c r="G37" t="s" s="32">
        <v>40</v>
      </c>
      <c r="H37" s="3"/>
      <c r="I37" s="3"/>
      <c r="J37" s="3"/>
      <c r="K37" s="3"/>
    </row>
    <row r="38" ht="19.7" customHeight="1">
      <c r="A38" s="33"/>
      <c r="B38" s="3"/>
      <c r="C38" s="3"/>
      <c r="D38" s="3"/>
      <c r="E38" s="3"/>
      <c r="F38" s="34"/>
      <c r="G38" s="35"/>
      <c r="H38" s="3"/>
      <c r="I38" s="3"/>
      <c r="J38" s="3"/>
      <c r="K38" s="3"/>
    </row>
    <row r="39" ht="19.7" customHeight="1">
      <c r="A39" s="33"/>
      <c r="B39" s="3"/>
      <c r="C39" s="3"/>
      <c r="D39" s="3"/>
      <c r="E39" s="3"/>
      <c r="F39" s="34"/>
      <c r="G39" s="35"/>
      <c r="H39" s="3"/>
      <c r="I39" s="3"/>
      <c r="J39" s="3"/>
      <c r="K39" s="3"/>
    </row>
    <row r="40" ht="187.7" customHeight="1">
      <c r="A40" t="s" s="6">
        <v>41</v>
      </c>
      <c r="B40" s="3"/>
      <c r="C40" s="3"/>
      <c r="D40" s="3"/>
      <c r="E40" s="3"/>
      <c r="F40" s="3"/>
      <c r="G40" s="3"/>
      <c r="H40" s="3"/>
      <c r="I40" s="3"/>
      <c r="J40" s="3"/>
      <c r="K40" s="4"/>
    </row>
    <row r="41" ht="19.85" customHeight="1">
      <c r="A41" s="36"/>
      <c r="B41" s="8"/>
      <c r="C41" s="8"/>
      <c r="D41" s="3"/>
      <c r="E41" s="3"/>
      <c r="F41" s="34"/>
      <c r="G41" s="35"/>
      <c r="H41" s="3"/>
      <c r="I41" s="3"/>
      <c r="J41" s="3"/>
      <c r="K41" s="3"/>
    </row>
    <row r="42" ht="20.05" customHeight="1">
      <c r="A42" t="s" s="37">
        <v>42</v>
      </c>
      <c r="B42" s="38"/>
      <c r="C42" s="38"/>
      <c r="D42" s="22"/>
      <c r="E42" s="3"/>
      <c r="F42" s="34"/>
      <c r="G42" s="35"/>
      <c r="H42" s="3"/>
      <c r="I42" s="3"/>
      <c r="J42" s="3"/>
      <c r="K42" s="3"/>
    </row>
    <row r="43" ht="20.05" customHeight="1">
      <c r="A43" t="s" s="39">
        <v>43</v>
      </c>
      <c r="B43" s="40">
        <v>12</v>
      </c>
      <c r="C43" t="s" s="41">
        <v>44</v>
      </c>
      <c r="D43" t="s" s="42">
        <v>45</v>
      </c>
      <c r="E43" s="3"/>
      <c r="F43" s="35"/>
      <c r="G43" s="3"/>
      <c r="H43" s="3"/>
      <c r="I43" s="3"/>
      <c r="J43" s="3"/>
      <c r="K43" s="3"/>
    </row>
    <row r="44" ht="20.05" customHeight="1">
      <c r="A44" t="s" s="39">
        <v>46</v>
      </c>
      <c r="B44" t="s" s="43">
        <v>47</v>
      </c>
      <c r="C44" s="44"/>
      <c r="D44" t="s" s="42">
        <v>48</v>
      </c>
      <c r="E44" t="s" s="45">
        <v>49</v>
      </c>
      <c r="F44" s="3"/>
      <c r="G44" s="3"/>
      <c r="H44" s="3"/>
      <c r="I44" s="3"/>
      <c r="J44" s="3"/>
      <c r="K44" s="46"/>
    </row>
    <row r="45" ht="20.05" customHeight="1">
      <c r="A45" t="s" s="39">
        <v>50</v>
      </c>
      <c r="B45" s="47">
        <f>F37/B43+(F37/B43*(IF(B44="Gel",50)+IF(B44="Lithium",20)+IF(B44="AGM",70)+IF(B44="Gel Pb/Cb",40))/100)</f>
        <v>0</v>
      </c>
      <c r="C45" t="s" s="48">
        <v>51</v>
      </c>
      <c r="D45" t="s" s="42">
        <v>52</v>
      </c>
      <c r="E45" t="s" s="45">
        <v>53</v>
      </c>
      <c r="F45" s="3"/>
      <c r="G45" s="3"/>
      <c r="H45" s="3"/>
      <c r="I45" s="3"/>
      <c r="J45" s="3"/>
      <c r="K45" s="46"/>
    </row>
    <row r="46" ht="20.05" customHeight="1">
      <c r="A46" t="s" s="39">
        <v>54</v>
      </c>
      <c r="B46" s="49"/>
      <c r="C46" t="s" s="50">
        <v>51</v>
      </c>
      <c r="D46" t="s" s="42">
        <v>55</v>
      </c>
      <c r="E46" s="51"/>
      <c r="F46" s="52"/>
      <c r="G46" s="53"/>
      <c r="H46" s="53"/>
      <c r="I46" s="53"/>
      <c r="J46" s="3"/>
      <c r="K46" s="53"/>
    </row>
    <row r="47" ht="28.1" customHeight="1">
      <c r="A47" t="s" s="39">
        <v>56</v>
      </c>
      <c r="B47" s="54">
        <f>B46/B45</f>
      </c>
      <c r="C47" t="s" s="48">
        <v>57</v>
      </c>
      <c r="D47" t="s" s="42">
        <v>58</v>
      </c>
      <c r="E47" t="s" s="55">
        <v>59</v>
      </c>
      <c r="F47" s="3"/>
      <c r="G47" s="3"/>
      <c r="H47" s="3"/>
      <c r="I47" s="3"/>
      <c r="J47" s="3"/>
      <c r="K47" s="56"/>
    </row>
    <row r="48" ht="19.85" customHeight="1">
      <c r="A48" s="57"/>
      <c r="B48" s="23"/>
      <c r="C48" s="3"/>
      <c r="D48" s="3"/>
      <c r="E48" s="3"/>
      <c r="F48" s="58"/>
      <c r="G48" s="35"/>
      <c r="H48" s="3"/>
      <c r="I48" s="3"/>
      <c r="J48" s="3"/>
      <c r="K48" s="3"/>
    </row>
    <row r="49" ht="19.7" customHeight="1">
      <c r="A49" s="4"/>
      <c r="B49" s="3"/>
      <c r="C49" s="3"/>
      <c r="D49" s="3"/>
      <c r="E49" s="3"/>
      <c r="F49" s="58"/>
      <c r="G49" s="35"/>
      <c r="H49" s="3"/>
      <c r="I49" s="3"/>
      <c r="J49" s="3"/>
      <c r="K49" s="3"/>
    </row>
    <row r="50" ht="175.7" customHeight="1">
      <c r="A50" t="s" s="6">
        <v>60</v>
      </c>
      <c r="B50" s="3"/>
      <c r="C50" s="3"/>
      <c r="D50" s="59"/>
      <c r="E50" s="22"/>
      <c r="F50" s="3"/>
      <c r="G50" s="3"/>
      <c r="H50" s="3"/>
      <c r="I50" s="3"/>
      <c r="J50" s="3"/>
      <c r="K50" s="4"/>
    </row>
    <row r="51" ht="19.85" customHeight="1">
      <c r="A51" s="60"/>
      <c r="B51" s="8"/>
      <c r="C51" s="8"/>
      <c r="D51" s="3"/>
      <c r="E51" s="3"/>
      <c r="F51" s="58"/>
      <c r="G51" s="35"/>
      <c r="H51" s="3"/>
      <c r="I51" s="3"/>
      <c r="J51" s="3"/>
      <c r="K51" s="3"/>
    </row>
    <row r="52" ht="20.05" customHeight="1">
      <c r="A52" t="s" s="37">
        <v>61</v>
      </c>
      <c r="B52" s="38"/>
      <c r="C52" s="38"/>
      <c r="D52" s="22"/>
      <c r="E52" s="3"/>
      <c r="F52" s="34"/>
      <c r="G52" s="35"/>
      <c r="H52" s="3"/>
      <c r="I52" s="3"/>
      <c r="J52" s="3"/>
      <c r="K52" s="3"/>
    </row>
    <row r="53" ht="20.05" customHeight="1">
      <c r="A53" t="s" s="39">
        <v>62</v>
      </c>
      <c r="B53" s="49">
        <v>1</v>
      </c>
      <c r="C53" s="30"/>
      <c r="D53" t="s" s="42">
        <v>63</v>
      </c>
      <c r="E53" s="34"/>
      <c r="F53" s="35"/>
      <c r="G53" s="3"/>
      <c r="H53" s="3"/>
      <c r="I53" s="3"/>
      <c r="J53" s="3"/>
      <c r="K53" s="3"/>
    </row>
    <row r="54" ht="20.05" customHeight="1">
      <c r="A54" t="s" s="39">
        <v>64</v>
      </c>
      <c r="B54" s="40">
        <v>1</v>
      </c>
      <c r="C54" t="s" s="50">
        <v>65</v>
      </c>
      <c r="D54" t="s" s="42">
        <v>66</v>
      </c>
      <c r="E54" t="s" s="55">
        <v>67</v>
      </c>
      <c r="F54" s="3"/>
      <c r="G54" s="3"/>
      <c r="H54" s="3"/>
      <c r="I54" s="61"/>
      <c r="J54" s="61"/>
      <c r="K54" s="3"/>
    </row>
    <row r="55" ht="28.1" customHeight="1">
      <c r="A55" t="s" s="39">
        <v>68</v>
      </c>
      <c r="B55" s="47">
        <f>B45*B43/B54/B53</f>
        <v>0</v>
      </c>
      <c r="C55" t="s" s="48">
        <v>69</v>
      </c>
      <c r="D55" t="s" s="42">
        <v>70</v>
      </c>
      <c r="E55" t="s" s="45">
        <v>71</v>
      </c>
      <c r="F55" s="3"/>
      <c r="G55" s="3"/>
      <c r="H55" s="3"/>
      <c r="I55" s="62"/>
      <c r="J55" s="62"/>
      <c r="K55" s="3"/>
    </row>
    <row r="56" ht="20.05" customHeight="1">
      <c r="A56" t="s" s="39">
        <v>72</v>
      </c>
      <c r="B56" s="49"/>
      <c r="C56" t="s" s="50">
        <v>69</v>
      </c>
      <c r="D56" t="s" s="42">
        <v>73</v>
      </c>
      <c r="E56" s="34"/>
      <c r="F56" s="35"/>
      <c r="G56" s="3"/>
      <c r="H56" s="3"/>
      <c r="I56" s="3"/>
      <c r="J56" s="3"/>
      <c r="K56" s="3"/>
    </row>
    <row r="57" ht="20.05" customHeight="1">
      <c r="A57" t="s" s="39">
        <v>74</v>
      </c>
      <c r="B57" s="47">
        <f>(B56*B54)/(B45*B43)*100</f>
      </c>
      <c r="C57" t="s" s="48">
        <v>75</v>
      </c>
      <c r="D57" t="s" s="42">
        <v>76</v>
      </c>
      <c r="E57" t="s" s="55">
        <v>77</v>
      </c>
      <c r="F57" s="3"/>
      <c r="G57" s="3"/>
      <c r="H57" s="3"/>
      <c r="I57" s="3"/>
      <c r="J57" s="3"/>
      <c r="K57" s="3"/>
    </row>
    <row r="58" ht="19.85" customHeight="1">
      <c r="A58" s="57"/>
      <c r="B58" s="23"/>
      <c r="C58" s="3"/>
      <c r="D58" s="63"/>
      <c r="E58" s="63"/>
      <c r="F58" s="34"/>
      <c r="G58" s="35"/>
      <c r="H58" s="3"/>
      <c r="I58" s="3"/>
      <c r="J58" s="3"/>
      <c r="K58" s="3"/>
    </row>
    <row r="59" ht="19.7" customHeight="1">
      <c r="A59" s="4"/>
      <c r="B59" s="3"/>
      <c r="C59" s="3"/>
      <c r="D59" s="63"/>
      <c r="E59" s="63"/>
      <c r="F59" s="34"/>
      <c r="G59" s="35"/>
      <c r="H59" s="3"/>
      <c r="I59" s="3"/>
      <c r="J59" s="3"/>
      <c r="K59" s="3"/>
    </row>
    <row r="60" ht="19.7" customHeight="1">
      <c r="A60" s="4"/>
      <c r="B60" s="3"/>
      <c r="C60" s="3"/>
      <c r="D60" s="63"/>
      <c r="E60" s="63"/>
      <c r="F60" s="34"/>
      <c r="G60" s="35"/>
      <c r="H60" s="3"/>
      <c r="I60" s="3"/>
      <c r="J60" s="3"/>
      <c r="K60" s="3"/>
    </row>
    <row r="61" ht="19.7" customHeight="1">
      <c r="A61" s="4"/>
      <c r="B61" s="3"/>
      <c r="C61" s="3"/>
      <c r="D61" s="63"/>
      <c r="E61" s="63"/>
      <c r="F61" s="34"/>
      <c r="G61" s="35"/>
      <c r="H61" s="3"/>
      <c r="I61" s="3"/>
      <c r="J61" s="3"/>
      <c r="K61" s="3"/>
    </row>
    <row r="62" ht="19.7" customHeight="1">
      <c r="A62" s="4"/>
      <c r="B62" s="3"/>
      <c r="C62" s="3"/>
      <c r="D62" s="63"/>
      <c r="E62" s="63"/>
      <c r="F62" s="34"/>
      <c r="G62" s="35"/>
      <c r="H62" s="3"/>
      <c r="I62" s="3"/>
      <c r="J62" s="3"/>
      <c r="K62" s="3"/>
    </row>
  </sheetData>
  <mergeCells count="21">
    <mergeCell ref="H6:I6"/>
    <mergeCell ref="A37:E37"/>
    <mergeCell ref="A42:C42"/>
    <mergeCell ref="A52:C52"/>
    <mergeCell ref="H5:I5"/>
    <mergeCell ref="A3:H3"/>
    <mergeCell ref="A40:J40"/>
    <mergeCell ref="A4:H4"/>
    <mergeCell ref="A50:J50"/>
    <mergeCell ref="A1:K1"/>
    <mergeCell ref="A2:H2"/>
    <mergeCell ref="H11:K11"/>
    <mergeCell ref="H12:K21"/>
    <mergeCell ref="H22:K22"/>
    <mergeCell ref="H23:K23"/>
    <mergeCell ref="E44:I44"/>
    <mergeCell ref="E45:I45"/>
    <mergeCell ref="E47:I47"/>
    <mergeCell ref="E54:H54"/>
    <mergeCell ref="E55:H55"/>
    <mergeCell ref="E57:J57"/>
  </mergeCells>
  <conditionalFormatting sqref="B46">
    <cfRule type="containsBlanks" dxfId="0" priority="1" stopIfTrue="1">
      <formula>ISBLANK(B46)</formula>
    </cfRule>
    <cfRule type="cellIs" dxfId="1" priority="2" operator="lessThanOrEqual" stopIfTrue="1">
      <formula>B45</formula>
    </cfRule>
    <cfRule type="cellIs" dxfId="2" priority="3" operator="greaterThan" stopIfTrue="1">
      <formula>B45</formula>
    </cfRule>
  </conditionalFormatting>
  <dataValidations count="3">
    <dataValidation type="list" allowBlank="1" showInputMessage="1" showErrorMessage="1" sqref="B43">
      <formula1>"12,24,48"</formula1>
    </dataValidation>
    <dataValidation type="list" allowBlank="1" showInputMessage="1" showErrorMessage="1" sqref="B44">
      <formula1>"AGM,Gel,Gel Pb/Cb,Lithium"</formula1>
    </dataValidation>
    <dataValidation type="list" allowBlank="1" showInputMessage="1" showErrorMessage="1" sqref="B54">
      <formula1>"1,2,3,4,5,6,7,8,9,10"</formula1>
    </dataValidation>
  </dataValidation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K62"/>
  <sheetViews>
    <sheetView workbookViewId="0" showGridLines="0" defaultGridColor="1"/>
  </sheetViews>
  <sheetFormatPr defaultColWidth="16.3333" defaultRowHeight="19.9" customHeight="1" outlineLevelRow="0" outlineLevelCol="0"/>
  <cols>
    <col min="1" max="1" width="30.1875" style="64" customWidth="1"/>
    <col min="2" max="2" width="10.2344" style="64" customWidth="1"/>
    <col min="3" max="3" width="14.2266" style="64" customWidth="1"/>
    <col min="4" max="5" width="13.6016" style="64" customWidth="1"/>
    <col min="6" max="6" width="15.8359" style="64" customWidth="1"/>
    <col min="7" max="11" width="16.3516" style="64" customWidth="1"/>
    <col min="12" max="16384" width="16.3516" style="64" customWidth="1"/>
  </cols>
  <sheetData>
    <row r="1" ht="74.55" customHeight="1">
      <c r="A1" t="s" s="2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ht="19.7" customHeight="1">
      <c r="A2" s="4"/>
      <c r="B2" s="3"/>
      <c r="C2" s="3"/>
      <c r="D2" s="3"/>
      <c r="E2" s="3"/>
      <c r="F2" s="3"/>
      <c r="G2" s="3"/>
      <c r="H2" s="3"/>
      <c r="I2" s="3"/>
      <c r="J2" s="3"/>
      <c r="K2" s="5"/>
    </row>
    <row r="3" ht="115.75" customHeight="1">
      <c r="A3" t="s" s="6">
        <v>1</v>
      </c>
      <c r="B3" s="3"/>
      <c r="C3" s="3"/>
      <c r="D3" s="3"/>
      <c r="E3" s="3"/>
      <c r="F3" s="3"/>
      <c r="G3" s="3"/>
      <c r="H3" s="3"/>
      <c r="I3" s="3"/>
      <c r="J3" s="3"/>
      <c r="K3" s="5"/>
    </row>
    <row r="4" ht="19.7" customHeight="1">
      <c r="A4" s="4"/>
      <c r="B4" s="3"/>
      <c r="C4" s="3"/>
      <c r="D4" s="3"/>
      <c r="E4" s="3"/>
      <c r="F4" s="3"/>
      <c r="G4" s="3"/>
      <c r="H4" s="3"/>
      <c r="I4" s="3"/>
      <c r="J4" s="3"/>
      <c r="K4" s="3"/>
    </row>
    <row r="5" ht="19.85" customHeight="1">
      <c r="A5" t="s" s="7">
        <v>2</v>
      </c>
      <c r="B5" t="s" s="7">
        <v>3</v>
      </c>
      <c r="C5" t="s" s="7">
        <v>4</v>
      </c>
      <c r="D5" t="s" s="7">
        <v>5</v>
      </c>
      <c r="E5" t="s" s="7">
        <v>6</v>
      </c>
      <c r="F5" s="8"/>
      <c r="G5" s="3"/>
      <c r="H5" t="s" s="7">
        <v>78</v>
      </c>
      <c r="I5" s="9"/>
      <c r="J5" s="10"/>
      <c r="K5" s="10"/>
    </row>
    <row r="6" ht="42.65" customHeight="1">
      <c r="A6" t="s" s="65">
        <v>7</v>
      </c>
      <c r="B6" t="s" s="65">
        <v>8</v>
      </c>
      <c r="C6" t="s" s="65">
        <v>9</v>
      </c>
      <c r="D6" t="s" s="65">
        <v>10</v>
      </c>
      <c r="E6" t="s" s="11">
        <v>11</v>
      </c>
      <c r="F6" t="s" s="11">
        <v>12</v>
      </c>
      <c r="G6" s="12"/>
      <c r="H6" t="s" s="11">
        <v>13</v>
      </c>
      <c r="I6" s="13"/>
      <c r="J6" s="14"/>
      <c r="K6" s="15"/>
    </row>
    <row r="7" ht="20.7" customHeight="1">
      <c r="A7" t="s" s="66">
        <v>14</v>
      </c>
      <c r="B7" s="67">
        <v>2</v>
      </c>
      <c r="C7" s="67">
        <v>18</v>
      </c>
      <c r="D7" s="68">
        <v>0.5</v>
      </c>
      <c r="E7" s="69">
        <v>12</v>
      </c>
      <c r="F7" s="18">
        <f>IF(E7=230,(B7*(C7*D7))/0.85,(B7*(C7*D7)))</f>
        <v>18</v>
      </c>
      <c r="G7" s="12"/>
      <c r="H7" t="s" s="19">
        <v>15</v>
      </c>
      <c r="I7" t="s" s="19">
        <v>16</v>
      </c>
      <c r="J7" s="14"/>
      <c r="K7" s="15"/>
    </row>
    <row r="8" ht="20.7" customHeight="1">
      <c r="A8" t="s" s="66">
        <v>17</v>
      </c>
      <c r="B8" s="67">
        <v>1</v>
      </c>
      <c r="C8" s="67">
        <v>12</v>
      </c>
      <c r="D8" s="68">
        <v>2</v>
      </c>
      <c r="E8" s="69">
        <v>12</v>
      </c>
      <c r="F8" s="18">
        <f>IF(E8=230,(B8*(C8*D8))/0.85,(B8*(C8*D8)))</f>
        <v>24</v>
      </c>
      <c r="G8" s="12"/>
      <c r="H8" s="20"/>
      <c r="I8" s="21">
        <f>H8*12</f>
        <v>0</v>
      </c>
      <c r="J8" s="22"/>
      <c r="K8" s="3"/>
    </row>
    <row r="9" ht="20.7" customHeight="1">
      <c r="A9" t="s" s="66">
        <v>25</v>
      </c>
      <c r="B9" s="67">
        <v>1</v>
      </c>
      <c r="C9" s="67">
        <v>60</v>
      </c>
      <c r="D9" s="68">
        <v>9</v>
      </c>
      <c r="E9" s="69">
        <v>12</v>
      </c>
      <c r="F9" s="18">
        <f>IF(E9=230,(B9*(C9*D9))/0.85,(B9*(C9*D9)))</f>
        <v>540</v>
      </c>
      <c r="G9" s="22"/>
      <c r="H9" s="23"/>
      <c r="I9" s="23"/>
      <c r="J9" s="3"/>
      <c r="K9" s="3"/>
    </row>
    <row r="10" ht="20.7" customHeight="1">
      <c r="A10" t="s" s="66">
        <v>28</v>
      </c>
      <c r="B10" s="67">
        <v>1</v>
      </c>
      <c r="C10" s="67">
        <v>50</v>
      </c>
      <c r="D10" s="68">
        <v>1</v>
      </c>
      <c r="E10" s="69">
        <v>12</v>
      </c>
      <c r="F10" s="18">
        <f>IF(E10=230,(B10*(C10*D10))/0.85,(B10*(C10*D10)))</f>
        <v>50</v>
      </c>
      <c r="G10" s="22"/>
      <c r="H10" s="3"/>
      <c r="I10" s="3"/>
      <c r="J10" s="3"/>
      <c r="K10" s="3"/>
    </row>
    <row r="11" ht="20.7" customHeight="1">
      <c r="A11" t="s" s="66">
        <v>79</v>
      </c>
      <c r="B11" s="67">
        <v>1</v>
      </c>
      <c r="C11" s="67">
        <v>1500</v>
      </c>
      <c r="D11" s="68">
        <v>0.15</v>
      </c>
      <c r="E11" s="69">
        <v>230</v>
      </c>
      <c r="F11" s="18">
        <f>IF(E11=230,(B11*(C11*D11))/0.85,(B11*(C11*D11)))</f>
        <v>264.705882352941</v>
      </c>
      <c r="G11" s="22"/>
      <c r="H11" t="s" s="24">
        <v>21</v>
      </c>
      <c r="I11" s="3"/>
      <c r="J11" s="3"/>
      <c r="K11" s="3"/>
    </row>
    <row r="12" ht="20.7" customHeight="1">
      <c r="A12" t="s" s="66">
        <v>29</v>
      </c>
      <c r="B12" s="67">
        <v>1</v>
      </c>
      <c r="C12" s="67">
        <v>8</v>
      </c>
      <c r="D12" s="68">
        <v>24</v>
      </c>
      <c r="E12" s="69">
        <v>12</v>
      </c>
      <c r="F12" s="18">
        <f>IF(E12=230,(B12*(C12*D12))/0.85,(B12*(C12*D12)))</f>
        <v>192</v>
      </c>
      <c r="G12" s="22"/>
      <c r="H12" s="3"/>
      <c r="I12" s="3"/>
      <c r="J12" s="3"/>
      <c r="K12" s="3"/>
    </row>
    <row r="13" ht="20.7" customHeight="1">
      <c r="A13" t="s" s="66">
        <v>34</v>
      </c>
      <c r="B13" s="67">
        <v>2</v>
      </c>
      <c r="C13" s="67">
        <v>120</v>
      </c>
      <c r="D13" s="68">
        <v>0.5</v>
      </c>
      <c r="E13" s="69">
        <v>230</v>
      </c>
      <c r="F13" s="18">
        <f>IF(E13=230,(B13*(C13*D13))/0.85,(B13*(C13*D13)))</f>
        <v>141.176470588235</v>
      </c>
      <c r="G13" s="22"/>
      <c r="H13" s="3"/>
      <c r="I13" s="3"/>
      <c r="J13" s="3"/>
      <c r="K13" s="3"/>
    </row>
    <row r="14" ht="20.7" customHeight="1">
      <c r="A14" t="s" s="66">
        <v>36</v>
      </c>
      <c r="B14" s="67">
        <v>1</v>
      </c>
      <c r="C14" s="67">
        <v>15</v>
      </c>
      <c r="D14" s="68">
        <v>2</v>
      </c>
      <c r="E14" s="69">
        <v>230</v>
      </c>
      <c r="F14" s="18">
        <f>IF(E14=230,(B14*(C14*D14))/0.85,(B14*(C14*D14)))</f>
        <v>35.2941176470588</v>
      </c>
      <c r="G14" s="22"/>
      <c r="H14" s="3"/>
      <c r="I14" s="3"/>
      <c r="J14" s="3"/>
      <c r="K14" s="3"/>
    </row>
    <row r="15" ht="20.7" customHeight="1">
      <c r="A15" t="s" s="70">
        <v>37</v>
      </c>
      <c r="B15" s="67">
        <v>1</v>
      </c>
      <c r="C15" s="67">
        <v>100</v>
      </c>
      <c r="D15" s="68">
        <v>1</v>
      </c>
      <c r="E15" s="69">
        <v>230</v>
      </c>
      <c r="F15" s="18">
        <f>IF(E15=230,(B15*(C15*D15))/0.85,(B15*(C15*D15)))</f>
        <v>117.647058823529</v>
      </c>
      <c r="G15" s="22"/>
      <c r="H15" s="3"/>
      <c r="I15" s="3"/>
      <c r="J15" s="3"/>
      <c r="K15" s="3"/>
    </row>
    <row r="16" ht="20.7" customHeight="1">
      <c r="A16" t="s" s="66">
        <v>80</v>
      </c>
      <c r="B16" s="67">
        <v>1</v>
      </c>
      <c r="C16" s="67">
        <v>1800</v>
      </c>
      <c r="D16" s="68">
        <v>0.5</v>
      </c>
      <c r="E16" s="69">
        <v>230</v>
      </c>
      <c r="F16" s="18">
        <f>IF(E16=230,(B16*(C16*D16))/0.85,(B16*(C16*D16)))</f>
        <v>1058.823529411760</v>
      </c>
      <c r="G16" s="22"/>
      <c r="H16" s="3"/>
      <c r="I16" s="3"/>
      <c r="J16" s="3"/>
      <c r="K16" s="3"/>
    </row>
    <row r="17" ht="20.7" customHeight="1">
      <c r="A17" s="66"/>
      <c r="B17" s="67"/>
      <c r="C17" s="67"/>
      <c r="D17" s="68"/>
      <c r="E17" s="69"/>
      <c r="F17" s="18">
        <f>IF(E17=230,(B17*(C17*D17))/0.85,(B17*(C17*D17)))</f>
        <v>0</v>
      </c>
      <c r="G17" s="22"/>
      <c r="H17" s="3"/>
      <c r="I17" s="3"/>
      <c r="J17" s="3"/>
      <c r="K17" s="3"/>
    </row>
    <row r="18" ht="20.7" customHeight="1">
      <c r="A18" s="66"/>
      <c r="B18" s="67"/>
      <c r="C18" s="67"/>
      <c r="D18" s="68"/>
      <c r="E18" s="69"/>
      <c r="F18" s="18">
        <f>IF(E18=230,(B18*(C18*D18))/0.85,(B18*(C18*D18)))</f>
        <v>0</v>
      </c>
      <c r="G18" s="22"/>
      <c r="H18" s="3"/>
      <c r="I18" s="3"/>
      <c r="J18" s="3"/>
      <c r="K18" s="3"/>
    </row>
    <row r="19" ht="20.7" customHeight="1">
      <c r="A19" s="66"/>
      <c r="B19" s="67"/>
      <c r="C19" s="67"/>
      <c r="D19" s="68"/>
      <c r="E19" s="69"/>
      <c r="F19" s="18">
        <f>IF(E19=230,(B19*(C19*D19))/0.85,(B19*(C19*D19)))</f>
        <v>0</v>
      </c>
      <c r="G19" s="22"/>
      <c r="H19" s="3"/>
      <c r="I19" s="3"/>
      <c r="J19" s="3"/>
      <c r="K19" s="3"/>
    </row>
    <row r="20" ht="20.7" customHeight="1">
      <c r="A20" s="66"/>
      <c r="B20" s="67"/>
      <c r="C20" s="67"/>
      <c r="D20" s="68"/>
      <c r="E20" s="69"/>
      <c r="F20" s="18">
        <f>IF(E20=230,(B20*(C20*D20))/0.85,(B20*(C20*D20)))</f>
        <v>0</v>
      </c>
      <c r="G20" s="12"/>
      <c r="H20" s="12"/>
      <c r="I20" s="12"/>
      <c r="J20" s="12"/>
      <c r="K20" s="12"/>
    </row>
    <row r="21" ht="20.7" customHeight="1">
      <c r="A21" s="66"/>
      <c r="B21" s="67"/>
      <c r="C21" s="67"/>
      <c r="D21" s="68"/>
      <c r="E21" s="69"/>
      <c r="F21" s="18">
        <f>IF(E21=230,(B21*(C21*D21))/0.85,(B21*(C21*D21)))</f>
        <v>0</v>
      </c>
      <c r="G21" s="22"/>
      <c r="H21" s="3"/>
      <c r="I21" s="3"/>
      <c r="J21" s="3"/>
      <c r="K21" s="3"/>
    </row>
    <row r="22" ht="20.7" customHeight="1">
      <c r="A22" s="66"/>
      <c r="B22" s="67"/>
      <c r="C22" s="67"/>
      <c r="D22" s="68"/>
      <c r="E22" s="69"/>
      <c r="F22" s="18">
        <f>IF(E22=230,(B22*(C22*D22))/0.85,(B22*(C22*D22)))</f>
        <v>0</v>
      </c>
      <c r="G22" s="22"/>
      <c r="H22" t="s" s="24">
        <v>33</v>
      </c>
      <c r="I22" s="3"/>
      <c r="J22" s="3"/>
      <c r="K22" s="3"/>
    </row>
    <row r="23" ht="20.7" customHeight="1">
      <c r="A23" s="66"/>
      <c r="B23" s="67"/>
      <c r="C23" s="67"/>
      <c r="D23" s="68"/>
      <c r="E23" s="69"/>
      <c r="F23" s="18">
        <f>IF(E23=230,(B23*(C23*D23))/0.85,(B23*(C23*D23)))</f>
        <v>0</v>
      </c>
      <c r="G23" s="22"/>
      <c r="H23" t="s" s="25">
        <v>35</v>
      </c>
      <c r="I23" s="3"/>
      <c r="J23" s="3"/>
      <c r="K23" s="3"/>
    </row>
    <row r="24" ht="20.7" customHeight="1">
      <c r="A24" s="66"/>
      <c r="B24" s="67"/>
      <c r="C24" s="67"/>
      <c r="D24" s="68"/>
      <c r="E24" s="69"/>
      <c r="F24" s="18">
        <f>IF(E24=230,(B24*(C24*D24))/0.85,(B24*(C24*D24)))</f>
        <v>0</v>
      </c>
      <c r="G24" s="22"/>
      <c r="H24" s="3"/>
      <c r="I24" s="3"/>
      <c r="J24" s="3"/>
      <c r="K24" s="3"/>
    </row>
    <row r="25" ht="20.7" customHeight="1">
      <c r="A25" s="66"/>
      <c r="B25" s="67"/>
      <c r="C25" s="67"/>
      <c r="D25" s="68"/>
      <c r="E25" s="69"/>
      <c r="F25" s="18">
        <f>IF(E25=230,(B25*(C25*D25))/0.85,(B25*(C25*D25)))</f>
        <v>0</v>
      </c>
      <c r="G25" s="22"/>
      <c r="H25" s="3"/>
      <c r="I25" s="3"/>
      <c r="J25" s="3"/>
      <c r="K25" s="3"/>
    </row>
    <row r="26" ht="20.7" customHeight="1">
      <c r="A26" s="66"/>
      <c r="B26" s="67"/>
      <c r="C26" s="67"/>
      <c r="D26" s="68"/>
      <c r="E26" s="69"/>
      <c r="F26" s="18">
        <f>IF(E26=230,(B26*(C26*D26))/0.85,(B26*(C26*D26)))</f>
        <v>0</v>
      </c>
      <c r="G26" s="22"/>
      <c r="H26" s="3"/>
      <c r="I26" s="3"/>
      <c r="J26" s="3"/>
      <c r="K26" s="3"/>
    </row>
    <row r="27" ht="20.7" customHeight="1">
      <c r="A27" s="66"/>
      <c r="B27" s="67"/>
      <c r="C27" s="67"/>
      <c r="D27" s="68"/>
      <c r="E27" s="69"/>
      <c r="F27" s="18">
        <f>IF(E27=230,(B27*(C27*D27))/0.85,(B27*(C27*D27)))</f>
        <v>0</v>
      </c>
      <c r="G27" s="22"/>
      <c r="H27" s="3"/>
      <c r="I27" s="3"/>
      <c r="J27" s="3"/>
      <c r="K27" s="3"/>
    </row>
    <row r="28" ht="20.7" customHeight="1">
      <c r="A28" s="66"/>
      <c r="B28" s="67"/>
      <c r="C28" s="67"/>
      <c r="D28" s="68"/>
      <c r="E28" s="69"/>
      <c r="F28" s="18">
        <f>IF(E28=230,(B28*(C28*D28))/0.85,(B28*(C28*D28)))</f>
        <v>0</v>
      </c>
      <c r="G28" s="22"/>
      <c r="H28" s="3"/>
      <c r="I28" s="3"/>
      <c r="J28" s="3"/>
      <c r="K28" s="3"/>
    </row>
    <row r="29" ht="20.7" customHeight="1">
      <c r="A29" s="66"/>
      <c r="B29" s="67"/>
      <c r="C29" s="67"/>
      <c r="D29" s="68"/>
      <c r="E29" s="69"/>
      <c r="F29" s="18">
        <f>IF(E29=230,(B29*(C29*D29))/0.85,(B29*(C29*D29)))</f>
        <v>0</v>
      </c>
      <c r="G29" s="22"/>
      <c r="H29" s="3"/>
      <c r="I29" s="3"/>
      <c r="J29" s="3"/>
      <c r="K29" s="3"/>
    </row>
    <row r="30" ht="20.7" customHeight="1">
      <c r="A30" s="66"/>
      <c r="B30" s="67"/>
      <c r="C30" s="67"/>
      <c r="D30" s="68"/>
      <c r="E30" s="69"/>
      <c r="F30" s="18">
        <f>IF(E30=230,(B30*(C30*D30))/0.85,(B30*(C30*D30)))</f>
        <v>0</v>
      </c>
      <c r="G30" s="22"/>
      <c r="H30" s="3"/>
      <c r="I30" s="3"/>
      <c r="J30" s="3"/>
      <c r="K30" s="3"/>
    </row>
    <row r="31" ht="20.35" customHeight="1">
      <c r="A31" t="s" s="71">
        <v>38</v>
      </c>
      <c r="B31" s="72"/>
      <c r="C31" s="72"/>
      <c r="D31" s="73"/>
      <c r="E31" s="17"/>
      <c r="F31" s="18">
        <f>IF(E31=230,(B31*(C31*D31))/0.85,(B31*(C31*D31)))</f>
        <v>0</v>
      </c>
      <c r="G31" s="22"/>
      <c r="H31" s="3"/>
      <c r="I31" s="3"/>
      <c r="J31" s="3"/>
      <c r="K31" s="3"/>
    </row>
    <row r="32" ht="20.05" customHeight="1">
      <c r="A32" t="s" s="16">
        <v>38</v>
      </c>
      <c r="B32" s="27"/>
      <c r="C32" s="27"/>
      <c r="D32" s="74"/>
      <c r="E32" s="17"/>
      <c r="F32" s="18">
        <f>IF(E32=230,(B32*(C32*D32))/0.85,(B32*(C32*D32)))</f>
        <v>0</v>
      </c>
      <c r="G32" s="22"/>
      <c r="H32" s="3"/>
      <c r="I32" s="3"/>
      <c r="J32" s="3"/>
      <c r="K32" s="3"/>
    </row>
    <row r="33" ht="20.05" customHeight="1">
      <c r="A33" t="s" s="16">
        <v>38</v>
      </c>
      <c r="B33" s="27"/>
      <c r="C33" s="27"/>
      <c r="D33" s="74"/>
      <c r="E33" s="17"/>
      <c r="F33" s="18">
        <f>IF(E33=230,(B33*(C33*D33))/0.85,(B33*(C33*D33)))</f>
        <v>0</v>
      </c>
      <c r="G33" s="22"/>
      <c r="H33" s="3"/>
      <c r="I33" s="3"/>
      <c r="J33" s="3"/>
      <c r="K33" s="3"/>
    </row>
    <row r="34" ht="20.05" customHeight="1">
      <c r="A34" t="s" s="16">
        <v>38</v>
      </c>
      <c r="B34" s="27"/>
      <c r="C34" s="27"/>
      <c r="D34" s="74"/>
      <c r="E34" s="27"/>
      <c r="F34" s="18">
        <f>IF(E34=230,(B34*(C34*D34))/0.85,(B34*(C34*D34)))</f>
        <v>0</v>
      </c>
      <c r="G34" s="22"/>
      <c r="H34" s="3"/>
      <c r="I34" s="3"/>
      <c r="J34" s="3"/>
      <c r="K34" s="3"/>
    </row>
    <row r="35" ht="20.05" customHeight="1">
      <c r="A35" t="s" s="16">
        <v>38</v>
      </c>
      <c r="B35" s="27"/>
      <c r="C35" s="27"/>
      <c r="D35" s="74"/>
      <c r="E35" s="27"/>
      <c r="F35" s="18">
        <f>IF(E35=230,(B35*(C35*D35))/0.85,(B35*(C35*D35)))</f>
        <v>0</v>
      </c>
      <c r="G35" s="22"/>
      <c r="H35" s="3"/>
      <c r="I35" s="3"/>
      <c r="J35" s="3"/>
      <c r="K35" s="3"/>
    </row>
    <row r="36" ht="20.05" customHeight="1">
      <c r="A36" t="s" s="16">
        <v>38</v>
      </c>
      <c r="B36" s="27"/>
      <c r="C36" s="27"/>
      <c r="D36" s="74"/>
      <c r="E36" s="27"/>
      <c r="F36" s="18">
        <f>IF(E36=230,(B36*(C36*D36))/0.85,(B36*(C36*D36)))</f>
        <v>0</v>
      </c>
      <c r="G36" s="22"/>
      <c r="H36" s="3"/>
      <c r="I36" s="3"/>
      <c r="J36" s="3"/>
      <c r="K36" s="3"/>
    </row>
    <row r="37" ht="19.85" customHeight="1">
      <c r="A37" t="s" s="28">
        <v>39</v>
      </c>
      <c r="B37" s="29"/>
      <c r="C37" s="29"/>
      <c r="D37" s="30"/>
      <c r="E37" s="75"/>
      <c r="F37" s="76">
        <f>SUM(F7:F36)</f>
        <v>2441.647058823520</v>
      </c>
      <c r="G37" t="s" s="32">
        <v>40</v>
      </c>
      <c r="H37" s="3"/>
      <c r="I37" s="3"/>
      <c r="J37" s="3"/>
      <c r="K37" s="3"/>
    </row>
    <row r="38" ht="19.7" customHeight="1">
      <c r="A38" s="33"/>
      <c r="B38" s="3"/>
      <c r="C38" s="3"/>
      <c r="D38" s="3"/>
      <c r="E38" s="3"/>
      <c r="F38" s="34"/>
      <c r="G38" s="35"/>
      <c r="H38" s="3"/>
      <c r="I38" s="3"/>
      <c r="J38" s="3"/>
      <c r="K38" s="3"/>
    </row>
    <row r="39" ht="19.7" customHeight="1">
      <c r="A39" s="33"/>
      <c r="B39" s="3"/>
      <c r="C39" s="3"/>
      <c r="D39" s="3"/>
      <c r="E39" s="3"/>
      <c r="F39" s="34"/>
      <c r="G39" s="35"/>
      <c r="H39" s="3"/>
      <c r="I39" s="3"/>
      <c r="J39" s="3"/>
      <c r="K39" s="3"/>
    </row>
    <row r="40" ht="187.7" customHeight="1">
      <c r="A40" t="s" s="6">
        <v>41</v>
      </c>
      <c r="B40" s="3"/>
      <c r="C40" s="3"/>
      <c r="D40" s="3"/>
      <c r="E40" s="3"/>
      <c r="F40" s="3"/>
      <c r="G40" s="3"/>
      <c r="H40" s="3"/>
      <c r="I40" s="3"/>
      <c r="J40" s="3"/>
      <c r="K40" s="4"/>
    </row>
    <row r="41" ht="19.85" customHeight="1">
      <c r="A41" s="36"/>
      <c r="B41" s="8"/>
      <c r="C41" s="8"/>
      <c r="D41" s="3"/>
      <c r="E41" s="3"/>
      <c r="F41" s="34"/>
      <c r="G41" s="35"/>
      <c r="H41" s="3"/>
      <c r="I41" s="3"/>
      <c r="J41" s="3"/>
      <c r="K41" s="3"/>
    </row>
    <row r="42" ht="20.05" customHeight="1">
      <c r="A42" t="s" s="37">
        <v>42</v>
      </c>
      <c r="B42" s="38"/>
      <c r="C42" s="38"/>
      <c r="D42" s="22"/>
      <c r="E42" s="3"/>
      <c r="F42" s="34"/>
      <c r="G42" s="35"/>
      <c r="H42" s="3"/>
      <c r="I42" s="3"/>
      <c r="J42" s="3"/>
      <c r="K42" s="3"/>
    </row>
    <row r="43" ht="20.05" customHeight="1">
      <c r="A43" t="s" s="39">
        <v>43</v>
      </c>
      <c r="B43" s="40">
        <v>12</v>
      </c>
      <c r="C43" t="s" s="41">
        <v>44</v>
      </c>
      <c r="D43" t="s" s="42">
        <v>45</v>
      </c>
      <c r="E43" s="77"/>
      <c r="F43" s="3"/>
      <c r="G43" s="35"/>
      <c r="H43" s="3"/>
      <c r="I43" s="3"/>
      <c r="J43" s="3"/>
      <c r="K43" s="3"/>
    </row>
    <row r="44" ht="20.05" customHeight="1">
      <c r="A44" t="s" s="39">
        <v>46</v>
      </c>
      <c r="B44" t="s" s="43">
        <v>47</v>
      </c>
      <c r="C44" s="44"/>
      <c r="D44" t="s" s="42">
        <v>48</v>
      </c>
      <c r="E44" t="s" s="45">
        <v>49</v>
      </c>
      <c r="F44" s="3"/>
      <c r="G44" s="3"/>
      <c r="H44" s="3"/>
      <c r="I44" s="3"/>
      <c r="J44" s="3"/>
      <c r="K44" s="46"/>
    </row>
    <row r="45" ht="20.05" customHeight="1">
      <c r="A45" t="s" s="39">
        <v>50</v>
      </c>
      <c r="B45" s="47">
        <f>F37/B43+(F37/B43*(IF(B44="Gel",50)+IF(B44="Lithium",20)+IF(B44="AGM",70)+IF(B44="Gel Pb/Cb",40))/100)</f>
        <v>244.164705882352</v>
      </c>
      <c r="C45" t="s" s="48">
        <v>51</v>
      </c>
      <c r="D45" t="s" s="42">
        <v>52</v>
      </c>
      <c r="E45" t="s" s="45">
        <v>53</v>
      </c>
      <c r="F45" s="3"/>
      <c r="G45" s="3"/>
      <c r="H45" s="3"/>
      <c r="I45" s="3"/>
      <c r="J45" s="3"/>
      <c r="K45" s="46"/>
    </row>
    <row r="46" ht="20.05" customHeight="1">
      <c r="A46" t="s" s="39">
        <v>54</v>
      </c>
      <c r="B46" s="49">
        <v>300</v>
      </c>
      <c r="C46" t="s" s="50">
        <v>51</v>
      </c>
      <c r="D46" t="s" s="42">
        <v>55</v>
      </c>
      <c r="E46" s="51"/>
      <c r="F46" s="52"/>
      <c r="G46" s="53"/>
      <c r="H46" s="53"/>
      <c r="I46" s="53"/>
      <c r="J46" s="3"/>
      <c r="K46" s="53"/>
    </row>
    <row r="47" ht="28.1" customHeight="1">
      <c r="A47" t="s" s="39">
        <v>56</v>
      </c>
      <c r="B47" s="54">
        <f>B46/B45</f>
        <v>1.22867880890431</v>
      </c>
      <c r="C47" t="s" s="48">
        <v>57</v>
      </c>
      <c r="D47" t="s" s="42">
        <v>58</v>
      </c>
      <c r="E47" t="s" s="55">
        <v>59</v>
      </c>
      <c r="F47" s="3"/>
      <c r="G47" s="3"/>
      <c r="H47" s="3"/>
      <c r="I47" s="3"/>
      <c r="J47" s="3"/>
      <c r="K47" s="56"/>
    </row>
    <row r="48" ht="19.85" customHeight="1">
      <c r="A48" s="57"/>
      <c r="B48" s="23"/>
      <c r="C48" s="3"/>
      <c r="D48" s="3"/>
      <c r="E48" s="3"/>
      <c r="F48" s="58"/>
      <c r="G48" s="35"/>
      <c r="H48" s="3"/>
      <c r="I48" s="3"/>
      <c r="J48" s="3"/>
      <c r="K48" s="3"/>
    </row>
    <row r="49" ht="19.7" customHeight="1">
      <c r="A49" s="4"/>
      <c r="B49" s="3"/>
      <c r="C49" s="3"/>
      <c r="D49" s="3"/>
      <c r="E49" s="3"/>
      <c r="F49" s="58"/>
      <c r="G49" s="35"/>
      <c r="H49" s="3"/>
      <c r="I49" s="3"/>
      <c r="J49" s="3"/>
      <c r="K49" s="3"/>
    </row>
    <row r="50" ht="175.7" customHeight="1">
      <c r="A50" t="s" s="6">
        <v>60</v>
      </c>
      <c r="B50" s="3"/>
      <c r="C50" s="3"/>
      <c r="D50" s="59"/>
      <c r="E50" s="22"/>
      <c r="F50" s="3"/>
      <c r="G50" s="3"/>
      <c r="H50" s="3"/>
      <c r="I50" s="3"/>
      <c r="J50" s="3"/>
      <c r="K50" s="4"/>
    </row>
    <row r="51" ht="19.85" customHeight="1">
      <c r="A51" s="60"/>
      <c r="B51" s="8"/>
      <c r="C51" s="8"/>
      <c r="D51" s="3"/>
      <c r="E51" s="3"/>
      <c r="F51" s="58"/>
      <c r="G51" s="35"/>
      <c r="H51" s="3"/>
      <c r="I51" s="3"/>
      <c r="J51" s="3"/>
      <c r="K51" s="3"/>
    </row>
    <row r="52" ht="20.05" customHeight="1">
      <c r="A52" t="s" s="37">
        <v>61</v>
      </c>
      <c r="B52" s="38"/>
      <c r="C52" s="38"/>
      <c r="D52" s="22"/>
      <c r="E52" s="3"/>
      <c r="F52" s="34"/>
      <c r="G52" s="35"/>
      <c r="H52" s="3"/>
      <c r="I52" s="3"/>
      <c r="J52" s="3"/>
      <c r="K52" s="3"/>
    </row>
    <row r="53" ht="20.05" customHeight="1">
      <c r="A53" t="s" s="39">
        <v>62</v>
      </c>
      <c r="B53" s="49">
        <v>2</v>
      </c>
      <c r="C53" s="30"/>
      <c r="D53" t="s" s="42">
        <v>63</v>
      </c>
      <c r="E53" s="77"/>
      <c r="F53" s="34"/>
      <c r="G53" s="35"/>
      <c r="H53" s="3"/>
      <c r="I53" s="3"/>
      <c r="J53" s="3"/>
      <c r="K53" s="3"/>
    </row>
    <row r="54" ht="20.05" customHeight="1">
      <c r="A54" t="s" s="39">
        <v>64</v>
      </c>
      <c r="B54" s="40">
        <v>5</v>
      </c>
      <c r="C54" t="s" s="50">
        <v>65</v>
      </c>
      <c r="D54" t="s" s="42">
        <v>66</v>
      </c>
      <c r="E54" t="s" s="55">
        <v>67</v>
      </c>
      <c r="F54" s="3"/>
      <c r="G54" s="3"/>
      <c r="H54" s="3"/>
      <c r="I54" s="61"/>
      <c r="J54" s="61"/>
      <c r="K54" s="61"/>
    </row>
    <row r="55" ht="20.05" customHeight="1">
      <c r="A55" t="s" s="39">
        <v>68</v>
      </c>
      <c r="B55" s="47">
        <f>B45*B43/B54/B53</f>
        <v>292.997647058822</v>
      </c>
      <c r="C55" t="s" s="48">
        <v>69</v>
      </c>
      <c r="D55" t="s" s="42">
        <v>70</v>
      </c>
      <c r="E55" t="s" s="45">
        <v>71</v>
      </c>
      <c r="F55" s="3"/>
      <c r="G55" s="3"/>
      <c r="H55" s="3"/>
      <c r="I55" s="3"/>
      <c r="J55" s="62"/>
      <c r="K55" s="62"/>
    </row>
    <row r="56" ht="20.05" customHeight="1">
      <c r="A56" t="s" s="39">
        <v>72</v>
      </c>
      <c r="B56" s="49">
        <v>700</v>
      </c>
      <c r="C56" t="s" s="50">
        <v>69</v>
      </c>
      <c r="D56" t="s" s="42">
        <v>73</v>
      </c>
      <c r="E56" s="34"/>
      <c r="F56" s="35"/>
      <c r="G56" s="3"/>
      <c r="H56" s="3"/>
      <c r="I56" s="3"/>
      <c r="J56" s="3"/>
      <c r="K56" s="3"/>
    </row>
    <row r="57" ht="20.05" customHeight="1">
      <c r="A57" t="s" s="39">
        <v>74</v>
      </c>
      <c r="B57" s="47">
        <f>(B56*B54)/(B45*B43)*100</f>
        <v>119.454884199030</v>
      </c>
      <c r="C57" t="s" s="48">
        <v>75</v>
      </c>
      <c r="D57" t="s" s="42">
        <v>76</v>
      </c>
      <c r="E57" t="s" s="55">
        <v>77</v>
      </c>
      <c r="F57" s="3"/>
      <c r="G57" s="3"/>
      <c r="H57" s="3"/>
      <c r="I57" s="3"/>
      <c r="J57" s="3"/>
      <c r="K57" s="56"/>
    </row>
    <row r="58" ht="19.85" customHeight="1">
      <c r="A58" s="57"/>
      <c r="B58" s="23"/>
      <c r="C58" s="3"/>
      <c r="D58" s="63"/>
      <c r="E58" s="63"/>
      <c r="F58" s="34"/>
      <c r="G58" s="35"/>
      <c r="H58" s="3"/>
      <c r="I58" s="3"/>
      <c r="J58" s="3"/>
      <c r="K58" s="3"/>
    </row>
    <row r="59" ht="19.7" customHeight="1">
      <c r="A59" s="4"/>
      <c r="B59" s="3"/>
      <c r="C59" s="3"/>
      <c r="D59" s="63"/>
      <c r="E59" s="63"/>
      <c r="F59" s="34"/>
      <c r="G59" s="35"/>
      <c r="H59" s="3"/>
      <c r="I59" s="3"/>
      <c r="J59" s="3"/>
      <c r="K59" s="3"/>
    </row>
    <row r="60" ht="19.7" customHeight="1">
      <c r="A60" s="4"/>
      <c r="B60" s="3"/>
      <c r="C60" s="3"/>
      <c r="D60" s="63"/>
      <c r="E60" s="63"/>
      <c r="F60" s="34"/>
      <c r="G60" s="35"/>
      <c r="H60" s="3"/>
      <c r="I60" s="3"/>
      <c r="J60" s="3"/>
      <c r="K60" s="3"/>
    </row>
    <row r="61" ht="19.7" customHeight="1">
      <c r="A61" s="4"/>
      <c r="B61" s="3"/>
      <c r="C61" s="3"/>
      <c r="D61" s="63"/>
      <c r="E61" s="63"/>
      <c r="F61" s="34"/>
      <c r="G61" s="35"/>
      <c r="H61" s="3"/>
      <c r="I61" s="3"/>
      <c r="J61" s="3"/>
      <c r="K61" s="3"/>
    </row>
    <row r="62" ht="19.7" customHeight="1">
      <c r="A62" s="4"/>
      <c r="B62" s="3"/>
      <c r="C62" s="3"/>
      <c r="D62" s="63"/>
      <c r="E62" s="63"/>
      <c r="F62" s="34"/>
      <c r="G62" s="35"/>
      <c r="H62" s="3"/>
      <c r="I62" s="3"/>
      <c r="J62" s="3"/>
      <c r="K62" s="3"/>
    </row>
  </sheetData>
  <mergeCells count="21">
    <mergeCell ref="H6:I6"/>
    <mergeCell ref="A37:D37"/>
    <mergeCell ref="A42:C42"/>
    <mergeCell ref="A52:C52"/>
    <mergeCell ref="H5:I5"/>
    <mergeCell ref="A3:H3"/>
    <mergeCell ref="A40:J40"/>
    <mergeCell ref="A4:H4"/>
    <mergeCell ref="A50:J50"/>
    <mergeCell ref="A1:K1"/>
    <mergeCell ref="A2:H2"/>
    <mergeCell ref="H11:K11"/>
    <mergeCell ref="H12:K21"/>
    <mergeCell ref="H22:K22"/>
    <mergeCell ref="H23:K23"/>
    <mergeCell ref="E44:I44"/>
    <mergeCell ref="E45:I45"/>
    <mergeCell ref="E47:I47"/>
    <mergeCell ref="E54:H54"/>
    <mergeCell ref="E57:J57"/>
    <mergeCell ref="E55:I55"/>
  </mergeCells>
  <conditionalFormatting sqref="B46">
    <cfRule type="cellIs" dxfId="3" priority="1" operator="lessThanOrEqual" stopIfTrue="1">
      <formula>B45</formula>
    </cfRule>
    <cfRule type="cellIs" dxfId="4" priority="2" operator="greaterThan" stopIfTrue="1">
      <formula>B45</formula>
    </cfRule>
  </conditionalFormatting>
  <dataValidations count="3">
    <dataValidation type="list" allowBlank="1" showInputMessage="1" showErrorMessage="1" sqref="B43">
      <formula1>"12,24,48"</formula1>
    </dataValidation>
    <dataValidation type="list" allowBlank="1" showInputMessage="1" showErrorMessage="1" sqref="B44">
      <formula1>"AGM,Gel,Gel Pb/Cb,Lithium"</formula1>
    </dataValidation>
    <dataValidation type="list" allowBlank="1" showInputMessage="1" showErrorMessage="1" sqref="B54">
      <formula1>"1,2,3,4,5,6,7,8,9,10"</formula1>
    </dataValidation>
  </dataValidation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