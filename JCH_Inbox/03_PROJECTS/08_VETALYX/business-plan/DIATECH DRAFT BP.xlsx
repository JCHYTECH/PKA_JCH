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chavauxm5/Library/Mobile Documents/com~apple~CloudDocs/_JCHYTECH STUFF/B - DIATECH/"/>
    </mc:Choice>
  </mc:AlternateContent>
  <xr:revisionPtr revIDLastSave="0" documentId="13_ncr:1_{3CC52BDD-100C-FB4E-AFC8-3E08CCDD0705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DATA Raw" sheetId="2" r:id="rId1"/>
    <sheet name="SALES" sheetId="4" r:id="rId2"/>
    <sheet name="Expense Assumptions" sheetId="6" r:id="rId3"/>
    <sheet name="Annual P&amp;L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/>
  <c r="C15" i="13"/>
  <c r="D34" i="6"/>
  <c r="E34" i="6"/>
  <c r="F34" i="6"/>
  <c r="C34" i="6"/>
  <c r="E25" i="6"/>
  <c r="F25" i="6"/>
  <c r="D25" i="6"/>
  <c r="C25" i="6"/>
  <c r="B25" i="6"/>
  <c r="F31" i="4"/>
  <c r="E31" i="4"/>
  <c r="D31" i="4"/>
  <c r="C31" i="4"/>
  <c r="B31" i="4"/>
  <c r="B26" i="4"/>
  <c r="F69" i="6"/>
  <c r="E69" i="6"/>
  <c r="D69" i="6"/>
  <c r="C69" i="6"/>
  <c r="B69" i="6"/>
  <c r="F67" i="6"/>
  <c r="E67" i="6"/>
  <c r="D67" i="6"/>
  <c r="C67" i="6"/>
  <c r="B67" i="6"/>
  <c r="B71" i="6" s="1"/>
  <c r="C21" i="13" s="1"/>
  <c r="C23" i="13" s="1"/>
  <c r="D65" i="6"/>
  <c r="C65" i="6"/>
  <c r="C64" i="6"/>
  <c r="E62" i="6"/>
  <c r="C62" i="6"/>
  <c r="F61" i="6"/>
  <c r="E61" i="6"/>
  <c r="D61" i="6"/>
  <c r="C61" i="6"/>
  <c r="F60" i="6"/>
  <c r="E60" i="6"/>
  <c r="D60" i="6"/>
  <c r="C60" i="6"/>
  <c r="E59" i="6"/>
  <c r="D59" i="6"/>
  <c r="C59" i="6"/>
  <c r="D57" i="6"/>
  <c r="E57" i="6" s="1"/>
  <c r="F57" i="6" s="1"/>
  <c r="E56" i="6"/>
  <c r="D56" i="6"/>
  <c r="C56" i="6"/>
  <c r="B46" i="6"/>
  <c r="C44" i="6"/>
  <c r="B44" i="6"/>
  <c r="D40" i="6"/>
  <c r="B38" i="6"/>
  <c r="F36" i="6"/>
  <c r="B36" i="6"/>
  <c r="B34" i="6"/>
  <c r="E33" i="6"/>
  <c r="C9" i="6"/>
  <c r="D9" i="6" s="1"/>
  <c r="E9" i="6" s="1"/>
  <c r="F9" i="6" s="1"/>
  <c r="C156" i="4"/>
  <c r="B156" i="4"/>
  <c r="F148" i="4"/>
  <c r="F65" i="6" s="1"/>
  <c r="E148" i="4"/>
  <c r="E65" i="6" s="1"/>
  <c r="D147" i="4"/>
  <c r="E147" i="4" s="1"/>
  <c r="E64" i="6" s="1"/>
  <c r="F144" i="4"/>
  <c r="F62" i="6" s="1"/>
  <c r="E144" i="4"/>
  <c r="D144" i="4"/>
  <c r="D62" i="6" s="1"/>
  <c r="F142" i="4"/>
  <c r="E141" i="4"/>
  <c r="F138" i="4"/>
  <c r="E138" i="4"/>
  <c r="D138" i="4"/>
  <c r="D156" i="4" s="1"/>
  <c r="E137" i="4"/>
  <c r="F137" i="4" s="1"/>
  <c r="B127" i="4"/>
  <c r="C20" i="13" s="1"/>
  <c r="B126" i="4"/>
  <c r="B124" i="4"/>
  <c r="B47" i="6" s="1"/>
  <c r="C122" i="4"/>
  <c r="C124" i="4" s="1"/>
  <c r="C47" i="6" s="1"/>
  <c r="C120" i="4"/>
  <c r="C46" i="6" s="1"/>
  <c r="B120" i="4"/>
  <c r="D118" i="4"/>
  <c r="D120" i="4" s="1"/>
  <c r="D46" i="6" s="1"/>
  <c r="C118" i="4"/>
  <c r="B116" i="4"/>
  <c r="B45" i="6" s="1"/>
  <c r="C114" i="4"/>
  <c r="C126" i="4" s="1"/>
  <c r="C127" i="4" s="1"/>
  <c r="D20" i="13" s="1"/>
  <c r="B112" i="4"/>
  <c r="C110" i="4"/>
  <c r="C112" i="4" s="1"/>
  <c r="C108" i="4"/>
  <c r="C43" i="6" s="1"/>
  <c r="B108" i="4"/>
  <c r="B43" i="6" s="1"/>
  <c r="C106" i="4"/>
  <c r="D106" i="4" s="1"/>
  <c r="E106" i="4" s="1"/>
  <c r="F106" i="4" s="1"/>
  <c r="F108" i="4" s="1"/>
  <c r="F43" i="6" s="1"/>
  <c r="E104" i="4"/>
  <c r="E42" i="6" s="1"/>
  <c r="C104" i="4"/>
  <c r="C42" i="6" s="1"/>
  <c r="B104" i="4"/>
  <c r="B42" i="6" s="1"/>
  <c r="D102" i="4"/>
  <c r="E102" i="4" s="1"/>
  <c r="F102" i="4" s="1"/>
  <c r="F104" i="4" s="1"/>
  <c r="F42" i="6" s="1"/>
  <c r="C102" i="4"/>
  <c r="B100" i="4"/>
  <c r="B41" i="6" s="1"/>
  <c r="C98" i="4"/>
  <c r="D98" i="4" s="1"/>
  <c r="F96" i="4"/>
  <c r="F40" i="6" s="1"/>
  <c r="E96" i="4"/>
  <c r="E40" i="6" s="1"/>
  <c r="D96" i="4"/>
  <c r="C96" i="4"/>
  <c r="C40" i="6" s="1"/>
  <c r="B96" i="4"/>
  <c r="B40" i="6" s="1"/>
  <c r="F94" i="4"/>
  <c r="C92" i="4"/>
  <c r="C39" i="6" s="1"/>
  <c r="B92" i="4"/>
  <c r="B39" i="6" s="1"/>
  <c r="E90" i="4"/>
  <c r="E92" i="4" s="1"/>
  <c r="E39" i="6" s="1"/>
  <c r="D90" i="4"/>
  <c r="D92" i="4" s="1"/>
  <c r="D39" i="6" s="1"/>
  <c r="C90" i="4"/>
  <c r="B88" i="4"/>
  <c r="C86" i="4"/>
  <c r="C88" i="4" s="1"/>
  <c r="C38" i="6" s="1"/>
  <c r="F84" i="4"/>
  <c r="F37" i="6" s="1"/>
  <c r="B84" i="4"/>
  <c r="B37" i="6" s="1"/>
  <c r="C82" i="4"/>
  <c r="F80" i="4"/>
  <c r="E80" i="4"/>
  <c r="E36" i="6" s="1"/>
  <c r="D80" i="4"/>
  <c r="D36" i="6" s="1"/>
  <c r="C80" i="4"/>
  <c r="C36" i="6" s="1"/>
  <c r="B80" i="4"/>
  <c r="D78" i="4"/>
  <c r="E78" i="4" s="1"/>
  <c r="F78" i="4" s="1"/>
  <c r="C76" i="4"/>
  <c r="C35" i="6" s="1"/>
  <c r="B76" i="4"/>
  <c r="B35" i="6" s="1"/>
  <c r="C74" i="4"/>
  <c r="D74" i="4" s="1"/>
  <c r="D76" i="4" s="1"/>
  <c r="D35" i="6" s="1"/>
  <c r="C72" i="4"/>
  <c r="B72" i="4"/>
  <c r="D70" i="4"/>
  <c r="D68" i="4"/>
  <c r="D33" i="6" s="1"/>
  <c r="C68" i="4"/>
  <c r="C33" i="6" s="1"/>
  <c r="B68" i="4"/>
  <c r="B33" i="6" s="1"/>
  <c r="F66" i="4"/>
  <c r="F68" i="4" s="1"/>
  <c r="F33" i="6" s="1"/>
  <c r="E66" i="4"/>
  <c r="E68" i="4" s="1"/>
  <c r="C66" i="4"/>
  <c r="C64" i="4"/>
  <c r="C32" i="6" s="1"/>
  <c r="B64" i="4"/>
  <c r="B32" i="6" s="1"/>
  <c r="D62" i="4"/>
  <c r="D64" i="4" s="1"/>
  <c r="D32" i="6" s="1"/>
  <c r="G43" i="4"/>
  <c r="C39" i="4"/>
  <c r="D39" i="4" s="1"/>
  <c r="E39" i="4" s="1"/>
  <c r="F39" i="4" s="1"/>
  <c r="F37" i="4"/>
  <c r="C37" i="4"/>
  <c r="D37" i="4" s="1"/>
  <c r="E37" i="4" s="1"/>
  <c r="D34" i="4"/>
  <c r="C32" i="4"/>
  <c r="B32" i="4"/>
  <c r="C29" i="4"/>
  <c r="D29" i="4" s="1"/>
  <c r="F35" i="4" s="1"/>
  <c r="B27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F24" i="4" s="1"/>
  <c r="E19" i="4"/>
  <c r="E24" i="4" s="1"/>
  <c r="D19" i="4"/>
  <c r="D24" i="4" s="1"/>
  <c r="C19" i="4"/>
  <c r="C24" i="4" s="1"/>
  <c r="B19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F17" i="4" s="1"/>
  <c r="E12" i="4"/>
  <c r="E17" i="4" s="1"/>
  <c r="D12" i="4"/>
  <c r="D17" i="4" s="1"/>
  <c r="C12" i="4"/>
  <c r="C17" i="4" s="1"/>
  <c r="B12" i="4"/>
  <c r="D5" i="4"/>
  <c r="C5" i="4"/>
  <c r="C23" i="2"/>
  <c r="C24" i="2" s="1"/>
  <c r="C28" i="4" s="1"/>
  <c r="D28" i="4" s="1"/>
  <c r="E28" i="4" s="1"/>
  <c r="F28" i="4" s="1"/>
  <c r="E71" i="6" l="1"/>
  <c r="F21" i="13" s="1"/>
  <c r="C71" i="6"/>
  <c r="D21" i="13" s="1"/>
  <c r="B24" i="4"/>
  <c r="E29" i="4"/>
  <c r="F29" i="4" s="1"/>
  <c r="E35" i="4"/>
  <c r="B17" i="4"/>
  <c r="E108" i="4"/>
  <c r="E43" i="6" s="1"/>
  <c r="D110" i="4"/>
  <c r="E118" i="4"/>
  <c r="F34" i="4"/>
  <c r="D72" i="4"/>
  <c r="E74" i="4"/>
  <c r="C84" i="4"/>
  <c r="C37" i="6" s="1"/>
  <c r="D82" i="4"/>
  <c r="D104" i="4"/>
  <c r="D42" i="6" s="1"/>
  <c r="D23" i="13"/>
  <c r="C25" i="2"/>
  <c r="C26" i="2" s="1"/>
  <c r="E34" i="4"/>
  <c r="E62" i="4"/>
  <c r="F90" i="4"/>
  <c r="F92" i="4" s="1"/>
  <c r="F39" i="6" s="1"/>
  <c r="E98" i="4"/>
  <c r="D100" i="4"/>
  <c r="D41" i="6" s="1"/>
  <c r="C116" i="4"/>
  <c r="C45" i="6" s="1"/>
  <c r="D114" i="4"/>
  <c r="B50" i="6"/>
  <c r="E70" i="4"/>
  <c r="F147" i="4"/>
  <c r="F64" i="6" s="1"/>
  <c r="C27" i="4"/>
  <c r="D33" i="4"/>
  <c r="D86" i="4"/>
  <c r="C100" i="4"/>
  <c r="C41" i="6" s="1"/>
  <c r="C50" i="6" s="1"/>
  <c r="D108" i="4"/>
  <c r="D43" i="6" s="1"/>
  <c r="E156" i="4"/>
  <c r="D122" i="4"/>
  <c r="F59" i="6"/>
  <c r="F141" i="4"/>
  <c r="F156" i="4" s="1"/>
  <c r="E5" i="4"/>
  <c r="D64" i="6"/>
  <c r="D71" i="6" s="1"/>
  <c r="E21" i="13" s="1"/>
  <c r="F56" i="6"/>
  <c r="F71" i="6" l="1"/>
  <c r="G21" i="13" s="1"/>
  <c r="D35" i="4"/>
  <c r="D32" i="4"/>
  <c r="D43" i="4" s="1"/>
  <c r="F5" i="4"/>
  <c r="E72" i="4"/>
  <c r="F70" i="4"/>
  <c r="C26" i="4"/>
  <c r="D27" i="4"/>
  <c r="E33" i="4"/>
  <c r="E32" i="4" s="1"/>
  <c r="E43" i="4" s="1"/>
  <c r="E120" i="4"/>
  <c r="E46" i="6" s="1"/>
  <c r="F118" i="4"/>
  <c r="F120" i="4" s="1"/>
  <c r="F46" i="6" s="1"/>
  <c r="C27" i="2"/>
  <c r="C14" i="13"/>
  <c r="E110" i="4"/>
  <c r="D112" i="4"/>
  <c r="D44" i="6" s="1"/>
  <c r="C13" i="13"/>
  <c r="C7" i="13"/>
  <c r="E100" i="4"/>
  <c r="E41" i="6" s="1"/>
  <c r="F98" i="4"/>
  <c r="F100" i="4" s="1"/>
  <c r="F41" i="6" s="1"/>
  <c r="E82" i="4"/>
  <c r="E84" i="4" s="1"/>
  <c r="E37" i="6" s="1"/>
  <c r="D84" i="4"/>
  <c r="D37" i="6" s="1"/>
  <c r="E122" i="4"/>
  <c r="D124" i="4"/>
  <c r="D47" i="6" s="1"/>
  <c r="D126" i="4"/>
  <c r="D127" i="4" s="1"/>
  <c r="E20" i="13" s="1"/>
  <c r="E23" i="13" s="1"/>
  <c r="E64" i="4"/>
  <c r="E32" i="6" s="1"/>
  <c r="F62" i="4"/>
  <c r="F64" i="4" s="1"/>
  <c r="F32" i="6" s="1"/>
  <c r="E76" i="4"/>
  <c r="E35" i="6" s="1"/>
  <c r="F74" i="4"/>
  <c r="F76" i="4" s="1"/>
  <c r="F35" i="6" s="1"/>
  <c r="D88" i="4"/>
  <c r="D38" i="6" s="1"/>
  <c r="E86" i="4"/>
  <c r="D116" i="4"/>
  <c r="D45" i="6" s="1"/>
  <c r="E114" i="4"/>
  <c r="D50" i="6" l="1"/>
  <c r="C8" i="13"/>
  <c r="E116" i="4"/>
  <c r="E45" i="6" s="1"/>
  <c r="F114" i="4"/>
  <c r="F116" i="4" s="1"/>
  <c r="F45" i="6" s="1"/>
  <c r="E126" i="4"/>
  <c r="E127" i="4" s="1"/>
  <c r="F20" i="13" s="1"/>
  <c r="F23" i="13" s="1"/>
  <c r="F122" i="4"/>
  <c r="E124" i="4"/>
  <c r="E47" i="6" s="1"/>
  <c r="E88" i="4"/>
  <c r="E38" i="6" s="1"/>
  <c r="F86" i="4"/>
  <c r="F88" i="4" s="1"/>
  <c r="F38" i="6" s="1"/>
  <c r="F33" i="4"/>
  <c r="D26" i="4"/>
  <c r="E27" i="4"/>
  <c r="C45" i="4"/>
  <c r="C46" i="4" s="1"/>
  <c r="C30" i="4"/>
  <c r="F72" i="4"/>
  <c r="B45" i="4"/>
  <c r="B46" i="4" s="1"/>
  <c r="B30" i="4"/>
  <c r="B24" i="6" s="1"/>
  <c r="F110" i="4"/>
  <c r="F112" i="4" s="1"/>
  <c r="F44" i="6" s="1"/>
  <c r="E112" i="4"/>
  <c r="E44" i="6" s="1"/>
  <c r="E50" i="6" l="1"/>
  <c r="F124" i="4"/>
  <c r="F47" i="6" s="1"/>
  <c r="F50" i="6" s="1"/>
  <c r="F126" i="4"/>
  <c r="F127" i="4" s="1"/>
  <c r="G20" i="13" s="1"/>
  <c r="G23" i="13" s="1"/>
  <c r="C24" i="6"/>
  <c r="F27" i="4"/>
  <c r="F26" i="4" s="1"/>
  <c r="E26" i="4"/>
  <c r="C26" i="6"/>
  <c r="C51" i="4"/>
  <c r="D10" i="13" s="1"/>
  <c r="D30" i="4"/>
  <c r="D45" i="4"/>
  <c r="D46" i="4" s="1"/>
  <c r="F32" i="4"/>
  <c r="F43" i="4" s="1"/>
  <c r="F36" i="4"/>
  <c r="B26" i="6"/>
  <c r="B51" i="4"/>
  <c r="C6" i="13"/>
  <c r="B27" i="6" l="1"/>
  <c r="C17" i="13" s="1"/>
  <c r="C25" i="13" s="1"/>
  <c r="C30" i="13" s="1"/>
  <c r="E30" i="4"/>
  <c r="E45" i="4"/>
  <c r="E46" i="4" s="1"/>
  <c r="F30" i="4"/>
  <c r="F45" i="4"/>
  <c r="F46" i="4" s="1"/>
  <c r="D24" i="6"/>
  <c r="C27" i="6"/>
  <c r="D15" i="13" s="1"/>
  <c r="D17" i="13" s="1"/>
  <c r="D25" i="13" s="1"/>
  <c r="D30" i="13" s="1"/>
  <c r="D51" i="4"/>
  <c r="E10" i="13" s="1"/>
  <c r="D26" i="6"/>
  <c r="E24" i="6" l="1"/>
  <c r="D27" i="6"/>
  <c r="E15" i="13" s="1"/>
  <c r="E17" i="13" s="1"/>
  <c r="E25" i="13" s="1"/>
  <c r="E30" i="13" s="1"/>
  <c r="F26" i="6"/>
  <c r="F51" i="4"/>
  <c r="G10" i="13" s="1"/>
  <c r="F24" i="6"/>
  <c r="E26" i="6"/>
  <c r="E51" i="4"/>
  <c r="F10" i="13" s="1"/>
  <c r="E27" i="6" l="1"/>
  <c r="F15" i="13" s="1"/>
  <c r="F17" i="13" s="1"/>
  <c r="F25" i="13" s="1"/>
  <c r="F30" i="13" s="1"/>
  <c r="F27" i="6"/>
  <c r="G15" i="13" s="1"/>
  <c r="G17" i="13" s="1"/>
  <c r="G25" i="13" s="1"/>
  <c r="G30" i="13" s="1"/>
  <c r="D13" i="13" l="1"/>
  <c r="D12" i="13"/>
  <c r="D6" i="13" l="1"/>
  <c r="D14" i="13" l="1"/>
  <c r="E14" i="13"/>
  <c r="F7" i="13"/>
  <c r="D7" i="13"/>
  <c r="E12" i="13"/>
  <c r="G8" i="13"/>
  <c r="E13" i="13"/>
  <c r="F6" i="13"/>
  <c r="G13" i="13"/>
  <c r="F12" i="13"/>
  <c r="F13" i="13"/>
  <c r="F14" i="13"/>
  <c r="G6" i="13"/>
  <c r="G12" i="13"/>
  <c r="C12" i="13"/>
  <c r="E6" i="13"/>
  <c r="E7" i="13"/>
  <c r="E8" i="13"/>
  <c r="F8" i="13"/>
  <c r="G7" i="13"/>
  <c r="G14" i="13"/>
  <c r="D8" i="13" l="1"/>
</calcChain>
</file>

<file path=xl/sharedStrings.xml><?xml version="1.0" encoding="utf-8"?>
<sst xmlns="http://schemas.openxmlformats.org/spreadsheetml/2006/main" count="276" uniqueCount="183">
  <si>
    <t>DATA RAW FOR MARKET POTENTIAL CALCULATION</t>
  </si>
  <si>
    <t>Min</t>
  </si>
  <si>
    <t>Max</t>
  </si>
  <si>
    <t>Market Growth %</t>
  </si>
  <si>
    <t>Epidemiology – Allergies</t>
  </si>
  <si>
    <t>Dogs: 12–18% prevalence</t>
  </si>
  <si>
    <t>Cats: 10–14% prevalence</t>
  </si>
  <si>
    <t>Symptomatic cases tested</t>
  </si>
  <si>
    <t>Distribution Strategy EU5</t>
  </si>
  <si>
    <t>• FR: Centravet, Alcyon, Coveto</t>
  </si>
  <si>
    <t>Pet Allergy Diagnostics Market</t>
  </si>
  <si>
    <t>• IT: Agrisan, Virbac Italy</t>
  </si>
  <si>
    <t>Global: $370M (2025) → $714M (2035)</t>
  </si>
  <si>
    <t>• ES: Distrivet, Covetrus</t>
  </si>
  <si>
    <t>KIT SALES PRICES €</t>
  </si>
  <si>
    <t>Min €</t>
  </si>
  <si>
    <t>Max €</t>
  </si>
  <si>
    <t>• DE: Alvetra &amp; Werfft</t>
  </si>
  <si>
    <t>Lab IgE panels ELISA</t>
  </si>
  <si>
    <t>• BE: Ecuphar, Cenvet</t>
  </si>
  <si>
    <t xml:space="preserve">Rapid tests: </t>
  </si>
  <si>
    <t xml:space="preserve">Dot arrays: </t>
  </si>
  <si>
    <t>DIATECH Rapid Test</t>
  </si>
  <si>
    <t>DIATECH Array</t>
  </si>
  <si>
    <t>READER SALES PRICES €</t>
  </si>
  <si>
    <t>Unknown</t>
  </si>
  <si>
    <t>CLINICS &amp; MARKET POTENTIAL TESTS</t>
  </si>
  <si>
    <t xml:space="preserve">Clinics </t>
  </si>
  <si>
    <t>Tests Max</t>
  </si>
  <si>
    <t>France</t>
  </si>
  <si>
    <t>Germany</t>
  </si>
  <si>
    <t>Italy</t>
  </si>
  <si>
    <t>Spain</t>
  </si>
  <si>
    <t>Belgium</t>
  </si>
  <si>
    <t>TEST/Y</t>
  </si>
  <si>
    <t>Metric France</t>
  </si>
  <si>
    <t>Value</t>
  </si>
  <si>
    <t>Notes</t>
  </si>
  <si>
    <t>Number of veterinary clinics</t>
  </si>
  <si>
    <t>Ordre National des Vétérinaires (France)</t>
  </si>
  <si>
    <t>Dogs population (million)</t>
  </si>
  <si>
    <t>FACCO / Kantar</t>
  </si>
  <si>
    <t>Cats population (million)</t>
  </si>
  <si>
    <t>Dermatology-related consultations (%)</t>
  </si>
  <si>
    <t>15–20%</t>
  </si>
  <si>
    <t>Veterinary dermatology benchmarks</t>
  </si>
  <si>
    <t>Average test price (€)</t>
  </si>
  <si>
    <t>JCHYTECH internal pricing</t>
  </si>
  <si>
    <t>Target gross margin (%)</t>
  </si>
  <si>
    <t>Manufacturing &amp; distribution model</t>
  </si>
  <si>
    <t xml:space="preserve"> </t>
  </si>
  <si>
    <t>DIATECH</t>
  </si>
  <si>
    <t>Controls Sheet</t>
  </si>
  <si>
    <t>Amounts in €</t>
  </si>
  <si>
    <t>Year 1</t>
  </si>
  <si>
    <t>Year 2</t>
  </si>
  <si>
    <t>Year 3</t>
  </si>
  <si>
    <t>Year 4</t>
  </si>
  <si>
    <t>Year 5</t>
  </si>
  <si>
    <t>Assumptions for the Annual Period</t>
  </si>
  <si>
    <t>Start Date of the Model</t>
  </si>
  <si>
    <t>REVENUE ASSUMPTIONS</t>
  </si>
  <si>
    <t>Quarterly Sales Targets</t>
  </si>
  <si>
    <t>Thermic Units</t>
  </si>
  <si>
    <t>La 12T Belgium</t>
  </si>
  <si>
    <t>La 12T France</t>
  </si>
  <si>
    <t>La 12T Europe</t>
  </si>
  <si>
    <t>La 12T USA</t>
  </si>
  <si>
    <t>La 12T SE ASIA</t>
  </si>
  <si>
    <t>Electric Units</t>
  </si>
  <si>
    <t>La 12E Belgium</t>
  </si>
  <si>
    <t>La 12E France</t>
  </si>
  <si>
    <t>La 12E Europe</t>
  </si>
  <si>
    <t>La 12E USA</t>
  </si>
  <si>
    <t>La 12E SE ASIA</t>
  </si>
  <si>
    <t>KITS RAPID TEST</t>
  </si>
  <si>
    <t>Total Units Sold</t>
  </si>
  <si>
    <t>FRANCE</t>
  </si>
  <si>
    <t>COUNTRIES 2</t>
  </si>
  <si>
    <t>COUNTRIES 3</t>
  </si>
  <si>
    <t xml:space="preserve">Revenue generated </t>
  </si>
  <si>
    <t>KITS ARRAY</t>
  </si>
  <si>
    <t>READERS</t>
  </si>
  <si>
    <t>NA</t>
  </si>
  <si>
    <t>SERVICES</t>
  </si>
  <si>
    <t>Network and software customization</t>
  </si>
  <si>
    <t>NOT CONSIDERED</t>
  </si>
  <si>
    <t>TOTAL REVENUES</t>
  </si>
  <si>
    <t xml:space="preserve">Distributor Margin </t>
  </si>
  <si>
    <t>Operating Expenses (OPEX) MONTHLY COST</t>
  </si>
  <si>
    <t>Cost of Sales Services as a % of sales</t>
  </si>
  <si>
    <t>Car rental</t>
  </si>
  <si>
    <t>Annual Increase %</t>
  </si>
  <si>
    <t>Commercial vehicle rentals</t>
  </si>
  <si>
    <t>Fuel</t>
  </si>
  <si>
    <t>Travel costs (parking, etc.)</t>
  </si>
  <si>
    <t>Car insurance (omnium)</t>
  </si>
  <si>
    <t>Events , Fairs , Missions</t>
  </si>
  <si>
    <t>Website</t>
  </si>
  <si>
    <t>Advertising / SPONSORSHIP</t>
  </si>
  <si>
    <t>Building rent</t>
  </si>
  <si>
    <t>Office General &amp; Admin</t>
  </si>
  <si>
    <t>Consulting fees STRATEGY / B2B / SALES ORGANIZATION</t>
  </si>
  <si>
    <t xml:space="preserve">Consulting fees REGULATORY AFFAIRS / R&amp;D </t>
  </si>
  <si>
    <t>Accounting fees</t>
  </si>
  <si>
    <t>Lawyer fees</t>
  </si>
  <si>
    <t>Coordination chinese partners</t>
  </si>
  <si>
    <t>Professional contribution</t>
  </si>
  <si>
    <t>Monthly TOTAL</t>
  </si>
  <si>
    <t>Annual TOTAL</t>
  </si>
  <si>
    <t>PAYROLL ASSUMPTIONS</t>
  </si>
  <si>
    <t xml:space="preserve">Management Team </t>
  </si>
  <si>
    <t>Chief Technical Officer - CXO</t>
  </si>
  <si>
    <t>Board of Directors</t>
  </si>
  <si>
    <t>Production Team</t>
  </si>
  <si>
    <t>Production and QC Technician</t>
  </si>
  <si>
    <t>QC Technician</t>
  </si>
  <si>
    <t xml:space="preserve">Quality Insurance </t>
  </si>
  <si>
    <t>Secretary Logistics/ordering etc</t>
  </si>
  <si>
    <t>Sales Team</t>
  </si>
  <si>
    <t>Sales Director (consultant partially paid by % on sales (50% of Revenu)</t>
  </si>
  <si>
    <t>Sales Director (consultant partially paid by % on sales (25% of Revenu)</t>
  </si>
  <si>
    <t xml:space="preserve">Marketing Team </t>
  </si>
  <si>
    <t>Marketing Manager</t>
  </si>
  <si>
    <t xml:space="preserve">Product Development Team </t>
  </si>
  <si>
    <t>IT Project Manager (consultant)</t>
  </si>
  <si>
    <t>Assumptions for the Monthly Period</t>
  </si>
  <si>
    <t>Spare Parts and Aftermarket Services</t>
  </si>
  <si>
    <t>Expense Assumptions Sheet</t>
  </si>
  <si>
    <t>Cost Of Goods Sold (COGS)</t>
  </si>
  <si>
    <t>Thermic Units Sold</t>
  </si>
  <si>
    <t>Thermic Unit Average Cost</t>
  </si>
  <si>
    <t>Distrib Costs</t>
  </si>
  <si>
    <t xml:space="preserve">Cost of sales for Thermic Units </t>
  </si>
  <si>
    <t>Electric Units Sold</t>
  </si>
  <si>
    <t>Electric Unit Average Cost</t>
  </si>
  <si>
    <t xml:space="preserve">Cost of sales for Electric Units </t>
  </si>
  <si>
    <t>Cost of Sales for Spare Parts and Aftermarket Services as a % of sales</t>
  </si>
  <si>
    <t>Distrib Costs or royalties</t>
  </si>
  <si>
    <t>Cost of Sales for Spare Parts and Aftermarket Services</t>
  </si>
  <si>
    <t>PRODUCTS</t>
  </si>
  <si>
    <t>Cost Of Rapid TEST</t>
  </si>
  <si>
    <t>cost of Array TEST</t>
  </si>
  <si>
    <t>Cost of Readers</t>
  </si>
  <si>
    <t xml:space="preserve">Cost of Sales </t>
  </si>
  <si>
    <t>Operating Expenses (OPEX)</t>
  </si>
  <si>
    <t>Consulting fees 1 (JCH)</t>
  </si>
  <si>
    <t>Consulting fees 2 (AB)</t>
  </si>
  <si>
    <t>Overheads</t>
  </si>
  <si>
    <t>Total Operating Expenses</t>
  </si>
  <si>
    <t>Thermic Unit Sales</t>
  </si>
  <si>
    <t>Electric Unit Sales</t>
  </si>
  <si>
    <t>Services</t>
  </si>
  <si>
    <t>Total Revenue</t>
  </si>
  <si>
    <t>Gross Profit</t>
  </si>
  <si>
    <t>Total Operating Expenses including Payroll</t>
  </si>
  <si>
    <t>EBITDA</t>
  </si>
  <si>
    <t>Depreciation &amp; Amortization</t>
  </si>
  <si>
    <t>Interest</t>
  </si>
  <si>
    <t>Profit Before Tax (PBT)</t>
  </si>
  <si>
    <t>Compte de résultat annuel
Montants en €</t>
  </si>
  <si>
    <t>Annual Profit &amp; Loss Statement</t>
  </si>
  <si>
    <t>Hypothèses pour la période annuelle</t>
  </si>
  <si>
    <t>SIM</t>
  </si>
  <si>
    <t>Subventions à la R&amp;D</t>
  </si>
  <si>
    <t>Chiffre d'affaires total</t>
  </si>
  <si>
    <t>Coût total des marchandises vendues</t>
  </si>
  <si>
    <t xml:space="preserve">Total COGS </t>
  </si>
  <si>
    <t>Bénéfice brut</t>
  </si>
  <si>
    <t xml:space="preserve">  </t>
  </si>
  <si>
    <t>Total des dépenses d'exploitation</t>
  </si>
  <si>
    <t>dépenses salariales</t>
  </si>
  <si>
    <t xml:space="preserve">Payroll Expenses </t>
  </si>
  <si>
    <t>Total des dépenses d'exploitation, y compris la masse salariale</t>
  </si>
  <si>
    <t>Amortissement et dépréciation</t>
  </si>
  <si>
    <t>Intérêt</t>
  </si>
  <si>
    <t>Bénéfice avant impôt (BAI)</t>
  </si>
  <si>
    <t>Regulatory including 9001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</si>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</sst>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??_ ;_ @_ "/>
    <numFmt numFmtId="165" formatCode="_([$€-2]\ * #,##0_);_([$€-2]\ * \(#,##0\);_([$€-2]\ * &quot;-&quot;??_);_(@_)"/>
    <numFmt numFmtId="166" formatCode="0.0"/>
    <numFmt numFmtId="167" formatCode="d/m/yyyy"/>
    <numFmt numFmtId="168" formatCode="_(\$* #,##0_);_(\$* \(#,##0\);_(\$* &quot;-&quot;??_);_(@_)"/>
  </numFmts>
  <fonts count="38">
    <font>
      <sz val="10"/>
      <color rgb="FF000000"/>
      <name val="Arial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0"/>
      <name val="Arial"/>
      <family val="2"/>
    </font>
    <font>
      <b/>
      <sz val="9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b/>
      <sz val="2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i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rgb="FF0070C0"/>
      <name val="Arial"/>
      <family val="2"/>
    </font>
    <font>
      <i/>
      <sz val="9"/>
      <color rgb="FFDC000B"/>
      <name val="Arial"/>
      <family val="2"/>
    </font>
    <font>
      <sz val="9"/>
      <color rgb="FF00B0F0"/>
      <name val="Arial"/>
      <family val="2"/>
    </font>
    <font>
      <b/>
      <sz val="9"/>
      <color rgb="FF00B0F0"/>
      <name val="Arial"/>
      <family val="2"/>
    </font>
    <font>
      <i/>
      <sz val="9"/>
      <color rgb="FF002060"/>
      <name val="Arial"/>
      <family val="2"/>
    </font>
    <font>
      <b/>
      <i/>
      <sz val="11"/>
      <color theme="5"/>
      <name val="Arial"/>
      <family val="2"/>
    </font>
    <font>
      <sz val="10"/>
      <color theme="0"/>
      <name val="Arial"/>
      <family val="2"/>
    </font>
    <font>
      <b/>
      <sz val="8"/>
      <color rgb="FF000000"/>
      <name val="Arial"/>
      <family val="2"/>
    </font>
    <font>
      <b/>
      <sz val="11"/>
      <color rgb="FF000845"/>
      <name val="Arial"/>
      <family val="2"/>
    </font>
    <font>
      <sz val="9"/>
      <color rgb="FF2481A1"/>
      <name val="Arial"/>
      <family val="2"/>
    </font>
    <font>
      <i/>
      <sz val="9"/>
      <color rgb="FF0070C0"/>
      <name val="Arial"/>
      <family val="2"/>
    </font>
    <font>
      <i/>
      <sz val="9"/>
      <color rgb="FF00B050"/>
      <name val="Arial"/>
      <family val="2"/>
    </font>
    <font>
      <i/>
      <sz val="9"/>
      <color rgb="FFC00000"/>
      <name val="Arial"/>
      <family val="2"/>
    </font>
    <font>
      <sz val="9"/>
      <color rgb="FF002060"/>
      <name val="Arial"/>
      <family val="2"/>
    </font>
    <font>
      <sz val="9"/>
      <color theme="5"/>
      <name val="Arial"/>
      <family val="2"/>
    </font>
    <font>
      <i/>
      <sz val="9"/>
      <color rgb="FF2481A1"/>
      <name val="Arial"/>
      <family val="2"/>
    </font>
    <font>
      <b/>
      <sz val="14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3"/>
      <color rgb="FF4F81BD"/>
      <name val="Arial"/>
      <family val="2"/>
      <scheme val="major"/>
    </font>
    <font>
      <b/>
      <sz val="11"/>
      <color theme="1"/>
      <name val="Arial"/>
      <family val="2"/>
      <scheme val="major"/>
    </font>
    <font>
      <sz val="10"/>
      <color theme="1"/>
      <name val="Arial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0AE03"/>
        <bgColor rgb="FFF0AE03"/>
      </patternFill>
    </fill>
    <fill>
      <patternFill patternType="solid">
        <fgColor rgb="FF2493A1"/>
        <bgColor rgb="FF2493A1"/>
      </patternFill>
    </fill>
    <fill>
      <patternFill patternType="solid">
        <fgColor rgb="FFC7EDF2"/>
        <bgColor rgb="FFC7EDF2"/>
      </patternFill>
    </fill>
    <fill>
      <patternFill patternType="solid">
        <fgColor rgb="FFFFFF00"/>
        <bgColor rgb="FFFFFF00"/>
      </patternFill>
    </fill>
    <fill>
      <patternFill patternType="solid">
        <fgColor rgb="FF171717"/>
        <bgColor rgb="FF171717"/>
      </patternFill>
    </fill>
    <fill>
      <patternFill patternType="solid">
        <fgColor rgb="FFD9E7FD"/>
        <bgColor rgb="FFD9E7FD"/>
      </patternFill>
    </fill>
    <fill>
      <patternFill patternType="solid">
        <fgColor rgb="FFD6DCE4"/>
        <bgColor rgb="FFD6DCE4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DC000B"/>
        <bgColor rgb="FFDC000B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2" xfId="0" applyFont="1" applyBorder="1"/>
    <xf numFmtId="0" fontId="7" fillId="0" borderId="0" xfId="0" applyFont="1"/>
    <xf numFmtId="0" fontId="9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3" fillId="0" borderId="0" xfId="0" applyFont="1"/>
    <xf numFmtId="17" fontId="16" fillId="8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3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9" borderId="1" xfId="0" applyFont="1" applyFill="1" applyBorder="1" applyAlignment="1">
      <alignment vertical="center"/>
    </xf>
    <xf numFmtId="164" fontId="16" fillId="8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65" fontId="2" fillId="0" borderId="0" xfId="0" applyNumberFormat="1" applyFont="1"/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/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64" fontId="8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9" fontId="16" fillId="0" borderId="0" xfId="0" applyNumberFormat="1" applyFont="1" applyAlignment="1">
      <alignment vertical="center"/>
    </xf>
    <xf numFmtId="9" fontId="16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64" fontId="6" fillId="10" borderId="2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vertical="center"/>
    </xf>
    <xf numFmtId="9" fontId="2" fillId="0" borderId="2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9" fontId="2" fillId="0" borderId="0" xfId="0" applyNumberFormat="1" applyFont="1" applyAlignment="1">
      <alignment vertical="center"/>
    </xf>
    <xf numFmtId="0" fontId="15" fillId="1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5" fontId="16" fillId="8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9" fontId="16" fillId="8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1" fontId="1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1" fontId="18" fillId="0" borderId="0" xfId="0" applyNumberFormat="1" applyFont="1" applyAlignment="1">
      <alignment horizontal="right" vertical="center"/>
    </xf>
    <xf numFmtId="0" fontId="4" fillId="10" borderId="1" xfId="0" applyFont="1" applyFill="1" applyBorder="1"/>
    <xf numFmtId="166" fontId="19" fillId="0" borderId="0" xfId="0" applyNumberFormat="1" applyFont="1" applyAlignment="1">
      <alignment vertical="center"/>
    </xf>
    <xf numFmtId="0" fontId="4" fillId="0" borderId="0" xfId="0" applyFont="1" applyAlignment="1">
      <alignment horizontal="right"/>
    </xf>
    <xf numFmtId="165" fontId="18" fillId="0" borderId="0" xfId="0" applyNumberFormat="1" applyFont="1" applyAlignment="1">
      <alignment vertical="center"/>
    </xf>
    <xf numFmtId="37" fontId="20" fillId="2" borderId="1" xfId="0" applyNumberFormat="1" applyFont="1" applyFill="1" applyBorder="1" applyAlignment="1">
      <alignment horizontal="left" vertical="center"/>
    </xf>
    <xf numFmtId="165" fontId="16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7" borderId="1" xfId="0" applyFont="1" applyFill="1" applyBorder="1"/>
    <xf numFmtId="0" fontId="21" fillId="7" borderId="1" xfId="0" applyFont="1" applyFill="1" applyBorder="1"/>
    <xf numFmtId="0" fontId="10" fillId="7" borderId="1" xfId="0" applyFont="1" applyFill="1" applyBorder="1"/>
    <xf numFmtId="0" fontId="11" fillId="7" borderId="1" xfId="0" applyFont="1" applyFill="1" applyBorder="1"/>
    <xf numFmtId="0" fontId="22" fillId="7" borderId="1" xfId="0" applyFont="1" applyFill="1" applyBorder="1"/>
    <xf numFmtId="0" fontId="12" fillId="7" borderId="1" xfId="0" applyFont="1" applyFill="1" applyBorder="1"/>
    <xf numFmtId="0" fontId="13" fillId="7" borderId="1" xfId="0" applyFont="1" applyFill="1" applyBorder="1"/>
    <xf numFmtId="0" fontId="14" fillId="7" borderId="1" xfId="0" applyFont="1" applyFill="1" applyBorder="1"/>
    <xf numFmtId="0" fontId="15" fillId="7" borderId="1" xfId="0" applyFont="1" applyFill="1" applyBorder="1" applyAlignment="1">
      <alignment horizontal="center"/>
    </xf>
    <xf numFmtId="0" fontId="23" fillId="0" borderId="0" xfId="0" applyFont="1"/>
    <xf numFmtId="0" fontId="15" fillId="7" borderId="1" xfId="0" applyFont="1" applyFill="1" applyBorder="1"/>
    <xf numFmtId="0" fontId="8" fillId="0" borderId="7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5" fontId="6" fillId="0" borderId="0" xfId="0" applyNumberFormat="1" applyFont="1"/>
    <xf numFmtId="0" fontId="1" fillId="3" borderId="2" xfId="0" applyFont="1" applyFill="1" applyBorder="1" applyAlignment="1">
      <alignment vertical="center"/>
    </xf>
    <xf numFmtId="165" fontId="2" fillId="0" borderId="2" xfId="0" applyNumberFormat="1" applyFont="1" applyBorder="1"/>
    <xf numFmtId="0" fontId="8" fillId="0" borderId="2" xfId="0" applyFont="1" applyBorder="1" applyAlignment="1">
      <alignment vertical="center"/>
    </xf>
    <xf numFmtId="165" fontId="6" fillId="0" borderId="2" xfId="0" applyNumberFormat="1" applyFont="1" applyBorder="1"/>
    <xf numFmtId="0" fontId="8" fillId="3" borderId="2" xfId="0" applyFont="1" applyFill="1" applyBorder="1" applyAlignment="1">
      <alignment vertical="center"/>
    </xf>
    <xf numFmtId="0" fontId="4" fillId="6" borderId="2" xfId="0" applyFont="1" applyFill="1" applyBorder="1"/>
    <xf numFmtId="0" fontId="6" fillId="0" borderId="2" xfId="0" applyFont="1" applyBorder="1"/>
    <xf numFmtId="0" fontId="15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165" fontId="25" fillId="0" borderId="0" xfId="0" applyNumberFormat="1" applyFont="1"/>
    <xf numFmtId="0" fontId="24" fillId="7" borderId="1" xfId="0" applyFont="1" applyFill="1" applyBorder="1"/>
    <xf numFmtId="165" fontId="1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165" fontId="26" fillId="0" borderId="0" xfId="0" applyNumberFormat="1" applyFont="1"/>
    <xf numFmtId="165" fontId="8" fillId="0" borderId="7" xfId="0" applyNumberFormat="1" applyFont="1" applyBorder="1" applyAlignment="1">
      <alignment horizontal="center"/>
    </xf>
    <xf numFmtId="168" fontId="1" fillId="0" borderId="0" xfId="0" applyNumberFormat="1" applyFont="1"/>
    <xf numFmtId="165" fontId="6" fillId="0" borderId="7" xfId="0" applyNumberFormat="1" applyFont="1" applyBorder="1"/>
    <xf numFmtId="0" fontId="5" fillId="7" borderId="1" xfId="0" applyFont="1" applyFill="1" applyBorder="1" applyAlignment="1">
      <alignment wrapText="1"/>
    </xf>
    <xf numFmtId="165" fontId="13" fillId="0" borderId="0" xfId="0" applyNumberFormat="1" applyFont="1"/>
    <xf numFmtId="0" fontId="8" fillId="0" borderId="8" xfId="0" applyFont="1" applyBorder="1"/>
    <xf numFmtId="165" fontId="8" fillId="0" borderId="8" xfId="0" applyNumberFormat="1" applyFont="1" applyBorder="1"/>
    <xf numFmtId="0" fontId="28" fillId="0" borderId="0" xfId="0" applyFont="1" applyAlignment="1">
      <alignment horizontal="left"/>
    </xf>
    <xf numFmtId="165" fontId="28" fillId="0" borderId="0" xfId="0" applyNumberFormat="1" applyFont="1"/>
    <xf numFmtId="165" fontId="29" fillId="0" borderId="0" xfId="0" applyNumberFormat="1" applyFont="1"/>
    <xf numFmtId="0" fontId="8" fillId="0" borderId="7" xfId="0" applyFont="1" applyBorder="1" applyAlignment="1">
      <alignment horizontal="left"/>
    </xf>
    <xf numFmtId="165" fontId="30" fillId="0" borderId="0" xfId="0" applyNumberFormat="1" applyFont="1"/>
    <xf numFmtId="9" fontId="2" fillId="0" borderId="0" xfId="0" applyNumberFormat="1" applyFont="1"/>
    <xf numFmtId="165" fontId="31" fillId="0" borderId="0" xfId="0" applyNumberFormat="1" applyFont="1"/>
    <xf numFmtId="0" fontId="15" fillId="13" borderId="6" xfId="0" applyFont="1" applyFill="1" applyBorder="1"/>
    <xf numFmtId="165" fontId="15" fillId="13" borderId="6" xfId="0" applyNumberFormat="1" applyFont="1" applyFill="1" applyBorder="1" applyAlignment="1">
      <alignment horizontal="center"/>
    </xf>
    <xf numFmtId="0" fontId="27" fillId="0" borderId="0" xfId="0" applyFont="1"/>
    <xf numFmtId="0" fontId="8" fillId="0" borderId="7" xfId="0" applyFont="1" applyBorder="1"/>
    <xf numFmtId="165" fontId="8" fillId="0" borderId="7" xfId="0" applyNumberFormat="1" applyFont="1" applyBorder="1"/>
    <xf numFmtId="0" fontId="4" fillId="14" borderId="2" xfId="0" applyFont="1" applyFill="1" applyBorder="1"/>
    <xf numFmtId="165" fontId="2" fillId="14" borderId="2" xfId="0" applyNumberFormat="1" applyFont="1" applyFill="1" applyBorder="1"/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4" fillId="14" borderId="0" xfId="0" applyFont="1" applyFill="1" applyAlignment="1">
      <alignment vertical="center"/>
    </xf>
    <xf numFmtId="0" fontId="33" fillId="14" borderId="0" xfId="0" applyFont="1" applyFill="1"/>
    <xf numFmtId="0" fontId="33" fillId="4" borderId="1" xfId="0" applyFont="1" applyFill="1" applyBorder="1"/>
    <xf numFmtId="0" fontId="33" fillId="5" borderId="1" xfId="0" applyFont="1" applyFill="1" applyBorder="1"/>
    <xf numFmtId="0" fontId="34" fillId="0" borderId="0" xfId="0" applyFont="1"/>
    <xf numFmtId="0" fontId="32" fillId="0" borderId="2" xfId="0" applyFont="1" applyBorder="1"/>
    <xf numFmtId="0" fontId="33" fillId="0" borderId="2" xfId="0" applyFont="1" applyBorder="1" applyAlignment="1">
      <alignment horizontal="center"/>
    </xf>
    <xf numFmtId="0" fontId="33" fillId="0" borderId="2" xfId="0" applyFont="1" applyBorder="1"/>
    <xf numFmtId="0" fontId="33" fillId="2" borderId="1" xfId="0" applyFont="1" applyFill="1" applyBorder="1"/>
    <xf numFmtId="0" fontId="36" fillId="0" borderId="2" xfId="0" applyFont="1" applyBorder="1" applyAlignment="1">
      <alignment horizontal="center" vertical="top"/>
    </xf>
    <xf numFmtId="0" fontId="3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5" zoomScale="65" zoomScaleNormal="195" workbookViewId="0">
      <selection activeCell="A15" sqref="A15"/>
    </sheetView>
  </sheetViews>
  <sheetFormatPr baseColWidth="10" defaultColWidth="12.6640625" defaultRowHeight="15" customHeight="1"/>
  <cols>
    <col min="1" max="1" width="48.33203125" style="123" customWidth="1"/>
    <col min="2" max="2" width="7.33203125" style="123" customWidth="1"/>
    <col min="3" max="3" width="32" style="123" customWidth="1"/>
    <col min="4" max="4" width="8.6640625" style="123" customWidth="1"/>
    <col min="5" max="6" width="10.1640625" style="123" customWidth="1"/>
    <col min="7" max="7" width="11.5" style="123" customWidth="1"/>
    <col min="8" max="8" width="18.6640625" style="123" customWidth="1"/>
    <col min="9" max="26" width="11.5" style="123" customWidth="1"/>
    <col min="27" max="16384" width="12.6640625" style="123"/>
  </cols>
  <sheetData>
    <row r="1" spans="1:7" ht="33" customHeight="1">
      <c r="A1" s="122" t="s">
        <v>0</v>
      </c>
    </row>
    <row r="2" spans="1:7" ht="33" customHeight="1">
      <c r="A2" s="122"/>
      <c r="B2" s="123" t="s">
        <v>1</v>
      </c>
      <c r="C2" s="123" t="s">
        <v>2</v>
      </c>
    </row>
    <row r="3" spans="1:7" ht="33" customHeight="1">
      <c r="A3" s="122" t="s">
        <v>3</v>
      </c>
      <c r="B3" s="123">
        <v>8</v>
      </c>
      <c r="C3" s="123">
        <v>12</v>
      </c>
    </row>
    <row r="4" spans="1:7" ht="33" customHeight="1">
      <c r="A4" s="122"/>
    </row>
    <row r="5" spans="1:7" ht="33" customHeight="1">
      <c r="A5" s="122" t="s">
        <v>4</v>
      </c>
    </row>
    <row r="6" spans="1:7" ht="33" customHeight="1">
      <c r="A6" s="124" t="s">
        <v>5</v>
      </c>
      <c r="B6" s="123">
        <v>12</v>
      </c>
      <c r="C6" s="123">
        <v>18</v>
      </c>
    </row>
    <row r="7" spans="1:7" ht="33" customHeight="1">
      <c r="A7" s="124" t="s">
        <v>6</v>
      </c>
      <c r="B7" s="123">
        <v>10</v>
      </c>
      <c r="C7" s="123">
        <v>14</v>
      </c>
    </row>
    <row r="8" spans="1:7" ht="33" customHeight="1">
      <c r="A8" s="124" t="s">
        <v>7</v>
      </c>
      <c r="C8" s="123">
        <v>25</v>
      </c>
      <c r="G8" s="125" t="s">
        <v>8</v>
      </c>
    </row>
    <row r="9" spans="1:7" ht="33" customHeight="1">
      <c r="A9" s="124"/>
      <c r="G9" s="124" t="s">
        <v>9</v>
      </c>
    </row>
    <row r="10" spans="1:7" ht="33" customHeight="1">
      <c r="A10" s="122" t="s">
        <v>10</v>
      </c>
      <c r="G10" s="124" t="s">
        <v>11</v>
      </c>
    </row>
    <row r="11" spans="1:7" ht="33" customHeight="1">
      <c r="A11" s="124" t="s">
        <v>12</v>
      </c>
      <c r="G11" s="124" t="s">
        <v>13</v>
      </c>
    </row>
    <row r="12" spans="1:7" ht="33" customHeight="1">
      <c r="A12" s="122" t="s">
        <v>14</v>
      </c>
      <c r="B12" s="123" t="s">
        <v>15</v>
      </c>
      <c r="C12" s="123" t="s">
        <v>16</v>
      </c>
      <c r="G12" s="124" t="s">
        <v>17</v>
      </c>
    </row>
    <row r="13" spans="1:7" ht="33" customHeight="1">
      <c r="A13" s="126" t="s">
        <v>18</v>
      </c>
      <c r="B13" s="127">
        <v>85</v>
      </c>
      <c r="C13" s="127">
        <v>150</v>
      </c>
      <c r="G13" s="124" t="s">
        <v>19</v>
      </c>
    </row>
    <row r="14" spans="1:7" ht="33" customHeight="1">
      <c r="A14" s="124" t="s">
        <v>20</v>
      </c>
      <c r="B14" s="123">
        <v>28</v>
      </c>
      <c r="C14" s="123">
        <v>45</v>
      </c>
    </row>
    <row r="15" spans="1:7" ht="33" customHeight="1">
      <c r="A15" s="124" t="s">
        <v>21</v>
      </c>
      <c r="B15" s="123">
        <v>120</v>
      </c>
      <c r="C15" s="123">
        <v>180</v>
      </c>
    </row>
    <row r="16" spans="1:7" ht="33" customHeight="1">
      <c r="A16" s="124" t="s">
        <v>22</v>
      </c>
      <c r="B16" s="128">
        <v>35</v>
      </c>
      <c r="C16" s="129">
        <v>39</v>
      </c>
    </row>
    <row r="17" spans="1:8" ht="33" customHeight="1">
      <c r="A17" s="130" t="s">
        <v>23</v>
      </c>
      <c r="B17" s="128">
        <v>120</v>
      </c>
      <c r="C17" s="129">
        <v>150</v>
      </c>
    </row>
    <row r="18" spans="1:8" ht="33" customHeight="1">
      <c r="A18" s="122" t="s">
        <v>24</v>
      </c>
    </row>
    <row r="19" spans="1:8" ht="33" customHeight="1">
      <c r="A19" s="124" t="s">
        <v>25</v>
      </c>
      <c r="B19" s="123">
        <v>1000</v>
      </c>
    </row>
    <row r="20" spans="1:8" ht="33" customHeight="1">
      <c r="A20" s="124"/>
    </row>
    <row r="21" spans="1:8" ht="33" customHeight="1">
      <c r="A21" s="131" t="s">
        <v>26</v>
      </c>
      <c r="B21" s="132" t="s">
        <v>27</v>
      </c>
      <c r="C21" s="132" t="s">
        <v>28</v>
      </c>
    </row>
    <row r="22" spans="1:8" ht="33" customHeight="1">
      <c r="A22" s="133" t="s">
        <v>29</v>
      </c>
      <c r="B22" s="133">
        <v>7200</v>
      </c>
      <c r="C22" s="133">
        <v>270000</v>
      </c>
    </row>
    <row r="23" spans="1:8" ht="33" customHeight="1">
      <c r="A23" s="133" t="s">
        <v>30</v>
      </c>
      <c r="B23" s="133">
        <v>10000</v>
      </c>
      <c r="C23" s="133">
        <f t="shared" ref="C23:C26" si="0">+C22/B22*B23</f>
        <v>375000</v>
      </c>
      <c r="G23" s="134"/>
      <c r="H23" s="134"/>
    </row>
    <row r="24" spans="1:8" ht="33" customHeight="1">
      <c r="A24" s="133" t="s">
        <v>31</v>
      </c>
      <c r="B24" s="133">
        <v>8500</v>
      </c>
      <c r="C24" s="133">
        <f t="shared" si="0"/>
        <v>318750</v>
      </c>
    </row>
    <row r="25" spans="1:8" ht="33" customHeight="1">
      <c r="A25" s="133" t="s">
        <v>32</v>
      </c>
      <c r="B25" s="133">
        <v>7100</v>
      </c>
      <c r="C25" s="133">
        <f t="shared" si="0"/>
        <v>266250</v>
      </c>
    </row>
    <row r="26" spans="1:8" ht="33" customHeight="1">
      <c r="A26" s="133" t="s">
        <v>33</v>
      </c>
      <c r="B26" s="133">
        <v>750</v>
      </c>
      <c r="C26" s="133">
        <f t="shared" si="0"/>
        <v>28125</v>
      </c>
    </row>
    <row r="27" spans="1:8" ht="33" customHeight="1">
      <c r="C27" s="133">
        <f>SUM(C22:C26)</f>
        <v>1258125</v>
      </c>
      <c r="D27" s="123" t="s">
        <v>34</v>
      </c>
    </row>
    <row r="28" spans="1:8" ht="33" customHeight="1"/>
    <row r="29" spans="1:8" ht="33" customHeight="1"/>
    <row r="30" spans="1:8" ht="33" customHeight="1"/>
    <row r="31" spans="1:8" ht="33" customHeight="1"/>
    <row r="32" spans="1:8" ht="33" customHeight="1">
      <c r="A32" s="135" t="s">
        <v>35</v>
      </c>
      <c r="B32" s="135" t="s">
        <v>36</v>
      </c>
      <c r="C32" s="135" t="s">
        <v>37</v>
      </c>
    </row>
    <row r="33" spans="1:3" ht="33" customHeight="1">
      <c r="A33" s="136" t="s">
        <v>38</v>
      </c>
      <c r="B33" s="136">
        <v>7500</v>
      </c>
      <c r="C33" s="136" t="s">
        <v>39</v>
      </c>
    </row>
    <row r="34" spans="1:3" ht="33" customHeight="1">
      <c r="A34" s="136" t="s">
        <v>40</v>
      </c>
      <c r="B34" s="136">
        <v>7.6</v>
      </c>
      <c r="C34" s="136" t="s">
        <v>41</v>
      </c>
    </row>
    <row r="35" spans="1:3" ht="33" customHeight="1">
      <c r="A35" s="136" t="s">
        <v>42</v>
      </c>
      <c r="B35" s="136">
        <v>15.1</v>
      </c>
      <c r="C35" s="136" t="s">
        <v>41</v>
      </c>
    </row>
    <row r="36" spans="1:3" ht="33" customHeight="1">
      <c r="A36" s="136" t="s">
        <v>43</v>
      </c>
      <c r="B36" s="136" t="s">
        <v>44</v>
      </c>
      <c r="C36" s="136" t="s">
        <v>45</v>
      </c>
    </row>
    <row r="37" spans="1:3" ht="33" customHeight="1">
      <c r="A37" s="136" t="s">
        <v>46</v>
      </c>
      <c r="B37" s="136">
        <v>35</v>
      </c>
      <c r="C37" s="136" t="s">
        <v>47</v>
      </c>
    </row>
    <row r="38" spans="1:3" ht="33" customHeight="1">
      <c r="A38" s="136" t="s">
        <v>48</v>
      </c>
      <c r="B38" s="136">
        <v>60</v>
      </c>
      <c r="C38" s="136" t="s">
        <v>49</v>
      </c>
    </row>
    <row r="39" spans="1:3" ht="33" customHeight="1"/>
    <row r="40" spans="1:3" ht="33" customHeight="1"/>
    <row r="41" spans="1:3" ht="12.75" customHeight="1"/>
    <row r="42" spans="1:3" ht="12.75" customHeight="1"/>
    <row r="43" spans="1:3" ht="12.75" customHeight="1"/>
    <row r="44" spans="1:3" ht="12.75" customHeight="1"/>
    <row r="45" spans="1:3" ht="12.75" customHeight="1"/>
    <row r="46" spans="1:3" ht="12.75" customHeight="1"/>
    <row r="47" spans="1:3" ht="12.75" customHeight="1"/>
    <row r="48" spans="1:3" ht="12.75" customHeight="1"/>
    <row r="49" spans="9:26" ht="12.75" customHeight="1"/>
    <row r="50" spans="9:26" ht="12.75" customHeight="1"/>
    <row r="51" spans="9:26" ht="12.75" customHeight="1"/>
    <row r="52" spans="9:26" ht="12.75" customHeight="1"/>
    <row r="53" spans="9:26" ht="12.75" customHeight="1"/>
    <row r="54" spans="9:26" ht="12.75" customHeight="1"/>
    <row r="55" spans="9:26" ht="12.75" customHeight="1"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spans="9:26" ht="12.75" customHeight="1"/>
    <row r="57" spans="9:26" ht="12.75" customHeight="1"/>
    <row r="58" spans="9:26" ht="12.75" customHeight="1"/>
    <row r="59" spans="9:26" ht="12.75" customHeight="1"/>
    <row r="60" spans="9:26" ht="12.75" customHeight="1"/>
    <row r="61" spans="9:26" ht="12.75" customHeight="1"/>
    <row r="62" spans="9:26" ht="12.75" customHeight="1"/>
    <row r="63" spans="9:26" ht="12.75" customHeight="1"/>
    <row r="64" spans="9:2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A1000"/>
  <sheetViews>
    <sheetView showGridLines="0" tabSelected="1" zoomScale="109" zoomScaleNormal="283" workbookViewId="0">
      <pane xSplit="1" ySplit="5" topLeftCell="B7" activePane="bottomRight" state="frozen"/>
      <selection pane="topRight" activeCell="B1" sqref="B1"/>
      <selection pane="bottomLeft" activeCell="A6" sqref="A6"/>
      <selection pane="bottomRight" activeCell="A57" sqref="A57"/>
    </sheetView>
  </sheetViews>
  <sheetFormatPr baseColWidth="10" defaultColWidth="12.6640625" defaultRowHeight="15" customHeight="1"/>
  <cols>
    <col min="1" max="1" width="50.6640625" customWidth="1"/>
    <col min="2" max="2" width="11.83203125" customWidth="1"/>
    <col min="3" max="6" width="11.33203125" customWidth="1"/>
    <col min="7" max="7" width="1.6640625" customWidth="1"/>
    <col min="8" max="8" width="9.5" customWidth="1"/>
    <col min="9" max="27" width="8.5" customWidth="1"/>
  </cols>
  <sheetData>
    <row r="1" spans="1:27" ht="26.25" customHeight="1">
      <c r="A1" s="7" t="s">
        <v>51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" customHeight="1">
      <c r="A2" s="10" t="s">
        <v>52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2" customHeight="1">
      <c r="A3" s="12" t="s">
        <v>53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2" customHeight="1">
      <c r="A4" s="13"/>
      <c r="B4" s="14" t="s">
        <v>54</v>
      </c>
      <c r="C4" s="14" t="s">
        <v>55</v>
      </c>
      <c r="D4" s="14" t="s">
        <v>56</v>
      </c>
      <c r="E4" s="14" t="s">
        <v>57</v>
      </c>
      <c r="F4" s="14" t="s">
        <v>58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" customHeight="1">
      <c r="A5" s="15" t="s">
        <v>59</v>
      </c>
      <c r="B5" s="16">
        <v>2026</v>
      </c>
      <c r="C5" s="16">
        <f t="shared" ref="C5:F5" si="0">+B5+1</f>
        <v>2027</v>
      </c>
      <c r="D5" s="16">
        <f t="shared" si="0"/>
        <v>2028</v>
      </c>
      <c r="E5" s="16">
        <f t="shared" si="0"/>
        <v>2029</v>
      </c>
      <c r="F5" s="16">
        <f t="shared" si="0"/>
        <v>2030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" customHeight="1">
      <c r="A6" s="17" t="s">
        <v>60</v>
      </c>
      <c r="B6" s="18">
        <v>46174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2" customHeight="1">
      <c r="A7" s="15" t="s">
        <v>61</v>
      </c>
      <c r="B7" s="16"/>
      <c r="C7" s="16"/>
      <c r="D7" s="16"/>
      <c r="E7" s="16"/>
      <c r="F7" s="16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2" customHeight="1">
      <c r="A8" s="21"/>
      <c r="B8" s="22"/>
      <c r="C8" s="22"/>
      <c r="D8" s="22"/>
      <c r="E8" s="22"/>
      <c r="F8" s="22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12" hidden="1" customHeight="1">
      <c r="A9" s="23" t="s">
        <v>62</v>
      </c>
      <c r="B9" s="22"/>
      <c r="C9" s="22"/>
      <c r="D9" s="22"/>
      <c r="E9" s="22"/>
      <c r="F9" s="22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ht="12" hidden="1" customHeight="1">
      <c r="A10" s="23"/>
      <c r="B10" s="22"/>
      <c r="C10" s="22"/>
      <c r="D10" s="22"/>
      <c r="E10" s="22"/>
      <c r="F10" s="22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12" hidden="1" customHeight="1">
      <c r="A11" s="24" t="s">
        <v>63</v>
      </c>
      <c r="B11" s="22"/>
      <c r="C11" s="22"/>
      <c r="D11" s="22"/>
      <c r="E11" s="22"/>
      <c r="F11" s="22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ht="12" hidden="1" customHeight="1">
      <c r="A12" s="21" t="s">
        <v>64</v>
      </c>
      <c r="B12" s="25" t="e">
        <f>SUM(#REF!)</f>
        <v>#REF!</v>
      </c>
      <c r="C12" s="25" t="e">
        <f>SUM(#REF!)</f>
        <v>#REF!</v>
      </c>
      <c r="D12" s="25" t="e">
        <f>SUM(#REF!)</f>
        <v>#REF!</v>
      </c>
      <c r="E12" s="25" t="e">
        <f>SUM(#REF!)</f>
        <v>#REF!</v>
      </c>
      <c r="F12" s="25" t="e">
        <f>SUM(#REF!)</f>
        <v>#REF!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12" hidden="1" customHeight="1">
      <c r="A13" s="21" t="s">
        <v>65</v>
      </c>
      <c r="B13" s="25" t="e">
        <f>SUM(#REF!)</f>
        <v>#REF!</v>
      </c>
      <c r="C13" s="25" t="e">
        <f>SUM(#REF!)</f>
        <v>#REF!</v>
      </c>
      <c r="D13" s="25" t="e">
        <f>SUM(#REF!)</f>
        <v>#REF!</v>
      </c>
      <c r="E13" s="25" t="e">
        <f>SUM(#REF!)</f>
        <v>#REF!</v>
      </c>
      <c r="F13" s="25" t="e">
        <f>SUM(#REF!)</f>
        <v>#REF!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ht="12" hidden="1" customHeight="1">
      <c r="A14" s="21" t="s">
        <v>66</v>
      </c>
      <c r="B14" s="25" t="e">
        <f>SUM(#REF!)</f>
        <v>#REF!</v>
      </c>
      <c r="C14" s="25" t="e">
        <f>SUM(#REF!)</f>
        <v>#REF!</v>
      </c>
      <c r="D14" s="25" t="e">
        <f>SUM(#REF!)</f>
        <v>#REF!</v>
      </c>
      <c r="E14" s="25" t="e">
        <f>SUM(#REF!)</f>
        <v>#REF!</v>
      </c>
      <c r="F14" s="25" t="e">
        <f>SUM(#REF!)</f>
        <v>#REF!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ht="12" hidden="1" customHeight="1">
      <c r="A15" s="21" t="s">
        <v>67</v>
      </c>
      <c r="B15" s="25" t="e">
        <f>SUM(#REF!)</f>
        <v>#REF!</v>
      </c>
      <c r="C15" s="25" t="e">
        <f>SUM(#REF!)</f>
        <v>#REF!</v>
      </c>
      <c r="D15" s="25" t="e">
        <f>SUM(#REF!)</f>
        <v>#REF!</v>
      </c>
      <c r="E15" s="25" t="e">
        <f>SUM(#REF!)</f>
        <v>#REF!</v>
      </c>
      <c r="F15" s="25" t="e">
        <f>SUM(#REF!)</f>
        <v>#REF!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12" hidden="1" customHeight="1">
      <c r="A16" s="21" t="s">
        <v>68</v>
      </c>
      <c r="B16" s="25" t="e">
        <f>SUM(#REF!)</f>
        <v>#REF!</v>
      </c>
      <c r="C16" s="25" t="e">
        <f>SUM(#REF!)</f>
        <v>#REF!</v>
      </c>
      <c r="D16" s="25" t="e">
        <f>SUM(#REF!)</f>
        <v>#REF!</v>
      </c>
      <c r="E16" s="25" t="e">
        <f>SUM(#REF!)</f>
        <v>#REF!</v>
      </c>
      <c r="F16" s="25" t="e">
        <f>SUM(#REF!)</f>
        <v>#REF!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12" hidden="1" customHeight="1">
      <c r="A17" s="21"/>
      <c r="B17" s="26" t="e">
        <f t="shared" ref="B17:F17" si="1">SUM(B12:B16)</f>
        <v>#REF!</v>
      </c>
      <c r="C17" s="26" t="e">
        <f t="shared" si="1"/>
        <v>#REF!</v>
      </c>
      <c r="D17" s="26" t="e">
        <f t="shared" si="1"/>
        <v>#REF!</v>
      </c>
      <c r="E17" s="26" t="e">
        <f t="shared" si="1"/>
        <v>#REF!</v>
      </c>
      <c r="F17" s="26" t="e">
        <f t="shared" si="1"/>
        <v>#REF!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12" hidden="1" customHeight="1">
      <c r="A18" s="24" t="s">
        <v>69</v>
      </c>
      <c r="B18" s="22"/>
      <c r="C18" s="22"/>
      <c r="D18" s="22"/>
      <c r="E18" s="22"/>
      <c r="F18" s="22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12" hidden="1" customHeight="1">
      <c r="A19" s="21" t="s">
        <v>70</v>
      </c>
      <c r="B19" s="25" t="e">
        <f>SUM(#REF!)</f>
        <v>#REF!</v>
      </c>
      <c r="C19" s="25" t="e">
        <f>SUM(#REF!)</f>
        <v>#REF!</v>
      </c>
      <c r="D19" s="25" t="e">
        <f>SUM(#REF!)</f>
        <v>#REF!</v>
      </c>
      <c r="E19" s="25" t="e">
        <f>SUM(#REF!)</f>
        <v>#REF!</v>
      </c>
      <c r="F19" s="25" t="e">
        <f>SUM(#REF!)</f>
        <v>#REF!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12" hidden="1" customHeight="1">
      <c r="A20" s="21" t="s">
        <v>71</v>
      </c>
      <c r="B20" s="25" t="e">
        <f>SUM(#REF!)</f>
        <v>#REF!</v>
      </c>
      <c r="C20" s="25" t="e">
        <f>SUM(#REF!)</f>
        <v>#REF!</v>
      </c>
      <c r="D20" s="25" t="e">
        <f>SUM(#REF!)</f>
        <v>#REF!</v>
      </c>
      <c r="E20" s="25" t="e">
        <f>SUM(#REF!)</f>
        <v>#REF!</v>
      </c>
      <c r="F20" s="25" t="e">
        <f>SUM(#REF!)</f>
        <v>#REF!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ht="12" hidden="1" customHeight="1">
      <c r="A21" s="21" t="s">
        <v>72</v>
      </c>
      <c r="B21" s="25" t="e">
        <f>SUM(#REF!)</f>
        <v>#REF!</v>
      </c>
      <c r="C21" s="25" t="e">
        <f>SUM(#REF!)</f>
        <v>#REF!</v>
      </c>
      <c r="D21" s="25" t="e">
        <f>SUM(#REF!)</f>
        <v>#REF!</v>
      </c>
      <c r="E21" s="25" t="e">
        <f>SUM(#REF!)</f>
        <v>#REF!</v>
      </c>
      <c r="F21" s="25" t="e">
        <f>SUM(#REF!)</f>
        <v>#REF!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12" hidden="1" customHeight="1">
      <c r="A22" s="21" t="s">
        <v>73</v>
      </c>
      <c r="B22" s="25" t="e">
        <f>SUM(#REF!)</f>
        <v>#REF!</v>
      </c>
      <c r="C22" s="25" t="e">
        <f>SUM(#REF!)</f>
        <v>#REF!</v>
      </c>
      <c r="D22" s="25" t="e">
        <f>SUM(#REF!)</f>
        <v>#REF!</v>
      </c>
      <c r="E22" s="25" t="e">
        <f>SUM(#REF!)</f>
        <v>#REF!</v>
      </c>
      <c r="F22" s="25" t="e">
        <f>SUM(#REF!)</f>
        <v>#REF!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ht="12" hidden="1" customHeight="1">
      <c r="A23" s="21" t="s">
        <v>74</v>
      </c>
      <c r="B23" s="25" t="e">
        <f>SUM(#REF!)</f>
        <v>#REF!</v>
      </c>
      <c r="C23" s="25" t="e">
        <f>SUM(#REF!)</f>
        <v>#REF!</v>
      </c>
      <c r="D23" s="25" t="e">
        <f>SUM(#REF!)</f>
        <v>#REF!</v>
      </c>
      <c r="E23" s="25" t="e">
        <f>SUM(#REF!)</f>
        <v>#REF!</v>
      </c>
      <c r="F23" s="25" t="e">
        <f>SUM(#REF!)</f>
        <v>#REF!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12" hidden="1" customHeight="1">
      <c r="A24" s="21"/>
      <c r="B24" s="26" t="e">
        <f t="shared" ref="B24:F24" si="2">SUM(B19:B23)</f>
        <v>#REF!</v>
      </c>
      <c r="C24" s="26" t="e">
        <f t="shared" si="2"/>
        <v>#REF!</v>
      </c>
      <c r="D24" s="26" t="e">
        <f t="shared" si="2"/>
        <v>#REF!</v>
      </c>
      <c r="E24" s="26" t="e">
        <f t="shared" si="2"/>
        <v>#REF!</v>
      </c>
      <c r="F24" s="26" t="e">
        <f t="shared" si="2"/>
        <v>#REF!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12" customHeight="1">
      <c r="A25" s="27" t="s">
        <v>75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12" customHeight="1">
      <c r="A26" s="29" t="s">
        <v>76</v>
      </c>
      <c r="B26" s="30">
        <f t="shared" ref="B26:F26" si="3">SUM(B27:B29)</f>
        <v>8100</v>
      </c>
      <c r="C26" s="30">
        <f t="shared" si="3"/>
        <v>23137.5</v>
      </c>
      <c r="D26" s="30">
        <f t="shared" si="3"/>
        <v>46275</v>
      </c>
      <c r="E26" s="30">
        <f t="shared" si="3"/>
        <v>76350</v>
      </c>
      <c r="F26" s="30">
        <f t="shared" si="3"/>
        <v>104805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2" customHeight="1">
      <c r="A27" s="31" t="s">
        <v>77</v>
      </c>
      <c r="B27" s="30">
        <f>+'DATA Raw'!C22*0.03</f>
        <v>8100</v>
      </c>
      <c r="C27" s="30">
        <f t="shared" ref="C27:D27" si="4">+B27*2</f>
        <v>16200</v>
      </c>
      <c r="D27" s="30">
        <f t="shared" si="4"/>
        <v>32400</v>
      </c>
      <c r="E27" s="30">
        <f>+D27*1.5</f>
        <v>48600</v>
      </c>
      <c r="F27" s="30">
        <f>+E27*1.3</f>
        <v>63180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2" customHeight="1">
      <c r="A28" s="31" t="s">
        <v>78</v>
      </c>
      <c r="B28" s="30"/>
      <c r="C28" s="30">
        <f>+'DATA Raw'!C24*0.01</f>
        <v>3187.5</v>
      </c>
      <c r="D28" s="30">
        <f t="shared" ref="D28:E28" si="5">+C28*2</f>
        <v>6375</v>
      </c>
      <c r="E28" s="30">
        <f t="shared" si="5"/>
        <v>12750</v>
      </c>
      <c r="F28" s="30">
        <f t="shared" ref="F28:F29" si="6">+E28*1.5</f>
        <v>19125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12" customHeight="1">
      <c r="A29" s="31" t="s">
        <v>79</v>
      </c>
      <c r="B29" s="26">
        <v>0</v>
      </c>
      <c r="C29" s="26">
        <f>+'DATA Raw'!C23*0.01</f>
        <v>3750</v>
      </c>
      <c r="D29" s="30">
        <f t="shared" ref="D29:E29" si="7">+C29*2</f>
        <v>7500</v>
      </c>
      <c r="E29" s="30">
        <f t="shared" si="7"/>
        <v>15000</v>
      </c>
      <c r="F29" s="30">
        <f t="shared" si="6"/>
        <v>22500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12" customHeight="1">
      <c r="A30" s="32" t="s">
        <v>80</v>
      </c>
      <c r="B30" s="33">
        <f>+B26*'DATA Raw'!$B$16</f>
        <v>283500</v>
      </c>
      <c r="C30" s="33">
        <f>+C26*'DATA Raw'!$B$16</f>
        <v>809812.5</v>
      </c>
      <c r="D30" s="33">
        <f>+D26*'DATA Raw'!$B$16</f>
        <v>1619625</v>
      </c>
      <c r="E30" s="33">
        <f>+E26*'DATA Raw'!$B$16</f>
        <v>2672250</v>
      </c>
      <c r="F30" s="33">
        <f>+F26*'DATA Raw'!$B$16</f>
        <v>3668175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2" customHeight="1">
      <c r="A31" s="27" t="s">
        <v>81</v>
      </c>
      <c r="B31" s="34">
        <f>SUM(B33:B35)</f>
        <v>0</v>
      </c>
      <c r="C31" s="34">
        <f t="shared" ref="C31" si="8">SUM(C33:C35)</f>
        <v>0</v>
      </c>
      <c r="D31" s="34">
        <f>SUM(D33:D35)</f>
        <v>4860</v>
      </c>
      <c r="E31" s="34">
        <f>SUM(E32:E35)</f>
        <v>27765</v>
      </c>
      <c r="F31" s="34">
        <f>SUM(F32:F35)</f>
        <v>55530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" customHeight="1">
      <c r="A32" s="29" t="s">
        <v>76</v>
      </c>
      <c r="B32" s="35">
        <f t="shared" ref="B32:F32" si="9">SUM(B33:B35)</f>
        <v>0</v>
      </c>
      <c r="C32" s="35">
        <f t="shared" si="9"/>
        <v>0</v>
      </c>
      <c r="D32" s="35">
        <f t="shared" si="9"/>
        <v>4860</v>
      </c>
      <c r="E32" s="35">
        <f t="shared" si="9"/>
        <v>13882.5</v>
      </c>
      <c r="F32" s="35">
        <f t="shared" si="9"/>
        <v>27765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12" customHeight="1">
      <c r="A33" s="31" t="s">
        <v>77</v>
      </c>
      <c r="B33" s="36"/>
      <c r="C33" s="33"/>
      <c r="D33" s="26">
        <f t="shared" ref="D33:F33" si="10">+B27*0.6</f>
        <v>4860</v>
      </c>
      <c r="E33" s="26">
        <f t="shared" si="10"/>
        <v>9720</v>
      </c>
      <c r="F33" s="26">
        <f t="shared" si="10"/>
        <v>19440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12" customHeight="1">
      <c r="A34" s="31" t="s">
        <v>78</v>
      </c>
      <c r="B34" s="37"/>
      <c r="C34" s="37"/>
      <c r="D34" s="26">
        <f t="shared" ref="D34:F34" si="11">+B28*0.6</f>
        <v>0</v>
      </c>
      <c r="E34" s="26">
        <f t="shared" si="11"/>
        <v>1912.5</v>
      </c>
      <c r="F34" s="26">
        <f t="shared" si="11"/>
        <v>3825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2" customHeight="1">
      <c r="A35" s="31" t="s">
        <v>79</v>
      </c>
      <c r="B35" s="29"/>
      <c r="C35" s="29"/>
      <c r="D35" s="26">
        <f t="shared" ref="D35:F35" si="12">+B29*0.6</f>
        <v>0</v>
      </c>
      <c r="E35" s="26">
        <f t="shared" si="12"/>
        <v>2250</v>
      </c>
      <c r="F35" s="26">
        <f t="shared" si="12"/>
        <v>4500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12" hidden="1" customHeight="1">
      <c r="A36" s="29" t="s">
        <v>80</v>
      </c>
      <c r="B36" s="21"/>
      <c r="C36" s="21"/>
      <c r="D36" s="21"/>
      <c r="E36" s="21"/>
      <c r="F36" s="38">
        <f>SUM(F33:F35)</f>
        <v>27765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2" hidden="1" customHeight="1">
      <c r="A37" s="27" t="s">
        <v>82</v>
      </c>
      <c r="B37" s="39">
        <v>0</v>
      </c>
      <c r="C37" s="39">
        <f t="shared" ref="C37:F37" si="13">B37*(1+C38)</f>
        <v>0</v>
      </c>
      <c r="D37" s="39">
        <f t="shared" si="13"/>
        <v>0</v>
      </c>
      <c r="E37" s="39">
        <f t="shared" si="13"/>
        <v>0</v>
      </c>
      <c r="F37" s="39">
        <f t="shared" si="13"/>
        <v>0</v>
      </c>
      <c r="G37" s="21" t="s">
        <v>50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12" hidden="1" customHeight="1">
      <c r="A38" s="29" t="s">
        <v>76</v>
      </c>
      <c r="B38" s="21"/>
      <c r="C38" s="40">
        <v>0.05</v>
      </c>
      <c r="D38" s="40">
        <v>0.05</v>
      </c>
      <c r="E38" s="40">
        <v>0.05</v>
      </c>
      <c r="F38" s="40">
        <v>0.05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12" hidden="1" customHeight="1">
      <c r="A39" s="31" t="s">
        <v>77</v>
      </c>
      <c r="B39" s="39">
        <v>0</v>
      </c>
      <c r="C39" s="39">
        <f t="shared" ref="C39:F39" si="14">B39*(1+C40)</f>
        <v>0</v>
      </c>
      <c r="D39" s="39">
        <f t="shared" si="14"/>
        <v>0</v>
      </c>
      <c r="E39" s="39">
        <f t="shared" si="14"/>
        <v>0</v>
      </c>
      <c r="F39" s="39">
        <f t="shared" si="14"/>
        <v>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2" hidden="1" customHeight="1">
      <c r="A40" s="31" t="s">
        <v>78</v>
      </c>
      <c r="B40" s="21"/>
      <c r="C40" s="40">
        <v>0.05</v>
      </c>
      <c r="D40" s="40">
        <v>0.05</v>
      </c>
      <c r="E40" s="40">
        <v>0.05</v>
      </c>
      <c r="F40" s="40">
        <v>0.05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2" hidden="1" customHeight="1">
      <c r="A41" s="31" t="s">
        <v>79</v>
      </c>
      <c r="B41" s="40">
        <v>0.25</v>
      </c>
      <c r="C41" s="40">
        <v>0.25</v>
      </c>
      <c r="D41" s="40">
        <v>0.25</v>
      </c>
      <c r="E41" s="40">
        <v>0.25</v>
      </c>
      <c r="F41" s="40">
        <v>0.25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12" hidden="1" customHeight="1">
      <c r="A42" s="29" t="s">
        <v>80</v>
      </c>
      <c r="B42" s="40"/>
      <c r="C42" s="41" t="s">
        <v>83</v>
      </c>
      <c r="D42" s="41" t="s">
        <v>83</v>
      </c>
      <c r="E42" s="41" t="s">
        <v>83</v>
      </c>
      <c r="F42" s="41" t="s">
        <v>83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12" customHeight="1">
      <c r="A43" s="29" t="s">
        <v>80</v>
      </c>
      <c r="B43" s="33"/>
      <c r="C43" s="33"/>
      <c r="D43" s="33">
        <f>+D32*'DATA Raw'!$B$17</f>
        <v>583200</v>
      </c>
      <c r="E43" s="33">
        <f>+E32*'DATA Raw'!$B$17</f>
        <v>1665900</v>
      </c>
      <c r="F43" s="33">
        <f>+F32*'DATA Raw'!$B$17</f>
        <v>3331800</v>
      </c>
      <c r="G43" s="39">
        <f>+G32*'DATA Raw'!$B$17</f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12" customHeight="1">
      <c r="A44" s="27" t="s">
        <v>82</v>
      </c>
      <c r="B44" s="39"/>
      <c r="C44" s="39"/>
      <c r="D44" s="39"/>
      <c r="E44" s="39"/>
      <c r="F44" s="39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12" customHeight="1">
      <c r="A45" s="29" t="s">
        <v>76</v>
      </c>
      <c r="B45" s="26">
        <f t="shared" ref="B45:F45" si="15">+B26/500</f>
        <v>16.2</v>
      </c>
      <c r="C45" s="26">
        <f t="shared" si="15"/>
        <v>46.274999999999999</v>
      </c>
      <c r="D45" s="26">
        <f t="shared" si="15"/>
        <v>92.55</v>
      </c>
      <c r="E45" s="26">
        <f t="shared" si="15"/>
        <v>152.69999999999999</v>
      </c>
      <c r="F45" s="26">
        <f t="shared" si="15"/>
        <v>209.61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12" customHeight="1">
      <c r="A46" s="29" t="s">
        <v>80</v>
      </c>
      <c r="B46" s="33">
        <f>+B45*'DATA Raw'!$B$19</f>
        <v>16200</v>
      </c>
      <c r="C46" s="33">
        <f>+C45*'DATA Raw'!$B$19</f>
        <v>46275</v>
      </c>
      <c r="D46" s="33">
        <f>+D45*'DATA Raw'!$B$19</f>
        <v>92550</v>
      </c>
      <c r="E46" s="33">
        <f>+E45*'DATA Raw'!$B$19</f>
        <v>152700</v>
      </c>
      <c r="F46" s="33">
        <f>+F45*'DATA Raw'!$B$19</f>
        <v>209610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2" customHeight="1">
      <c r="A47" s="27" t="s">
        <v>84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2" customHeight="1">
      <c r="A48" s="21" t="s">
        <v>85</v>
      </c>
      <c r="B48" s="43" t="s">
        <v>86</v>
      </c>
      <c r="C48" s="43"/>
      <c r="D48" s="43"/>
      <c r="E48" s="43"/>
      <c r="F48" s="43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2" customHeight="1">
      <c r="A49" s="44" t="s">
        <v>80</v>
      </c>
      <c r="B49" s="43" t="s">
        <v>86</v>
      </c>
      <c r="C49" s="43"/>
      <c r="D49" s="43"/>
      <c r="E49" s="43"/>
      <c r="F49" s="43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2" customHeight="1">
      <c r="A50" s="45" t="s">
        <v>50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2" customHeight="1">
      <c r="A51" s="46" t="s">
        <v>87</v>
      </c>
      <c r="B51" s="47">
        <f t="shared" ref="B51:F51" si="16">+B46+B43+B30</f>
        <v>299700</v>
      </c>
      <c r="C51" s="47">
        <f t="shared" si="16"/>
        <v>856087.5</v>
      </c>
      <c r="D51" s="47">
        <f t="shared" si="16"/>
        <v>2295375</v>
      </c>
      <c r="E51" s="47">
        <f t="shared" si="16"/>
        <v>4490850</v>
      </c>
      <c r="F51" s="47">
        <f t="shared" si="16"/>
        <v>7209585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2" customHeight="1">
      <c r="A52" s="23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2" customHeight="1">
      <c r="A53" s="48" t="s">
        <v>88</v>
      </c>
      <c r="B53" s="49">
        <v>0.21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2" customHeight="1">
      <c r="A54" s="50"/>
      <c r="B54" s="51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2" customHeight="1">
      <c r="A55" s="52" t="s">
        <v>89</v>
      </c>
      <c r="B55" s="51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2" customHeight="1">
      <c r="A56" s="21" t="s">
        <v>90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2" customHeight="1">
      <c r="A58" s="23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2" customHeight="1">
      <c r="A59" s="53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2" customHeight="1">
      <c r="A61" s="53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2" customHeight="1">
      <c r="A62" s="6" t="s">
        <v>91</v>
      </c>
      <c r="B62" s="54">
        <v>0</v>
      </c>
      <c r="C62" s="39">
        <v>300</v>
      </c>
      <c r="D62" s="39">
        <f t="shared" ref="D62:F62" si="17">C62*(1+D63)</f>
        <v>330</v>
      </c>
      <c r="E62" s="39">
        <f t="shared" si="17"/>
        <v>379.49999999999994</v>
      </c>
      <c r="F62" s="39">
        <f t="shared" si="17"/>
        <v>417.45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2" customHeight="1">
      <c r="A63" s="55" t="s">
        <v>92</v>
      </c>
      <c r="B63" s="19"/>
      <c r="C63" s="56">
        <v>0.1</v>
      </c>
      <c r="D63" s="56">
        <v>0.1</v>
      </c>
      <c r="E63" s="56">
        <v>0.15</v>
      </c>
      <c r="F63" s="56">
        <v>0.1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2" customHeight="1">
      <c r="A64" s="19"/>
      <c r="B64" s="57">
        <f t="shared" ref="B64:F64" si="18">+B62*12</f>
        <v>0</v>
      </c>
      <c r="C64" s="57">
        <f t="shared" si="18"/>
        <v>3600</v>
      </c>
      <c r="D64" s="57">
        <f t="shared" si="18"/>
        <v>3960</v>
      </c>
      <c r="E64" s="57">
        <f t="shared" si="18"/>
        <v>4553.9999999999991</v>
      </c>
      <c r="F64" s="57">
        <f t="shared" si="18"/>
        <v>5009.3999999999996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2" customHeight="1">
      <c r="A65" s="19"/>
      <c r="B65" s="57"/>
      <c r="C65" s="57"/>
      <c r="D65" s="57"/>
      <c r="E65" s="57"/>
      <c r="F65" s="57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2" customHeight="1">
      <c r="A66" s="6" t="s">
        <v>93</v>
      </c>
      <c r="B66" s="54">
        <v>0</v>
      </c>
      <c r="C66" s="39">
        <f>B66*(1+C67)</f>
        <v>0</v>
      </c>
      <c r="D66" s="39">
        <v>300</v>
      </c>
      <c r="E66" s="39">
        <f t="shared" ref="E66:F66" si="19">D66*(1+E67)</f>
        <v>345</v>
      </c>
      <c r="F66" s="39">
        <f t="shared" si="19"/>
        <v>379.50000000000006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2" customHeight="1">
      <c r="A67" s="55" t="s">
        <v>92</v>
      </c>
      <c r="B67" s="19"/>
      <c r="C67" s="56">
        <v>0.1</v>
      </c>
      <c r="D67" s="56">
        <v>0.1</v>
      </c>
      <c r="E67" s="56">
        <v>0.15</v>
      </c>
      <c r="F67" s="56">
        <v>0.1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2" customHeight="1">
      <c r="A68" s="19"/>
      <c r="B68" s="57">
        <f t="shared" ref="B68:F68" si="20">+B66*12</f>
        <v>0</v>
      </c>
      <c r="C68" s="57">
        <f t="shared" si="20"/>
        <v>0</v>
      </c>
      <c r="D68" s="57">
        <f t="shared" si="20"/>
        <v>3600</v>
      </c>
      <c r="E68" s="57">
        <f t="shared" si="20"/>
        <v>4140</v>
      </c>
      <c r="F68" s="57">
        <f t="shared" si="20"/>
        <v>4554.0000000000009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2" customHeight="1">
      <c r="A69" s="19"/>
      <c r="B69" s="58"/>
      <c r="C69" s="58"/>
      <c r="D69" s="58"/>
      <c r="E69" s="58"/>
      <c r="F69" s="5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2" customHeight="1">
      <c r="A70" s="6" t="s">
        <v>94</v>
      </c>
      <c r="B70" s="54">
        <v>0</v>
      </c>
      <c r="C70" s="39">
        <v>300</v>
      </c>
      <c r="D70" s="39">
        <f t="shared" ref="D70:F70" si="21">C70*(1+D71)</f>
        <v>450</v>
      </c>
      <c r="E70" s="39">
        <f t="shared" si="21"/>
        <v>517.5</v>
      </c>
      <c r="F70" s="39">
        <f t="shared" si="21"/>
        <v>569.25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2" customHeight="1">
      <c r="A71" s="55" t="s">
        <v>92</v>
      </c>
      <c r="B71" s="59"/>
      <c r="C71" s="56">
        <v>0.1</v>
      </c>
      <c r="D71" s="56">
        <v>0.5</v>
      </c>
      <c r="E71" s="56">
        <v>0.15</v>
      </c>
      <c r="F71" s="56">
        <v>0.1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2" customHeight="1">
      <c r="B72" s="57">
        <f t="shared" ref="B72:F72" si="22">+B70*12</f>
        <v>0</v>
      </c>
      <c r="C72" s="57">
        <f t="shared" si="22"/>
        <v>3600</v>
      </c>
      <c r="D72" s="57">
        <f t="shared" si="22"/>
        <v>5400</v>
      </c>
      <c r="E72" s="57">
        <f t="shared" si="22"/>
        <v>6210</v>
      </c>
      <c r="F72" s="57">
        <f t="shared" si="22"/>
        <v>6831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2" customHeight="1">
      <c r="B73" s="59"/>
      <c r="C73" s="59"/>
      <c r="D73" s="59"/>
      <c r="E73" s="59"/>
      <c r="F73" s="5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2" customHeight="1">
      <c r="A74" s="6" t="s">
        <v>95</v>
      </c>
      <c r="B74" s="54">
        <v>400</v>
      </c>
      <c r="C74" s="39">
        <f t="shared" ref="C74:F74" si="23">B74*(1+C75)</f>
        <v>500</v>
      </c>
      <c r="D74" s="39">
        <f t="shared" si="23"/>
        <v>625</v>
      </c>
      <c r="E74" s="39">
        <f t="shared" si="23"/>
        <v>687.5</v>
      </c>
      <c r="F74" s="39">
        <f t="shared" si="23"/>
        <v>756.25000000000011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2" customHeight="1">
      <c r="A75" s="55" t="s">
        <v>92</v>
      </c>
      <c r="B75" s="59"/>
      <c r="C75" s="56">
        <v>0.25</v>
      </c>
      <c r="D75" s="56">
        <v>0.25</v>
      </c>
      <c r="E75" s="56">
        <v>0.1</v>
      </c>
      <c r="F75" s="56">
        <v>0.1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2" customHeight="1">
      <c r="B76" s="60">
        <f t="shared" ref="B76:F76" si="24">+B74*12</f>
        <v>4800</v>
      </c>
      <c r="C76" s="60">
        <f t="shared" si="24"/>
        <v>6000</v>
      </c>
      <c r="D76" s="60">
        <f t="shared" si="24"/>
        <v>7500</v>
      </c>
      <c r="E76" s="60">
        <f t="shared" si="24"/>
        <v>8250</v>
      </c>
      <c r="F76" s="60">
        <f t="shared" si="24"/>
        <v>9075.0000000000018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2" customHeight="1">
      <c r="B77" s="61"/>
      <c r="C77" s="61"/>
      <c r="D77" s="61"/>
      <c r="E77" s="61"/>
      <c r="F77" s="61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2" customHeight="1">
      <c r="A78" s="6" t="s">
        <v>96</v>
      </c>
      <c r="B78" s="54">
        <v>0</v>
      </c>
      <c r="C78" s="39">
        <v>120</v>
      </c>
      <c r="D78" s="39">
        <f t="shared" ref="D78:F78" si="25">C78*(1+D79)</f>
        <v>180</v>
      </c>
      <c r="E78" s="39">
        <f t="shared" si="25"/>
        <v>206.99999999999997</v>
      </c>
      <c r="F78" s="39">
        <f t="shared" si="25"/>
        <v>227.7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2" customHeight="1">
      <c r="A79" s="55" t="s">
        <v>92</v>
      </c>
      <c r="B79" s="59"/>
      <c r="C79" s="56">
        <v>0.1</v>
      </c>
      <c r="D79" s="56">
        <v>0.5</v>
      </c>
      <c r="E79" s="56">
        <v>0.15</v>
      </c>
      <c r="F79" s="56">
        <v>0.1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2" customHeight="1">
      <c r="B80" s="60">
        <f t="shared" ref="B80:F80" si="26">+B78*12</f>
        <v>0</v>
      </c>
      <c r="C80" s="60">
        <f t="shared" si="26"/>
        <v>1440</v>
      </c>
      <c r="D80" s="60">
        <f t="shared" si="26"/>
        <v>2160</v>
      </c>
      <c r="E80" s="60">
        <f t="shared" si="26"/>
        <v>2483.9999999999995</v>
      </c>
      <c r="F80" s="60">
        <f t="shared" si="26"/>
        <v>2732.3999999999996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2" customHeight="1">
      <c r="B81" s="59"/>
      <c r="C81" s="59"/>
      <c r="D81" s="59"/>
      <c r="E81" s="59"/>
      <c r="F81" s="5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2" customHeight="1">
      <c r="A82" s="4" t="s">
        <v>97</v>
      </c>
      <c r="B82" s="54">
        <v>150</v>
      </c>
      <c r="C82" s="39">
        <f t="shared" ref="C82:E82" si="27">B82*(1+C83)</f>
        <v>300</v>
      </c>
      <c r="D82" s="39">
        <f t="shared" si="27"/>
        <v>330</v>
      </c>
      <c r="E82" s="39">
        <f t="shared" si="27"/>
        <v>379.49999999999994</v>
      </c>
      <c r="F82" s="39">
        <v>250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2" customHeight="1">
      <c r="A83" s="55" t="s">
        <v>92</v>
      </c>
      <c r="B83" s="59"/>
      <c r="C83" s="56">
        <v>1</v>
      </c>
      <c r="D83" s="56">
        <v>0.1</v>
      </c>
      <c r="E83" s="56">
        <v>0.15</v>
      </c>
      <c r="F83" s="56">
        <v>0.1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2" customHeight="1">
      <c r="B84" s="60">
        <f t="shared" ref="B84:F84" si="28">+B82*12</f>
        <v>1800</v>
      </c>
      <c r="C84" s="60">
        <f t="shared" si="28"/>
        <v>3600</v>
      </c>
      <c r="D84" s="60">
        <f t="shared" si="28"/>
        <v>3960</v>
      </c>
      <c r="E84" s="60">
        <f t="shared" si="28"/>
        <v>4553.9999999999991</v>
      </c>
      <c r="F84" s="60">
        <f t="shared" si="28"/>
        <v>3000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2" customHeight="1">
      <c r="B85" s="61"/>
      <c r="C85" s="61"/>
      <c r="D85" s="61"/>
      <c r="E85" s="61"/>
      <c r="F85" s="61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2" customHeight="1">
      <c r="A86" s="6" t="s">
        <v>98</v>
      </c>
      <c r="B86" s="54">
        <v>200</v>
      </c>
      <c r="C86" s="39">
        <f t="shared" ref="C86:F86" si="29">B86*(1+C87)</f>
        <v>250</v>
      </c>
      <c r="D86" s="39">
        <f t="shared" si="29"/>
        <v>312.5</v>
      </c>
      <c r="E86" s="39">
        <f t="shared" si="29"/>
        <v>359.375</v>
      </c>
      <c r="F86" s="39">
        <f t="shared" si="29"/>
        <v>395.31250000000006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2" customHeight="1">
      <c r="A87" s="55" t="s">
        <v>92</v>
      </c>
      <c r="B87" s="59"/>
      <c r="C87" s="56">
        <v>0.25</v>
      </c>
      <c r="D87" s="56">
        <v>0.25</v>
      </c>
      <c r="E87" s="56">
        <v>0.15</v>
      </c>
      <c r="F87" s="56">
        <v>0.1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2" customHeight="1">
      <c r="B88" s="60">
        <f t="shared" ref="B88:F88" si="30">+B86*12</f>
        <v>2400</v>
      </c>
      <c r="C88" s="60">
        <f t="shared" si="30"/>
        <v>3000</v>
      </c>
      <c r="D88" s="60">
        <f t="shared" si="30"/>
        <v>3750</v>
      </c>
      <c r="E88" s="60">
        <f t="shared" si="30"/>
        <v>4312.5</v>
      </c>
      <c r="F88" s="60">
        <f t="shared" si="30"/>
        <v>4743.7500000000009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2" customHeight="1">
      <c r="B89" s="59"/>
      <c r="C89" s="59"/>
      <c r="D89" s="59"/>
      <c r="E89" s="59"/>
      <c r="F89" s="5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2" customHeight="1">
      <c r="A90" s="6" t="s">
        <v>99</v>
      </c>
      <c r="B90" s="54">
        <v>100</v>
      </c>
      <c r="C90" s="39">
        <f t="shared" ref="C90:F90" si="31">B90*(1+C91)</f>
        <v>110.00000000000001</v>
      </c>
      <c r="D90" s="39">
        <f t="shared" si="31"/>
        <v>121.00000000000003</v>
      </c>
      <c r="E90" s="39">
        <f t="shared" si="31"/>
        <v>139.15000000000003</v>
      </c>
      <c r="F90" s="39">
        <f t="shared" si="31"/>
        <v>153.06500000000005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2" customHeight="1">
      <c r="A91" s="55" t="s">
        <v>92</v>
      </c>
      <c r="B91" s="59"/>
      <c r="C91" s="56">
        <v>0.1</v>
      </c>
      <c r="D91" s="56">
        <v>0.1</v>
      </c>
      <c r="E91" s="56">
        <v>0.15</v>
      </c>
      <c r="F91" s="56">
        <v>0.1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2" customHeight="1">
      <c r="B92" s="60">
        <f t="shared" ref="B92:F92" si="32">+B90*12</f>
        <v>1200</v>
      </c>
      <c r="C92" s="60">
        <f t="shared" si="32"/>
        <v>1320.0000000000002</v>
      </c>
      <c r="D92" s="60">
        <f t="shared" si="32"/>
        <v>1452.0000000000005</v>
      </c>
      <c r="E92" s="60">
        <f t="shared" si="32"/>
        <v>1669.8000000000004</v>
      </c>
      <c r="F92" s="60">
        <f t="shared" si="32"/>
        <v>1836.7800000000007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2" customHeight="1">
      <c r="B93" s="59"/>
      <c r="C93" s="59"/>
      <c r="D93" s="59"/>
      <c r="E93" s="59"/>
      <c r="F93" s="5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2" customHeight="1">
      <c r="A94" s="62" t="s">
        <v>100</v>
      </c>
      <c r="B94" s="54">
        <v>200</v>
      </c>
      <c r="C94" s="39">
        <v>500</v>
      </c>
      <c r="D94" s="39">
        <v>1000</v>
      </c>
      <c r="E94" s="39">
        <v>2000</v>
      </c>
      <c r="F94" s="39">
        <f>E94*(1+F95)</f>
        <v>2200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2" customHeight="1">
      <c r="A95" s="55" t="s">
        <v>92</v>
      </c>
      <c r="B95" s="59"/>
      <c r="C95" s="56">
        <v>0.1</v>
      </c>
      <c r="D95" s="56">
        <v>0.1</v>
      </c>
      <c r="E95" s="56">
        <v>0.15</v>
      </c>
      <c r="F95" s="56">
        <v>0.1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2" customHeight="1">
      <c r="B96" s="60">
        <f t="shared" ref="B96:F96" si="33">+B94*12</f>
        <v>2400</v>
      </c>
      <c r="C96" s="60">
        <f t="shared" si="33"/>
        <v>6000</v>
      </c>
      <c r="D96" s="60">
        <f t="shared" si="33"/>
        <v>12000</v>
      </c>
      <c r="E96" s="60">
        <f t="shared" si="33"/>
        <v>24000</v>
      </c>
      <c r="F96" s="60">
        <f t="shared" si="33"/>
        <v>26400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2" customHeight="1">
      <c r="B97" s="59"/>
      <c r="C97" s="59"/>
      <c r="D97" s="59"/>
      <c r="E97" s="59"/>
      <c r="F97" s="5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2" customHeight="1">
      <c r="A98" s="4" t="s">
        <v>101</v>
      </c>
      <c r="B98" s="54">
        <v>250</v>
      </c>
      <c r="C98" s="39">
        <f t="shared" ref="C98:F98" si="34">B98*(1+C99)</f>
        <v>375</v>
      </c>
      <c r="D98" s="39">
        <f t="shared" si="34"/>
        <v>562.5</v>
      </c>
      <c r="E98" s="39">
        <f t="shared" si="34"/>
        <v>843.75</v>
      </c>
      <c r="F98" s="39">
        <f t="shared" si="34"/>
        <v>1265.625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2" customHeight="1">
      <c r="A99" s="55" t="s">
        <v>92</v>
      </c>
      <c r="B99" s="59"/>
      <c r="C99" s="56">
        <v>0.5</v>
      </c>
      <c r="D99" s="56">
        <v>0.5</v>
      </c>
      <c r="E99" s="56">
        <v>0.5</v>
      </c>
      <c r="F99" s="56">
        <v>0.5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2" customHeight="1">
      <c r="B100" s="60">
        <f t="shared" ref="B100:F100" si="35">+B98*12</f>
        <v>3000</v>
      </c>
      <c r="C100" s="60">
        <f t="shared" si="35"/>
        <v>4500</v>
      </c>
      <c r="D100" s="60">
        <f t="shared" si="35"/>
        <v>6750</v>
      </c>
      <c r="E100" s="60">
        <f t="shared" si="35"/>
        <v>10125</v>
      </c>
      <c r="F100" s="60">
        <f t="shared" si="35"/>
        <v>15187.5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2" customHeight="1">
      <c r="B101" s="59"/>
      <c r="C101" s="59"/>
      <c r="D101" s="59"/>
      <c r="E101" s="59"/>
      <c r="F101" s="5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2" customHeight="1">
      <c r="A102" s="4" t="s">
        <v>102</v>
      </c>
      <c r="B102" s="54">
        <v>3000</v>
      </c>
      <c r="C102" s="39">
        <f t="shared" ref="C102:F102" si="36">B102*(1+C103)</f>
        <v>3600</v>
      </c>
      <c r="D102" s="39">
        <f t="shared" si="36"/>
        <v>4140</v>
      </c>
      <c r="E102" s="39">
        <f t="shared" si="36"/>
        <v>4761</v>
      </c>
      <c r="F102" s="39">
        <f t="shared" si="36"/>
        <v>5475.15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2" customHeight="1">
      <c r="A103" s="55" t="s">
        <v>92</v>
      </c>
      <c r="B103" s="59"/>
      <c r="C103" s="56">
        <v>0.2</v>
      </c>
      <c r="D103" s="56">
        <v>0.15</v>
      </c>
      <c r="E103" s="56">
        <v>0.15</v>
      </c>
      <c r="F103" s="56">
        <v>0.15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2" customHeight="1">
      <c r="B104" s="60">
        <f t="shared" ref="B104:F104" si="37">+B102*12</f>
        <v>36000</v>
      </c>
      <c r="C104" s="60">
        <f t="shared" si="37"/>
        <v>43200</v>
      </c>
      <c r="D104" s="60">
        <f t="shared" si="37"/>
        <v>49680</v>
      </c>
      <c r="E104" s="60">
        <f t="shared" si="37"/>
        <v>57132</v>
      </c>
      <c r="F104" s="60">
        <f t="shared" si="37"/>
        <v>65701.799999999988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2" customHeight="1">
      <c r="B105" s="60"/>
      <c r="C105" s="60"/>
      <c r="D105" s="60"/>
      <c r="E105" s="60"/>
      <c r="F105" s="60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2" customHeight="1">
      <c r="A106" s="4" t="s">
        <v>103</v>
      </c>
      <c r="B106" s="54">
        <v>3000</v>
      </c>
      <c r="C106" s="39">
        <f t="shared" ref="C106:F106" si="38">B106*(1+C107)</f>
        <v>4050.0000000000005</v>
      </c>
      <c r="D106" s="39">
        <f t="shared" si="38"/>
        <v>5467.5000000000009</v>
      </c>
      <c r="E106" s="39">
        <f t="shared" si="38"/>
        <v>6287.6250000000009</v>
      </c>
      <c r="F106" s="39">
        <f t="shared" si="38"/>
        <v>7230.7687500000002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2" customHeight="1">
      <c r="A107" s="55" t="s">
        <v>92</v>
      </c>
      <c r="B107" s="59"/>
      <c r="C107" s="56">
        <v>0.35</v>
      </c>
      <c r="D107" s="56">
        <v>0.35</v>
      </c>
      <c r="E107" s="56">
        <v>0.15</v>
      </c>
      <c r="F107" s="56">
        <v>0.15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2" customHeight="1">
      <c r="B108" s="60">
        <f t="shared" ref="B108:F108" si="39">+B106*12</f>
        <v>36000</v>
      </c>
      <c r="C108" s="60">
        <f t="shared" si="39"/>
        <v>48600.000000000007</v>
      </c>
      <c r="D108" s="60">
        <f t="shared" si="39"/>
        <v>65610.000000000015</v>
      </c>
      <c r="E108" s="60">
        <f t="shared" si="39"/>
        <v>75451.500000000015</v>
      </c>
      <c r="F108" s="60">
        <f t="shared" si="39"/>
        <v>86769.225000000006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2" customHeight="1">
      <c r="B109" s="60"/>
      <c r="C109" s="60"/>
      <c r="D109" s="60"/>
      <c r="E109" s="60"/>
      <c r="F109" s="60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2" customHeight="1">
      <c r="A110" s="6" t="s">
        <v>104</v>
      </c>
      <c r="B110" s="54">
        <v>150</v>
      </c>
      <c r="C110" s="39">
        <f t="shared" ref="C110:F110" si="40">B110*(1+C111)</f>
        <v>300</v>
      </c>
      <c r="D110" s="39">
        <f t="shared" si="40"/>
        <v>330</v>
      </c>
      <c r="E110" s="39">
        <f t="shared" si="40"/>
        <v>363.00000000000006</v>
      </c>
      <c r="F110" s="39">
        <f t="shared" si="40"/>
        <v>381.15000000000009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2" customHeight="1">
      <c r="A111" s="55" t="s">
        <v>92</v>
      </c>
      <c r="B111" s="59"/>
      <c r="C111" s="56">
        <v>1</v>
      </c>
      <c r="D111" s="56">
        <v>0.1</v>
      </c>
      <c r="E111" s="56">
        <v>0.1</v>
      </c>
      <c r="F111" s="56">
        <v>0.05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2" customHeight="1">
      <c r="B112" s="60">
        <f t="shared" ref="B112:F112" si="41">+B110*12</f>
        <v>1800</v>
      </c>
      <c r="C112" s="60">
        <f t="shared" si="41"/>
        <v>3600</v>
      </c>
      <c r="D112" s="60">
        <f t="shared" si="41"/>
        <v>3960</v>
      </c>
      <c r="E112" s="60">
        <f t="shared" si="41"/>
        <v>4356.0000000000009</v>
      </c>
      <c r="F112" s="60">
        <f t="shared" si="41"/>
        <v>4573.8000000000011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2" customHeight="1">
      <c r="B113" s="59"/>
      <c r="C113" s="59"/>
      <c r="D113" s="59"/>
      <c r="E113" s="59"/>
      <c r="F113" s="5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2" customHeight="1">
      <c r="A114" s="6" t="s">
        <v>105</v>
      </c>
      <c r="B114" s="54">
        <v>100</v>
      </c>
      <c r="C114" s="39">
        <f t="shared" ref="C114:F114" si="42">B114*(1+C115)</f>
        <v>200</v>
      </c>
      <c r="D114" s="39">
        <f t="shared" si="42"/>
        <v>210</v>
      </c>
      <c r="E114" s="39">
        <f t="shared" si="42"/>
        <v>231.00000000000003</v>
      </c>
      <c r="F114" s="39">
        <f t="shared" si="42"/>
        <v>242.55000000000004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2" customHeight="1">
      <c r="A115" s="55" t="s">
        <v>92</v>
      </c>
      <c r="B115" s="59"/>
      <c r="C115" s="56">
        <v>1</v>
      </c>
      <c r="D115" s="56">
        <v>0.05</v>
      </c>
      <c r="E115" s="56">
        <v>0.1</v>
      </c>
      <c r="F115" s="56">
        <v>0.05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2" customHeight="1">
      <c r="B116" s="60">
        <f t="shared" ref="B116:F116" si="43">+B114*12</f>
        <v>1200</v>
      </c>
      <c r="C116" s="60">
        <f t="shared" si="43"/>
        <v>2400</v>
      </c>
      <c r="D116" s="60">
        <f t="shared" si="43"/>
        <v>2520</v>
      </c>
      <c r="E116" s="60">
        <f t="shared" si="43"/>
        <v>2772.0000000000005</v>
      </c>
      <c r="F116" s="60">
        <f t="shared" si="43"/>
        <v>2910.6000000000004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2" customHeight="1">
      <c r="B117" s="59"/>
      <c r="C117" s="59"/>
      <c r="D117" s="59"/>
      <c r="E117" s="59"/>
      <c r="F117" s="5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2" customHeight="1">
      <c r="A118" s="4" t="s">
        <v>106</v>
      </c>
      <c r="B118" s="54">
        <v>750</v>
      </c>
      <c r="C118" s="39">
        <f t="shared" ref="C118:F118" si="44">B118*(1+C119)</f>
        <v>787.5</v>
      </c>
      <c r="D118" s="39">
        <f t="shared" si="44"/>
        <v>826.875</v>
      </c>
      <c r="E118" s="39">
        <f t="shared" si="44"/>
        <v>909.56250000000011</v>
      </c>
      <c r="F118" s="39">
        <f t="shared" si="44"/>
        <v>955.0406250000002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2" customHeight="1">
      <c r="A119" s="55" t="s">
        <v>92</v>
      </c>
      <c r="B119" s="59"/>
      <c r="C119" s="56">
        <v>0.05</v>
      </c>
      <c r="D119" s="56">
        <v>0.05</v>
      </c>
      <c r="E119" s="56">
        <v>0.1</v>
      </c>
      <c r="F119" s="56">
        <v>0.05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2" customHeight="1">
      <c r="B120" s="60">
        <f t="shared" ref="B120:F120" si="45">+B118*12</f>
        <v>9000</v>
      </c>
      <c r="C120" s="60">
        <f t="shared" si="45"/>
        <v>9450</v>
      </c>
      <c r="D120" s="60">
        <f t="shared" si="45"/>
        <v>9922.5</v>
      </c>
      <c r="E120" s="60">
        <f t="shared" si="45"/>
        <v>10914.750000000002</v>
      </c>
      <c r="F120" s="60">
        <f t="shared" si="45"/>
        <v>11460.487500000003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2" customHeight="1">
      <c r="B121" s="59"/>
      <c r="C121" s="59"/>
      <c r="D121" s="59"/>
      <c r="E121" s="59"/>
      <c r="F121" s="5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2" customHeight="1">
      <c r="A122" s="4" t="s">
        <v>107</v>
      </c>
      <c r="B122" s="54">
        <v>30</v>
      </c>
      <c r="C122" s="39">
        <f t="shared" ref="C122:F122" si="46">B122*(1+C123)</f>
        <v>31.5</v>
      </c>
      <c r="D122" s="39">
        <f t="shared" si="46"/>
        <v>33.075000000000003</v>
      </c>
      <c r="E122" s="39">
        <f t="shared" si="46"/>
        <v>36.382500000000007</v>
      </c>
      <c r="F122" s="39">
        <f t="shared" si="46"/>
        <v>38.201625000000007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2" customHeight="1">
      <c r="A123" s="55" t="s">
        <v>92</v>
      </c>
      <c r="B123" s="59"/>
      <c r="C123" s="56">
        <v>0.05</v>
      </c>
      <c r="D123" s="56">
        <v>0.05</v>
      </c>
      <c r="E123" s="56">
        <v>0.1</v>
      </c>
      <c r="F123" s="56">
        <v>0.05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2" customHeight="1">
      <c r="B124" s="60">
        <f t="shared" ref="B124:F124" si="47">+B122*12</f>
        <v>360</v>
      </c>
      <c r="C124" s="60">
        <f t="shared" si="47"/>
        <v>378</v>
      </c>
      <c r="D124" s="60">
        <f t="shared" si="47"/>
        <v>396.90000000000003</v>
      </c>
      <c r="E124" s="60">
        <f t="shared" si="47"/>
        <v>436.59000000000009</v>
      </c>
      <c r="F124" s="60">
        <f t="shared" si="47"/>
        <v>458.41950000000008</v>
      </c>
      <c r="G124" s="19"/>
      <c r="H124" s="63"/>
      <c r="I124" s="63"/>
      <c r="J124" s="63"/>
      <c r="K124" s="63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2" customHeight="1">
      <c r="B125" s="60"/>
      <c r="C125" s="60"/>
      <c r="D125" s="60"/>
      <c r="E125" s="60"/>
      <c r="F125" s="60"/>
      <c r="G125" s="19"/>
      <c r="H125" s="63"/>
      <c r="I125" s="63"/>
      <c r="J125" s="63"/>
      <c r="K125" s="63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2" customHeight="1">
      <c r="A126" s="64" t="s">
        <v>108</v>
      </c>
      <c r="B126" s="65">
        <f t="shared" ref="B126:F126" si="48">+B122+B118+B114+B110+B106+B102+B98+B94+B90+B86+B82+B78+B74+B70+B66+B62</f>
        <v>8330</v>
      </c>
      <c r="C126" s="65">
        <f t="shared" si="48"/>
        <v>11724</v>
      </c>
      <c r="D126" s="65">
        <f t="shared" si="48"/>
        <v>15218.45</v>
      </c>
      <c r="E126" s="65">
        <f t="shared" si="48"/>
        <v>18446.845000000001</v>
      </c>
      <c r="F126" s="65">
        <f t="shared" si="48"/>
        <v>20937.013500000001</v>
      </c>
      <c r="G126" s="19"/>
      <c r="H126" s="63"/>
      <c r="I126" s="63"/>
      <c r="J126" s="63"/>
      <c r="K126" s="63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2" customHeight="1">
      <c r="A127" s="4" t="s">
        <v>109</v>
      </c>
      <c r="B127" s="60">
        <f t="shared" ref="B127:F127" si="49">+B126*12</f>
        <v>99960</v>
      </c>
      <c r="C127" s="60">
        <f t="shared" si="49"/>
        <v>140688</v>
      </c>
      <c r="D127" s="60">
        <f t="shared" si="49"/>
        <v>182621.40000000002</v>
      </c>
      <c r="E127" s="60">
        <f t="shared" si="49"/>
        <v>221362.14</v>
      </c>
      <c r="F127" s="60">
        <f t="shared" si="49"/>
        <v>251244.16200000001</v>
      </c>
      <c r="G127" s="19"/>
      <c r="H127" s="63"/>
      <c r="I127" s="63"/>
      <c r="J127" s="63"/>
      <c r="K127" s="63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2" customHeight="1">
      <c r="B128" s="60"/>
      <c r="C128" s="60"/>
      <c r="D128" s="60"/>
      <c r="E128" s="60"/>
      <c r="F128" s="60"/>
      <c r="G128" s="19"/>
      <c r="H128" s="63"/>
      <c r="I128" s="63"/>
      <c r="J128" s="63"/>
      <c r="K128" s="63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2" customHeight="1">
      <c r="B129" s="60"/>
      <c r="C129" s="60"/>
      <c r="D129" s="60"/>
      <c r="E129" s="60"/>
      <c r="F129" s="60"/>
      <c r="G129" s="19"/>
      <c r="H129" s="63"/>
      <c r="I129" s="63"/>
      <c r="J129" s="63"/>
      <c r="K129" s="63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2" customHeight="1">
      <c r="B130" s="59"/>
      <c r="C130" s="59"/>
      <c r="D130" s="59"/>
      <c r="E130" s="59"/>
      <c r="F130" s="59"/>
      <c r="G130" s="19"/>
      <c r="H130" s="63"/>
      <c r="I130" s="63"/>
      <c r="J130" s="63"/>
      <c r="K130" s="63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2" customHeight="1">
      <c r="A131" s="66"/>
      <c r="B131" s="67"/>
      <c r="C131" s="39"/>
      <c r="D131" s="39"/>
      <c r="E131" s="39"/>
      <c r="F131" s="39"/>
      <c r="G131" s="19"/>
      <c r="H131" s="68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2" hidden="1" customHeight="1">
      <c r="A132" s="23"/>
      <c r="B132" s="67"/>
      <c r="C132" s="39"/>
      <c r="D132" s="39"/>
      <c r="E132" s="39"/>
      <c r="F132" s="39"/>
      <c r="G132" s="19"/>
      <c r="H132" s="68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2" customHeight="1">
      <c r="A133" s="23"/>
      <c r="B133" s="67"/>
      <c r="C133" s="39"/>
      <c r="D133" s="39"/>
      <c r="E133" s="39"/>
      <c r="F133" s="3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2" customHeight="1">
      <c r="A134" s="15" t="s">
        <v>110</v>
      </c>
      <c r="B134" s="67"/>
      <c r="C134" s="39"/>
      <c r="D134" s="39"/>
      <c r="E134" s="39"/>
      <c r="F134" s="3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2" customHeight="1">
      <c r="A135" s="23"/>
      <c r="B135" s="67"/>
      <c r="C135" s="39"/>
      <c r="D135" s="39"/>
      <c r="E135" s="39"/>
      <c r="F135" s="3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2" customHeight="1">
      <c r="A136" s="23" t="s">
        <v>111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2" customHeight="1">
      <c r="A137" s="19" t="s">
        <v>112</v>
      </c>
      <c r="B137" s="67">
        <v>0</v>
      </c>
      <c r="C137" s="39">
        <v>3000</v>
      </c>
      <c r="D137" s="39">
        <v>6000</v>
      </c>
      <c r="E137" s="39">
        <f t="shared" ref="E137:F137" si="50">+D137*1.03</f>
        <v>6180</v>
      </c>
      <c r="F137" s="39">
        <f t="shared" si="50"/>
        <v>6365.4000000000005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2" customHeight="1">
      <c r="A138" s="21" t="s">
        <v>113</v>
      </c>
      <c r="B138" s="67">
        <v>0</v>
      </c>
      <c r="C138" s="67">
        <v>500</v>
      </c>
      <c r="D138" s="39">
        <f t="shared" ref="D138:F138" si="51">+C138*1.1</f>
        <v>550</v>
      </c>
      <c r="E138" s="39">
        <f t="shared" si="51"/>
        <v>605</v>
      </c>
      <c r="F138" s="39">
        <f t="shared" si="51"/>
        <v>665.5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2" customHeight="1">
      <c r="A139" s="21"/>
      <c r="B139" s="67"/>
      <c r="C139" s="39"/>
      <c r="D139" s="19"/>
      <c r="E139" s="39"/>
      <c r="F139" s="3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2" customHeight="1">
      <c r="A140" s="23" t="s">
        <v>114</v>
      </c>
      <c r="B140" s="19"/>
      <c r="C140" s="19"/>
      <c r="D140" s="19"/>
      <c r="E140" s="19"/>
      <c r="F140" s="19"/>
      <c r="G140" s="19"/>
      <c r="H140" s="68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2" customHeight="1">
      <c r="A141" s="69" t="s">
        <v>115</v>
      </c>
      <c r="B141" s="67">
        <v>0</v>
      </c>
      <c r="C141" s="39">
        <v>0</v>
      </c>
      <c r="D141" s="39">
        <v>4500</v>
      </c>
      <c r="E141" s="39">
        <f t="shared" ref="E141:F141" si="52">+D141*1.03</f>
        <v>4635</v>
      </c>
      <c r="F141" s="39">
        <f t="shared" si="52"/>
        <v>4774.05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2" customHeight="1">
      <c r="A142" s="19" t="s">
        <v>116</v>
      </c>
      <c r="B142" s="67">
        <v>0</v>
      </c>
      <c r="C142" s="39">
        <v>0</v>
      </c>
      <c r="D142" s="39">
        <v>0</v>
      </c>
      <c r="E142" s="39">
        <v>4635</v>
      </c>
      <c r="F142" s="39">
        <f>+E142*1.03</f>
        <v>4774.05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2" customHeight="1">
      <c r="A143" s="19" t="s">
        <v>117</v>
      </c>
      <c r="B143" s="67">
        <v>0</v>
      </c>
      <c r="C143" s="67">
        <v>0</v>
      </c>
      <c r="D143" s="67">
        <v>0</v>
      </c>
      <c r="E143" s="39">
        <v>3000</v>
      </c>
      <c r="F143" s="39">
        <v>7000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2" customHeight="1">
      <c r="A144" s="19" t="s">
        <v>118</v>
      </c>
      <c r="B144" s="70"/>
      <c r="C144" s="70">
        <v>4000</v>
      </c>
      <c r="D144" s="70">
        <f t="shared" ref="D144:F144" si="53">+C144*1.03</f>
        <v>4120</v>
      </c>
      <c r="E144" s="70">
        <f t="shared" si="53"/>
        <v>4243.6000000000004</v>
      </c>
      <c r="F144" s="70">
        <f t="shared" si="53"/>
        <v>4370.9080000000004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2" customHeight="1">
      <c r="A145" s="19"/>
      <c r="B145" s="67"/>
      <c r="C145" s="39"/>
      <c r="D145" s="39"/>
      <c r="E145" s="39"/>
      <c r="F145" s="3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2" customHeight="1">
      <c r="A146" s="13" t="s">
        <v>119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2" customHeight="1">
      <c r="A147" s="19" t="s">
        <v>120</v>
      </c>
      <c r="B147" s="67">
        <v>0</v>
      </c>
      <c r="C147" s="39">
        <v>5000</v>
      </c>
      <c r="D147" s="39">
        <f t="shared" ref="D147:F147" si="54">+C147*1.25</f>
        <v>6250</v>
      </c>
      <c r="E147" s="39">
        <f t="shared" si="54"/>
        <v>7812.5</v>
      </c>
      <c r="F147" s="39">
        <f t="shared" si="54"/>
        <v>9765.625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2" customHeight="1">
      <c r="A148" s="19" t="s">
        <v>121</v>
      </c>
      <c r="B148" s="67">
        <v>0</v>
      </c>
      <c r="C148" s="39">
        <v>0</v>
      </c>
      <c r="D148" s="39">
        <v>5000</v>
      </c>
      <c r="E148" s="39">
        <f t="shared" ref="E148:F148" si="55">+D148*1.1</f>
        <v>5500</v>
      </c>
      <c r="F148" s="39">
        <f t="shared" si="55"/>
        <v>6050.0000000000009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2" customHeight="1">
      <c r="A149" s="19"/>
      <c r="B149" s="67"/>
      <c r="C149" s="39"/>
      <c r="D149" s="39"/>
      <c r="E149" s="39"/>
      <c r="F149" s="3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2" customHeight="1">
      <c r="A150" s="13" t="s">
        <v>122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2" customHeight="1">
      <c r="A151" s="19" t="s">
        <v>123</v>
      </c>
      <c r="B151" s="67">
        <v>0</v>
      </c>
      <c r="C151" s="39">
        <v>0</v>
      </c>
      <c r="D151" s="67">
        <v>0</v>
      </c>
      <c r="E151" s="39">
        <v>0</v>
      </c>
      <c r="F151" s="19">
        <v>6000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2" customHeight="1">
      <c r="A153" s="71" t="s">
        <v>124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2" customHeight="1">
      <c r="A154" s="69" t="s">
        <v>125</v>
      </c>
      <c r="B154" s="67">
        <v>0</v>
      </c>
      <c r="C154" s="39">
        <v>2000</v>
      </c>
      <c r="D154" s="67">
        <v>3000</v>
      </c>
      <c r="E154" s="39">
        <v>4000</v>
      </c>
      <c r="F154" s="19">
        <v>5000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2" customHeight="1">
      <c r="A156" s="19"/>
      <c r="B156" s="70">
        <f t="shared" ref="B156:F156" si="56">SUM(B137:B154)</f>
        <v>0</v>
      </c>
      <c r="C156" s="70">
        <f t="shared" si="56"/>
        <v>14500</v>
      </c>
      <c r="D156" s="70">
        <f t="shared" si="56"/>
        <v>29420</v>
      </c>
      <c r="E156" s="70">
        <f t="shared" si="56"/>
        <v>40611.1</v>
      </c>
      <c r="F156" s="70">
        <f t="shared" si="56"/>
        <v>54765.532999999996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2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2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2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2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2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1:27" ht="12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1:27" ht="12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1:27" ht="12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1:27" ht="12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1:27" ht="12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1:27" ht="12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1:27" ht="12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Z1001"/>
  <sheetViews>
    <sheetView showGridLines="0" zoomScale="131" zoomScaleNormal="224" workbookViewId="0">
      <pane xSplit="1" ySplit="5" topLeftCell="B31" activePane="bottomRight" state="frozen"/>
      <selection pane="topRight" activeCell="B1" sqref="B1"/>
      <selection pane="bottomLeft" activeCell="A6" sqref="A6"/>
      <selection pane="bottomRight" activeCell="A45" sqref="A45"/>
    </sheetView>
  </sheetViews>
  <sheetFormatPr baseColWidth="10" defaultColWidth="12.6640625" defaultRowHeight="15" customHeight="1"/>
  <cols>
    <col min="1" max="1" width="52" customWidth="1"/>
    <col min="2" max="2" width="8.83203125" customWidth="1"/>
    <col min="3" max="3" width="8.83203125" bestFit="1" customWidth="1"/>
    <col min="4" max="6" width="10.1640625" customWidth="1"/>
    <col min="7" max="26" width="8.5" customWidth="1"/>
  </cols>
  <sheetData>
    <row r="1" spans="1:26" ht="26.25" customHeight="1">
      <c r="A1" s="72" t="s">
        <v>51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2" customHeight="1">
      <c r="A2" s="77" t="s">
        <v>128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2" customHeight="1">
      <c r="A3" s="79" t="s">
        <v>53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2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2" customHeight="1">
      <c r="A5" s="82" t="s">
        <v>126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2" customHeight="1">
      <c r="A6" s="3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" customHeight="1">
      <c r="A7" s="23" t="s">
        <v>129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" customHeight="1">
      <c r="A8" s="23"/>
      <c r="B8" s="84" t="s">
        <v>54</v>
      </c>
      <c r="C8" s="84" t="s">
        <v>55</v>
      </c>
      <c r="D8" s="84" t="s">
        <v>56</v>
      </c>
      <c r="E8" s="84" t="s">
        <v>57</v>
      </c>
      <c r="F8" s="84" t="s">
        <v>58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" hidden="1" customHeight="1">
      <c r="A9" s="21" t="s">
        <v>130</v>
      </c>
      <c r="B9" s="16">
        <v>2026</v>
      </c>
      <c r="C9" s="16">
        <f t="shared" ref="C9:F9" si="0">+B9+1</f>
        <v>2027</v>
      </c>
      <c r="D9" s="16">
        <f t="shared" si="0"/>
        <v>2028</v>
      </c>
      <c r="E9" s="16">
        <f t="shared" si="0"/>
        <v>2029</v>
      </c>
      <c r="F9" s="16">
        <f t="shared" si="0"/>
        <v>2030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" hidden="1" customHeight="1">
      <c r="A10" s="21" t="s">
        <v>131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" hidden="1" customHeight="1">
      <c r="A11" s="21" t="s">
        <v>132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" hidden="1" customHeight="1">
      <c r="A12" s="83" t="s">
        <v>133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2" hidden="1" customHeight="1">
      <c r="A13" s="23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" hidden="1" customHeight="1">
      <c r="A14" s="21" t="s">
        <v>134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" hidden="1" customHeight="1">
      <c r="A15" s="21" t="s">
        <v>135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" hidden="1" customHeight="1">
      <c r="A16" s="21" t="s">
        <v>132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" hidden="1" customHeight="1">
      <c r="A17" s="83" t="s">
        <v>136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2" hidden="1" customHeight="1">
      <c r="A18" s="23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" hidden="1" customHeight="1">
      <c r="A19" s="21" t="s">
        <v>137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" hidden="1" customHeight="1">
      <c r="A20" s="21" t="s">
        <v>138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" hidden="1" customHeight="1">
      <c r="A21" s="83" t="s">
        <v>139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2" customHeight="1">
      <c r="A22" s="53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" customHeight="1">
      <c r="A23" s="86" t="s">
        <v>140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" customHeight="1">
      <c r="A24" s="29" t="s">
        <v>141</v>
      </c>
      <c r="B24" s="87">
        <f>+SALES!B30*0.5</f>
        <v>141750</v>
      </c>
      <c r="C24" s="87">
        <f>+SALES!C30*0.5</f>
        <v>404906.25</v>
      </c>
      <c r="D24" s="87">
        <f>+SALES!D30*0.5</f>
        <v>809812.5</v>
      </c>
      <c r="E24" s="87">
        <f>+SALES!E30*0.5</f>
        <v>1336125</v>
      </c>
      <c r="F24" s="87">
        <f>+SALES!F30*0.5</f>
        <v>1834087.5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" customHeight="1">
      <c r="A25" s="29" t="s">
        <v>142</v>
      </c>
      <c r="B25" s="87">
        <f>+SALES!B43*0.55</f>
        <v>0</v>
      </c>
      <c r="C25" s="87">
        <f>+SALES!C43*0.55</f>
        <v>0</v>
      </c>
      <c r="D25" s="87">
        <f>+SALES!D43*0.55</f>
        <v>320760</v>
      </c>
      <c r="E25" s="87">
        <f>+SALES!E43*0.55</f>
        <v>916245.00000000012</v>
      </c>
      <c r="F25" s="87">
        <f>+SALES!F43*0.55</f>
        <v>1832490.0000000002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" customHeight="1">
      <c r="A26" s="29" t="s">
        <v>143</v>
      </c>
      <c r="B26" s="87">
        <f>+SALES!B46*0.5</f>
        <v>8100</v>
      </c>
      <c r="C26" s="87">
        <f>+SALES!C46*0.5</f>
        <v>23137.5</v>
      </c>
      <c r="D26" s="87">
        <f>+SALES!D46*0.5</f>
        <v>46275</v>
      </c>
      <c r="E26" s="87">
        <f>+SALES!E46*0.5</f>
        <v>76350</v>
      </c>
      <c r="F26" s="87">
        <f>+SALES!F46*0.5</f>
        <v>104805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" customHeight="1">
      <c r="A27" s="88" t="s">
        <v>144</v>
      </c>
      <c r="B27" s="89">
        <f t="shared" ref="B27:F27" si="1">SUM(B24:B26)</f>
        <v>149850</v>
      </c>
      <c r="C27" s="89">
        <f t="shared" si="1"/>
        <v>428043.75</v>
      </c>
      <c r="D27" s="89">
        <f t="shared" si="1"/>
        <v>1176847.5</v>
      </c>
      <c r="E27" s="89">
        <f t="shared" si="1"/>
        <v>2328720</v>
      </c>
      <c r="F27" s="89">
        <f t="shared" si="1"/>
        <v>3771382.5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" customHeight="1">
      <c r="A28" s="21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" customHeight="1">
      <c r="A29" s="53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" customHeight="1">
      <c r="A30" s="90" t="s">
        <v>145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" customHeight="1">
      <c r="A31" s="53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" customHeight="1">
      <c r="A32" s="5" t="s">
        <v>91</v>
      </c>
      <c r="B32" s="87">
        <f>+SALES!B64</f>
        <v>0</v>
      </c>
      <c r="C32" s="87">
        <f>+SALES!C64</f>
        <v>3600</v>
      </c>
      <c r="D32" s="87">
        <f>+SALES!D64</f>
        <v>3960</v>
      </c>
      <c r="E32" s="87">
        <f>+SALES!E64</f>
        <v>4553.9999999999991</v>
      </c>
      <c r="F32" s="87">
        <f>+SALES!F64</f>
        <v>5009.3999999999996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" customHeight="1">
      <c r="A33" s="5" t="s">
        <v>93</v>
      </c>
      <c r="B33" s="87">
        <f>+SALES!B68</f>
        <v>0</v>
      </c>
      <c r="C33" s="87">
        <f>+SALES!C68</f>
        <v>0</v>
      </c>
      <c r="D33" s="87">
        <f>+SALES!D68</f>
        <v>3600</v>
      </c>
      <c r="E33" s="87">
        <f>+SALES!E68</f>
        <v>4140</v>
      </c>
      <c r="F33" s="87">
        <f>+SALES!F68</f>
        <v>4554.0000000000009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" customHeight="1">
      <c r="A34" s="5" t="s">
        <v>94</v>
      </c>
      <c r="B34" s="87">
        <f>+SALES!B70</f>
        <v>0</v>
      </c>
      <c r="C34" s="87">
        <f>+SALES!C72</f>
        <v>3600</v>
      </c>
      <c r="D34" s="87">
        <f>+SALES!D72</f>
        <v>5400</v>
      </c>
      <c r="E34" s="87">
        <f>+SALES!E72</f>
        <v>6210</v>
      </c>
      <c r="F34" s="87">
        <f>+SALES!F72</f>
        <v>6831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" customHeight="1">
      <c r="A35" s="5" t="s">
        <v>95</v>
      </c>
      <c r="B35" s="87">
        <f>+SALES!B76</f>
        <v>4800</v>
      </c>
      <c r="C35" s="87">
        <f>+SALES!C76</f>
        <v>6000</v>
      </c>
      <c r="D35" s="87">
        <f>+SALES!D76</f>
        <v>7500</v>
      </c>
      <c r="E35" s="87">
        <f>+SALES!E76</f>
        <v>8250</v>
      </c>
      <c r="F35" s="87">
        <f>+SALES!F76</f>
        <v>9075.0000000000018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" customHeight="1">
      <c r="A36" s="5" t="s">
        <v>96</v>
      </c>
      <c r="B36" s="87">
        <f>+SALES!B80</f>
        <v>0</v>
      </c>
      <c r="C36" s="87">
        <f>+SALES!C80</f>
        <v>1440</v>
      </c>
      <c r="D36" s="87">
        <f>+SALES!D80</f>
        <v>2160</v>
      </c>
      <c r="E36" s="87">
        <f>+SALES!E80</f>
        <v>2483.9999999999995</v>
      </c>
      <c r="F36" s="87">
        <f>+SALES!F80</f>
        <v>2732.3999999999996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" customHeight="1">
      <c r="A37" s="5" t="s">
        <v>97</v>
      </c>
      <c r="B37" s="87">
        <f>+SALES!B84</f>
        <v>1800</v>
      </c>
      <c r="C37" s="87">
        <f>+SALES!C84</f>
        <v>3600</v>
      </c>
      <c r="D37" s="87">
        <f>+SALES!D84</f>
        <v>3960</v>
      </c>
      <c r="E37" s="87">
        <f>+SALES!E84</f>
        <v>4553.9999999999991</v>
      </c>
      <c r="F37" s="87">
        <f>+SALES!F84</f>
        <v>3000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" customHeight="1">
      <c r="A38" s="5" t="s">
        <v>98</v>
      </c>
      <c r="B38" s="87">
        <f>+SALES!B88</f>
        <v>2400</v>
      </c>
      <c r="C38" s="87">
        <f>+SALES!C88</f>
        <v>3000</v>
      </c>
      <c r="D38" s="87">
        <f>+SALES!D88</f>
        <v>3750</v>
      </c>
      <c r="E38" s="87">
        <f>+SALES!E88</f>
        <v>4312.5</v>
      </c>
      <c r="F38" s="87">
        <f>+SALES!F88</f>
        <v>4743.7500000000009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" customHeight="1">
      <c r="A39" s="5" t="s">
        <v>99</v>
      </c>
      <c r="B39" s="87">
        <f>+SALES!B92</f>
        <v>1200</v>
      </c>
      <c r="C39" s="87">
        <f>+SALES!C92</f>
        <v>1320.0000000000002</v>
      </c>
      <c r="D39" s="87">
        <f>+SALES!D92</f>
        <v>1452.0000000000005</v>
      </c>
      <c r="E39" s="87">
        <f>+SALES!E92</f>
        <v>1669.8000000000004</v>
      </c>
      <c r="F39" s="87">
        <f>+SALES!F92</f>
        <v>1836.7800000000007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" customHeight="1">
      <c r="A40" s="91" t="s">
        <v>100</v>
      </c>
      <c r="B40" s="87">
        <f>+SALES!B96</f>
        <v>2400</v>
      </c>
      <c r="C40" s="87">
        <f>+SALES!C96</f>
        <v>6000</v>
      </c>
      <c r="D40" s="87">
        <f>+SALES!D96</f>
        <v>12000</v>
      </c>
      <c r="E40" s="87">
        <f>+SALES!E96</f>
        <v>24000</v>
      </c>
      <c r="F40" s="87">
        <f>+SALES!F96</f>
        <v>26400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" customHeight="1">
      <c r="A41" s="5" t="s">
        <v>101</v>
      </c>
      <c r="B41" s="87">
        <f>+SALES!B100</f>
        <v>3000</v>
      </c>
      <c r="C41" s="87">
        <f>+SALES!C100</f>
        <v>4500</v>
      </c>
      <c r="D41" s="87">
        <f>+SALES!D100</f>
        <v>6750</v>
      </c>
      <c r="E41" s="87">
        <f>+SALES!E100</f>
        <v>10125</v>
      </c>
      <c r="F41" s="87">
        <f>+SALES!F100</f>
        <v>15187.5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" customHeight="1">
      <c r="A42" s="5" t="s">
        <v>146</v>
      </c>
      <c r="B42" s="87">
        <f>+SALES!B104</f>
        <v>36000</v>
      </c>
      <c r="C42" s="87">
        <f>+SALES!C104</f>
        <v>43200</v>
      </c>
      <c r="D42" s="87">
        <f>+SALES!D104</f>
        <v>49680</v>
      </c>
      <c r="E42" s="87">
        <f>+SALES!E104</f>
        <v>57132</v>
      </c>
      <c r="F42" s="87">
        <f>+SALES!F104</f>
        <v>65701.799999999988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" customHeight="1">
      <c r="A43" s="5" t="s">
        <v>147</v>
      </c>
      <c r="B43" s="87">
        <f>+SALES!B108</f>
        <v>36000</v>
      </c>
      <c r="C43" s="87">
        <f>+SALES!C108</f>
        <v>48600.000000000007</v>
      </c>
      <c r="D43" s="87">
        <f>+SALES!D108</f>
        <v>65610.000000000015</v>
      </c>
      <c r="E43" s="87">
        <f>+SALES!E108</f>
        <v>75451.500000000015</v>
      </c>
      <c r="F43" s="87">
        <f>+SALES!F108</f>
        <v>86769.225000000006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" customHeight="1">
      <c r="A44" s="5" t="s">
        <v>104</v>
      </c>
      <c r="B44" s="87">
        <f>+SALES!B112</f>
        <v>1800</v>
      </c>
      <c r="C44" s="87">
        <f>+SALES!C112</f>
        <v>3600</v>
      </c>
      <c r="D44" s="87">
        <f>+SALES!D112</f>
        <v>3960</v>
      </c>
      <c r="E44" s="87">
        <f>+SALES!E112</f>
        <v>4356.0000000000009</v>
      </c>
      <c r="F44" s="87">
        <f>+SALES!F112</f>
        <v>4573.8000000000011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" customHeight="1">
      <c r="A45" s="5" t="s">
        <v>105</v>
      </c>
      <c r="B45" s="87">
        <f>+SALES!B116</f>
        <v>1200</v>
      </c>
      <c r="C45" s="87">
        <f>+SALES!C116</f>
        <v>2400</v>
      </c>
      <c r="D45" s="87">
        <f>+SALES!D116</f>
        <v>2520</v>
      </c>
      <c r="E45" s="87">
        <f>+SALES!E116</f>
        <v>2772.0000000000005</v>
      </c>
      <c r="F45" s="87">
        <f>+SALES!F116</f>
        <v>2910.6000000000004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" customHeight="1">
      <c r="A46" s="5" t="s">
        <v>106</v>
      </c>
      <c r="B46" s="87">
        <f>+SALES!B120</f>
        <v>9000</v>
      </c>
      <c r="C46" s="87">
        <f>+SALES!C120</f>
        <v>9450</v>
      </c>
      <c r="D46" s="87">
        <f>+SALES!D120</f>
        <v>9922.5</v>
      </c>
      <c r="E46" s="87">
        <f>+SALES!E120</f>
        <v>10914.750000000002</v>
      </c>
      <c r="F46" s="87">
        <f>+SALES!F120</f>
        <v>11460.487500000003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" customHeight="1">
      <c r="A47" s="5" t="s">
        <v>107</v>
      </c>
      <c r="B47" s="87">
        <f>+SALES!B124</f>
        <v>360</v>
      </c>
      <c r="C47" s="87">
        <f>+SALES!C124</f>
        <v>378</v>
      </c>
      <c r="D47" s="87">
        <f>+SALES!D124</f>
        <v>396.90000000000003</v>
      </c>
      <c r="E47" s="87">
        <f>+SALES!E124</f>
        <v>436.59000000000009</v>
      </c>
      <c r="F47" s="87">
        <f>+SALES!F124</f>
        <v>458.41950000000008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" customHeight="1">
      <c r="A48" s="120" t="s">
        <v>177</v>
      </c>
      <c r="B48" s="121"/>
      <c r="C48" s="121"/>
      <c r="D48" s="121"/>
      <c r="E48" s="121"/>
      <c r="F48" s="121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" customHeight="1">
      <c r="A49" s="5" t="s">
        <v>148</v>
      </c>
      <c r="B49" s="87">
        <v>0</v>
      </c>
      <c r="C49" s="87">
        <v>0</v>
      </c>
      <c r="D49" s="87">
        <v>0</v>
      </c>
      <c r="E49" s="87">
        <v>0</v>
      </c>
      <c r="F49" s="87">
        <v>0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" customHeight="1">
      <c r="A50" s="92" t="s">
        <v>149</v>
      </c>
      <c r="B50" s="89">
        <f t="shared" ref="B50:F50" si="2">SUM(B32:B49)</f>
        <v>99960</v>
      </c>
      <c r="C50" s="89">
        <f t="shared" si="2"/>
        <v>140688</v>
      </c>
      <c r="D50" s="89">
        <f t="shared" si="2"/>
        <v>182621.4</v>
      </c>
      <c r="E50" s="89">
        <f t="shared" si="2"/>
        <v>221362.14</v>
      </c>
      <c r="F50" s="89">
        <f t="shared" si="2"/>
        <v>251244.16199999998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" customHeight="1">
      <c r="A51" s="3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" customHeight="1">
      <c r="A52" s="3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" customHeight="1">
      <c r="A53" s="15" t="s">
        <v>110</v>
      </c>
      <c r="B53" s="67"/>
      <c r="C53" s="39"/>
      <c r="D53" s="39"/>
      <c r="E53" s="39"/>
      <c r="F53" s="39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" customHeight="1">
      <c r="A54" s="23"/>
      <c r="B54" s="67"/>
      <c r="C54" s="39"/>
      <c r="D54" s="39"/>
      <c r="E54" s="39"/>
      <c r="F54" s="39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" customHeight="1">
      <c r="A55" s="23" t="s">
        <v>111</v>
      </c>
      <c r="B55" s="19"/>
      <c r="C55" s="19"/>
      <c r="D55" s="19"/>
      <c r="E55" s="19"/>
      <c r="F55" s="19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" customHeight="1">
      <c r="A56" s="19" t="s">
        <v>112</v>
      </c>
      <c r="B56" s="67">
        <v>0</v>
      </c>
      <c r="C56" s="39">
        <f>+SALES!B137*13*1.5</f>
        <v>0</v>
      </c>
      <c r="D56" s="39">
        <f>+SALES!C137*13*1.5</f>
        <v>58500</v>
      </c>
      <c r="E56" s="39">
        <f>+SALES!D137*13*1.5</f>
        <v>117000</v>
      </c>
      <c r="F56" s="39">
        <f>+SALES!E137*13*1.5</f>
        <v>120510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" customHeight="1">
      <c r="A57" s="21" t="s">
        <v>113</v>
      </c>
      <c r="B57" s="67">
        <v>0</v>
      </c>
      <c r="C57" s="67">
        <v>7000</v>
      </c>
      <c r="D57" s="39">
        <f t="shared" ref="D57:F57" si="3">+C57*1.1</f>
        <v>7700.0000000000009</v>
      </c>
      <c r="E57" s="39">
        <f t="shared" si="3"/>
        <v>8470.0000000000018</v>
      </c>
      <c r="F57" s="39">
        <f t="shared" si="3"/>
        <v>9317.0000000000036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" customHeight="1">
      <c r="A58" s="23" t="s">
        <v>114</v>
      </c>
      <c r="B58" s="67"/>
      <c r="C58" s="39"/>
      <c r="D58" s="39"/>
      <c r="E58" s="39"/>
      <c r="F58" s="39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" customHeight="1">
      <c r="A59" s="69" t="s">
        <v>115</v>
      </c>
      <c r="B59" s="39">
        <v>0</v>
      </c>
      <c r="C59" s="39">
        <f>+SALES!B141*13*1.5</f>
        <v>0</v>
      </c>
      <c r="D59" s="39">
        <f>+SALES!C141*13*1.5</f>
        <v>0</v>
      </c>
      <c r="E59" s="39">
        <f>+SALES!D141*13*1.5</f>
        <v>87750</v>
      </c>
      <c r="F59" s="39">
        <f>+SALES!E141*13*1.5</f>
        <v>90382.5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" customHeight="1">
      <c r="A60" s="19" t="s">
        <v>116</v>
      </c>
      <c r="B60" s="67">
        <v>0</v>
      </c>
      <c r="C60" s="39">
        <f>+SALES!B142*13*1.5</f>
        <v>0</v>
      </c>
      <c r="D60" s="39">
        <f>+SALES!C142*13*1.5</f>
        <v>0</v>
      </c>
      <c r="E60" s="39">
        <f>+SALES!D142*13*1.5</f>
        <v>0</v>
      </c>
      <c r="F60" s="39">
        <f>+SALES!E142*13*1.5</f>
        <v>90382.5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" customHeight="1">
      <c r="A61" s="19" t="s">
        <v>117</v>
      </c>
      <c r="B61" s="67">
        <v>0</v>
      </c>
      <c r="C61" s="39">
        <f>+SALES!B143*13*1.5</f>
        <v>0</v>
      </c>
      <c r="D61" s="39">
        <f>+SALES!C143*13*1.5</f>
        <v>0</v>
      </c>
      <c r="E61" s="39">
        <f>+SALES!D143*13*1.5</f>
        <v>0</v>
      </c>
      <c r="F61" s="39">
        <f>+SALES!E143*13*1.5</f>
        <v>58500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" customHeight="1">
      <c r="A62" s="19" t="s">
        <v>118</v>
      </c>
      <c r="B62" s="70"/>
      <c r="C62" s="39">
        <f>+SALES!C144*12*1.5</f>
        <v>72000</v>
      </c>
      <c r="D62" s="39">
        <f>+SALES!D144*12*1.5</f>
        <v>74160</v>
      </c>
      <c r="E62" s="39">
        <f>+SALES!E144*12*1.5</f>
        <v>76384.800000000003</v>
      </c>
      <c r="F62" s="39">
        <f>+SALES!F144*12*1.5</f>
        <v>78676.344000000012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" customHeight="1">
      <c r="A63" s="13" t="s">
        <v>119</v>
      </c>
      <c r="B63" s="19"/>
      <c r="C63" s="19"/>
      <c r="D63" s="19"/>
      <c r="E63" s="19"/>
      <c r="F63" s="19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" customHeight="1">
      <c r="A64" s="19" t="s">
        <v>120</v>
      </c>
      <c r="B64" s="67">
        <v>0</v>
      </c>
      <c r="C64" s="39">
        <f>+SALES!C147*12</f>
        <v>60000</v>
      </c>
      <c r="D64" s="39">
        <f>+SALES!D147*12</f>
        <v>75000</v>
      </c>
      <c r="E64" s="39">
        <f>+SALES!E147*12</f>
        <v>93750</v>
      </c>
      <c r="F64" s="39">
        <f>+SALES!F147*12</f>
        <v>117187.5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" customHeight="1">
      <c r="A65" s="19" t="s">
        <v>121</v>
      </c>
      <c r="B65" s="67">
        <v>0</v>
      </c>
      <c r="C65" s="39">
        <f>+SALES!C148*12</f>
        <v>0</v>
      </c>
      <c r="D65" s="39">
        <f>+SALES!D148*12</f>
        <v>60000</v>
      </c>
      <c r="E65" s="39">
        <f>+SALES!E148*12</f>
        <v>66000</v>
      </c>
      <c r="F65" s="39">
        <f>+SALES!F148*12</f>
        <v>72600.000000000015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" customHeight="1">
      <c r="A66" s="13" t="s">
        <v>122</v>
      </c>
      <c r="B66" s="19"/>
      <c r="C66" s="19"/>
      <c r="D66" s="19"/>
      <c r="E66" s="19"/>
      <c r="F66" s="19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" customHeight="1">
      <c r="A67" s="19" t="s">
        <v>123</v>
      </c>
      <c r="B67" s="19">
        <f>+SALES!B151*13*1.05</f>
        <v>0</v>
      </c>
      <c r="C67" s="19">
        <f>+SALES!C151*13*1.05</f>
        <v>0</v>
      </c>
      <c r="D67" s="19">
        <f>+SALES!D151*13*1.05</f>
        <v>0</v>
      </c>
      <c r="E67" s="19">
        <f>+SALES!E151*13*1.05</f>
        <v>0</v>
      </c>
      <c r="F67" s="19">
        <f>+SALES!F151*13*1.05</f>
        <v>81900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" customHeight="1">
      <c r="A68" s="71" t="s">
        <v>124</v>
      </c>
      <c r="B68" s="19"/>
      <c r="C68" s="19"/>
      <c r="D68" s="19"/>
      <c r="E68" s="19"/>
      <c r="F68" s="19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" customHeight="1">
      <c r="A69" s="69" t="s">
        <v>125</v>
      </c>
      <c r="B69" s="67">
        <f>+SALES!B154*12</f>
        <v>0</v>
      </c>
      <c r="C69" s="67">
        <f>+SALES!C154*12</f>
        <v>24000</v>
      </c>
      <c r="D69" s="67">
        <f>+SALES!D154*12</f>
        <v>36000</v>
      </c>
      <c r="E69" s="67">
        <f>+SALES!E154*12</f>
        <v>48000</v>
      </c>
      <c r="F69" s="67">
        <f>+SALES!F154*12</f>
        <v>60000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" customHeight="1">
      <c r="A70" s="19"/>
      <c r="B70" s="19"/>
      <c r="C70" s="19"/>
      <c r="D70" s="19"/>
      <c r="E70" s="19"/>
      <c r="F70" s="19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" customHeight="1">
      <c r="A71" s="3"/>
      <c r="B71" s="28">
        <f t="shared" ref="B71:F71" si="4">+B69+B67+B65+B64+B61+B60+B59+B57+B56</f>
        <v>0</v>
      </c>
      <c r="C71" s="28">
        <f t="shared" si="4"/>
        <v>91000</v>
      </c>
      <c r="D71" s="28">
        <f t="shared" si="4"/>
        <v>237200</v>
      </c>
      <c r="E71" s="28">
        <f t="shared" si="4"/>
        <v>420970</v>
      </c>
      <c r="F71" s="28">
        <f t="shared" si="4"/>
        <v>700779.5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" customHeight="1">
      <c r="A72" s="3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" customHeight="1">
      <c r="A73" s="3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" customHeight="1">
      <c r="A74" s="3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" customHeight="1">
      <c r="A75" s="3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" customHeight="1">
      <c r="A76" s="3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" customHeight="1">
      <c r="A77" s="3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" customHeight="1">
      <c r="A78" s="3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" customHeight="1">
      <c r="A79" s="3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" customHeight="1">
      <c r="A80" s="3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" customHeight="1">
      <c r="A81" s="3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" customHeight="1">
      <c r="A82" s="3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" customHeight="1">
      <c r="A83" s="3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" customHeight="1">
      <c r="A84" s="3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" customHeight="1">
      <c r="A85" s="3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" customHeight="1">
      <c r="A86" s="3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" customHeight="1">
      <c r="A87" s="3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" customHeight="1">
      <c r="A88" s="3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" customHeight="1">
      <c r="A89" s="3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" customHeight="1">
      <c r="A90" s="3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" customHeight="1">
      <c r="A91" s="3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" customHeight="1">
      <c r="A92" s="3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" customHeight="1">
      <c r="A93" s="3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" customHeight="1">
      <c r="A94" s="3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" customHeight="1">
      <c r="A95" s="3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" customHeight="1">
      <c r="A96" s="3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" customHeight="1">
      <c r="A97" s="3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" customHeight="1">
      <c r="A98" s="3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" customHeight="1">
      <c r="A99" s="3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" customHeight="1">
      <c r="A100" s="3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" customHeight="1">
      <c r="A101" s="3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" customHeight="1">
      <c r="A102" s="3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" customHeight="1">
      <c r="A103" s="3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" customHeight="1">
      <c r="A104" s="3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" customHeight="1">
      <c r="A105" s="3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" customHeight="1">
      <c r="A106" s="3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" customHeight="1">
      <c r="A107" s="3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" customHeight="1">
      <c r="A108" s="3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" customHeight="1">
      <c r="A109" s="3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" customHeight="1">
      <c r="A110" s="3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" customHeight="1">
      <c r="A111" s="3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" customHeight="1">
      <c r="A112" s="3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" customHeight="1">
      <c r="A113" s="3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" customHeight="1">
      <c r="A114" s="3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" customHeight="1">
      <c r="A115" s="3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" customHeight="1">
      <c r="A116" s="3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" customHeight="1">
      <c r="A117" s="3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" customHeight="1">
      <c r="A118" s="3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" customHeight="1">
      <c r="A119" s="3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" customHeight="1">
      <c r="A120" s="3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" customHeight="1">
      <c r="A121" s="3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" customHeight="1">
      <c r="A122" s="3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" customHeight="1">
      <c r="A123" s="3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" customHeight="1">
      <c r="A124" s="3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" customHeight="1">
      <c r="A125" s="3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" customHeight="1">
      <c r="A126" s="3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" customHeight="1">
      <c r="A127" s="3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" customHeight="1">
      <c r="A128" s="3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" customHeight="1">
      <c r="A129" s="3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" customHeight="1">
      <c r="A130" s="3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" customHeight="1">
      <c r="A131" s="3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" customHeight="1">
      <c r="A132" s="3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" customHeight="1">
      <c r="A133" s="3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" customHeight="1">
      <c r="A134" s="3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" customHeight="1">
      <c r="A135" s="3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" customHeight="1">
      <c r="A136" s="3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" customHeight="1">
      <c r="A137" s="3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" customHeight="1">
      <c r="A138" s="3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" customHeight="1">
      <c r="A139" s="3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" customHeight="1">
      <c r="A140" s="3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" customHeight="1">
      <c r="A141" s="3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" customHeight="1">
      <c r="A142" s="3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" customHeight="1">
      <c r="A143" s="3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" customHeight="1">
      <c r="A144" s="3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" customHeight="1">
      <c r="A145" s="3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" customHeight="1">
      <c r="A146" s="3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" customHeight="1">
      <c r="A147" s="3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" customHeight="1">
      <c r="A148" s="3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" customHeight="1">
      <c r="A149" s="3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" customHeight="1">
      <c r="A150" s="3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" customHeight="1">
      <c r="A151" s="3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" customHeight="1">
      <c r="A152" s="3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" customHeight="1">
      <c r="A153" s="3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" customHeight="1">
      <c r="A154" s="3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" customHeight="1">
      <c r="A155" s="3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" customHeight="1">
      <c r="A156" s="3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" customHeight="1">
      <c r="A157" s="3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" customHeight="1">
      <c r="A158" s="3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" customHeight="1">
      <c r="A159" s="3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" customHeight="1">
      <c r="A160" s="3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" customHeight="1">
      <c r="A161" s="3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" customHeight="1">
      <c r="A162" s="3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" customHeight="1">
      <c r="A163" s="3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" customHeight="1">
      <c r="A164" s="3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" customHeight="1">
      <c r="A165" s="3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" customHeight="1">
      <c r="A166" s="3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" customHeight="1">
      <c r="A167" s="3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" customHeight="1">
      <c r="A168" s="3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" customHeight="1">
      <c r="A169" s="3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" customHeight="1">
      <c r="A170" s="3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" customHeight="1">
      <c r="A171" s="3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" customHeight="1">
      <c r="A172" s="3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" customHeight="1">
      <c r="A173" s="3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" customHeight="1">
      <c r="A174" s="3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" customHeight="1">
      <c r="A175" s="3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" customHeight="1">
      <c r="A176" s="3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" customHeight="1">
      <c r="A177" s="3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" customHeight="1">
      <c r="A178" s="3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" customHeight="1">
      <c r="A179" s="3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" customHeight="1">
      <c r="A180" s="3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" customHeight="1">
      <c r="A181" s="3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" customHeight="1">
      <c r="A182" s="3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" customHeight="1">
      <c r="A183" s="3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" customHeight="1">
      <c r="A184" s="3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" customHeight="1">
      <c r="A185" s="3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" customHeight="1">
      <c r="A186" s="3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" customHeight="1">
      <c r="A187" s="3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" customHeight="1">
      <c r="A188" s="3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" customHeight="1">
      <c r="A189" s="3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" customHeight="1">
      <c r="A190" s="3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" customHeight="1">
      <c r="A191" s="3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" customHeight="1">
      <c r="A192" s="3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" customHeight="1">
      <c r="A193" s="3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" customHeight="1">
      <c r="A194" s="3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" customHeight="1">
      <c r="A195" s="3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" customHeight="1">
      <c r="A196" s="3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" customHeight="1">
      <c r="A197" s="3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" customHeight="1">
      <c r="A198" s="3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" customHeight="1">
      <c r="A199" s="3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" customHeight="1">
      <c r="A200" s="3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" customHeight="1">
      <c r="A201" s="3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" customHeight="1">
      <c r="A202" s="3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" customHeight="1">
      <c r="A203" s="3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" customHeight="1">
      <c r="A204" s="3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" customHeight="1">
      <c r="A205" s="3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" customHeight="1">
      <c r="A206" s="3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" customHeight="1">
      <c r="A207" s="3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" customHeight="1">
      <c r="A208" s="3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" customHeight="1">
      <c r="A209" s="3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" customHeight="1">
      <c r="A210" s="3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" customHeight="1">
      <c r="A211" s="3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" customHeight="1">
      <c r="A212" s="3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" customHeight="1">
      <c r="A213" s="3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" customHeight="1">
      <c r="A214" s="3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" customHeight="1">
      <c r="A215" s="3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" customHeight="1">
      <c r="A216" s="3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" customHeight="1">
      <c r="A217" s="3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" customHeight="1">
      <c r="A218" s="3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" customHeight="1">
      <c r="A219" s="3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" customHeight="1">
      <c r="A220" s="3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" customHeight="1">
      <c r="A221" s="3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" customHeight="1">
      <c r="A222" s="3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" customHeight="1">
      <c r="A223" s="3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" customHeight="1">
      <c r="A224" s="3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" customHeight="1">
      <c r="A225" s="3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" customHeight="1">
      <c r="A226" s="3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" customHeight="1">
      <c r="A227" s="3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" customHeight="1">
      <c r="A228" s="3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" customHeight="1">
      <c r="A229" s="3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" customHeight="1">
      <c r="A230" s="3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" customHeight="1">
      <c r="A231" s="3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" customHeight="1">
      <c r="A232" s="3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" customHeight="1">
      <c r="A233" s="3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" customHeight="1">
      <c r="A234" s="3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" customHeight="1">
      <c r="A235" s="3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" customHeight="1">
      <c r="A236" s="3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" customHeight="1">
      <c r="A237" s="3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" customHeight="1">
      <c r="A238" s="3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" customHeight="1">
      <c r="A239" s="3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" customHeight="1">
      <c r="A240" s="3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" customHeight="1">
      <c r="A241" s="3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" customHeight="1">
      <c r="A242" s="3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" customHeight="1">
      <c r="A243" s="3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" customHeight="1">
      <c r="A244" s="3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" customHeight="1">
      <c r="A245" s="3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" customHeight="1">
      <c r="A246" s="3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" customHeight="1">
      <c r="A247" s="3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" customHeight="1">
      <c r="A248" s="3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" customHeight="1">
      <c r="A249" s="3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" customHeight="1">
      <c r="A250" s="3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" customHeight="1">
      <c r="A251" s="3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" customHeight="1">
      <c r="A252" s="3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" customHeight="1">
      <c r="A253" s="3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" customHeight="1">
      <c r="A254" s="3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" customHeight="1">
      <c r="A255" s="3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" customHeight="1">
      <c r="A256" s="3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" customHeight="1">
      <c r="A257" s="3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" customHeight="1">
      <c r="A258" s="3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" customHeight="1">
      <c r="A259" s="3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" customHeight="1">
      <c r="A260" s="3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" customHeight="1">
      <c r="A261" s="3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" customHeight="1">
      <c r="A262" s="3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" customHeight="1">
      <c r="A263" s="3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" customHeight="1">
      <c r="A264" s="3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" customHeight="1">
      <c r="A265" s="3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" customHeight="1">
      <c r="A266" s="3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" customHeight="1">
      <c r="A267" s="3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" customHeight="1">
      <c r="A268" s="3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" customHeight="1">
      <c r="A269" s="3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" customHeight="1">
      <c r="A270" s="3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" customHeight="1">
      <c r="A271" s="3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" customHeight="1">
      <c r="A272" s="3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" customHeight="1">
      <c r="A273" s="3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" customHeight="1">
      <c r="A274" s="3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" customHeight="1">
      <c r="A275" s="3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" customHeight="1">
      <c r="A276" s="3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" customHeight="1">
      <c r="A277" s="3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" customHeight="1">
      <c r="A278" s="3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" customHeight="1">
      <c r="A279" s="3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" customHeight="1">
      <c r="A280" s="3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" customHeight="1">
      <c r="A281" s="3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" customHeight="1">
      <c r="A282" s="3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" customHeight="1">
      <c r="A283" s="3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" customHeight="1">
      <c r="A284" s="3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" customHeight="1">
      <c r="A285" s="3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" customHeight="1">
      <c r="A286" s="3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" customHeight="1">
      <c r="A287" s="3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" customHeight="1">
      <c r="A288" s="3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" customHeight="1">
      <c r="A289" s="3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" customHeight="1">
      <c r="A290" s="3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" customHeight="1">
      <c r="A291" s="3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" customHeight="1">
      <c r="A292" s="3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" customHeight="1">
      <c r="A293" s="3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" customHeight="1">
      <c r="A294" s="3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" customHeight="1">
      <c r="A295" s="3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" customHeight="1">
      <c r="A296" s="3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" customHeight="1">
      <c r="A297" s="3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" customHeight="1">
      <c r="A298" s="3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" customHeight="1">
      <c r="A299" s="3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" customHeight="1">
      <c r="A300" s="3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" customHeight="1">
      <c r="A301" s="3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" customHeight="1">
      <c r="A302" s="3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" customHeight="1">
      <c r="A303" s="3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" customHeight="1">
      <c r="A304" s="3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" customHeight="1">
      <c r="A305" s="3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" customHeight="1">
      <c r="A306" s="3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" customHeight="1">
      <c r="A307" s="3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" customHeight="1">
      <c r="A308" s="3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" customHeight="1">
      <c r="A309" s="3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" customHeight="1">
      <c r="A310" s="3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" customHeight="1">
      <c r="A311" s="3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" customHeight="1">
      <c r="A312" s="3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" customHeight="1">
      <c r="A313" s="3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" customHeight="1">
      <c r="A314" s="3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" customHeight="1">
      <c r="A315" s="3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" customHeight="1">
      <c r="A316" s="3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" customHeight="1">
      <c r="A317" s="3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" customHeight="1">
      <c r="A318" s="3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" customHeight="1">
      <c r="A319" s="3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" customHeight="1">
      <c r="A320" s="3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" customHeight="1">
      <c r="A321" s="3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" customHeight="1">
      <c r="A322" s="3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" customHeight="1">
      <c r="A323" s="3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" customHeight="1">
      <c r="A324" s="3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" customHeight="1">
      <c r="A325" s="3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" customHeight="1">
      <c r="A326" s="3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" customHeight="1">
      <c r="A327" s="3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" customHeight="1">
      <c r="A328" s="3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" customHeight="1">
      <c r="A329" s="3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" customHeight="1">
      <c r="A330" s="3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" customHeight="1">
      <c r="A331" s="3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" customHeight="1">
      <c r="A332" s="3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" customHeight="1">
      <c r="A333" s="3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" customHeight="1">
      <c r="A334" s="3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" customHeight="1">
      <c r="A335" s="3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" customHeight="1">
      <c r="A336" s="3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" customHeight="1">
      <c r="A337" s="3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" customHeight="1">
      <c r="A338" s="3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" customHeight="1">
      <c r="A339" s="3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" customHeight="1">
      <c r="A340" s="3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" customHeight="1">
      <c r="A341" s="3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" customHeight="1">
      <c r="A342" s="3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" customHeight="1">
      <c r="A343" s="3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" customHeight="1">
      <c r="A344" s="3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" customHeight="1">
      <c r="A345" s="3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" customHeight="1">
      <c r="A346" s="3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" customHeight="1">
      <c r="A347" s="3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" customHeight="1">
      <c r="A348" s="3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" customHeight="1">
      <c r="A349" s="3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" customHeight="1">
      <c r="A350" s="3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" customHeight="1">
      <c r="A351" s="3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" customHeight="1">
      <c r="A352" s="3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" customHeight="1">
      <c r="A353" s="3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" customHeight="1">
      <c r="A354" s="3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" customHeight="1">
      <c r="A355" s="3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" customHeight="1">
      <c r="A356" s="3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" customHeight="1">
      <c r="A357" s="3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" customHeight="1">
      <c r="A358" s="3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" customHeight="1">
      <c r="A359" s="3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" customHeight="1">
      <c r="A360" s="3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" customHeight="1">
      <c r="A361" s="3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" customHeight="1">
      <c r="A362" s="3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" customHeight="1">
      <c r="A363" s="3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" customHeight="1">
      <c r="A364" s="3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" customHeight="1">
      <c r="A365" s="3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" customHeight="1">
      <c r="A366" s="3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" customHeight="1">
      <c r="A367" s="3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" customHeight="1">
      <c r="A368" s="3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" customHeight="1">
      <c r="A369" s="3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" customHeight="1">
      <c r="A370" s="3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" customHeight="1">
      <c r="A371" s="3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" customHeight="1">
      <c r="A372" s="3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" customHeight="1">
      <c r="A373" s="3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" customHeight="1">
      <c r="A374" s="3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" customHeight="1">
      <c r="A375" s="3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" customHeight="1">
      <c r="A376" s="3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" customHeight="1">
      <c r="A377" s="3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" customHeight="1">
      <c r="A378" s="3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" customHeight="1">
      <c r="A379" s="3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" customHeight="1">
      <c r="A380" s="3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" customHeight="1">
      <c r="A381" s="3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" customHeight="1">
      <c r="A382" s="3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" customHeight="1">
      <c r="A383" s="3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" customHeight="1">
      <c r="A384" s="3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" customHeight="1">
      <c r="A385" s="3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" customHeight="1">
      <c r="A386" s="3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" customHeight="1">
      <c r="A387" s="3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" customHeight="1">
      <c r="A388" s="3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" customHeight="1">
      <c r="A389" s="3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" customHeight="1">
      <c r="A390" s="3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" customHeight="1">
      <c r="A391" s="3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" customHeight="1">
      <c r="A392" s="3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" customHeight="1">
      <c r="A393" s="3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" customHeight="1">
      <c r="A394" s="3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" customHeight="1">
      <c r="A395" s="3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" customHeight="1">
      <c r="A396" s="3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" customHeight="1">
      <c r="A397" s="3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" customHeight="1">
      <c r="A398" s="3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" customHeight="1">
      <c r="A399" s="3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" customHeight="1">
      <c r="A400" s="3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" customHeight="1">
      <c r="A401" s="3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" customHeight="1">
      <c r="A402" s="3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" customHeight="1">
      <c r="A403" s="3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" customHeight="1">
      <c r="A404" s="3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" customHeight="1">
      <c r="A405" s="3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" customHeight="1">
      <c r="A406" s="3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" customHeight="1">
      <c r="A407" s="3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" customHeight="1">
      <c r="A408" s="3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" customHeight="1">
      <c r="A409" s="3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" customHeight="1">
      <c r="A410" s="3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" customHeight="1">
      <c r="A411" s="3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" customHeight="1">
      <c r="A412" s="3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" customHeight="1">
      <c r="A413" s="3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" customHeight="1">
      <c r="A414" s="3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" customHeight="1">
      <c r="A415" s="3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" customHeight="1">
      <c r="A416" s="3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" customHeight="1">
      <c r="A417" s="3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" customHeight="1">
      <c r="A418" s="3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" customHeight="1">
      <c r="A419" s="3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" customHeight="1">
      <c r="A420" s="3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" customHeight="1">
      <c r="A421" s="3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" customHeight="1">
      <c r="A422" s="3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" customHeight="1">
      <c r="A423" s="3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" customHeight="1">
      <c r="A424" s="3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" customHeight="1">
      <c r="A425" s="3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" customHeight="1">
      <c r="A426" s="3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" customHeight="1">
      <c r="A427" s="3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" customHeight="1">
      <c r="A428" s="3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" customHeight="1">
      <c r="A429" s="3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" customHeight="1">
      <c r="A430" s="3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" customHeight="1">
      <c r="A431" s="3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" customHeight="1">
      <c r="A432" s="3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" customHeight="1">
      <c r="A433" s="3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" customHeight="1">
      <c r="A434" s="3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" customHeight="1">
      <c r="A435" s="3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" customHeight="1">
      <c r="A436" s="3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" customHeight="1">
      <c r="A437" s="3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" customHeight="1">
      <c r="A438" s="3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" customHeight="1">
      <c r="A439" s="3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" customHeight="1">
      <c r="A440" s="3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" customHeight="1">
      <c r="A441" s="3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" customHeight="1">
      <c r="A442" s="3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" customHeight="1">
      <c r="A443" s="3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" customHeight="1">
      <c r="A444" s="3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" customHeight="1">
      <c r="A445" s="3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" customHeight="1">
      <c r="A446" s="3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" customHeight="1">
      <c r="A447" s="3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" customHeight="1">
      <c r="A448" s="3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" customHeight="1">
      <c r="A449" s="3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" customHeight="1">
      <c r="A450" s="3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" customHeight="1">
      <c r="A451" s="3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" customHeight="1">
      <c r="A452" s="3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" customHeight="1">
      <c r="A453" s="3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" customHeight="1">
      <c r="A454" s="3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" customHeight="1">
      <c r="A455" s="3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" customHeight="1">
      <c r="A456" s="3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" customHeight="1">
      <c r="A457" s="3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" customHeight="1">
      <c r="A458" s="3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" customHeight="1">
      <c r="A459" s="3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" customHeight="1">
      <c r="A460" s="3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" customHeight="1">
      <c r="A461" s="3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" customHeight="1">
      <c r="A462" s="3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" customHeight="1">
      <c r="A463" s="3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" customHeight="1">
      <c r="A464" s="3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" customHeight="1">
      <c r="A465" s="3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" customHeight="1">
      <c r="A466" s="3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" customHeight="1">
      <c r="A467" s="3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" customHeight="1">
      <c r="A468" s="3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" customHeight="1">
      <c r="A469" s="3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" customHeight="1">
      <c r="A470" s="3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" customHeight="1">
      <c r="A471" s="3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" customHeight="1">
      <c r="A472" s="3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" customHeight="1">
      <c r="A473" s="3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" customHeight="1">
      <c r="A474" s="3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" customHeight="1">
      <c r="A475" s="3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" customHeight="1">
      <c r="A476" s="3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" customHeight="1">
      <c r="A477" s="3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" customHeight="1">
      <c r="A478" s="3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" customHeight="1">
      <c r="A479" s="3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" customHeight="1">
      <c r="A480" s="3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" customHeight="1">
      <c r="A481" s="3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" customHeight="1">
      <c r="A482" s="3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" customHeight="1">
      <c r="A483" s="3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" customHeight="1">
      <c r="A484" s="3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" customHeight="1">
      <c r="A485" s="3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" customHeight="1">
      <c r="A486" s="3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" customHeight="1">
      <c r="A487" s="3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" customHeight="1">
      <c r="A488" s="3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" customHeight="1">
      <c r="A489" s="3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" customHeight="1">
      <c r="A490" s="3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" customHeight="1">
      <c r="A491" s="3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" customHeight="1">
      <c r="A492" s="3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" customHeight="1">
      <c r="A493" s="3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" customHeight="1">
      <c r="A494" s="3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" customHeight="1">
      <c r="A495" s="3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" customHeight="1">
      <c r="A496" s="3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" customHeight="1">
      <c r="A497" s="3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" customHeight="1">
      <c r="A498" s="3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" customHeight="1">
      <c r="A499" s="3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" customHeight="1">
      <c r="A500" s="3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" customHeight="1">
      <c r="A501" s="3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" customHeight="1">
      <c r="A502" s="3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" customHeight="1">
      <c r="A503" s="3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" customHeight="1">
      <c r="A504" s="3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" customHeight="1">
      <c r="A505" s="3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" customHeight="1">
      <c r="A506" s="3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" customHeight="1">
      <c r="A507" s="3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" customHeight="1">
      <c r="A508" s="3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" customHeight="1">
      <c r="A509" s="3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" customHeight="1">
      <c r="A510" s="3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" customHeight="1">
      <c r="A511" s="3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" customHeight="1">
      <c r="A512" s="3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" customHeight="1">
      <c r="A513" s="3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" customHeight="1">
      <c r="A514" s="3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" customHeight="1">
      <c r="A515" s="3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" customHeight="1">
      <c r="A516" s="3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" customHeight="1">
      <c r="A517" s="3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" customHeight="1">
      <c r="A518" s="3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" customHeight="1">
      <c r="A519" s="3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" customHeight="1">
      <c r="A520" s="3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" customHeight="1">
      <c r="A521" s="3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" customHeight="1">
      <c r="A522" s="3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" customHeight="1">
      <c r="A523" s="3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" customHeight="1">
      <c r="A524" s="3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" customHeight="1">
      <c r="A525" s="3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" customHeight="1">
      <c r="A526" s="3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" customHeight="1">
      <c r="A527" s="3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" customHeight="1">
      <c r="A528" s="3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" customHeight="1">
      <c r="A529" s="3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" customHeight="1">
      <c r="A530" s="3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" customHeight="1">
      <c r="A531" s="3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" customHeight="1">
      <c r="A532" s="3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" customHeight="1">
      <c r="A533" s="3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" customHeight="1">
      <c r="A534" s="3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" customHeight="1">
      <c r="A535" s="3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" customHeight="1">
      <c r="A536" s="3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" customHeight="1">
      <c r="A537" s="3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" customHeight="1">
      <c r="A538" s="3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" customHeight="1">
      <c r="A539" s="3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" customHeight="1">
      <c r="A540" s="3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" customHeight="1">
      <c r="A541" s="3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" customHeight="1">
      <c r="A542" s="3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" customHeight="1">
      <c r="A543" s="3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" customHeight="1">
      <c r="A544" s="3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" customHeight="1">
      <c r="A545" s="3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" customHeight="1">
      <c r="A546" s="3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" customHeight="1">
      <c r="A547" s="3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" customHeight="1">
      <c r="A548" s="3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" customHeight="1">
      <c r="A549" s="3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" customHeight="1">
      <c r="A550" s="3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" customHeight="1">
      <c r="A551" s="3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" customHeight="1">
      <c r="A552" s="3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" customHeight="1">
      <c r="A553" s="3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" customHeight="1">
      <c r="A554" s="3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" customHeight="1">
      <c r="A555" s="3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" customHeight="1">
      <c r="A556" s="3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" customHeight="1">
      <c r="A557" s="3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" customHeight="1">
      <c r="A558" s="3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" customHeight="1">
      <c r="A559" s="3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" customHeight="1">
      <c r="A560" s="3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" customHeight="1">
      <c r="A561" s="3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" customHeight="1">
      <c r="A562" s="3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" customHeight="1">
      <c r="A563" s="3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" customHeight="1">
      <c r="A564" s="3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" customHeight="1">
      <c r="A565" s="3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" customHeight="1">
      <c r="A566" s="3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" customHeight="1">
      <c r="A567" s="3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" customHeight="1">
      <c r="A568" s="3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" customHeight="1">
      <c r="A569" s="3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" customHeight="1">
      <c r="A570" s="3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" customHeight="1">
      <c r="A571" s="3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" customHeight="1">
      <c r="A572" s="3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" customHeight="1">
      <c r="A573" s="3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" customHeight="1">
      <c r="A574" s="3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" customHeight="1">
      <c r="A575" s="3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" customHeight="1">
      <c r="A576" s="3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" customHeight="1">
      <c r="A577" s="3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" customHeight="1">
      <c r="A578" s="3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" customHeight="1">
      <c r="A579" s="3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" customHeight="1">
      <c r="A580" s="3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" customHeight="1">
      <c r="A581" s="3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" customHeight="1">
      <c r="A582" s="3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" customHeight="1">
      <c r="A583" s="3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" customHeight="1">
      <c r="A584" s="3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" customHeight="1">
      <c r="A585" s="3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" customHeight="1">
      <c r="A586" s="3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" customHeight="1">
      <c r="A587" s="3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" customHeight="1">
      <c r="A588" s="3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" customHeight="1">
      <c r="A589" s="3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" customHeight="1">
      <c r="A590" s="3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" customHeight="1">
      <c r="A591" s="3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" customHeight="1">
      <c r="A592" s="3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" customHeight="1">
      <c r="A593" s="3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" customHeight="1">
      <c r="A594" s="3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" customHeight="1">
      <c r="A595" s="3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" customHeight="1">
      <c r="A596" s="3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" customHeight="1">
      <c r="A597" s="3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" customHeight="1">
      <c r="A598" s="3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" customHeight="1">
      <c r="A599" s="3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" customHeight="1">
      <c r="A600" s="3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" customHeight="1">
      <c r="A601" s="3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" customHeight="1">
      <c r="A602" s="3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" customHeight="1">
      <c r="A603" s="3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" customHeight="1">
      <c r="A604" s="3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" customHeight="1">
      <c r="A605" s="3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" customHeight="1">
      <c r="A606" s="3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" customHeight="1">
      <c r="A607" s="3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" customHeight="1">
      <c r="A608" s="3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" customHeight="1">
      <c r="A609" s="3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" customHeight="1">
      <c r="A610" s="3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" customHeight="1">
      <c r="A611" s="3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" customHeight="1">
      <c r="A612" s="3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" customHeight="1">
      <c r="A613" s="3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" customHeight="1">
      <c r="A614" s="3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" customHeight="1">
      <c r="A615" s="3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" customHeight="1">
      <c r="A616" s="3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" customHeight="1">
      <c r="A617" s="3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" customHeight="1">
      <c r="A618" s="3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" customHeight="1">
      <c r="A619" s="3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" customHeight="1">
      <c r="A620" s="3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" customHeight="1">
      <c r="A621" s="3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" customHeight="1">
      <c r="A622" s="3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" customHeight="1">
      <c r="A623" s="3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" customHeight="1">
      <c r="A624" s="3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" customHeight="1">
      <c r="A625" s="3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" customHeight="1">
      <c r="A626" s="3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" customHeight="1">
      <c r="A627" s="3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" customHeight="1">
      <c r="A628" s="3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" customHeight="1">
      <c r="A629" s="3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" customHeight="1">
      <c r="A630" s="3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" customHeight="1">
      <c r="A631" s="3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" customHeight="1">
      <c r="A632" s="3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" customHeight="1">
      <c r="A633" s="3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" customHeight="1">
      <c r="A634" s="3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" customHeight="1">
      <c r="A635" s="3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" customHeight="1">
      <c r="A636" s="3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" customHeight="1">
      <c r="A637" s="3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" customHeight="1">
      <c r="A638" s="3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" customHeight="1">
      <c r="A639" s="3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" customHeight="1">
      <c r="A640" s="3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" customHeight="1">
      <c r="A641" s="3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" customHeight="1">
      <c r="A642" s="3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" customHeight="1">
      <c r="A643" s="3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" customHeight="1">
      <c r="A644" s="3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" customHeight="1">
      <c r="A645" s="3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" customHeight="1">
      <c r="A646" s="3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" customHeight="1">
      <c r="A647" s="3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" customHeight="1">
      <c r="A648" s="3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" customHeight="1">
      <c r="A649" s="3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" customHeight="1">
      <c r="A650" s="3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" customHeight="1">
      <c r="A651" s="3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" customHeight="1">
      <c r="A652" s="3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" customHeight="1">
      <c r="A653" s="3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" customHeight="1">
      <c r="A654" s="3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" customHeight="1">
      <c r="A655" s="3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" customHeight="1">
      <c r="A656" s="3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" customHeight="1">
      <c r="A657" s="3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" customHeight="1">
      <c r="A658" s="3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" customHeight="1">
      <c r="A659" s="3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" customHeight="1">
      <c r="A660" s="3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" customHeight="1">
      <c r="A661" s="3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" customHeight="1">
      <c r="A662" s="3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" customHeight="1">
      <c r="A663" s="3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" customHeight="1">
      <c r="A664" s="3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" customHeight="1">
      <c r="A665" s="3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" customHeight="1">
      <c r="A666" s="3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" customHeight="1">
      <c r="A667" s="3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" customHeight="1">
      <c r="A668" s="3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" customHeight="1">
      <c r="A669" s="3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" customHeight="1">
      <c r="A670" s="3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" customHeight="1">
      <c r="A671" s="3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" customHeight="1">
      <c r="A672" s="3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" customHeight="1">
      <c r="A673" s="3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" customHeight="1">
      <c r="A674" s="3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" customHeight="1">
      <c r="A675" s="3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" customHeight="1">
      <c r="A676" s="3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" customHeight="1">
      <c r="A677" s="3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" customHeight="1">
      <c r="A678" s="3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" customHeight="1">
      <c r="A679" s="3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" customHeight="1">
      <c r="A680" s="3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" customHeight="1">
      <c r="A681" s="3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" customHeight="1">
      <c r="A682" s="3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" customHeight="1">
      <c r="A683" s="3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" customHeight="1">
      <c r="A684" s="3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" customHeight="1">
      <c r="A685" s="3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" customHeight="1">
      <c r="A686" s="3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" customHeight="1">
      <c r="A687" s="3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" customHeight="1">
      <c r="A688" s="3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" customHeight="1">
      <c r="A689" s="3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" customHeight="1">
      <c r="A690" s="3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" customHeight="1">
      <c r="A691" s="3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" customHeight="1">
      <c r="A692" s="3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" customHeight="1">
      <c r="A693" s="3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" customHeight="1">
      <c r="A694" s="3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" customHeight="1">
      <c r="A695" s="3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" customHeight="1">
      <c r="A696" s="3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" customHeight="1">
      <c r="A697" s="3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" customHeight="1">
      <c r="A698" s="3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" customHeight="1">
      <c r="A699" s="3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" customHeight="1">
      <c r="A700" s="3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" customHeight="1">
      <c r="A701" s="3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" customHeight="1">
      <c r="A702" s="3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" customHeight="1">
      <c r="A703" s="3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" customHeight="1">
      <c r="A704" s="3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" customHeight="1">
      <c r="A705" s="3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" customHeight="1">
      <c r="A706" s="3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" customHeight="1">
      <c r="A707" s="3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" customHeight="1">
      <c r="A708" s="3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" customHeight="1">
      <c r="A709" s="3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" customHeight="1">
      <c r="A710" s="3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" customHeight="1">
      <c r="A711" s="3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" customHeight="1">
      <c r="A712" s="3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" customHeight="1">
      <c r="A713" s="3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" customHeight="1">
      <c r="A714" s="3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" customHeight="1">
      <c r="A715" s="3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" customHeight="1">
      <c r="A716" s="3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" customHeight="1">
      <c r="A717" s="3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" customHeight="1">
      <c r="A718" s="3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" customHeight="1">
      <c r="A719" s="3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" customHeight="1">
      <c r="A720" s="3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" customHeight="1">
      <c r="A721" s="3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" customHeight="1">
      <c r="A722" s="3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" customHeight="1">
      <c r="A723" s="3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" customHeight="1">
      <c r="A724" s="3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" customHeight="1">
      <c r="A725" s="3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" customHeight="1">
      <c r="A726" s="3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" customHeight="1">
      <c r="A727" s="3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" customHeight="1">
      <c r="A728" s="3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" customHeight="1">
      <c r="A729" s="3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" customHeight="1">
      <c r="A730" s="3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" customHeight="1">
      <c r="A731" s="3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" customHeight="1">
      <c r="A732" s="3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" customHeight="1">
      <c r="A733" s="3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" customHeight="1">
      <c r="A734" s="3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" customHeight="1">
      <c r="A735" s="3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" customHeight="1">
      <c r="A736" s="3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" customHeight="1">
      <c r="A737" s="3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" customHeight="1">
      <c r="A738" s="3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" customHeight="1">
      <c r="A739" s="3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" customHeight="1">
      <c r="A740" s="3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" customHeight="1">
      <c r="A741" s="3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" customHeight="1">
      <c r="A742" s="3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" customHeight="1">
      <c r="A743" s="3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" customHeight="1">
      <c r="A744" s="3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" customHeight="1">
      <c r="A745" s="3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" customHeight="1">
      <c r="A746" s="3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" customHeight="1">
      <c r="A747" s="3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" customHeight="1">
      <c r="A748" s="3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" customHeight="1">
      <c r="A749" s="3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" customHeight="1">
      <c r="A750" s="3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" customHeight="1">
      <c r="A751" s="3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" customHeight="1">
      <c r="A752" s="3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" customHeight="1">
      <c r="A753" s="3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" customHeight="1">
      <c r="A754" s="3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" customHeight="1">
      <c r="A755" s="3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" customHeight="1">
      <c r="A756" s="3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" customHeight="1">
      <c r="A757" s="3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" customHeight="1">
      <c r="A758" s="3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" customHeight="1">
      <c r="A759" s="3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" customHeight="1">
      <c r="A760" s="3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" customHeight="1">
      <c r="A761" s="3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" customHeight="1">
      <c r="A762" s="3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" customHeight="1">
      <c r="A763" s="3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" customHeight="1">
      <c r="A764" s="3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" customHeight="1">
      <c r="A765" s="3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" customHeight="1">
      <c r="A766" s="3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" customHeight="1">
      <c r="A767" s="3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" customHeight="1">
      <c r="A768" s="3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" customHeight="1">
      <c r="A769" s="3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" customHeight="1">
      <c r="A770" s="3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" customHeight="1">
      <c r="A771" s="3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" customHeight="1">
      <c r="A772" s="3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" customHeight="1">
      <c r="A773" s="3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" customHeight="1">
      <c r="A774" s="3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" customHeight="1">
      <c r="A775" s="3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" customHeight="1">
      <c r="A776" s="3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" customHeight="1">
      <c r="A777" s="3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" customHeight="1">
      <c r="A778" s="3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" customHeight="1">
      <c r="A779" s="3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" customHeight="1">
      <c r="A780" s="3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" customHeight="1">
      <c r="A781" s="3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" customHeight="1">
      <c r="A782" s="3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" customHeight="1">
      <c r="A783" s="3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" customHeight="1">
      <c r="A784" s="3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" customHeight="1">
      <c r="A785" s="3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" customHeight="1">
      <c r="A786" s="3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" customHeight="1">
      <c r="A787" s="3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" customHeight="1">
      <c r="A788" s="3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" customHeight="1">
      <c r="A789" s="3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" customHeight="1">
      <c r="A790" s="3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" customHeight="1">
      <c r="A791" s="3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" customHeight="1">
      <c r="A792" s="3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" customHeight="1">
      <c r="A793" s="3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" customHeight="1">
      <c r="A794" s="3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" customHeight="1">
      <c r="A795" s="3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" customHeight="1">
      <c r="A796" s="3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" customHeight="1">
      <c r="A797" s="3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" customHeight="1">
      <c r="A798" s="3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" customHeight="1">
      <c r="A799" s="3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" customHeight="1">
      <c r="A800" s="3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" customHeight="1">
      <c r="A801" s="3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" customHeight="1">
      <c r="A802" s="3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" customHeight="1">
      <c r="A803" s="3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" customHeight="1">
      <c r="A804" s="3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" customHeight="1">
      <c r="A805" s="3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" customHeight="1">
      <c r="A806" s="3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" customHeight="1">
      <c r="A807" s="3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" customHeight="1">
      <c r="A808" s="3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" customHeight="1">
      <c r="A809" s="3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" customHeight="1">
      <c r="A810" s="3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" customHeight="1">
      <c r="A811" s="3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" customHeight="1">
      <c r="A812" s="3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" customHeight="1">
      <c r="A813" s="3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" customHeight="1">
      <c r="A814" s="3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" customHeight="1">
      <c r="A815" s="3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" customHeight="1">
      <c r="A816" s="3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" customHeight="1">
      <c r="A817" s="3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" customHeight="1">
      <c r="A818" s="3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" customHeight="1">
      <c r="A819" s="3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" customHeight="1">
      <c r="A820" s="3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" customHeight="1">
      <c r="A821" s="3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" customHeight="1">
      <c r="A822" s="3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" customHeight="1">
      <c r="A823" s="3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" customHeight="1">
      <c r="A824" s="3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" customHeight="1">
      <c r="A825" s="3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" customHeight="1">
      <c r="A826" s="3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" customHeight="1">
      <c r="A827" s="3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" customHeight="1">
      <c r="A828" s="3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" customHeight="1">
      <c r="A829" s="3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" customHeight="1">
      <c r="A830" s="3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" customHeight="1">
      <c r="A831" s="3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" customHeight="1">
      <c r="A832" s="3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" customHeight="1">
      <c r="A833" s="3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" customHeight="1">
      <c r="A834" s="3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" customHeight="1">
      <c r="A835" s="3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" customHeight="1">
      <c r="A836" s="3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" customHeight="1">
      <c r="A837" s="3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" customHeight="1">
      <c r="A838" s="3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" customHeight="1">
      <c r="A839" s="3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" customHeight="1">
      <c r="A840" s="3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" customHeight="1">
      <c r="A841" s="3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" customHeight="1">
      <c r="A842" s="3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" customHeight="1">
      <c r="A843" s="3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" customHeight="1">
      <c r="A844" s="3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" customHeight="1">
      <c r="A845" s="3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" customHeight="1">
      <c r="A846" s="3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" customHeight="1">
      <c r="A847" s="3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" customHeight="1">
      <c r="A848" s="3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" customHeight="1">
      <c r="A849" s="3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" customHeight="1">
      <c r="A850" s="3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" customHeight="1">
      <c r="A851" s="3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" customHeight="1">
      <c r="A852" s="3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" customHeight="1">
      <c r="A853" s="3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" customHeight="1">
      <c r="A854" s="3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" customHeight="1">
      <c r="A855" s="3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" customHeight="1">
      <c r="A856" s="3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" customHeight="1">
      <c r="A857" s="3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" customHeight="1">
      <c r="A858" s="3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" customHeight="1">
      <c r="A859" s="3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" customHeight="1">
      <c r="A860" s="3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" customHeight="1">
      <c r="A861" s="3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" customHeight="1">
      <c r="A862" s="3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" customHeight="1">
      <c r="A863" s="3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" customHeight="1">
      <c r="A864" s="3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" customHeight="1">
      <c r="A865" s="3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" customHeight="1">
      <c r="A866" s="3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" customHeight="1">
      <c r="A867" s="3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" customHeight="1">
      <c r="A868" s="3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" customHeight="1">
      <c r="A869" s="3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" customHeight="1">
      <c r="A870" s="3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" customHeight="1">
      <c r="A871" s="3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" customHeight="1">
      <c r="A872" s="3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" customHeight="1">
      <c r="A873" s="3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" customHeight="1">
      <c r="A874" s="3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" customHeight="1">
      <c r="A875" s="3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" customHeight="1">
      <c r="A876" s="3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" customHeight="1">
      <c r="A877" s="3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" customHeight="1">
      <c r="A878" s="3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" customHeight="1">
      <c r="A879" s="3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" customHeight="1">
      <c r="A880" s="3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" customHeight="1">
      <c r="A881" s="3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" customHeight="1">
      <c r="A882" s="3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" customHeight="1">
      <c r="A883" s="3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" customHeight="1">
      <c r="A884" s="3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" customHeight="1">
      <c r="A885" s="3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" customHeight="1">
      <c r="A886" s="3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" customHeight="1">
      <c r="A887" s="3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" customHeight="1">
      <c r="A888" s="3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" customHeight="1">
      <c r="A889" s="3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" customHeight="1">
      <c r="A890" s="3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" customHeight="1">
      <c r="A891" s="3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" customHeight="1">
      <c r="A892" s="3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" customHeight="1">
      <c r="A893" s="3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" customHeight="1">
      <c r="A894" s="3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" customHeight="1">
      <c r="A895" s="3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" customHeight="1">
      <c r="A896" s="3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" customHeight="1">
      <c r="A897" s="3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" customHeight="1">
      <c r="A898" s="3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" customHeight="1">
      <c r="A899" s="3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" customHeight="1">
      <c r="A900" s="3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" customHeight="1">
      <c r="A901" s="3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" customHeight="1">
      <c r="A902" s="3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" customHeight="1">
      <c r="A903" s="3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" customHeight="1">
      <c r="A904" s="3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" customHeight="1">
      <c r="A905" s="3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" customHeight="1">
      <c r="A906" s="3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" customHeight="1">
      <c r="A907" s="3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" customHeight="1">
      <c r="A908" s="3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" customHeight="1">
      <c r="A909" s="3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" customHeight="1">
      <c r="A910" s="3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" customHeight="1">
      <c r="A911" s="3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" customHeight="1">
      <c r="A912" s="3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" customHeight="1">
      <c r="A913" s="3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" customHeight="1">
      <c r="A914" s="3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" customHeight="1">
      <c r="A915" s="3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" customHeight="1">
      <c r="A916" s="3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" customHeight="1">
      <c r="A917" s="3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" customHeight="1">
      <c r="A918" s="3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" customHeight="1">
      <c r="A919" s="3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" customHeight="1">
      <c r="A920" s="3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" customHeight="1">
      <c r="A921" s="3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" customHeight="1">
      <c r="A922" s="3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" customHeight="1">
      <c r="A923" s="3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" customHeight="1">
      <c r="A924" s="3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" customHeight="1">
      <c r="A925" s="3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" customHeight="1">
      <c r="A926" s="3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" customHeight="1">
      <c r="A927" s="3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" customHeight="1">
      <c r="A928" s="3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" customHeight="1">
      <c r="A929" s="3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" customHeight="1">
      <c r="A930" s="3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" customHeight="1">
      <c r="A931" s="3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" customHeight="1">
      <c r="A932" s="3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" customHeight="1">
      <c r="A933" s="3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" customHeight="1">
      <c r="A934" s="3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" customHeight="1">
      <c r="A935" s="3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" customHeight="1">
      <c r="A936" s="3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" customHeight="1">
      <c r="A937" s="3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" customHeight="1">
      <c r="A938" s="3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" customHeight="1">
      <c r="A939" s="3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" customHeight="1">
      <c r="A940" s="3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" customHeight="1">
      <c r="A941" s="3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" customHeight="1">
      <c r="A942" s="3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" customHeight="1">
      <c r="A943" s="3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" customHeight="1">
      <c r="A944" s="3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" customHeight="1">
      <c r="A945" s="3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" customHeight="1">
      <c r="A946" s="3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" customHeight="1">
      <c r="A947" s="3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" customHeight="1">
      <c r="A948" s="3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" customHeight="1">
      <c r="A949" s="3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" customHeight="1">
      <c r="A950" s="3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" customHeight="1">
      <c r="A951" s="3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" customHeight="1">
      <c r="A952" s="3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" customHeight="1">
      <c r="A953" s="3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" customHeight="1">
      <c r="A954" s="3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" customHeight="1">
      <c r="A955" s="3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" customHeight="1">
      <c r="A956" s="3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" customHeight="1">
      <c r="A957" s="3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" customHeight="1">
      <c r="A958" s="3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" customHeight="1">
      <c r="A959" s="3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" customHeight="1">
      <c r="A960" s="3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" customHeight="1">
      <c r="A961" s="3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" customHeight="1">
      <c r="A962" s="3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" customHeight="1">
      <c r="A963" s="3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" customHeight="1">
      <c r="A964" s="3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" customHeight="1">
      <c r="A965" s="3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" customHeight="1">
      <c r="A966" s="3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" customHeight="1">
      <c r="A967" s="3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" customHeight="1">
      <c r="A968" s="3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" customHeight="1">
      <c r="A969" s="3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" customHeight="1">
      <c r="A970" s="3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" customHeight="1">
      <c r="A971" s="3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" customHeight="1">
      <c r="A972" s="3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" customHeight="1">
      <c r="A973" s="3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" customHeight="1">
      <c r="A974" s="3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" customHeight="1">
      <c r="A975" s="3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" customHeight="1">
      <c r="A976" s="3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" customHeight="1">
      <c r="A977" s="3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" customHeight="1">
      <c r="A978" s="3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" customHeight="1">
      <c r="A979" s="3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" customHeight="1">
      <c r="A980" s="3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" customHeight="1">
      <c r="A981" s="3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" customHeight="1">
      <c r="A982" s="3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" customHeight="1">
      <c r="A983" s="3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" customHeight="1">
      <c r="A984" s="3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" customHeight="1">
      <c r="A985" s="3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" customHeight="1">
      <c r="A986" s="3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" customHeight="1">
      <c r="A987" s="3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" customHeight="1">
      <c r="A988" s="3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" customHeight="1">
      <c r="A989" s="3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" customHeight="1">
      <c r="A990" s="3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" customHeight="1">
      <c r="A991" s="3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" customHeight="1">
      <c r="A992" s="3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" customHeight="1">
      <c r="A993" s="3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" customHeight="1">
      <c r="A994" s="3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" customHeight="1">
      <c r="A995" s="3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" customHeight="1">
      <c r="A996" s="3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" customHeight="1">
      <c r="A997" s="3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" customHeight="1">
      <c r="A998" s="3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" customHeight="1">
      <c r="A999" s="3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" customHeight="1">
      <c r="A1000" s="3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2" customHeight="1">
      <c r="A1001" s="3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AA1000"/>
  <sheetViews>
    <sheetView showGridLines="0" zoomScale="137" workbookViewId="0">
      <selection sqref="A1:G30"/>
    </sheetView>
  </sheetViews>
  <sheetFormatPr baseColWidth="10" defaultColWidth="12.6640625" defaultRowHeight="15" customHeight="1"/>
  <cols>
    <col min="1" max="1" width="48.83203125" customWidth="1"/>
    <col min="2" max="2" width="36.5" customWidth="1"/>
    <col min="3" max="4" width="8.83203125" bestFit="1" customWidth="1"/>
    <col min="5" max="7" width="10.1640625" bestFit="1" customWidth="1"/>
    <col min="8" max="27" width="8.5" customWidth="1"/>
  </cols>
  <sheetData>
    <row r="1" spans="1:27" ht="26.25" customHeight="1">
      <c r="A1" s="72" t="s">
        <v>51</v>
      </c>
      <c r="B1" s="76"/>
      <c r="C1" s="74"/>
      <c r="D1" s="97"/>
      <c r="E1" s="97"/>
      <c r="F1" s="97"/>
      <c r="G1" s="73"/>
      <c r="H1" s="74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12" customHeight="1">
      <c r="A2" s="104" t="s">
        <v>160</v>
      </c>
      <c r="B2" s="77" t="s">
        <v>161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 spans="1:27" ht="12" customHeight="1">
      <c r="A3" s="78"/>
      <c r="B3" s="79" t="s">
        <v>53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 spans="1:27" ht="12" customHeight="1">
      <c r="A4" s="82" t="s">
        <v>162</v>
      </c>
      <c r="B4" s="82" t="s">
        <v>59</v>
      </c>
      <c r="C4" s="80" t="s">
        <v>178</v>
      </c>
      <c r="D4" s="80" t="s">
        <v>179</v>
      </c>
      <c r="E4" s="80" t="s">
        <v>180</v>
      </c>
      <c r="F4" s="80" t="s">
        <v>181</v>
      </c>
      <c r="G4" s="80" t="s">
        <v>182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 spans="1:27" ht="12" hidden="1" customHeight="1">
      <c r="A5" s="93" t="s">
        <v>163</v>
      </c>
      <c r="B5" s="93"/>
      <c r="C5" s="95"/>
      <c r="D5" s="95"/>
      <c r="E5" s="95"/>
      <c r="F5" s="95"/>
      <c r="G5" s="95"/>
      <c r="H5" s="3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spans="1:27" ht="12" hidden="1" customHeight="1">
      <c r="A6" s="3" t="s">
        <v>152</v>
      </c>
      <c r="B6" s="3" t="s">
        <v>150</v>
      </c>
      <c r="C6" s="98" t="e">
        <f>SUMIF(#REF!,C$4,#REF!)</f>
        <v>#REF!</v>
      </c>
      <c r="D6" s="98" t="e">
        <f>SUMIF(#REF!,D$4,#REF!)</f>
        <v>#REF!</v>
      </c>
      <c r="E6" s="98" t="e">
        <f>SUMIF(#REF!,E$4,#REF!)</f>
        <v>#REF!</v>
      </c>
      <c r="F6" s="98" t="e">
        <f>SUMIF(#REF!,F$4,#REF!)</f>
        <v>#REF!</v>
      </c>
      <c r="G6" s="98" t="e">
        <f>SUMIF(#REF!,G$4,#REF!)</f>
        <v>#REF!</v>
      </c>
      <c r="H6" s="98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spans="1:27" ht="12" hidden="1" customHeight="1">
      <c r="A7" s="3" t="s">
        <v>164</v>
      </c>
      <c r="B7" s="3" t="s">
        <v>151</v>
      </c>
      <c r="C7" s="98" t="e">
        <f>SUMIF(#REF!,C$4,#REF!)</f>
        <v>#REF!</v>
      </c>
      <c r="D7" s="98" t="e">
        <f>SUMIF(#REF!,D$4,#REF!)</f>
        <v>#REF!</v>
      </c>
      <c r="E7" s="98" t="e">
        <f>SUMIF(#REF!,E$4,#REF!)</f>
        <v>#REF!</v>
      </c>
      <c r="F7" s="98" t="e">
        <f>SUMIF(#REF!,F$4,#REF!)</f>
        <v>#REF!</v>
      </c>
      <c r="G7" s="98" t="e">
        <f>SUMIF(#REF!,G$4,#REF!)</f>
        <v>#REF!</v>
      </c>
      <c r="H7" s="28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spans="1:27" ht="12" hidden="1" customHeight="1">
      <c r="A8" s="19" t="s">
        <v>165</v>
      </c>
      <c r="B8" s="19" t="s">
        <v>127</v>
      </c>
      <c r="C8" s="98" t="e">
        <f>SUMIF(#REF!,C$4,#REF!)</f>
        <v>#REF!</v>
      </c>
      <c r="D8" s="98" t="e">
        <f>SUMIF(#REF!,D$4,#REF!)</f>
        <v>#REF!</v>
      </c>
      <c r="E8" s="98" t="e">
        <f>SUMIF(#REF!,E$4,#REF!)</f>
        <v>#REF!</v>
      </c>
      <c r="F8" s="98" t="e">
        <f>SUMIF(#REF!,F$4,#REF!)</f>
        <v>#REF!</v>
      </c>
      <c r="G8" s="98" t="e">
        <f>SUMIF(#REF!,G$4,#REF!)</f>
        <v>#REF!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12" customHeight="1">
      <c r="A9" s="19"/>
      <c r="B9" s="19"/>
      <c r="C9" s="98"/>
      <c r="D9" s="98"/>
      <c r="E9" s="98"/>
      <c r="F9" s="98"/>
      <c r="G9" s="9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12" customHeight="1">
      <c r="A10" s="106" t="s">
        <v>165</v>
      </c>
      <c r="B10" s="106" t="s">
        <v>153</v>
      </c>
      <c r="C10" s="107">
        <f>+SALES!B51</f>
        <v>299700</v>
      </c>
      <c r="D10" s="107">
        <f>+SALES!C51</f>
        <v>856087.5</v>
      </c>
      <c r="E10" s="107">
        <f>+SALES!D51</f>
        <v>2295375</v>
      </c>
      <c r="F10" s="107">
        <f>+SALES!E51</f>
        <v>4490850</v>
      </c>
      <c r="G10" s="107">
        <f>+SALES!F51</f>
        <v>7209585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12" customHeight="1">
      <c r="A11" s="108"/>
      <c r="B11" s="108"/>
      <c r="C11" s="109"/>
      <c r="D11" s="109"/>
      <c r="E11" s="109"/>
      <c r="F11" s="109"/>
      <c r="G11" s="109"/>
      <c r="H11" s="28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7" ht="12" hidden="1" customHeight="1">
      <c r="A12" s="3" t="s">
        <v>163</v>
      </c>
      <c r="B12" s="3" t="s">
        <v>63</v>
      </c>
      <c r="C12" s="98" t="e">
        <f>SUMIF(#REF!,C$4,#REF!)</f>
        <v>#REF!</v>
      </c>
      <c r="D12" s="98" t="e">
        <f>SUMIF(#REF!,D$4,#REF!)</f>
        <v>#REF!</v>
      </c>
      <c r="E12" s="98" t="e">
        <f>SUMIF(#REF!,E$4,#REF!)</f>
        <v>#REF!</v>
      </c>
      <c r="F12" s="98" t="e">
        <f>SUMIF(#REF!,F$4,#REF!)</f>
        <v>#REF!</v>
      </c>
      <c r="G12" s="98" t="e">
        <f>SUMIF(#REF!,G$4,#REF!)</f>
        <v>#REF!</v>
      </c>
      <c r="H12" s="28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7" ht="12" hidden="1" customHeight="1">
      <c r="A13" s="3" t="s">
        <v>152</v>
      </c>
      <c r="B13" s="3" t="s">
        <v>69</v>
      </c>
      <c r="C13" s="98" t="e">
        <f>SUMIF(#REF!,C$4,#REF!)</f>
        <v>#REF!</v>
      </c>
      <c r="D13" s="98" t="e">
        <f>SUMIF(#REF!,D$4,#REF!)</f>
        <v>#REF!</v>
      </c>
      <c r="E13" s="98" t="e">
        <f>SUMIF(#REF!,E$4,#REF!)</f>
        <v>#REF!</v>
      </c>
      <c r="F13" s="98" t="e">
        <f>SUMIF(#REF!,F$4,#REF!)</f>
        <v>#REF!</v>
      </c>
      <c r="G13" s="98" t="e">
        <f>SUMIF(#REF!,G$4,#REF!)</f>
        <v>#REF!</v>
      </c>
      <c r="H13" s="2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7" ht="12" hidden="1" customHeight="1">
      <c r="A14" s="3" t="s">
        <v>164</v>
      </c>
      <c r="B14" s="3" t="s">
        <v>127</v>
      </c>
      <c r="C14" s="98" t="e">
        <f>SUMIF(#REF!,C$4,#REF!)</f>
        <v>#REF!</v>
      </c>
      <c r="D14" s="98" t="e">
        <f>SUMIF(#REF!,D$4,#REF!)</f>
        <v>#REF!</v>
      </c>
      <c r="E14" s="98" t="e">
        <f>SUMIF(#REF!,E$4,#REF!)</f>
        <v>#REF!</v>
      </c>
      <c r="F14" s="98" t="e">
        <f>SUMIF(#REF!,F$4,#REF!)</f>
        <v>#REF!</v>
      </c>
      <c r="G14" s="98" t="e">
        <f>SUMIF(#REF!,G$4,#REF!)</f>
        <v>#REF!</v>
      </c>
      <c r="H14" s="28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7" ht="12" customHeight="1">
      <c r="A15" s="111" t="s">
        <v>166</v>
      </c>
      <c r="B15" s="111" t="s">
        <v>167</v>
      </c>
      <c r="C15" s="101">
        <f>+'Expense Assumptions'!B27</f>
        <v>149850</v>
      </c>
      <c r="D15" s="101">
        <f>+'Expense Assumptions'!C27</f>
        <v>428043.75</v>
      </c>
      <c r="E15" s="101">
        <f>+'Expense Assumptions'!D27</f>
        <v>1176847.5</v>
      </c>
      <c r="F15" s="101">
        <f>+'Expense Assumptions'!E27</f>
        <v>2328720</v>
      </c>
      <c r="G15" s="101">
        <f>+'Expense Assumptions'!F27</f>
        <v>3771382.5</v>
      </c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7" ht="12" customHeight="1">
      <c r="A16" s="99" t="s">
        <v>50</v>
      </c>
      <c r="B16" s="99"/>
      <c r="C16" s="100"/>
      <c r="D16" s="100"/>
      <c r="E16" s="100"/>
      <c r="F16" s="100"/>
      <c r="G16" s="112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2" customHeight="1">
      <c r="A17" s="111" t="s">
        <v>168</v>
      </c>
      <c r="B17" s="111" t="s">
        <v>154</v>
      </c>
      <c r="C17" s="101">
        <f t="shared" ref="C17:G17" si="0">C10-C15</f>
        <v>149850</v>
      </c>
      <c r="D17" s="101">
        <f t="shared" si="0"/>
        <v>428043.75</v>
      </c>
      <c r="E17" s="101">
        <f t="shared" si="0"/>
        <v>1118527.5</v>
      </c>
      <c r="F17" s="101">
        <f t="shared" si="0"/>
        <v>2162130</v>
      </c>
      <c r="G17" s="101">
        <f t="shared" si="0"/>
        <v>3438202.5</v>
      </c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</row>
    <row r="18" spans="1:27" ht="12" customHeight="1">
      <c r="A18" s="99" t="s">
        <v>50</v>
      </c>
      <c r="B18" s="9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12" customHeight="1">
      <c r="A19" s="28" t="s">
        <v>169</v>
      </c>
      <c r="B19" s="28"/>
      <c r="C19" s="85"/>
      <c r="D19" s="85"/>
      <c r="E19" s="85"/>
      <c r="F19" s="85"/>
      <c r="G19" s="85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12" customHeight="1">
      <c r="A20" s="111" t="s">
        <v>170</v>
      </c>
      <c r="B20" s="111" t="s">
        <v>149</v>
      </c>
      <c r="C20" s="103">
        <f>+SALES!B127</f>
        <v>99960</v>
      </c>
      <c r="D20" s="103">
        <f>+SALES!C127</f>
        <v>140688</v>
      </c>
      <c r="E20" s="103">
        <f>+SALES!D127</f>
        <v>182621.40000000002</v>
      </c>
      <c r="F20" s="103">
        <f>+SALES!E127</f>
        <v>221362.14</v>
      </c>
      <c r="G20" s="103">
        <f>+SALES!F127</f>
        <v>251244.16200000001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12" customHeight="1">
      <c r="A21" s="2" t="s">
        <v>171</v>
      </c>
      <c r="B21" s="2" t="s">
        <v>172</v>
      </c>
      <c r="C21" s="98">
        <f>+'Expense Assumptions'!B71</f>
        <v>0</v>
      </c>
      <c r="D21" s="98">
        <f>+'Expense Assumptions'!C71</f>
        <v>91000</v>
      </c>
      <c r="E21" s="98">
        <f>+'Expense Assumptions'!D71</f>
        <v>237200</v>
      </c>
      <c r="F21" s="98">
        <f>+'Expense Assumptions'!E71</f>
        <v>420970</v>
      </c>
      <c r="G21" s="98">
        <f>+'Expense Assumptions'!F71</f>
        <v>700779.5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12" customHeight="1">
      <c r="A22" s="3" t="s">
        <v>50</v>
      </c>
      <c r="B22" s="3"/>
      <c r="C22" s="114"/>
      <c r="D22" s="114"/>
      <c r="E22" s="114"/>
      <c r="F22" s="114"/>
      <c r="G22" s="114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1:27" ht="12" customHeight="1">
      <c r="A23" s="106" t="s">
        <v>173</v>
      </c>
      <c r="B23" s="106" t="s">
        <v>155</v>
      </c>
      <c r="C23" s="107">
        <f t="shared" ref="C23:G23" si="1">+C21+C20</f>
        <v>99960</v>
      </c>
      <c r="D23" s="107">
        <f t="shared" si="1"/>
        <v>231688</v>
      </c>
      <c r="E23" s="107">
        <f t="shared" si="1"/>
        <v>419821.4</v>
      </c>
      <c r="F23" s="107">
        <f t="shared" si="1"/>
        <v>642332.14</v>
      </c>
      <c r="G23" s="107">
        <f t="shared" si="1"/>
        <v>952023.66200000001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12" customHeight="1">
      <c r="A24" s="3" t="s">
        <v>50</v>
      </c>
      <c r="B24" s="3"/>
      <c r="C24" s="98"/>
      <c r="D24" s="98"/>
      <c r="E24" s="98"/>
      <c r="F24" s="98"/>
      <c r="G24" s="9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12" customHeight="1">
      <c r="A25" s="115" t="s">
        <v>156</v>
      </c>
      <c r="B25" s="115" t="s">
        <v>156</v>
      </c>
      <c r="C25" s="116">
        <f t="shared" ref="C25:G25" si="2">+C17-C23</f>
        <v>49890</v>
      </c>
      <c r="D25" s="116">
        <f t="shared" si="2"/>
        <v>196355.75</v>
      </c>
      <c r="E25" s="116">
        <f t="shared" si="2"/>
        <v>698706.1</v>
      </c>
      <c r="F25" s="116">
        <f t="shared" si="2"/>
        <v>1519797.8599999999</v>
      </c>
      <c r="G25" s="116">
        <f t="shared" si="2"/>
        <v>2486178.838</v>
      </c>
      <c r="H25" s="28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spans="1:27" ht="12" customHeight="1">
      <c r="A26" s="117" t="s">
        <v>50</v>
      </c>
      <c r="B26" s="117"/>
      <c r="C26" s="98"/>
      <c r="D26" s="98"/>
      <c r="E26" s="98"/>
      <c r="F26" s="98"/>
      <c r="G26" s="9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2" customHeight="1">
      <c r="A27" s="2" t="s">
        <v>174</v>
      </c>
      <c r="B27" s="2" t="s">
        <v>157</v>
      </c>
      <c r="C27" s="98"/>
      <c r="D27" s="98"/>
      <c r="E27" s="98"/>
      <c r="F27" s="98"/>
      <c r="G27" s="98"/>
      <c r="H27" s="9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2" customHeight="1">
      <c r="A28" s="102" t="s">
        <v>175</v>
      </c>
      <c r="B28" s="102" t="s">
        <v>158</v>
      </c>
      <c r="C28" s="98"/>
      <c r="D28" s="98"/>
      <c r="E28" s="98"/>
      <c r="F28" s="98"/>
      <c r="G28" s="98"/>
      <c r="H28" s="9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2" customHeight="1">
      <c r="A29" s="1" t="s">
        <v>50</v>
      </c>
      <c r="B29" s="1"/>
      <c r="C29" s="85"/>
      <c r="D29" s="85"/>
      <c r="E29" s="85"/>
      <c r="F29" s="85"/>
      <c r="G29" s="85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2" customHeight="1">
      <c r="A30" s="118" t="s">
        <v>176</v>
      </c>
      <c r="B30" s="118" t="s">
        <v>159</v>
      </c>
      <c r="C30" s="119">
        <f t="shared" ref="C30:G30" si="3">+C25-C27-C28</f>
        <v>49890</v>
      </c>
      <c r="D30" s="119">
        <f t="shared" si="3"/>
        <v>196355.75</v>
      </c>
      <c r="E30" s="119">
        <f t="shared" si="3"/>
        <v>698706.1</v>
      </c>
      <c r="F30" s="119">
        <f t="shared" si="3"/>
        <v>1519797.8599999999</v>
      </c>
      <c r="G30" s="119">
        <f t="shared" si="3"/>
        <v>2486178.838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1:27" ht="12" customHeight="1">
      <c r="A31" s="2" t="s">
        <v>50</v>
      </c>
      <c r="B31" s="2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spans="1:27" ht="12" customHeight="1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" customHeight="1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" customHeight="1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" customHeight="1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" customHeight="1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" customHeight="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" customHeight="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" customHeight="1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" customHeight="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" customHeight="1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" customHeight="1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" customHeight="1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" customHeight="1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" customHeight="1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" customHeight="1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" customHeight="1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" customHeight="1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" customHeight="1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" customHeight="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" customHeight="1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" customHeight="1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" customHeight="1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" customHeight="1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" customHeight="1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" customHeight="1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" customHeight="1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" customHeight="1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" customHeight="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" customHeight="1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" customHeight="1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" customHeight="1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" customHeight="1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" customHeight="1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" customHeight="1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" customHeight="1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" customHeight="1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" customHeight="1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" customHeight="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" customHeight="1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" customHeight="1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" customHeight="1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" customHeight="1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" customHeight="1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" customHeight="1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" customHeight="1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" customHeight="1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" customHeight="1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" customHeight="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" customHeight="1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" customHeight="1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" customHeight="1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" customHeight="1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" customHeight="1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" customHeight="1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" customHeight="1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" customHeight="1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" customHeight="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" customHeight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" customHeight="1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" customHeight="1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" customHeight="1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" customHeight="1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" customHeight="1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" customHeight="1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" customHeight="1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" customHeight="1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" customHeight="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" customHeight="1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" customHeight="1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" customHeight="1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" customHeight="1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" customHeight="1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" customHeight="1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" customHeight="1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" customHeight="1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" customHeight="1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" customHeight="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" customHeight="1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" customHeight="1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" customHeight="1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" customHeight="1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" customHeight="1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" customHeight="1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" customHeight="1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" customHeight="1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" customHeight="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" customHeight="1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" customHeight="1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" customHeight="1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" customHeight="1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" customHeight="1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" customHeight="1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" customHeight="1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" customHeight="1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" customHeight="1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" customHeight="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" customHeight="1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" customHeight="1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" customHeight="1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" customHeight="1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25" right="0.25" top="0.75" bottom="0.75" header="0" footer="0"/>
  <pageSetup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Raw</vt:lpstr>
      <vt:lpstr>SALES</vt:lpstr>
      <vt:lpstr>Expense Assumptions</vt:lpstr>
      <vt:lpstr>Annual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Claude havaux</cp:lastModifiedBy>
  <cp:lastPrinted>2026-02-03T09:54:49Z</cp:lastPrinted>
  <dcterms:created xsi:type="dcterms:W3CDTF">2026-01-20T13:19:07Z</dcterms:created>
  <dcterms:modified xsi:type="dcterms:W3CDTF">2026-02-03T10:14:40Z</dcterms:modified>
</cp:coreProperties>
</file>