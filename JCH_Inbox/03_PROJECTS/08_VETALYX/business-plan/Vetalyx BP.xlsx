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X5O3mdIruRxZZOzNO7zwBaxV5F69xSr31vvJ6ajC1WTzZw+CPkx7n4e0K2clGwKcGjqfMnX/awiUe26O9adyWQ==" workbookSaltValue="1bNX4W/umZ12pX6Ts4zG6g==" workbookSpinCount="100000"/>
  <bookViews>
    <workbookView visibility="visible" minimized="0" showHorizontalScroll="1" showVerticalScroll="1" showSheetTabs="1" xWindow="0" yWindow="660" windowWidth="30240" windowHeight="17460" tabRatio="906" firstSheet="6" activeTab="12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DATA Raw" sheetId="2" state="visible" r:id="rId2"/>
    <sheet xmlns:r="http://schemas.openxmlformats.org/officeDocument/2006/relationships" name="Competitors" sheetId="3" state="visible" r:id="rId3"/>
    <sheet xmlns:r="http://schemas.openxmlformats.org/officeDocument/2006/relationships" name="Controls" sheetId="4" state="visible" r:id="rId4"/>
    <sheet xmlns:r="http://schemas.openxmlformats.org/officeDocument/2006/relationships" name="Revenue Asumptions" sheetId="5" state="visible" r:id="rId5"/>
    <sheet xmlns:r="http://schemas.openxmlformats.org/officeDocument/2006/relationships" name="Expense Assumptions" sheetId="6" state="visible" r:id="rId6"/>
    <sheet xmlns:r="http://schemas.openxmlformats.org/officeDocument/2006/relationships" name="RH TIMELINE" sheetId="7" state="visible" r:id="rId7"/>
    <sheet xmlns:r="http://schemas.openxmlformats.org/officeDocument/2006/relationships" name="Payroll Assumptions" sheetId="8" state="visible" r:id="rId8"/>
    <sheet xmlns:r="http://schemas.openxmlformats.org/officeDocument/2006/relationships" name="Debt Schedule" sheetId="9" state="visible" r:id="rId9"/>
    <sheet xmlns:r="http://schemas.openxmlformats.org/officeDocument/2006/relationships" name="Fixed Asset Schedules" sheetId="10" state="visible" r:id="rId10"/>
    <sheet xmlns:r="http://schemas.openxmlformats.org/officeDocument/2006/relationships" name="Working Capital Schedule" sheetId="11" state="visible" r:id="rId11"/>
    <sheet xmlns:r="http://schemas.openxmlformats.org/officeDocument/2006/relationships" name="Monthly P&amp;L" sheetId="12" state="visible" r:id="rId12"/>
    <sheet xmlns:r="http://schemas.openxmlformats.org/officeDocument/2006/relationships" name="Annual P&amp;L" sheetId="13" state="visible" r:id="rId13"/>
    <sheet xmlns:r="http://schemas.openxmlformats.org/officeDocument/2006/relationships" name="Monthly CFS" sheetId="14" state="visible" r:id="rId14"/>
    <sheet xmlns:r="http://schemas.openxmlformats.org/officeDocument/2006/relationships" name="Annual CFS" sheetId="15" state="visible" r:id="rId15"/>
    <sheet xmlns:r="http://schemas.openxmlformats.org/officeDocument/2006/relationships" name=" Balance Sheet" sheetId="16" state="visible" r:id="rId16"/>
    <sheet xmlns:r="http://schemas.openxmlformats.org/officeDocument/2006/relationships" name="Valuation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</externalReferences>
  <definedNames/>
  <calcPr calcId="191028" fullCalcOnLoad="1"/>
</workbook>
</file>

<file path=xl/styles.xml><?xml version="1.0" encoding="utf-8"?>
<styleSheet xmlns="http://schemas.openxmlformats.org/spreadsheetml/2006/main">
  <numFmts count="14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_ [$₹-4009]\ * #,##0.00_ ;_ [$₹-4009]\ * \-#,##0.00_ ;_ [$₹-4009]\ * &quot;-&quot;??_ ;_ @_ "/>
    <numFmt numFmtId="167" formatCode="_ [$₹-4009]\ * #,##0_ ;_ [$₹-4009]\ * \-#,##0_ ;_ [$₹-4009]\ * &quot;-&quot;??_ ;_ @_ "/>
    <numFmt numFmtId="168" formatCode="_(\$* #,##0_);_(\$* \(#,##0\);_(\$* &quot;-&quot;??_);_(@_)"/>
    <numFmt numFmtId="169" formatCode="&quot;Month&quot;\ 0"/>
    <numFmt numFmtId="170" formatCode="_([$€-2]\ * #,##0_);_([$€-2]\ * \(#,##0\);_([$€-2]\ * &quot;-&quot;??_);_(@_)"/>
    <numFmt numFmtId="171" formatCode="_ * #,##0_ ;_ * \-#,##0_ ;_ * &quot;-&quot;??_ ;_ @_ "/>
    <numFmt numFmtId="172" formatCode="_-* #,##0\ _€_-;\-* #,##0\ _€_-;_-* &quot;-&quot;??\ _€_-;_-@_-"/>
    <numFmt numFmtId="173" formatCode="[$-409]mmmm\ d\,\ yyyy;@"/>
    <numFmt numFmtId="174" formatCode="d/mm/yy;@"/>
    <numFmt numFmtId="175" formatCode="0.0"/>
    <numFmt numFmtId="176" formatCode="0.0%"/>
    <numFmt numFmtId="177" formatCode="0.00\x"/>
  </numFmts>
  <fonts count="105">
    <font>
      <name val="Arial"/>
      <color rgb="FF000000"/>
      <sz val="10"/>
    </font>
    <font>
      <name val="Arial"/>
      <family val="2"/>
      <color theme="1"/>
      <sz val="12"/>
      <scheme val="minor"/>
    </font>
    <font>
      <name val="Arial"/>
      <family val="2"/>
      <color rgb="FF000000"/>
      <sz val="10"/>
    </font>
    <font>
      <name val="Arial"/>
      <family val="2"/>
      <color theme="1"/>
      <sz val="12"/>
      <scheme val="minor"/>
    </font>
    <font>
      <name val="Arial"/>
      <family val="2"/>
      <color theme="10"/>
      <sz val="10"/>
      <u val="single"/>
    </font>
    <font>
      <name val="Arial"/>
      <family val="2"/>
      <color theme="10"/>
      <sz val="12"/>
      <u val="single"/>
      <scheme val="minor"/>
    </font>
    <font>
      <name val="Arial"/>
      <family val="2"/>
      <color rgb="FF000000"/>
      <sz val="10"/>
    </font>
    <font>
      <name val="Arial"/>
      <family val="2"/>
      <sz val="8"/>
    </font>
    <font>
      <name val="Arial"/>
      <family val="2"/>
      <b val="1"/>
      <color theme="0"/>
      <sz val="22"/>
      <scheme val="minor"/>
    </font>
    <font>
      <name val="Arial"/>
      <family val="2"/>
      <b val="1"/>
      <color theme="0"/>
      <sz val="11"/>
      <scheme val="minor"/>
    </font>
    <font>
      <name val="Arial"/>
      <family val="2"/>
      <b val="1"/>
      <color rgb="FF000845"/>
      <sz val="11"/>
      <scheme val="minor"/>
    </font>
    <font>
      <name val="Arial"/>
      <family val="2"/>
      <b val="1"/>
      <i val="1"/>
      <color theme="5"/>
      <sz val="11"/>
      <scheme val="minor"/>
    </font>
    <font>
      <name val="Arial"/>
      <family val="2"/>
      <color theme="0"/>
      <sz val="11"/>
      <scheme val="minor"/>
    </font>
    <font>
      <name val="Arial"/>
      <family val="2"/>
      <color theme="0"/>
      <sz val="10"/>
      <scheme val="minor"/>
    </font>
    <font>
      <name val="Arial"/>
      <family val="2"/>
      <b val="1"/>
      <color theme="0"/>
      <sz val="10"/>
      <scheme val="minor"/>
    </font>
    <font>
      <name val="Arial"/>
      <family val="2"/>
      <color theme="0"/>
      <sz val="9"/>
      <scheme val="minor"/>
    </font>
    <font>
      <name val="Arial"/>
      <family val="2"/>
      <b val="1"/>
      <i val="1"/>
      <color theme="0"/>
      <sz val="10"/>
      <scheme val="minor"/>
    </font>
    <font>
      <name val="Arial"/>
      <family val="2"/>
      <color rgb="FF000000"/>
      <sz val="9"/>
      <scheme val="minor"/>
    </font>
    <font>
      <name val="Arial"/>
      <family val="2"/>
      <b val="1"/>
      <color rgb="FF000000"/>
      <sz val="9"/>
      <scheme val="minor"/>
    </font>
    <font>
      <name val="Arial"/>
      <family val="2"/>
      <b val="1"/>
      <color theme="0"/>
      <sz val="9"/>
      <scheme val="minor"/>
    </font>
    <font>
      <name val="Arial"/>
      <family val="2"/>
      <color theme="4" tint="-0.499984740745262"/>
      <sz val="9"/>
      <scheme val="minor"/>
    </font>
    <font>
      <name val="Arial"/>
      <family val="2"/>
      <color theme="1"/>
      <sz val="9"/>
      <scheme val="minor"/>
    </font>
    <font>
      <name val="Arial"/>
      <family val="2"/>
      <b val="1"/>
      <color theme="1"/>
      <sz val="9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8"/>
      <scheme val="minor"/>
    </font>
    <font>
      <name val="Arial"/>
      <family val="2"/>
      <color theme="1"/>
      <sz val="10"/>
      <scheme val="minor"/>
    </font>
    <font>
      <name val="Arial"/>
      <family val="2"/>
      <i val="1"/>
      <color rgb="FF0070C0"/>
      <sz val="9"/>
      <scheme val="minor"/>
    </font>
    <font>
      <name val="Arial"/>
      <family val="2"/>
      <i val="1"/>
      <color rgb="FF00B050"/>
      <sz val="9"/>
      <scheme val="minor"/>
    </font>
    <font>
      <name val="Arial"/>
      <family val="2"/>
      <color rgb="FF0070C0"/>
      <sz val="9"/>
    </font>
    <font>
      <name val="Arial"/>
      <family val="2"/>
      <b val="1"/>
      <color theme="1"/>
      <sz val="20"/>
      <scheme val="minor"/>
    </font>
    <font>
      <name val="Arial"/>
      <family val="2"/>
      <b val="1"/>
      <color theme="4" tint="-0.499984740745262"/>
      <sz val="9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0"/>
      <sz val="9"/>
      <u val="single"/>
      <scheme val="minor"/>
    </font>
    <font>
      <name val="Arial"/>
      <family val="2"/>
      <b val="1"/>
      <color rgb="FF000000"/>
      <sz val="12"/>
      <scheme val="minor"/>
    </font>
    <font>
      <name val="Arial"/>
      <family val="2"/>
      <b val="1"/>
      <color rgb="FF000000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color theme="10"/>
      <sz val="10"/>
      <u val="single"/>
      <scheme val="minor"/>
    </font>
    <font>
      <name val="Arial"/>
      <family val="2"/>
      <b val="1"/>
      <color theme="4" tint="-0.249977111117893"/>
      <sz val="9"/>
      <scheme val="minor"/>
    </font>
    <font>
      <name val="Arial"/>
      <family val="2"/>
      <color rgb="FF000000"/>
      <sz val="9"/>
    </font>
    <font>
      <name val="Arial"/>
      <family val="2"/>
      <b val="1"/>
      <color theme="1"/>
      <sz val="9"/>
    </font>
    <font>
      <name val="Arial"/>
      <family val="2"/>
      <color theme="8" tint="-0.499984740745262"/>
      <sz val="9"/>
      <scheme val="minor"/>
    </font>
    <font>
      <name val="Arial"/>
      <family val="2"/>
      <color rgb="FF31AEE4"/>
      <sz val="9"/>
      <scheme val="minor"/>
    </font>
    <font>
      <name val="Arial"/>
      <family val="2"/>
      <b val="1"/>
      <color theme="1"/>
      <sz val="14"/>
      <scheme val="minor"/>
    </font>
    <font>
      <name val="Arial"/>
      <family val="2"/>
      <color rgb="FF002060"/>
      <sz val="9"/>
      <u val="single"/>
      <scheme val="minor"/>
    </font>
    <font>
      <name val="Arial"/>
      <family val="2"/>
      <color rgb="FF002060"/>
      <sz val="9"/>
      <scheme val="minor"/>
    </font>
    <font>
      <name val="Arial"/>
      <family val="2"/>
      <i val="1"/>
      <color rgb="FF002060"/>
      <sz val="9"/>
      <scheme val="minor"/>
    </font>
    <font>
      <name val="Arial"/>
      <family val="2"/>
      <color rgb="FF002060"/>
      <sz val="10"/>
      <scheme val="minor"/>
    </font>
    <font>
      <name val="Arial"/>
      <family val="2"/>
      <color theme="1"/>
      <sz val="9"/>
    </font>
    <font>
      <name val="Arial (Body)"/>
      <color theme="1"/>
      <sz val="11"/>
    </font>
    <font>
      <name val="Arial"/>
      <family val="2"/>
      <i val="1"/>
      <color rgb="FF000000"/>
      <sz val="9"/>
      <scheme val="minor"/>
    </font>
    <font>
      <name val="Arial (Body)"/>
      <b val="1"/>
      <color theme="1"/>
      <sz val="9"/>
    </font>
    <font>
      <name val="Arial"/>
      <family val="2"/>
      <i val="1"/>
      <color rgb="FFC00000"/>
      <sz val="9"/>
      <scheme val="minor"/>
    </font>
    <font>
      <name val="Arial"/>
      <family val="2"/>
      <b val="1"/>
      <color rgb="FF000000"/>
      <sz val="9"/>
    </font>
    <font>
      <name val="Arial"/>
      <family val="2"/>
      <i val="1"/>
      <color rgb="FF000000"/>
      <sz val="9"/>
      <u val="single"/>
      <scheme val="minor"/>
    </font>
    <font>
      <name val="Arial (Body)"/>
      <b val="1"/>
      <color theme="0"/>
      <sz val="9"/>
    </font>
    <font>
      <name val="Arial"/>
      <family val="2"/>
      <color rgb="FF000000"/>
      <sz val="9"/>
      <u val="single"/>
      <scheme val="minor"/>
    </font>
    <font>
      <name val="Arial"/>
      <family val="2"/>
      <b val="1"/>
      <color rgb="FF000000"/>
      <sz val="10"/>
    </font>
    <font>
      <name val="Arial"/>
      <family val="2"/>
      <b val="1"/>
      <color theme="0"/>
      <sz val="8"/>
      <scheme val="minor"/>
    </font>
    <font>
      <name val="Arial"/>
      <family val="2"/>
      <color rgb="FFDC000B"/>
      <sz val="10"/>
      <u val="single"/>
    </font>
    <font>
      <name val="Arial"/>
      <family val="2"/>
      <color theme="1"/>
      <sz val="11"/>
      <scheme val="minor"/>
    </font>
    <font>
      <name val="Arial"/>
      <family val="2"/>
      <i val="1"/>
      <color rgb="FFDC000B"/>
      <sz val="9"/>
      <scheme val="minor"/>
    </font>
    <font>
      <name val="Calibri"/>
      <family val="2"/>
      <sz val="10"/>
    </font>
    <font>
      <name val="Arial"/>
      <family val="2"/>
      <b val="1"/>
      <color rgb="FFFF0000"/>
      <sz val="10"/>
      <scheme val="minor"/>
    </font>
    <font>
      <name val="Arial"/>
      <family val="2"/>
      <color theme="0"/>
      <sz val="12"/>
      <scheme val="minor"/>
    </font>
    <font>
      <name val="Arial"/>
      <family val="2"/>
      <i val="1"/>
      <color rgb="FFC00000"/>
      <sz val="10"/>
      <scheme val="minor"/>
    </font>
    <font>
      <name val="Arial"/>
      <family val="2"/>
      <color rgb="FFDC000B"/>
      <sz val="12"/>
      <u val="single"/>
      <scheme val="minor"/>
    </font>
    <font>
      <name val="Arial"/>
      <family val="2"/>
      <b val="1"/>
      <color rgb="FFDC000B"/>
      <sz val="12"/>
      <u val="single"/>
      <scheme val="minor"/>
    </font>
    <font>
      <name val="Arial"/>
      <family val="2"/>
      <color rgb="FFDC000B"/>
      <sz val="12"/>
      <scheme val="minor"/>
    </font>
    <font>
      <name val="Arial"/>
      <family val="2"/>
      <sz val="10"/>
    </font>
    <font>
      <name val="Arial"/>
      <family val="2"/>
      <b val="1"/>
      <sz val="8"/>
    </font>
    <font>
      <name val="Calibri"/>
      <family val="2"/>
      <i val="1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color rgb="FF00B0F0"/>
      <sz val="9"/>
      <scheme val="minor"/>
    </font>
    <font>
      <name val="Arial"/>
      <family val="2"/>
      <b val="1"/>
      <color rgb="FF00B0F0"/>
      <sz val="9"/>
      <scheme val="minor"/>
    </font>
    <font>
      <name val="Arial"/>
      <family val="2"/>
      <sz val="9"/>
    </font>
    <font>
      <name val="Arial"/>
      <family val="2"/>
      <b val="1"/>
      <color rgb="FFFFFFFF"/>
      <sz val="22"/>
    </font>
    <font>
      <name val="Arial"/>
      <family val="2"/>
      <b val="1"/>
      <color rgb="FF000845"/>
      <sz val="11"/>
    </font>
    <font>
      <name val="Arial"/>
      <family val="2"/>
      <b val="1"/>
      <color rgb="FFFFFFFF"/>
      <sz val="11"/>
    </font>
    <font>
      <name val="Arial"/>
      <family val="2"/>
      <color rgb="FFFFFFFF"/>
      <sz val="11"/>
    </font>
    <font>
      <name val="Arial"/>
      <family val="2"/>
      <color rgb="FFFFFFFF"/>
      <sz val="10"/>
    </font>
    <font>
      <name val="Arial"/>
      <family val="2"/>
      <b val="1"/>
      <color rgb="FFFFFFFF"/>
      <sz val="10"/>
    </font>
    <font>
      <name val="Arial"/>
      <family val="2"/>
      <color rgb="FFFFFFFF"/>
      <sz val="9"/>
    </font>
    <font>
      <name val="Arial"/>
      <family val="2"/>
      <b val="1"/>
      <i val="1"/>
      <color rgb="FFFFFFFF"/>
      <sz val="10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color theme="0"/>
      <sz val="9"/>
    </font>
    <font>
      <name val="Arial"/>
      <family val="2"/>
      <color rgb="FFDC000B"/>
      <sz val="10"/>
    </font>
    <font>
      <name val="Arial"/>
      <family val="2"/>
      <sz val="12"/>
      <scheme val="minor"/>
    </font>
    <font>
      <name val="Arial"/>
      <family val="2"/>
      <b val="1"/>
      <sz val="12"/>
      <scheme val="minor"/>
    </font>
    <font>
      <name val="Arial"/>
      <family val="2"/>
      <b val="1"/>
      <sz val="16"/>
      <scheme val="minor"/>
    </font>
    <font>
      <name val="Arial"/>
      <family val="2"/>
      <b val="1"/>
      <color theme="0"/>
      <sz val="12"/>
      <scheme val="minor"/>
    </font>
    <font>
      <name val="Arial"/>
      <family val="2"/>
      <b val="1"/>
      <sz val="9"/>
      <scheme val="minor"/>
    </font>
    <font>
      <name val="Arial"/>
      <family val="2"/>
      <sz val="9"/>
      <scheme val="minor"/>
    </font>
    <font>
      <name val="Arial"/>
      <family val="2"/>
      <color indexed="8"/>
      <sz val="9"/>
      <scheme val="minor"/>
    </font>
    <font>
      <name val="Arial"/>
      <family val="2"/>
      <color theme="5"/>
      <sz val="9"/>
      <scheme val="minor"/>
    </font>
    <font>
      <name val="Arial"/>
      <family val="2"/>
      <i val="1"/>
      <color theme="4" tint="-0.499984740745262"/>
      <sz val="9"/>
      <scheme val="minor"/>
    </font>
    <font>
      <name val="Arial (Body)"/>
      <color theme="0"/>
      <sz val="12"/>
    </font>
    <font>
      <name val="Calibri"/>
      <family val="2"/>
      <b val="1"/>
      <color rgb="FF4F81BD"/>
      <sz val="13"/>
    </font>
    <font>
      <name val="Cambria"/>
      <family val="1"/>
      <color rgb="FF000000"/>
      <sz val="11"/>
    </font>
    <font>
      <name val="Aptos"/>
      <b val="1"/>
      <color rgb="FF000000"/>
      <sz val="14"/>
    </font>
    <font>
      <name val="Aptos"/>
      <color rgb="FF000000"/>
      <sz val="10"/>
    </font>
    <font>
      <name val="Aptos"/>
      <color rgb="FF000000"/>
      <sz val="11"/>
    </font>
    <font>
      <name val="Calibri"/>
      <family val="2"/>
      <b val="1"/>
      <sz val="11"/>
    </font>
  </fonts>
  <fills count="4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D9E7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1717"/>
        <bgColor indexed="64"/>
      </patternFill>
    </fill>
    <fill>
      <patternFill patternType="solid">
        <fgColor rgb="FF171717"/>
        <bgColor rgb="FF235C57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D9EFF7"/>
        <bgColor rgb="FF000000"/>
      </patternFill>
    </fill>
    <fill>
      <patternFill patternType="solid">
        <fgColor rgb="FF52B7D8"/>
        <bgColor rgb="FF000000"/>
      </patternFill>
    </fill>
    <fill>
      <patternFill patternType="solid">
        <fgColor rgb="FFECF9FB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8193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9CD1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C000B"/>
        <bgColor indexed="64"/>
      </patternFill>
    </fill>
    <fill>
      <patternFill patternType="solid">
        <fgColor rgb="FF171717"/>
        <bgColor rgb="FF000000"/>
      </patternFill>
    </fill>
    <fill>
      <patternFill patternType="solid">
        <fgColor rgb="FFD9E7FD"/>
        <bgColor rgb="FFD9E7FD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D9E7FD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</borders>
  <cellStyleXfs count="15">
    <xf numFmtId="0" fontId="0" fillId="0" borderId="1"/>
    <xf numFmtId="43" fontId="6" fillId="0" borderId="1"/>
    <xf numFmtId="9" fontId="6" fillId="0" borderId="1"/>
    <xf numFmtId="165" fontId="6" fillId="0" borderId="1"/>
    <xf numFmtId="0" fontId="3" fillId="0" borderId="1"/>
    <xf numFmtId="0" fontId="4" fillId="0" borderId="1"/>
    <xf numFmtId="0" fontId="5" fillId="0" borderId="1"/>
    <xf numFmtId="0" fontId="6" fillId="0" borderId="1"/>
    <xf numFmtId="43" fontId="6" fillId="0" borderId="1"/>
    <xf numFmtId="165" fontId="6" fillId="0" borderId="1"/>
    <xf numFmtId="9" fontId="6" fillId="0" borderId="1"/>
    <xf numFmtId="0" fontId="6" fillId="0" borderId="1"/>
    <xf numFmtId="43" fontId="6" fillId="0" borderId="1"/>
    <xf numFmtId="9" fontId="6" fillId="0" borderId="1"/>
    <xf numFmtId="0" fontId="3" fillId="0" borderId="1"/>
  </cellStyleXfs>
  <cellXfs count="684">
    <xf numFmtId="0" fontId="0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7" fillId="0" borderId="1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164" fontId="21" fillId="0" borderId="0" pivotButton="0" quotePrefix="0" xfId="3"/>
    <xf numFmtId="0" fontId="17" fillId="0" borderId="0" applyAlignment="1" pivotButton="0" quotePrefix="0" xfId="0">
      <alignment horizontal="left" indent="2"/>
    </xf>
    <xf numFmtId="0" fontId="18" fillId="0" borderId="2" pivotButton="0" quotePrefix="0" xfId="0"/>
    <xf numFmtId="0" fontId="17" fillId="0" borderId="0" applyAlignment="1" pivotButton="0" quotePrefix="0" xfId="0">
      <alignment horizontal="left" indent="1"/>
    </xf>
    <xf numFmtId="0" fontId="18" fillId="0" borderId="5" pivotButton="0" quotePrefix="0" xfId="0"/>
    <xf numFmtId="0" fontId="19" fillId="0" borderId="1" pivotButton="0" quotePrefix="0" xfId="0"/>
    <xf numFmtId="0" fontId="15" fillId="0" borderId="0" pivotButton="0" quotePrefix="0" xfId="0"/>
    <xf numFmtId="17" fontId="19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left" indent="1"/>
    </xf>
    <xf numFmtId="0" fontId="22" fillId="0" borderId="0" pivotButton="0" quotePrefix="0" xfId="0"/>
    <xf numFmtId="0" fontId="22" fillId="0" borderId="1" applyAlignment="1" pivotButton="0" quotePrefix="0" xfId="0">
      <alignment horizontal="left"/>
    </xf>
    <xf numFmtId="0" fontId="18" fillId="0" borderId="1" pivotButton="0" quotePrefix="0" xfId="0"/>
    <xf numFmtId="165" fontId="17" fillId="0" borderId="1" pivotButton="0" quotePrefix="0" xfId="0"/>
    <xf numFmtId="0" fontId="18" fillId="0" borderId="0" applyAlignment="1" pivotButton="0" quotePrefix="0" xfId="0">
      <alignment horizontal="left" indent="1"/>
    </xf>
    <xf numFmtId="164" fontId="17" fillId="0" borderId="0" pivotButton="0" quotePrefix="0" xfId="0"/>
    <xf numFmtId="0" fontId="18" fillId="0" borderId="3" applyAlignment="1" pivotButton="0" quotePrefix="0" xfId="0">
      <alignment horizontal="left" indent="1"/>
    </xf>
    <xf numFmtId="0" fontId="15" fillId="0" borderId="1" pivotButton="0" quotePrefix="0" xfId="0"/>
    <xf numFmtId="0" fontId="23" fillId="0" borderId="1" pivotButton="0" quotePrefix="0" xfId="0"/>
    <xf numFmtId="0" fontId="21" fillId="3" borderId="1" pivotButton="0" quotePrefix="0" xfId="4"/>
    <xf numFmtId="0" fontId="21" fillId="0" borderId="1" pivotButton="0" quotePrefix="0" xfId="4"/>
    <xf numFmtId="0" fontId="29" fillId="3" borderId="1" pivotButton="0" quotePrefix="0" xfId="4"/>
    <xf numFmtId="0" fontId="30" fillId="3" borderId="1" pivotButton="0" quotePrefix="0" xfId="4"/>
    <xf numFmtId="0" fontId="25" fillId="0" borderId="1" pivotButton="0" quotePrefix="0" xfId="4"/>
    <xf numFmtId="0" fontId="17" fillId="0" borderId="1" pivotButton="0" quotePrefix="0" xfId="4"/>
    <xf numFmtId="0" fontId="23" fillId="0" borderId="1" pivotButton="0" quotePrefix="0" xfId="4"/>
    <xf numFmtId="0" fontId="18" fillId="0" borderId="1" applyAlignment="1" pivotButton="0" quotePrefix="0" xfId="4">
      <alignment horizontal="right"/>
    </xf>
    <xf numFmtId="0" fontId="34" fillId="2" borderId="1" applyAlignment="1" pivotButton="0" quotePrefix="0" xfId="4">
      <alignment horizontal="right"/>
    </xf>
    <xf numFmtId="0" fontId="36" fillId="0" borderId="1" pivotButton="0" quotePrefix="0" xfId="4"/>
    <xf numFmtId="0" fontId="21" fillId="0" borderId="1" pivotButton="0" quotePrefix="1" xfId="4"/>
    <xf numFmtId="1" fontId="17" fillId="0" borderId="0" pivotButton="0" quotePrefix="1" xfId="0"/>
    <xf numFmtId="0" fontId="38" fillId="2" borderId="1" applyAlignment="1" pivotButton="0" quotePrefix="0" xfId="4">
      <alignment horizontal="left"/>
    </xf>
    <xf numFmtId="0" fontId="33" fillId="0" borderId="1" pivotButton="0" quotePrefix="0" xfId="5"/>
    <xf numFmtId="0" fontId="18" fillId="0" borderId="1" applyAlignment="1" pivotButton="0" quotePrefix="0" xfId="4">
      <alignment horizontal="center"/>
    </xf>
    <xf numFmtId="0" fontId="31" fillId="0" borderId="0" pivotButton="0" quotePrefix="0" xfId="0"/>
    <xf numFmtId="164" fontId="28" fillId="0" borderId="1" pivotButton="0" quotePrefix="0" xfId="3"/>
    <xf numFmtId="0" fontId="40" fillId="0" borderId="1" pivotButton="0" quotePrefix="0" xfId="11"/>
    <xf numFmtId="0" fontId="17" fillId="5" borderId="1" pivotButton="0" quotePrefix="0" xfId="4"/>
    <xf numFmtId="0" fontId="41" fillId="0" borderId="1" pivotButton="0" quotePrefix="0" xfId="4"/>
    <xf numFmtId="0" fontId="42" fillId="0" borderId="1" pivotButton="0" quotePrefix="0" xfId="4"/>
    <xf numFmtId="0" fontId="42" fillId="5" borderId="1" pivotButton="0" quotePrefix="0" xfId="4"/>
    <xf numFmtId="0" fontId="43" fillId="0" borderId="1" pivotButton="0" quotePrefix="0" xfId="4"/>
    <xf numFmtId="0" fontId="44" fillId="0" borderId="1" applyAlignment="1" pivotButton="0" quotePrefix="1" xfId="5">
      <alignment horizontal="left"/>
    </xf>
    <xf numFmtId="0" fontId="46" fillId="0" borderId="0" pivotButton="0" quotePrefix="0" xfId="0"/>
    <xf numFmtId="164" fontId="46" fillId="0" borderId="0" pivotButton="0" quotePrefix="0" xfId="3"/>
    <xf numFmtId="0" fontId="49" fillId="0" borderId="1" pivotButton="0" quotePrefix="0" xfId="4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21" fillId="0" borderId="1" applyAlignment="1" pivotButton="0" quotePrefix="0" xfId="0">
      <alignment vertical="center"/>
    </xf>
    <xf numFmtId="0" fontId="21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1" fillId="3" borderId="0" applyAlignment="1" pivotButton="0" quotePrefix="0" xfId="0">
      <alignment vertical="center"/>
    </xf>
    <xf numFmtId="9" fontId="28" fillId="4" borderId="1" applyAlignment="1" pivotButton="0" quotePrefix="0" xfId="2">
      <alignment vertical="center"/>
    </xf>
    <xf numFmtId="9" fontId="28" fillId="0" borderId="1" applyAlignment="1" pivotButton="0" quotePrefix="0" xfId="2">
      <alignment vertical="center"/>
    </xf>
    <xf numFmtId="0" fontId="22" fillId="0" borderId="0" applyAlignment="1" pivotButton="0" quotePrefix="0" xfId="0">
      <alignment vertical="center"/>
    </xf>
    <xf numFmtId="0" fontId="40" fillId="0" borderId="1" applyAlignment="1" pivotButton="0" quotePrefix="0" xfId="11">
      <alignment vertical="center"/>
    </xf>
    <xf numFmtId="0" fontId="39" fillId="0" borderId="1" applyAlignment="1" pivotButton="0" quotePrefix="0" xfId="11">
      <alignment horizontal="left" vertical="center"/>
    </xf>
    <xf numFmtId="0" fontId="17" fillId="0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19" fillId="0" borderId="0" applyAlignment="1" pivotButton="0" quotePrefix="0" xfId="0">
      <alignment horizontal="center" vertical="center"/>
    </xf>
    <xf numFmtId="37" fontId="46" fillId="3" borderId="0" applyAlignment="1" pivotButton="0" quotePrefix="0" xfId="0">
      <alignment horizontal="left" vertical="center" indent="1"/>
    </xf>
    <xf numFmtId="0" fontId="51" fillId="0" borderId="1" applyAlignment="1" pivotButton="0" quotePrefix="0" xfId="0">
      <alignment vertical="center"/>
    </xf>
    <xf numFmtId="166" fontId="17" fillId="0" borderId="0" pivotButton="0" quotePrefix="0" xfId="0"/>
    <xf numFmtId="166" fontId="23" fillId="0" borderId="0" pivotButton="0" quotePrefix="0" xfId="0"/>
    <xf numFmtId="167" fontId="23" fillId="0" borderId="0" pivotButton="0" quotePrefix="0" xfId="0"/>
    <xf numFmtId="0" fontId="53" fillId="0" borderId="1" applyAlignment="1" pivotButton="0" quotePrefix="0" xfId="11">
      <alignment horizontal="left" vertical="center"/>
    </xf>
    <xf numFmtId="0" fontId="50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0" fontId="0" fillId="0" borderId="1" pivotButton="0" quotePrefix="0" xfId="0"/>
    <xf numFmtId="9" fontId="52" fillId="0" borderId="1" applyAlignment="1" pivotButton="0" quotePrefix="0" xfId="2">
      <alignment horizontal="right"/>
    </xf>
    <xf numFmtId="164" fontId="18" fillId="0" borderId="0" pivotButton="0" quotePrefix="0" xfId="3"/>
    <xf numFmtId="0" fontId="50" fillId="0" borderId="0" pivotButton="0" quotePrefix="0" xfId="0"/>
    <xf numFmtId="0" fontId="54" fillId="0" borderId="0" applyAlignment="1" pivotButton="0" quotePrefix="0" xfId="0">
      <alignment horizontal="left"/>
    </xf>
    <xf numFmtId="0" fontId="50" fillId="0" borderId="1" applyAlignment="1" pivotButton="0" quotePrefix="0" xfId="0">
      <alignment horizontal="left"/>
    </xf>
    <xf numFmtId="0" fontId="50" fillId="3" borderId="0" applyAlignment="1" pivotButton="0" quotePrefix="0" xfId="0">
      <alignment horizontal="left"/>
    </xf>
    <xf numFmtId="0" fontId="56" fillId="0" borderId="0" applyAlignment="1" pivotButton="0" quotePrefix="0" xfId="0">
      <alignment horizontal="left"/>
    </xf>
    <xf numFmtId="0" fontId="17" fillId="0" borderId="1" applyAlignment="1" pivotButton="0" quotePrefix="0" xfId="0">
      <alignment horizontal="left"/>
    </xf>
    <xf numFmtId="0" fontId="21" fillId="3" borderId="0" applyAlignment="1" pivotButton="0" quotePrefix="0" xfId="0">
      <alignment horizontal="left"/>
    </xf>
    <xf numFmtId="0" fontId="2" fillId="0" borderId="0" pivotButton="0" quotePrefix="0" xfId="0"/>
    <xf numFmtId="0" fontId="57" fillId="0" borderId="0" pivotButton="0" quotePrefix="0" xfId="0"/>
    <xf numFmtId="0" fontId="48" fillId="0" borderId="1" applyAlignment="1" pivotButton="0" quotePrefix="0" xfId="11">
      <alignment vertical="center"/>
    </xf>
    <xf numFmtId="168" fontId="17" fillId="0" borderId="1" pivotButton="0" quotePrefix="0" xfId="0"/>
    <xf numFmtId="168" fontId="23" fillId="0" borderId="0" pivotButton="0" quotePrefix="0" xfId="0"/>
    <xf numFmtId="168" fontId="17" fillId="0" borderId="0" pivotButton="0" quotePrefix="0" xfId="0"/>
    <xf numFmtId="168" fontId="26" fillId="0" borderId="0" applyAlignment="1" pivotButton="0" quotePrefix="0" xfId="0">
      <alignment horizontal="left" indent="1"/>
    </xf>
    <xf numFmtId="168" fontId="22" fillId="0" borderId="0" pivotButton="0" quotePrefix="0" xfId="0"/>
    <xf numFmtId="168" fontId="21" fillId="0" borderId="0" applyAlignment="1" pivotButton="0" quotePrefix="0" xfId="0">
      <alignment horizontal="left" indent="1"/>
    </xf>
    <xf numFmtId="168" fontId="22" fillId="0" borderId="3" applyAlignment="1" pivotButton="0" quotePrefix="0" xfId="0">
      <alignment horizontal="left"/>
    </xf>
    <xf numFmtId="168" fontId="21" fillId="0" borderId="0" pivotButton="0" quotePrefix="0" xfId="0"/>
    <xf numFmtId="168" fontId="27" fillId="0" borderId="0" pivotButton="0" quotePrefix="0" xfId="0"/>
    <xf numFmtId="168" fontId="21" fillId="3" borderId="0" pivotButton="0" quotePrefix="0" xfId="0"/>
    <xf numFmtId="168" fontId="22" fillId="0" borderId="3" pivotButton="0" quotePrefix="0" xfId="0"/>
    <xf numFmtId="168" fontId="52" fillId="0" borderId="0" applyAlignment="1" pivotButton="0" quotePrefix="0" xfId="0">
      <alignment horizontal="left"/>
    </xf>
    <xf numFmtId="0" fontId="8" fillId="6" borderId="1" pivotButton="0" quotePrefix="0" xfId="0"/>
    <xf numFmtId="0" fontId="9" fillId="6" borderId="1" pivotButton="0" quotePrefix="0" xfId="0"/>
    <xf numFmtId="0" fontId="13" fillId="6" borderId="0" pivotButton="0" quotePrefix="0" xfId="0"/>
    <xf numFmtId="0" fontId="14" fillId="7" borderId="1" pivotButton="0" quotePrefix="0" xfId="0"/>
    <xf numFmtId="0" fontId="15" fillId="6" borderId="0" pivotButton="0" quotePrefix="0" xfId="0"/>
    <xf numFmtId="0" fontId="16" fillId="6" borderId="1" pivotButton="0" quotePrefix="0" xfId="0"/>
    <xf numFmtId="0" fontId="19" fillId="7" borderId="1" pivotButton="0" quotePrefix="0" xfId="0"/>
    <xf numFmtId="17" fontId="19" fillId="6" borderId="0" applyAlignment="1" pivotButton="0" quotePrefix="0" xfId="0">
      <alignment horizontal="center"/>
    </xf>
    <xf numFmtId="0" fontId="10" fillId="6" borderId="1" pivotButton="0" quotePrefix="0" xfId="0"/>
    <xf numFmtId="0" fontId="11" fillId="6" borderId="1" pivotButton="0" quotePrefix="0" xfId="0"/>
    <xf numFmtId="0" fontId="12" fillId="6" borderId="1" pivotButton="0" quotePrefix="0" xfId="0"/>
    <xf numFmtId="0" fontId="58" fillId="6" borderId="0" applyAlignment="1" pivotButton="0" quotePrefix="0" xfId="0">
      <alignment horizontal="center"/>
    </xf>
    <xf numFmtId="0" fontId="19" fillId="6" borderId="0" applyAlignment="1" pivotButton="0" quotePrefix="0" xfId="0">
      <alignment horizontal="center"/>
    </xf>
    <xf numFmtId="0" fontId="14" fillId="6" borderId="1" pivotButton="0" quotePrefix="0" xfId="0"/>
    <xf numFmtId="0" fontId="8" fillId="6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3" fillId="6" borderId="0" applyAlignment="1" pivotButton="0" quotePrefix="0" xfId="0">
      <alignment vertical="center"/>
    </xf>
    <xf numFmtId="0" fontId="14" fillId="6" borderId="1" applyAlignment="1" pivotButton="0" quotePrefix="0" xfId="0">
      <alignment vertical="center"/>
    </xf>
    <xf numFmtId="0" fontId="15" fillId="6" borderId="0" applyAlignment="1" pivotButton="0" quotePrefix="0" xfId="0">
      <alignment vertical="center"/>
    </xf>
    <xf numFmtId="0" fontId="16" fillId="6" borderId="1" applyAlignment="1" pivotButton="0" quotePrefix="0" xfId="0">
      <alignment vertical="center"/>
    </xf>
    <xf numFmtId="0" fontId="19" fillId="7" borderId="1" applyAlignment="1" pivotButton="0" quotePrefix="0" xfId="0">
      <alignment vertical="center"/>
    </xf>
    <xf numFmtId="0" fontId="19" fillId="6" borderId="0" applyAlignment="1" pivotButton="0" quotePrefix="0" xfId="0">
      <alignment horizontal="center" vertical="center"/>
    </xf>
    <xf numFmtId="169" fontId="24" fillId="0" borderId="0" applyAlignment="1" pivotButton="0" quotePrefix="0" xfId="0">
      <alignment horizontal="center"/>
    </xf>
    <xf numFmtId="17" fontId="28" fillId="4" borderId="1" applyAlignment="1" pivotButton="0" quotePrefix="0" xfId="1">
      <alignment vertical="center"/>
    </xf>
    <xf numFmtId="1" fontId="24" fillId="0" borderId="0" applyAlignment="1" pivotButton="0" quotePrefix="0" xfId="3">
      <alignment horizontal="center"/>
    </xf>
    <xf numFmtId="0" fontId="19" fillId="8" borderId="1" pivotButton="0" quotePrefix="0" xfId="0"/>
    <xf numFmtId="0" fontId="19" fillId="8" borderId="0" pivotButton="0" quotePrefix="0" xfId="0"/>
    <xf numFmtId="0" fontId="19" fillId="9" borderId="5" pivotButton="0" quotePrefix="0" xfId="0"/>
    <xf numFmtId="168" fontId="19" fillId="9" borderId="2" pivotButton="0" quotePrefix="0" xfId="0"/>
    <xf numFmtId="0" fontId="19" fillId="9" borderId="2" pivotButton="0" quotePrefix="0" xfId="0"/>
    <xf numFmtId="170" fontId="28" fillId="4" borderId="1" applyAlignment="1" pivotButton="0" quotePrefix="0" xfId="1">
      <alignment vertical="center"/>
    </xf>
    <xf numFmtId="170" fontId="48" fillId="0" borderId="1" applyAlignment="1" pivotButton="0" quotePrefix="0" xfId="1">
      <alignment vertical="center"/>
    </xf>
    <xf numFmtId="170" fontId="0" fillId="0" borderId="0" pivotButton="0" quotePrefix="0" xfId="0"/>
    <xf numFmtId="170" fontId="48" fillId="0" borderId="1" applyAlignment="1" pivotButton="0" quotePrefix="0" xfId="3">
      <alignment vertical="center"/>
    </xf>
    <xf numFmtId="170" fontId="28" fillId="0" borderId="1" applyAlignment="1" pivotButton="0" quotePrefix="0" xfId="3">
      <alignment vertical="center"/>
    </xf>
    <xf numFmtId="170" fontId="19" fillId="0" borderId="1" pivotButton="0" quotePrefix="0" xfId="0"/>
    <xf numFmtId="170" fontId="15" fillId="0" borderId="0" pivotButton="0" quotePrefix="0" xfId="0"/>
    <xf numFmtId="170" fontId="17" fillId="0" borderId="0" pivotButton="0" quotePrefix="0" xfId="0"/>
    <xf numFmtId="170" fontId="17" fillId="0" borderId="1" pivotButton="0" quotePrefix="0" xfId="0"/>
    <xf numFmtId="170" fontId="17" fillId="0" borderId="1" pivotButton="0" quotePrefix="0" xfId="3"/>
    <xf numFmtId="170" fontId="28" fillId="4" borderId="1" pivotButton="0" quotePrefix="0" xfId="3"/>
    <xf numFmtId="170" fontId="21" fillId="0" borderId="0" pivotButton="0" quotePrefix="0" xfId="3"/>
    <xf numFmtId="170" fontId="17" fillId="0" borderId="0" pivotButton="0" quotePrefix="0" xfId="3"/>
    <xf numFmtId="170" fontId="21" fillId="0" borderId="0" applyAlignment="1" pivotButton="0" quotePrefix="0" xfId="3">
      <alignment horizontal="center"/>
    </xf>
    <xf numFmtId="170" fontId="17" fillId="0" borderId="1" pivotButton="0" quotePrefix="0" xfId="3"/>
    <xf numFmtId="170" fontId="19" fillId="9" borderId="5" pivotButton="0" quotePrefix="0" xfId="3"/>
    <xf numFmtId="170" fontId="26" fillId="0" borderId="1" pivotButton="0" quotePrefix="0" xfId="3"/>
    <xf numFmtId="170" fontId="22" fillId="0" borderId="1" pivotButton="0" quotePrefix="0" xfId="3"/>
    <xf numFmtId="170" fontId="18" fillId="0" borderId="1" pivotButton="0" quotePrefix="0" xfId="3"/>
    <xf numFmtId="170" fontId="22" fillId="0" borderId="3" applyAlignment="1" pivotButton="0" quotePrefix="0" xfId="3">
      <alignment horizontal="center"/>
    </xf>
    <xf numFmtId="170" fontId="18" fillId="0" borderId="3" pivotButton="0" quotePrefix="0" xfId="3"/>
    <xf numFmtId="170" fontId="21" fillId="0" borderId="1" applyAlignment="1" pivotButton="0" quotePrefix="0" xfId="3">
      <alignment horizontal="center"/>
    </xf>
    <xf numFmtId="170" fontId="19" fillId="9" borderId="2" pivotButton="0" quotePrefix="0" xfId="3"/>
    <xf numFmtId="170" fontId="19" fillId="9" borderId="2" pivotButton="0" quotePrefix="0" xfId="0"/>
    <xf numFmtId="0" fontId="60" fillId="0" borderId="1" pivotButton="0" quotePrefix="1" xfId="5"/>
    <xf numFmtId="14" fontId="17" fillId="0" borderId="0" applyAlignment="1" pivotButton="0" quotePrefix="0" xfId="0">
      <alignment vertical="center"/>
    </xf>
    <xf numFmtId="0" fontId="61" fillId="0" borderId="1" applyAlignment="1" pivotButton="0" quotePrefix="0" xfId="0">
      <alignment vertical="center"/>
    </xf>
    <xf numFmtId="0" fontId="23" fillId="0" borderId="3" pivotButton="0" quotePrefix="0" xfId="0"/>
    <xf numFmtId="170" fontId="23" fillId="0" borderId="0" pivotButton="0" quotePrefix="0" xfId="0"/>
    <xf numFmtId="171" fontId="28" fillId="4" borderId="1" applyAlignment="1" pivotButton="0" quotePrefix="0" xfId="1">
      <alignment vertical="center"/>
    </xf>
    <xf numFmtId="0" fontId="21" fillId="0" borderId="3" applyAlignment="1" pivotButton="0" quotePrefix="0" xfId="0">
      <alignment vertical="center"/>
    </xf>
    <xf numFmtId="0" fontId="22" fillId="0" borderId="3" applyAlignment="1" pivotButton="0" quotePrefix="0" xfId="0">
      <alignment vertical="center"/>
    </xf>
    <xf numFmtId="164" fontId="19" fillId="9" borderId="2" pivotButton="0" quotePrefix="0" xfId="0"/>
    <xf numFmtId="168" fontId="13" fillId="0" borderId="0" pivotButton="0" quotePrefix="0" xfId="0"/>
    <xf numFmtId="168" fontId="25" fillId="0" borderId="0" pivotButton="0" quotePrefix="0" xfId="0"/>
    <xf numFmtId="0" fontId="47" fillId="0" borderId="0" pivotButton="0" quotePrefix="0" xfId="0"/>
    <xf numFmtId="170" fontId="18" fillId="0" borderId="0" pivotButton="0" quotePrefix="0" xfId="0"/>
    <xf numFmtId="170" fontId="28" fillId="4" borderId="1" applyAlignment="1" pivotButton="0" quotePrefix="0" xfId="3">
      <alignment vertical="center"/>
    </xf>
    <xf numFmtId="170" fontId="18" fillId="0" borderId="0" pivotButton="0" quotePrefix="0" xfId="3"/>
    <xf numFmtId="170" fontId="21" fillId="3" borderId="0" pivotButton="0" quotePrefix="0" xfId="3"/>
    <xf numFmtId="170" fontId="46" fillId="0" borderId="0" pivotButton="0" quotePrefix="0" xfId="1"/>
    <xf numFmtId="0" fontId="15" fillId="9" borderId="1" applyAlignment="1" pivotButton="0" quotePrefix="0" xfId="0">
      <alignment vertical="center"/>
    </xf>
    <xf numFmtId="0" fontId="39" fillId="0" borderId="4" pivotButton="0" quotePrefix="0" xfId="0"/>
    <xf numFmtId="170" fontId="17" fillId="0" borderId="1" pivotButton="0" quotePrefix="0" xfId="10"/>
    <xf numFmtId="0" fontId="53" fillId="0" borderId="9" pivotButton="0" quotePrefix="0" xfId="0"/>
    <xf numFmtId="170" fontId="53" fillId="0" borderId="3" pivotButton="0" quotePrefix="0" xfId="0"/>
    <xf numFmtId="0" fontId="53" fillId="0" borderId="10" pivotButton="0" quotePrefix="0" xfId="0"/>
    <xf numFmtId="170" fontId="18" fillId="0" borderId="5" pivotButton="0" quotePrefix="0" xfId="0"/>
    <xf numFmtId="170" fontId="18" fillId="0" borderId="2" pivotButton="0" quotePrefix="0" xfId="0"/>
    <xf numFmtId="0" fontId="22" fillId="10" borderId="1" applyAlignment="1" pivotButton="0" quotePrefix="0" xfId="0">
      <alignment vertical="center"/>
    </xf>
    <xf numFmtId="0" fontId="22" fillId="11" borderId="1" applyAlignment="1" pivotButton="0" quotePrefix="0" xfId="0">
      <alignment vertical="center"/>
    </xf>
    <xf numFmtId="0" fontId="22" fillId="12" borderId="1" applyAlignment="1" pivotButton="0" quotePrefix="0" xfId="0">
      <alignment vertical="center"/>
    </xf>
    <xf numFmtId="171" fontId="21" fillId="0" borderId="0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/>
    </xf>
    <xf numFmtId="0" fontId="21" fillId="0" borderId="6" applyAlignment="1" pivotButton="0" quotePrefix="0" xfId="0">
      <alignment vertical="center"/>
    </xf>
    <xf numFmtId="0" fontId="21" fillId="14" borderId="6" applyAlignment="1" pivotButton="0" quotePrefix="0" xfId="0">
      <alignment vertical="center"/>
    </xf>
    <xf numFmtId="0" fontId="21" fillId="11" borderId="3" applyAlignment="1" pivotButton="0" quotePrefix="0" xfId="0">
      <alignment vertical="center"/>
    </xf>
    <xf numFmtId="0" fontId="63" fillId="0" borderId="1" pivotButton="0" quotePrefix="0" xfId="0"/>
    <xf numFmtId="170" fontId="19" fillId="15" borderId="0" applyAlignment="1" pivotButton="0" quotePrefix="0" xfId="0">
      <alignment horizontal="center"/>
    </xf>
    <xf numFmtId="170" fontId="17" fillId="15" borderId="1" pivotButton="0" quotePrefix="0" xfId="3"/>
    <xf numFmtId="170" fontId="17" fillId="15" borderId="0" pivotButton="0" quotePrefix="0" xfId="1"/>
    <xf numFmtId="170" fontId="17" fillId="15" borderId="0" pivotButton="0" quotePrefix="0" xfId="0"/>
    <xf numFmtId="172" fontId="62" fillId="15" borderId="6" applyAlignment="1" applyProtection="1" pivotButton="0" quotePrefix="0" xfId="1">
      <alignment horizontal="center" vertical="center"/>
      <protection locked="0" hidden="0"/>
    </xf>
    <xf numFmtId="171" fontId="17" fillId="15" borderId="6" pivotButton="0" quotePrefix="0" xfId="1"/>
    <xf numFmtId="170" fontId="17" fillId="15" borderId="6" pivotButton="0" quotePrefix="0" xfId="3"/>
    <xf numFmtId="170" fontId="17" fillId="15" borderId="6" pivotButton="0" quotePrefix="0" xfId="0"/>
    <xf numFmtId="171" fontId="17" fillId="15" borderId="3" pivotButton="0" quotePrefix="0" xfId="1"/>
    <xf numFmtId="9" fontId="17" fillId="15" borderId="6" pivotButton="0" quotePrefix="0" xfId="2"/>
    <xf numFmtId="170" fontId="17" fillId="15" borderId="1" pivotButton="0" quotePrefix="0" xfId="0"/>
    <xf numFmtId="170" fontId="19" fillId="13" borderId="0" applyAlignment="1" pivotButton="0" quotePrefix="0" xfId="0">
      <alignment horizontal="center"/>
    </xf>
    <xf numFmtId="170" fontId="17" fillId="13" borderId="0" pivotButton="0" quotePrefix="0" xfId="1"/>
    <xf numFmtId="170" fontId="17" fillId="13" borderId="0" pivotButton="0" quotePrefix="0" xfId="0"/>
    <xf numFmtId="172" fontId="62" fillId="13" borderId="6" applyAlignment="1" applyProtection="1" pivotButton="0" quotePrefix="0" xfId="1">
      <alignment horizontal="center" vertical="center"/>
      <protection locked="0" hidden="0"/>
    </xf>
    <xf numFmtId="170" fontId="17" fillId="13" borderId="6" pivotButton="0" quotePrefix="0" xfId="3"/>
    <xf numFmtId="170" fontId="17" fillId="13" borderId="6" pivotButton="0" quotePrefix="0" xfId="0"/>
    <xf numFmtId="171" fontId="17" fillId="13" borderId="3" pivotButton="0" quotePrefix="0" xfId="1"/>
    <xf numFmtId="9" fontId="17" fillId="13" borderId="6" pivotButton="0" quotePrefix="0" xfId="2"/>
    <xf numFmtId="170" fontId="17" fillId="13" borderId="1" pivotButton="0" quotePrefix="0" xfId="0"/>
    <xf numFmtId="171" fontId="17" fillId="13" borderId="6" pivotButton="0" quotePrefix="0" xfId="1"/>
    <xf numFmtId="170" fontId="19" fillId="16" borderId="0" applyAlignment="1" pivotButton="0" quotePrefix="0" xfId="0">
      <alignment horizontal="center"/>
    </xf>
    <xf numFmtId="170" fontId="17" fillId="16" borderId="0" pivotButton="0" quotePrefix="0" xfId="1"/>
    <xf numFmtId="170" fontId="17" fillId="16" borderId="0" pivotButton="0" quotePrefix="0" xfId="0"/>
    <xf numFmtId="171" fontId="17" fillId="16" borderId="6" pivotButton="0" quotePrefix="0" xfId="1"/>
    <xf numFmtId="172" fontId="62" fillId="16" borderId="6" applyAlignment="1" applyProtection="1" pivotButton="0" quotePrefix="0" xfId="1">
      <alignment horizontal="center" vertical="center"/>
      <protection locked="0" hidden="0"/>
    </xf>
    <xf numFmtId="170" fontId="17" fillId="16" borderId="6" pivotButton="0" quotePrefix="0" xfId="3"/>
    <xf numFmtId="170" fontId="17" fillId="16" borderId="6" pivotButton="0" quotePrefix="0" xfId="0"/>
    <xf numFmtId="171" fontId="17" fillId="16" borderId="3" pivotButton="0" quotePrefix="0" xfId="1"/>
    <xf numFmtId="9" fontId="17" fillId="16" borderId="6" pivotButton="0" quotePrefix="0" xfId="2"/>
    <xf numFmtId="170" fontId="17" fillId="16" borderId="1" pivotButton="0" quotePrefix="0" xfId="0"/>
    <xf numFmtId="170" fontId="19" fillId="17" borderId="0" applyAlignment="1" pivotButton="0" quotePrefix="0" xfId="0">
      <alignment horizontal="center"/>
    </xf>
    <xf numFmtId="170" fontId="17" fillId="17" borderId="0" pivotButton="0" quotePrefix="0" xfId="1"/>
    <xf numFmtId="170" fontId="17" fillId="17" borderId="0" pivotButton="0" quotePrefix="0" xfId="0"/>
    <xf numFmtId="172" fontId="62" fillId="17" borderId="6" applyAlignment="1" applyProtection="1" pivotButton="0" quotePrefix="0" xfId="1">
      <alignment horizontal="center" vertical="center"/>
      <protection locked="0" hidden="0"/>
    </xf>
    <xf numFmtId="170" fontId="17" fillId="17" borderId="6" pivotButton="0" quotePrefix="0" xfId="3"/>
    <xf numFmtId="170" fontId="17" fillId="17" borderId="6" pivotButton="0" quotePrefix="0" xfId="0"/>
    <xf numFmtId="171" fontId="17" fillId="17" borderId="3" pivotButton="0" quotePrefix="0" xfId="1"/>
    <xf numFmtId="9" fontId="17" fillId="17" borderId="6" pivotButton="0" quotePrefix="0" xfId="2"/>
    <xf numFmtId="170" fontId="17" fillId="17" borderId="1" pivotButton="0" quotePrefix="0" xfId="0"/>
    <xf numFmtId="170" fontId="19" fillId="18" borderId="0" applyAlignment="1" pivotButton="0" quotePrefix="0" xfId="0">
      <alignment horizontal="center"/>
    </xf>
    <xf numFmtId="170" fontId="17" fillId="18" borderId="0" pivotButton="0" quotePrefix="0" xfId="1"/>
    <xf numFmtId="170" fontId="17" fillId="18" borderId="0" pivotButton="0" quotePrefix="0" xfId="0"/>
    <xf numFmtId="172" fontId="62" fillId="18" borderId="6" applyAlignment="1" applyProtection="1" pivotButton="0" quotePrefix="0" xfId="1">
      <alignment horizontal="center" vertical="center"/>
      <protection locked="0" hidden="0"/>
    </xf>
    <xf numFmtId="170" fontId="17" fillId="18" borderId="6" pivotButton="0" quotePrefix="0" xfId="3"/>
    <xf numFmtId="170" fontId="17" fillId="18" borderId="6" pivotButton="0" quotePrefix="0" xfId="0"/>
    <xf numFmtId="171" fontId="17" fillId="18" borderId="3" pivotButton="0" quotePrefix="0" xfId="1"/>
    <xf numFmtId="9" fontId="17" fillId="18" borderId="6" pivotButton="0" quotePrefix="0" xfId="2"/>
    <xf numFmtId="170" fontId="17" fillId="18" borderId="1" pivotButton="0" quotePrefix="0" xfId="0"/>
    <xf numFmtId="171" fontId="19" fillId="9" borderId="5" pivotButton="0" quotePrefix="0" xfId="1"/>
    <xf numFmtId="0" fontId="21" fillId="19" borderId="1" applyAlignment="1" pivotButton="0" quotePrefix="0" xfId="0">
      <alignment vertical="center"/>
    </xf>
    <xf numFmtId="0" fontId="32" fillId="0" borderId="3" applyAlignment="1" pivotButton="0" quotePrefix="0" xfId="0">
      <alignment horizontal="left"/>
    </xf>
    <xf numFmtId="170" fontId="32" fillId="0" borderId="3" pivotButton="0" quotePrefix="0" xfId="3"/>
    <xf numFmtId="170" fontId="23" fillId="0" borderId="1" pivotButton="0" quotePrefix="0" xfId="3"/>
    <xf numFmtId="0" fontId="65" fillId="0" borderId="0" applyAlignment="1" pivotButton="0" quotePrefix="0" xfId="0">
      <alignment horizontal="left"/>
    </xf>
    <xf numFmtId="9" fontId="65" fillId="0" borderId="1" applyAlignment="1" pivotButton="0" quotePrefix="0" xfId="2">
      <alignment horizontal="right"/>
    </xf>
    <xf numFmtId="171" fontId="19" fillId="7" borderId="1" pivotButton="0" quotePrefix="0" xfId="1"/>
    <xf numFmtId="168" fontId="14" fillId="9" borderId="3" pivotButton="0" quotePrefix="0" xfId="0"/>
    <xf numFmtId="170" fontId="14" fillId="9" borderId="3" pivotButton="0" quotePrefix="0" xfId="3"/>
    <xf numFmtId="168" fontId="65" fillId="0" borderId="1" applyAlignment="1" pivotButton="0" quotePrefix="0" xfId="0">
      <alignment horizontal="left"/>
    </xf>
    <xf numFmtId="170" fontId="18" fillId="14" borderId="2" pivotButton="0" quotePrefix="0" xfId="0"/>
    <xf numFmtId="0" fontId="13" fillId="14" borderId="0" pivotButton="0" quotePrefix="0" xfId="0"/>
    <xf numFmtId="0" fontId="21" fillId="3" borderId="6" applyAlignment="1" pivotButton="0" quotePrefix="0" xfId="4">
      <alignment horizontal="right"/>
    </xf>
    <xf numFmtId="0" fontId="25" fillId="3" borderId="6" applyAlignment="1" pivotButton="0" quotePrefix="0" xfId="4">
      <alignment horizontal="right"/>
    </xf>
    <xf numFmtId="0" fontId="43" fillId="3" borderId="1" pivotButton="0" quotePrefix="0" xfId="4"/>
    <xf numFmtId="0" fontId="31" fillId="2" borderId="6" applyAlignment="1" pivotButton="0" quotePrefix="0" xfId="4">
      <alignment horizontal="right" vertical="center"/>
    </xf>
    <xf numFmtId="173" fontId="32" fillId="0" borderId="6" applyAlignment="1" pivotButton="0" quotePrefix="0" xfId="4">
      <alignment horizontal="center" vertical="center"/>
    </xf>
    <xf numFmtId="0" fontId="34" fillId="0" borderId="1" applyAlignment="1" pivotButton="0" quotePrefix="0" xfId="4">
      <alignment horizontal="center"/>
    </xf>
    <xf numFmtId="0" fontId="67" fillId="0" borderId="1" applyAlignment="1" pivotButton="0" quotePrefix="0" xfId="4">
      <alignment horizontal="left"/>
    </xf>
    <xf numFmtId="0" fontId="68" fillId="0" borderId="1" pivotButton="0" quotePrefix="0" xfId="4"/>
    <xf numFmtId="0" fontId="66" fillId="0" borderId="1" pivotButton="0" quotePrefix="0" xfId="5"/>
    <xf numFmtId="0" fontId="66" fillId="0" borderId="1" applyAlignment="1" pivotButton="0" quotePrefix="1" xfId="5">
      <alignment horizontal="left"/>
    </xf>
    <xf numFmtId="0" fontId="64" fillId="14" borderId="1" applyAlignment="1" pivotButton="0" quotePrefix="0" xfId="4">
      <alignment horizontal="right"/>
    </xf>
    <xf numFmtId="0" fontId="2" fillId="0" borderId="1" pivotButton="0" quotePrefix="0" xfId="0"/>
    <xf numFmtId="0" fontId="70" fillId="20" borderId="7" applyAlignment="1" pivotButton="0" quotePrefix="0" xfId="0">
      <alignment horizontal="center"/>
    </xf>
    <xf numFmtId="0" fontId="70" fillId="20" borderId="11" applyAlignment="1" pivotButton="0" quotePrefix="0" xfId="0">
      <alignment horizontal="center"/>
    </xf>
    <xf numFmtId="0" fontId="70" fillId="21" borderId="11" applyAlignment="1" pivotButton="0" quotePrefix="0" xfId="0">
      <alignment horizontal="center"/>
    </xf>
    <xf numFmtId="0" fontId="70" fillId="22" borderId="11" applyAlignment="1" pivotButton="0" quotePrefix="0" xfId="0">
      <alignment horizontal="center"/>
    </xf>
    <xf numFmtId="0" fontId="70" fillId="23" borderId="11" applyAlignment="1" pivotButton="0" quotePrefix="0" xfId="0">
      <alignment horizontal="center"/>
    </xf>
    <xf numFmtId="0" fontId="70" fillId="24" borderId="11" applyAlignment="1" pivotButton="0" quotePrefix="0" xfId="0">
      <alignment horizontal="center"/>
    </xf>
    <xf numFmtId="3" fontId="71" fillId="25" borderId="6" applyAlignment="1" applyProtection="1" pivotButton="0" quotePrefix="0" xfId="0">
      <alignment vertical="center"/>
      <protection locked="0" hidden="0"/>
    </xf>
    <xf numFmtId="174" fontId="71" fillId="26" borderId="8" applyAlignment="1" applyProtection="1" pivotButton="0" quotePrefix="0" xfId="0">
      <alignment vertical="center"/>
      <protection locked="0" hidden="0"/>
    </xf>
    <xf numFmtId="0" fontId="2" fillId="0" borderId="11" pivotButton="0" quotePrefix="0" xfId="0"/>
    <xf numFmtId="3" fontId="71" fillId="25" borderId="7" applyAlignment="1" applyProtection="1" pivotButton="0" quotePrefix="0" xfId="0">
      <alignment vertical="center"/>
      <protection locked="0" hidden="0"/>
    </xf>
    <xf numFmtId="174" fontId="71" fillId="26" borderId="11" applyAlignment="1" applyProtection="1" pivotButton="0" quotePrefix="0" xfId="0">
      <alignment vertical="center"/>
      <protection locked="0" hidden="0"/>
    </xf>
    <xf numFmtId="3" fontId="71" fillId="28" borderId="7" applyAlignment="1" applyProtection="1" pivotButton="0" quotePrefix="0" xfId="0">
      <alignment vertical="center"/>
      <protection locked="0" hidden="0"/>
    </xf>
    <xf numFmtId="3" fontId="71" fillId="29" borderId="7" applyAlignment="1" applyProtection="1" pivotButton="0" quotePrefix="0" xfId="0">
      <alignment vertical="center"/>
      <protection locked="0" hidden="0"/>
    </xf>
    <xf numFmtId="3" fontId="71" fillId="30" borderId="7" applyAlignment="1" applyProtection="1" pivotButton="0" quotePrefix="0" xfId="0">
      <alignment vertical="center"/>
      <protection locked="0" hidden="0"/>
    </xf>
    <xf numFmtId="0" fontId="69" fillId="0" borderId="7" applyAlignment="1" pivotButton="0" quotePrefix="0" xfId="0">
      <alignment horizontal="right"/>
    </xf>
    <xf numFmtId="0" fontId="69" fillId="31" borderId="6" pivotButton="0" quotePrefix="0" xfId="0"/>
    <xf numFmtId="0" fontId="69" fillId="31" borderId="7" pivotButton="0" quotePrefix="0" xfId="0"/>
    <xf numFmtId="0" fontId="2" fillId="27" borderId="1" pivotButton="0" quotePrefix="0" xfId="0"/>
    <xf numFmtId="0" fontId="2" fillId="0" borderId="6" pivotButton="0" quotePrefix="0" xfId="0"/>
    <xf numFmtId="0" fontId="0" fillId="0" borderId="6" pivotButton="0" quotePrefix="0" xfId="0"/>
    <xf numFmtId="171" fontId="0" fillId="0" borderId="6" pivotButton="0" quotePrefix="0" xfId="1"/>
    <xf numFmtId="0" fontId="57" fillId="0" borderId="6" applyAlignment="1" pivotButton="0" quotePrefix="0" xfId="0">
      <alignment horizontal="center"/>
    </xf>
    <xf numFmtId="0" fontId="0" fillId="3" borderId="0" pivotButton="0" quotePrefix="0" xfId="0"/>
    <xf numFmtId="171" fontId="21" fillId="0" borderId="6" applyAlignment="1" pivotButton="0" quotePrefix="0" xfId="0">
      <alignment horizontal="center" vertical="center"/>
    </xf>
    <xf numFmtId="171" fontId="17" fillId="0" borderId="6" pivotButton="0" quotePrefix="0" xfId="1"/>
    <xf numFmtId="0" fontId="22" fillId="34" borderId="1" applyAlignment="1" pivotButton="0" quotePrefix="0" xfId="0">
      <alignment vertical="center"/>
    </xf>
    <xf numFmtId="0" fontId="15" fillId="35" borderId="1" applyAlignment="1" pivotButton="0" quotePrefix="0" xfId="0">
      <alignment vertical="center"/>
    </xf>
    <xf numFmtId="0" fontId="74" fillId="0" borderId="0" applyAlignment="1" pivotButton="0" quotePrefix="0" xfId="0">
      <alignment vertical="center"/>
    </xf>
    <xf numFmtId="1" fontId="74" fillId="0" borderId="0" applyAlignment="1" pivotButton="0" quotePrefix="0" xfId="0">
      <alignment vertical="center"/>
    </xf>
    <xf numFmtId="1" fontId="74" fillId="0" borderId="0" applyAlignment="1" pivotButton="0" quotePrefix="0" xfId="0">
      <alignment horizontal="right" vertical="center"/>
    </xf>
    <xf numFmtId="175" fontId="75" fillId="0" borderId="0" applyAlignment="1" pivotButton="0" quotePrefix="0" xfId="0">
      <alignment vertical="center"/>
    </xf>
    <xf numFmtId="0" fontId="17" fillId="0" borderId="6" applyAlignment="1" pivotButton="0" quotePrefix="0" xfId="0">
      <alignment vertical="center"/>
    </xf>
    <xf numFmtId="0" fontId="17" fillId="0" borderId="0" applyAlignment="1" pivotButton="0" quotePrefix="0" xfId="0">
      <alignment horizontal="right" vertical="center"/>
    </xf>
    <xf numFmtId="9" fontId="28" fillId="0" borderId="1" applyAlignment="1" pivotButton="0" quotePrefix="0" xfId="2">
      <alignment horizontal="right" vertical="center"/>
    </xf>
    <xf numFmtId="170" fontId="76" fillId="0" borderId="1" applyAlignment="1" pivotButton="0" quotePrefix="0" xfId="1">
      <alignment vertical="center"/>
    </xf>
    <xf numFmtId="170" fontId="18" fillId="0" borderId="1" pivotButton="0" quotePrefix="0" xfId="0"/>
    <xf numFmtId="0" fontId="19" fillId="36" borderId="0" applyAlignment="1" pivotButton="0" quotePrefix="0" xfId="0">
      <alignment vertical="center"/>
    </xf>
    <xf numFmtId="0" fontId="77" fillId="37" borderId="1" pivotButton="0" quotePrefix="0" xfId="0"/>
    <xf numFmtId="0" fontId="78" fillId="37" borderId="1" pivotButton="0" quotePrefix="0" xfId="0"/>
    <xf numFmtId="0" fontId="79" fillId="37" borderId="1" pivotButton="0" quotePrefix="0" xfId="0"/>
    <xf numFmtId="0" fontId="80" fillId="37" borderId="1" pivotButton="0" quotePrefix="0" xfId="0"/>
    <xf numFmtId="0" fontId="81" fillId="37" borderId="1" pivotButton="0" quotePrefix="0" xfId="0"/>
    <xf numFmtId="0" fontId="0" fillId="6" borderId="0" pivotButton="0" quotePrefix="0" xfId="0"/>
    <xf numFmtId="0" fontId="82" fillId="7" borderId="1" pivotButton="0" quotePrefix="0" xfId="0"/>
    <xf numFmtId="0" fontId="83" fillId="37" borderId="1" pivotButton="0" quotePrefix="0" xfId="0"/>
    <xf numFmtId="0" fontId="84" fillId="37" borderId="1" pivotButton="0" quotePrefix="0" xfId="0"/>
    <xf numFmtId="0" fontId="85" fillId="6" borderId="12" pivotButton="0" quotePrefix="0" xfId="0"/>
    <xf numFmtId="0" fontId="32" fillId="6" borderId="1" pivotButton="0" quotePrefix="0" xfId="0"/>
    <xf numFmtId="0" fontId="0" fillId="0" borderId="15" pivotButton="0" quotePrefix="0" xfId="0"/>
    <xf numFmtId="0" fontId="25" fillId="0" borderId="1" pivotButton="0" quotePrefix="0" xfId="0"/>
    <xf numFmtId="0" fontId="2" fillId="0" borderId="15" pivotButton="0" quotePrefix="0" xfId="0"/>
    <xf numFmtId="170" fontId="0" fillId="0" borderId="15" pivotButton="0" quotePrefix="0" xfId="0"/>
    <xf numFmtId="0" fontId="57" fillId="0" borderId="15" pivotButton="0" quotePrefix="0" xfId="0"/>
    <xf numFmtId="170" fontId="17" fillId="0" borderId="15" pivotButton="0" quotePrefix="0" xfId="9"/>
    <xf numFmtId="9" fontId="17" fillId="0" borderId="15" pivotButton="0" quotePrefix="0" xfId="10"/>
    <xf numFmtId="167" fontId="21" fillId="0" borderId="1" pivotButton="0" quotePrefix="0" xfId="9"/>
    <xf numFmtId="0" fontId="57" fillId="0" borderId="7" pivotButton="0" quotePrefix="0" xfId="0"/>
    <xf numFmtId="170" fontId="17" fillId="0" borderId="7" pivotButton="0" quotePrefix="0" xfId="9"/>
    <xf numFmtId="9" fontId="17" fillId="0" borderId="7" pivotButton="0" quotePrefix="0" xfId="10"/>
    <xf numFmtId="0" fontId="85" fillId="9" borderId="0" pivotButton="0" quotePrefix="0" xfId="0"/>
    <xf numFmtId="0" fontId="86" fillId="9" borderId="0" pivotButton="0" quotePrefix="0" xfId="0"/>
    <xf numFmtId="0" fontId="21" fillId="0" borderId="0" applyAlignment="1" pivotButton="0" quotePrefix="0" xfId="0">
      <alignment horizontal="left"/>
    </xf>
    <xf numFmtId="9" fontId="28" fillId="0" borderId="1" applyAlignment="1" pivotButton="0" quotePrefix="0" xfId="10">
      <alignment vertical="center"/>
    </xf>
    <xf numFmtId="0" fontId="87" fillId="9" borderId="0" applyAlignment="1" pivotButton="0" quotePrefix="0" xfId="0">
      <alignment horizontal="center"/>
    </xf>
    <xf numFmtId="0" fontId="39" fillId="0" borderId="0" applyAlignment="1" pivotButton="0" quotePrefix="0" xfId="0">
      <alignment horizontal="left"/>
    </xf>
    <xf numFmtId="170" fontId="39" fillId="0" borderId="0" pivotButton="0" quotePrefix="0" xfId="0"/>
    <xf numFmtId="168" fontId="0" fillId="0" borderId="0" pivotButton="0" quotePrefix="0" xfId="0"/>
    <xf numFmtId="170" fontId="39" fillId="14" borderId="0" pivotButton="0" quotePrefix="0" xfId="0"/>
    <xf numFmtId="168" fontId="2" fillId="0" borderId="0" pivotButton="0" quotePrefix="0" xfId="0"/>
    <xf numFmtId="0" fontId="53" fillId="0" borderId="16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0" fillId="0" borderId="3" applyAlignment="1" pivotButton="0" quotePrefix="0" xfId="0">
      <alignment horizontal="left"/>
    </xf>
    <xf numFmtId="170" fontId="40" fillId="0" borderId="3" pivotButton="0" quotePrefix="0" xfId="0"/>
    <xf numFmtId="0" fontId="57" fillId="0" borderId="13" applyAlignment="1" pivotButton="0" quotePrefix="0" xfId="0">
      <alignment vertical="center"/>
    </xf>
    <xf numFmtId="170" fontId="0" fillId="0" borderId="8" pivotButton="0" quotePrefix="0" xfId="0"/>
    <xf numFmtId="0" fontId="57" fillId="0" borderId="1" applyAlignment="1" pivotButton="0" quotePrefix="0" xfId="0">
      <alignment horizontal="center" vertical="center"/>
    </xf>
    <xf numFmtId="164" fontId="0" fillId="0" borderId="1" pivotButton="0" quotePrefix="0" xfId="9"/>
    <xf numFmtId="9" fontId="28" fillId="38" borderId="1" pivotButton="0" quotePrefix="0" xfId="0"/>
    <xf numFmtId="176" fontId="28" fillId="38" borderId="1" pivotButton="0" quotePrefix="0" xfId="0"/>
    <xf numFmtId="0" fontId="57" fillId="0" borderId="13" pivotButton="0" quotePrefix="0" xfId="0"/>
    <xf numFmtId="0" fontId="57" fillId="0" borderId="8" applyAlignment="1" pivotButton="0" quotePrefix="0" xfId="0">
      <alignment horizontal="center"/>
    </xf>
    <xf numFmtId="0" fontId="2" fillId="0" borderId="12" pivotButton="0" quotePrefix="0" xfId="0"/>
    <xf numFmtId="177" fontId="0" fillId="0" borderId="15" applyAlignment="1" pivotButton="0" quotePrefix="0" xfId="0">
      <alignment horizontal="center"/>
    </xf>
    <xf numFmtId="177" fontId="0" fillId="0" borderId="14" applyAlignment="1" pivotButton="0" quotePrefix="0" xfId="0">
      <alignment horizontal="center"/>
    </xf>
    <xf numFmtId="0" fontId="4" fillId="0" borderId="0" pivotButton="0" quotePrefix="0" xfId="5"/>
    <xf numFmtId="0" fontId="88" fillId="0" borderId="0" pivotButton="0" quotePrefix="0" xfId="0"/>
    <xf numFmtId="0" fontId="4" fillId="0" borderId="0" applyAlignment="1" pivotButton="0" quotePrefix="0" xfId="5">
      <alignment horizontal="left"/>
    </xf>
    <xf numFmtId="0" fontId="2" fillId="0" borderId="7" pivotButton="0" quotePrefix="0" xfId="0"/>
    <xf numFmtId="177" fontId="0" fillId="0" borderId="7" applyAlignment="1" pivotButton="0" quotePrefix="0" xfId="0">
      <alignment horizontal="center"/>
    </xf>
    <xf numFmtId="177" fontId="0" fillId="0" borderId="11" applyAlignment="1" pivotButton="0" quotePrefix="0" xfId="0">
      <alignment horizontal="center"/>
    </xf>
    <xf numFmtId="177" fontId="0" fillId="0" borderId="0" applyAlignment="1" pivotButton="0" quotePrefix="0" xfId="0">
      <alignment horizontal="center"/>
    </xf>
    <xf numFmtId="0" fontId="2" fillId="0" borderId="3" pivotButton="0" quotePrefix="0" xfId="0"/>
    <xf numFmtId="170" fontId="0" fillId="0" borderId="3" pivotButton="0" quotePrefix="0" xfId="0"/>
    <xf numFmtId="170" fontId="57" fillId="0" borderId="0" pivotButton="0" quotePrefix="0" xfId="0"/>
    <xf numFmtId="176" fontId="28" fillId="39" borderId="1" applyAlignment="1" pivotButton="0" quotePrefix="0" xfId="10">
      <alignment vertical="center"/>
    </xf>
    <xf numFmtId="9" fontId="28" fillId="39" borderId="1" applyAlignment="1" pivotButton="0" quotePrefix="0" xfId="10">
      <alignment vertical="center"/>
    </xf>
    <xf numFmtId="9" fontId="28" fillId="40" borderId="1" pivotButton="0" quotePrefix="0" xfId="0"/>
    <xf numFmtId="176" fontId="28" fillId="40" borderId="1" pivotButton="0" quotePrefix="0" xfId="0"/>
    <xf numFmtId="170" fontId="0" fillId="39" borderId="0" pivotButton="0" quotePrefix="0" xfId="0"/>
    <xf numFmtId="170" fontId="0" fillId="16" borderId="0" pivotButton="0" quotePrefix="0" xfId="0"/>
    <xf numFmtId="0" fontId="57" fillId="41" borderId="0" pivotButton="0" quotePrefix="0" xfId="0"/>
    <xf numFmtId="0" fontId="89" fillId="0" borderId="1" pivotButton="0" quotePrefix="0" xfId="14"/>
    <xf numFmtId="0" fontId="89" fillId="3" borderId="1" pivotButton="0" quotePrefix="0" xfId="14"/>
    <xf numFmtId="0" fontId="90" fillId="33" borderId="6" applyAlignment="1" pivotButton="0" quotePrefix="0" xfId="14">
      <alignment horizontal="center"/>
    </xf>
    <xf numFmtId="0" fontId="89" fillId="3" borderId="1" applyAlignment="1" pivotButton="0" quotePrefix="0" xfId="14">
      <alignment horizontal="right"/>
    </xf>
    <xf numFmtId="0" fontId="66" fillId="12" borderId="1" applyAlignment="1" pivotButton="0" quotePrefix="0" xfId="5">
      <alignment horizontal="left"/>
    </xf>
    <xf numFmtId="0" fontId="90" fillId="12" borderId="6" applyAlignment="1" pivotButton="0" quotePrefix="0" xfId="14">
      <alignment horizontal="center"/>
    </xf>
    <xf numFmtId="1" fontId="89" fillId="0" borderId="6" pivotButton="0" quotePrefix="0" xfId="14"/>
    <xf numFmtId="0" fontId="89" fillId="0" borderId="6" pivotButton="0" quotePrefix="0" xfId="14"/>
    <xf numFmtId="0" fontId="90" fillId="12" borderId="6" applyAlignment="1" pivotButton="0" quotePrefix="0" xfId="14">
      <alignment horizontal="right"/>
    </xf>
    <xf numFmtId="171" fontId="89" fillId="32" borderId="6" pivotButton="0" quotePrefix="0" xfId="1"/>
    <xf numFmtId="171" fontId="89" fillId="42" borderId="6" pivotButton="0" quotePrefix="0" xfId="1"/>
    <xf numFmtId="171" fontId="89" fillId="0" borderId="1" pivotButton="0" quotePrefix="0" xfId="1"/>
    <xf numFmtId="171" fontId="89" fillId="12" borderId="6" pivotButton="0" quotePrefix="0" xfId="1"/>
    <xf numFmtId="171" fontId="89" fillId="12" borderId="12" pivotButton="0" quotePrefix="0" xfId="1"/>
    <xf numFmtId="171" fontId="90" fillId="12" borderId="6" pivotButton="0" quotePrefix="0" xfId="1"/>
    <xf numFmtId="171" fontId="89" fillId="32" borderId="8" pivotButton="0" quotePrefix="0" xfId="1"/>
    <xf numFmtId="171" fontId="89" fillId="42" borderId="8" pivotButton="0" quotePrefix="0" xfId="1"/>
    <xf numFmtId="0" fontId="91" fillId="43" borderId="6" applyAlignment="1" pivotButton="0" quotePrefix="0" xfId="14">
      <alignment horizontal="right"/>
    </xf>
    <xf numFmtId="0" fontId="89" fillId="0" borderId="6" applyAlignment="1" pivotButton="0" quotePrefix="0" xfId="14">
      <alignment horizontal="right"/>
    </xf>
    <xf numFmtId="0" fontId="64" fillId="9" borderId="1" applyAlignment="1" pivotButton="0" quotePrefix="0" xfId="0">
      <alignment vertical="center"/>
    </xf>
    <xf numFmtId="0" fontId="92" fillId="7" borderId="1" pivotButton="0" quotePrefix="0" xfId="0"/>
    <xf numFmtId="0" fontId="18" fillId="0" borderId="0" applyAlignment="1" pivotButton="0" quotePrefix="0" xfId="0">
      <alignment horizontal="right" indent="1"/>
    </xf>
    <xf numFmtId="0" fontId="18" fillId="44" borderId="0" applyAlignment="1" pivotButton="0" quotePrefix="0" xfId="0">
      <alignment horizontal="right" indent="1"/>
    </xf>
    <xf numFmtId="0" fontId="89" fillId="0" borderId="1" applyAlignment="1" pivotButton="0" quotePrefix="0" xfId="14">
      <alignment horizontal="right"/>
    </xf>
    <xf numFmtId="0" fontId="93" fillId="0" borderId="1" pivotButton="0" quotePrefix="0" xfId="14"/>
    <xf numFmtId="0" fontId="94" fillId="0" borderId="1" pivotButton="0" quotePrefix="0" xfId="14"/>
    <xf numFmtId="1" fontId="94" fillId="0" borderId="1" pivotButton="0" quotePrefix="0" xfId="14"/>
    <xf numFmtId="1" fontId="94" fillId="3" borderId="1" pivotButton="0" quotePrefix="0" xfId="14"/>
    <xf numFmtId="0" fontId="66" fillId="0" borderId="1" applyAlignment="1" pivotButton="0" quotePrefix="0" xfId="5">
      <alignment horizontal="left"/>
    </xf>
    <xf numFmtId="0" fontId="37" fillId="0" borderId="1" applyAlignment="1" pivotButton="0" quotePrefix="0" xfId="5">
      <alignment horizontal="left" vertical="center" wrapText="1"/>
    </xf>
    <xf numFmtId="171" fontId="0" fillId="0" borderId="0" pivotButton="0" quotePrefix="0" xfId="1"/>
    <xf numFmtId="0" fontId="19" fillId="0" borderId="0" applyAlignment="1" pivotButton="0" quotePrefix="0" xfId="0">
      <alignment horizontal="center"/>
    </xf>
    <xf numFmtId="170" fontId="21" fillId="0" borderId="1" applyAlignment="1" pivotButton="0" quotePrefix="0" xfId="9">
      <alignment horizontal="center"/>
    </xf>
    <xf numFmtId="170" fontId="21" fillId="0" borderId="1" applyAlignment="1" pivotButton="0" quotePrefix="0" xfId="9">
      <alignment horizontal="center"/>
    </xf>
    <xf numFmtId="170" fontId="15" fillId="0" borderId="1" pivotButton="0" quotePrefix="0" xfId="9"/>
    <xf numFmtId="170" fontId="17" fillId="0" borderId="1" pivotButton="0" quotePrefix="0" xfId="9"/>
    <xf numFmtId="0" fontId="95" fillId="0" borderId="1" applyAlignment="1" pivotButton="0" quotePrefix="0" xfId="0">
      <alignment vertical="center"/>
    </xf>
    <xf numFmtId="0" fontId="52" fillId="0" borderId="0" applyAlignment="1" pivotButton="0" quotePrefix="0" xfId="0">
      <alignment horizontal="left"/>
    </xf>
    <xf numFmtId="170" fontId="45" fillId="0" borderId="1" pivotButton="0" quotePrefix="0" xfId="9"/>
    <xf numFmtId="170" fontId="52" fillId="0" borderId="1" pivotButton="0" quotePrefix="0" xfId="9"/>
    <xf numFmtId="0" fontId="22" fillId="0" borderId="3" applyAlignment="1" pivotButton="0" quotePrefix="0" xfId="0">
      <alignment horizontal="left"/>
    </xf>
    <xf numFmtId="170" fontId="22" fillId="0" borderId="3" applyAlignment="1" pivotButton="0" quotePrefix="0" xfId="9">
      <alignment horizontal="center"/>
    </xf>
    <xf numFmtId="170" fontId="26" fillId="0" borderId="1" pivotButton="0" quotePrefix="0" xfId="9"/>
    <xf numFmtId="170" fontId="96" fillId="0" borderId="1" pivotButton="0" quotePrefix="0" xfId="9"/>
    <xf numFmtId="9" fontId="17" fillId="0" borderId="1" pivotButton="0" quotePrefix="0" xfId="10"/>
    <xf numFmtId="170" fontId="17" fillId="0" borderId="1" pivotButton="0" quotePrefix="0" xfId="9"/>
    <xf numFmtId="170" fontId="18" fillId="0" borderId="1" pivotButton="0" quotePrefix="0" xfId="9"/>
    <xf numFmtId="170" fontId="18" fillId="0" borderId="3" pivotButton="0" quotePrefix="0" xfId="9"/>
    <xf numFmtId="0" fontId="21" fillId="0" borderId="0" pivotButton="0" quotePrefix="0" xfId="0"/>
    <xf numFmtId="170" fontId="97" fillId="0" borderId="1" pivotButton="0" quotePrefix="0" xfId="9"/>
    <xf numFmtId="170" fontId="20" fillId="0" borderId="1" pivotButton="0" quotePrefix="0" xfId="9"/>
    <xf numFmtId="0" fontId="22" fillId="0" borderId="5" pivotButton="0" quotePrefix="0" xfId="0"/>
    <xf numFmtId="170" fontId="22" fillId="0" borderId="5" pivotButton="0" quotePrefix="0" xfId="9"/>
    <xf numFmtId="170" fontId="21" fillId="0" borderId="1" applyAlignment="1" pivotButton="0" quotePrefix="0" xfId="9">
      <alignment horizontal="center"/>
    </xf>
    <xf numFmtId="0" fontId="19" fillId="9" borderId="3" pivotButton="0" quotePrefix="0" xfId="0"/>
    <xf numFmtId="170" fontId="19" fillId="9" borderId="3" applyAlignment="1" pivotButton="0" quotePrefix="0" xfId="10">
      <alignment horizontal="center"/>
    </xf>
    <xf numFmtId="170" fontId="17" fillId="0" borderId="1" pivotButton="0" quotePrefix="0" xfId="10"/>
    <xf numFmtId="0" fontId="27" fillId="0" borderId="0" pivotButton="0" quotePrefix="0" xfId="0"/>
    <xf numFmtId="0" fontId="21" fillId="3" borderId="0" pivotButton="0" quotePrefix="0" xfId="0"/>
    <xf numFmtId="0" fontId="22" fillId="0" borderId="3" pivotButton="0" quotePrefix="0" xfId="0"/>
    <xf numFmtId="170" fontId="22" fillId="0" borderId="3" pivotButton="0" quotePrefix="0" xfId="9"/>
    <xf numFmtId="0" fontId="98" fillId="6" borderId="0" applyAlignment="1" pivotButton="0" quotePrefix="0" xfId="0">
      <alignment wrapText="1"/>
    </xf>
    <xf numFmtId="0" fontId="21" fillId="0" borderId="6" applyAlignment="1" pivotButton="0" quotePrefix="0" xfId="0">
      <alignment horizontal="right" vertical="center"/>
    </xf>
    <xf numFmtId="0" fontId="99" fillId="0" borderId="0" applyAlignment="1" pivotButton="0" quotePrefix="0" xfId="0">
      <alignment vertical="center"/>
    </xf>
    <xf numFmtId="0" fontId="100" fillId="0" borderId="0" applyAlignment="1" pivotButton="0" quotePrefix="0" xfId="0">
      <alignment vertical="center"/>
    </xf>
    <xf numFmtId="0" fontId="101" fillId="0" borderId="0" pivotButton="0" quotePrefix="0" xfId="0"/>
    <xf numFmtId="0" fontId="102" fillId="0" borderId="0" pivotButton="0" quotePrefix="0" xfId="0"/>
    <xf numFmtId="0" fontId="103" fillId="0" borderId="0" applyAlignment="1" pivotButton="0" quotePrefix="0" xfId="0">
      <alignment vertical="center"/>
    </xf>
    <xf numFmtId="0" fontId="100" fillId="0" borderId="0" pivotButton="0" quotePrefix="0" xfId="0"/>
    <xf numFmtId="0" fontId="102" fillId="45" borderId="0" pivotButton="0" quotePrefix="0" xfId="0"/>
    <xf numFmtId="0" fontId="102" fillId="16" borderId="0" pivotButton="0" quotePrefix="0" xfId="0"/>
    <xf numFmtId="0" fontId="104" fillId="0" borderId="6" applyAlignment="1" pivotButton="0" quotePrefix="0" xfId="0">
      <alignment horizontal="center" vertical="top"/>
    </xf>
    <xf numFmtId="0" fontId="101" fillId="0" borderId="6" pivotButton="0" quotePrefix="0" xfId="0"/>
    <xf numFmtId="0" fontId="2" fillId="0" borderId="6" applyAlignment="1" pivotButton="0" quotePrefix="0" xfId="0">
      <alignment horizontal="center"/>
    </xf>
    <xf numFmtId="171" fontId="21" fillId="0" borderId="0" applyAlignment="1" pivotButton="0" quotePrefix="0" xfId="0">
      <alignment vertical="center"/>
    </xf>
    <xf numFmtId="0" fontId="21" fillId="0" borderId="7" applyAlignment="1" pivotButton="0" quotePrefix="0" xfId="0">
      <alignment vertical="center"/>
    </xf>
    <xf numFmtId="171" fontId="17" fillId="0" borderId="6" pivotButton="0" quotePrefix="0" xfId="1"/>
    <xf numFmtId="171" fontId="22" fillId="0" borderId="6" applyAlignment="1" pivotButton="0" quotePrefix="0" xfId="0">
      <alignment horizontal="center" vertical="center"/>
    </xf>
    <xf numFmtId="171" fontId="21" fillId="0" borderId="6" applyAlignment="1" pivotButton="0" quotePrefix="0" xfId="0">
      <alignment vertical="center"/>
    </xf>
    <xf numFmtId="0" fontId="22" fillId="0" borderId="6" applyAlignment="1" pivotButton="0" quotePrefix="0" xfId="0">
      <alignment horizontal="right" vertical="center"/>
    </xf>
    <xf numFmtId="0" fontId="21" fillId="0" borderId="6" applyAlignment="1" pivotButton="0" quotePrefix="0" xfId="0">
      <alignment horizontal="center" vertical="center"/>
    </xf>
    <xf numFmtId="171" fontId="18" fillId="46" borderId="6" applyAlignment="1" pivotButton="0" quotePrefix="0" xfId="0">
      <alignment vertical="center"/>
    </xf>
    <xf numFmtId="0" fontId="18" fillId="0" borderId="6" applyAlignment="1" pivotButton="0" quotePrefix="0" xfId="0">
      <alignment horizontal="right" vertical="center"/>
    </xf>
    <xf numFmtId="0" fontId="21" fillId="0" borderId="13" applyAlignment="1" pivotButton="0" quotePrefix="0" xfId="0">
      <alignment vertical="center"/>
    </xf>
    <xf numFmtId="9" fontId="17" fillId="0" borderId="6" applyAlignment="1" pivotButton="0" quotePrefix="0" xfId="0">
      <alignment vertical="center"/>
    </xf>
    <xf numFmtId="9" fontId="17" fillId="0" borderId="1" applyAlignment="1" pivotButton="0" quotePrefix="0" xfId="0">
      <alignment vertical="center"/>
    </xf>
    <xf numFmtId="0" fontId="94" fillId="0" borderId="12" applyAlignment="1" pivotButton="0" quotePrefix="0" xfId="0">
      <alignment vertical="center"/>
    </xf>
    <xf numFmtId="0" fontId="0" fillId="46" borderId="0" pivotButton="0" quotePrefix="0" xfId="0"/>
    <xf numFmtId="171" fontId="74" fillId="0" borderId="0" applyAlignment="1" pivotButton="0" quotePrefix="0" xfId="1">
      <alignment vertical="center"/>
    </xf>
    <xf numFmtId="170" fontId="74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right"/>
    </xf>
    <xf numFmtId="170" fontId="28" fillId="0" borderId="1" applyAlignment="1" pivotButton="0" quotePrefix="0" xfId="1">
      <alignment vertical="center"/>
    </xf>
    <xf numFmtId="170" fontId="17" fillId="0" borderId="0" applyAlignment="1" pivotButton="0" quotePrefix="0" xfId="0">
      <alignment vertical="center"/>
    </xf>
    <xf numFmtId="170" fontId="17" fillId="0" borderId="6" pivotButton="0" quotePrefix="0" xfId="0"/>
    <xf numFmtId="0" fontId="21" fillId="12" borderId="6" applyAlignment="1" pivotButton="0" quotePrefix="0" xfId="0">
      <alignment vertical="center"/>
    </xf>
    <xf numFmtId="0" fontId="18" fillId="0" borderId="6" applyAlignment="1" pivotButton="0" quotePrefix="0" xfId="0">
      <alignment horizontal="center" vertical="center"/>
    </xf>
    <xf numFmtId="0" fontId="22" fillId="0" borderId="6" applyAlignment="1" pivotButton="0" quotePrefix="0" xfId="0">
      <alignment vertical="center"/>
    </xf>
    <xf numFmtId="170" fontId="18" fillId="0" borderId="6" pivotButton="0" quotePrefix="0" xfId="0"/>
    <xf numFmtId="0" fontId="0" fillId="32" borderId="6" pivotButton="0" quotePrefix="0" xfId="0"/>
    <xf numFmtId="0" fontId="18" fillId="0" borderId="6" pivotButton="0" quotePrefix="0" xfId="0"/>
    <xf numFmtId="0" fontId="22" fillId="12" borderId="6" applyAlignment="1" pivotButton="0" quotePrefix="0" xfId="0">
      <alignment vertical="center"/>
    </xf>
    <xf numFmtId="0" fontId="9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0" fontId="12" fillId="0" borderId="1" pivotButton="0" quotePrefix="0" xfId="0"/>
    <xf numFmtId="9" fontId="28" fillId="0" borderId="1" pivotButton="0" quotePrefix="0" xfId="2"/>
    <xf numFmtId="170" fontId="28" fillId="0" borderId="1" pivotButton="0" quotePrefix="0" xfId="9"/>
    <xf numFmtId="166" fontId="18" fillId="0" borderId="1" pivotButton="0" quotePrefix="0" xfId="0"/>
    <xf numFmtId="0" fontId="13" fillId="0" borderId="1" pivotButton="0" quotePrefix="0" xfId="0"/>
    <xf numFmtId="0" fontId="19" fillId="0" borderId="1" applyAlignment="1" pivotButton="0" quotePrefix="0" xfId="0">
      <alignment horizontal="center"/>
    </xf>
    <xf numFmtId="169" fontId="24" fillId="0" borderId="1" applyAlignment="1" pivotButton="0" quotePrefix="0" xfId="0">
      <alignment horizontal="center"/>
    </xf>
    <xf numFmtId="0" fontId="24" fillId="0" borderId="1" pivotButton="0" quotePrefix="0" xfId="0"/>
    <xf numFmtId="17" fontId="19" fillId="0" borderId="1" applyAlignment="1" pivotButton="0" quotePrefix="0" xfId="0">
      <alignment horizontal="center"/>
    </xf>
    <xf numFmtId="170" fontId="23" fillId="0" borderId="1" pivotButton="0" quotePrefix="0" xfId="0"/>
    <xf numFmtId="170" fontId="20" fillId="0" borderId="1" pivotButton="0" quotePrefix="0" xfId="10"/>
    <xf numFmtId="170" fontId="21" fillId="0" borderId="1" pivotButton="0" quotePrefix="0" xfId="9"/>
    <xf numFmtId="166" fontId="17" fillId="0" borderId="1" pivotButton="0" quotePrefix="0" xfId="0"/>
    <xf numFmtId="170" fontId="18" fillId="0" borderId="1" pivotButton="0" quotePrefix="0" xfId="9"/>
    <xf numFmtId="166" fontId="23" fillId="0" borderId="1" pivotButton="0" quotePrefix="0" xfId="0"/>
    <xf numFmtId="0" fontId="55" fillId="0" borderId="3" applyAlignment="1" pivotButton="0" quotePrefix="0" xfId="11">
      <alignment horizontal="left" vertical="center"/>
    </xf>
    <xf numFmtId="0" fontId="19" fillId="0" borderId="2" pivotButton="0" quotePrefix="0" xfId="0"/>
    <xf numFmtId="0" fontId="93" fillId="0" borderId="5" pivotButton="0" quotePrefix="0" xfId="0"/>
    <xf numFmtId="170" fontId="93" fillId="0" borderId="5" pivotButton="0" quotePrefix="0" xfId="9"/>
    <xf numFmtId="170" fontId="17" fillId="0" borderId="1" applyAlignment="1" pivotButton="0" quotePrefix="0" xfId="0">
      <alignment vertical="center"/>
    </xf>
    <xf numFmtId="0" fontId="35" fillId="0" borderId="1" applyAlignment="1" pivotButton="0" quotePrefix="0" xfId="4">
      <alignment horizontal="left" wrapText="1"/>
    </xf>
    <xf numFmtId="0" fontId="59" fillId="0" borderId="1" applyAlignment="1" pivotButton="0" quotePrefix="0" xfId="5">
      <alignment horizontal="left" vertical="center" wrapText="1"/>
    </xf>
    <xf numFmtId="0" fontId="66" fillId="0" borderId="1" applyAlignment="1" pivotButton="0" quotePrefix="0" xfId="5">
      <alignment horizontal="left"/>
    </xf>
    <xf numFmtId="0" fontId="37" fillId="0" borderId="1" applyAlignment="1" pivotButton="0" quotePrefix="0" xfId="5">
      <alignment horizontal="left" vertical="center" wrapText="1"/>
    </xf>
    <xf numFmtId="0" fontId="57" fillId="0" borderId="0" applyAlignment="1" pivotButton="0" quotePrefix="0" xfId="0">
      <alignment horizontal="center"/>
    </xf>
    <xf numFmtId="0" fontId="0" fillId="0" borderId="0" pivotButton="0" quotePrefix="0" xfId="0"/>
    <xf numFmtId="0" fontId="57" fillId="0" borderId="0" applyAlignment="1" pivotButton="0" quotePrefix="0" xfId="0">
      <alignment horizontal="right" vertical="center" textRotation="90"/>
    </xf>
    <xf numFmtId="173" fontId="32" fillId="0" borderId="6" applyAlignment="1" pivotButton="0" quotePrefix="0" xfId="4">
      <alignment horizontal="center" vertical="center"/>
    </xf>
    <xf numFmtId="171" fontId="0" fillId="0" borderId="6" pivotButton="0" quotePrefix="0" xfId="1"/>
    <xf numFmtId="171" fontId="0" fillId="0" borderId="0" pivotButton="0" quotePrefix="0" xfId="1"/>
    <xf numFmtId="171" fontId="89" fillId="32" borderId="8" pivotButton="0" quotePrefix="0" xfId="1"/>
    <xf numFmtId="171" fontId="89" fillId="32" borderId="6" pivotButton="0" quotePrefix="0" xfId="1"/>
    <xf numFmtId="171" fontId="89" fillId="42" borderId="8" pivotButton="0" quotePrefix="0" xfId="1"/>
    <xf numFmtId="171" fontId="89" fillId="42" borderId="6" pivotButton="0" quotePrefix="0" xfId="1"/>
    <xf numFmtId="171" fontId="89" fillId="0" borderId="1" pivotButton="0" quotePrefix="0" xfId="1"/>
    <xf numFmtId="171" fontId="89" fillId="12" borderId="6" pivotButton="0" quotePrefix="0" xfId="1"/>
    <xf numFmtId="171" fontId="89" fillId="12" borderId="12" pivotButton="0" quotePrefix="0" xfId="1"/>
    <xf numFmtId="171" fontId="90" fillId="12" borderId="6" pivotButton="0" quotePrefix="0" xfId="1"/>
    <xf numFmtId="171" fontId="28" fillId="4" borderId="1" applyAlignment="1" pivotButton="0" quotePrefix="0" xfId="1">
      <alignment vertical="center"/>
    </xf>
    <xf numFmtId="171" fontId="21" fillId="0" borderId="6" applyAlignment="1" pivotButton="0" quotePrefix="0" xfId="0">
      <alignment horizontal="center" vertical="center"/>
    </xf>
    <xf numFmtId="170" fontId="17" fillId="0" borderId="0" pivotButton="0" quotePrefix="0" xfId="0"/>
    <xf numFmtId="171" fontId="17" fillId="0" borderId="6" pivotButton="0" quotePrefix="0" xfId="1"/>
    <xf numFmtId="171" fontId="22" fillId="0" borderId="6" applyAlignment="1" pivotButton="0" quotePrefix="0" xfId="0">
      <alignment horizontal="center" vertical="center"/>
    </xf>
    <xf numFmtId="171" fontId="21" fillId="0" borderId="0" applyAlignment="1" pivotButton="0" quotePrefix="0" xfId="0">
      <alignment horizontal="center" vertical="center"/>
    </xf>
    <xf numFmtId="171" fontId="21" fillId="0" borderId="6" applyAlignment="1" pivotButton="0" quotePrefix="0" xfId="0">
      <alignment vertical="center"/>
    </xf>
    <xf numFmtId="171" fontId="21" fillId="0" borderId="0" applyAlignment="1" pivotButton="0" quotePrefix="0" xfId="0">
      <alignment vertical="center"/>
    </xf>
    <xf numFmtId="170" fontId="76" fillId="0" borderId="1" applyAlignment="1" pivotButton="0" quotePrefix="0" xfId="1">
      <alignment vertical="center"/>
    </xf>
    <xf numFmtId="170" fontId="48" fillId="0" borderId="1" applyAlignment="1" pivotButton="0" quotePrefix="0" xfId="1">
      <alignment vertical="center"/>
    </xf>
    <xf numFmtId="171" fontId="18" fillId="46" borderId="6" applyAlignment="1" pivotButton="0" quotePrefix="0" xfId="0">
      <alignment vertical="center"/>
    </xf>
    <xf numFmtId="170" fontId="28" fillId="4" borderId="1" applyAlignment="1" pivotButton="0" quotePrefix="0" xfId="1">
      <alignment vertical="center"/>
    </xf>
    <xf numFmtId="171" fontId="74" fillId="0" borderId="0" applyAlignment="1" pivotButton="0" quotePrefix="0" xfId="1">
      <alignment vertical="center"/>
    </xf>
    <xf numFmtId="175" fontId="75" fillId="0" borderId="0" applyAlignment="1" pivotButton="0" quotePrefix="0" xfId="0">
      <alignment vertical="center"/>
    </xf>
    <xf numFmtId="170" fontId="74" fillId="0" borderId="0" applyAlignment="1" pivotButton="0" quotePrefix="0" xfId="1">
      <alignment vertical="center"/>
    </xf>
    <xf numFmtId="170" fontId="28" fillId="0" borderId="1" applyAlignment="1" pivotButton="0" quotePrefix="0" xfId="1">
      <alignment vertical="center"/>
    </xf>
    <xf numFmtId="170" fontId="17" fillId="0" borderId="0" applyAlignment="1" pivotButton="0" quotePrefix="0" xfId="0">
      <alignment vertical="center"/>
    </xf>
    <xf numFmtId="170" fontId="28" fillId="0" borderId="1" applyAlignment="1" pivotButton="0" quotePrefix="0" xfId="3">
      <alignment vertical="center"/>
    </xf>
    <xf numFmtId="170" fontId="48" fillId="0" borderId="1" applyAlignment="1" pivotButton="0" quotePrefix="0" xfId="3">
      <alignment vertical="center"/>
    </xf>
    <xf numFmtId="170" fontId="17" fillId="0" borderId="1" applyAlignment="1" pivotButton="0" quotePrefix="0" xfId="0">
      <alignment vertical="center"/>
    </xf>
    <xf numFmtId="169" fontId="24" fillId="0" borderId="0" applyAlignment="1" pivotButton="0" quotePrefix="0" xfId="0">
      <alignment horizontal="center"/>
    </xf>
    <xf numFmtId="170" fontId="15" fillId="0" borderId="0" pivotButton="0" quotePrefix="0" xfId="0"/>
    <xf numFmtId="170" fontId="19" fillId="0" borderId="1" pivotButton="0" quotePrefix="0" xfId="0"/>
    <xf numFmtId="170" fontId="19" fillId="15" borderId="0" applyAlignment="1" pivotButton="0" quotePrefix="0" xfId="0">
      <alignment horizontal="center"/>
    </xf>
    <xf numFmtId="170" fontId="19" fillId="13" borderId="0" applyAlignment="1" pivotButton="0" quotePrefix="0" xfId="0">
      <alignment horizontal="center"/>
    </xf>
    <xf numFmtId="170" fontId="19" fillId="16" borderId="0" applyAlignment="1" pivotButton="0" quotePrefix="0" xfId="0">
      <alignment horizontal="center"/>
    </xf>
    <xf numFmtId="170" fontId="19" fillId="17" borderId="0" applyAlignment="1" pivotButton="0" quotePrefix="0" xfId="0">
      <alignment horizontal="center"/>
    </xf>
    <xf numFmtId="170" fontId="19" fillId="18" borderId="0" applyAlignment="1" pivotButton="0" quotePrefix="0" xfId="0">
      <alignment horizontal="center"/>
    </xf>
    <xf numFmtId="170" fontId="17" fillId="15" borderId="1" pivotButton="0" quotePrefix="0" xfId="3"/>
    <xf numFmtId="170" fontId="17" fillId="15" borderId="0" pivotButton="0" quotePrefix="0" xfId="1"/>
    <xf numFmtId="170" fontId="17" fillId="13" borderId="0" pivotButton="0" quotePrefix="0" xfId="1"/>
    <xf numFmtId="170" fontId="17" fillId="16" borderId="0" pivotButton="0" quotePrefix="0" xfId="1"/>
    <xf numFmtId="170" fontId="17" fillId="17" borderId="0" pivotButton="0" quotePrefix="0" xfId="1"/>
    <xf numFmtId="170" fontId="17" fillId="18" borderId="0" pivotButton="0" quotePrefix="0" xfId="1"/>
    <xf numFmtId="170" fontId="17" fillId="15" borderId="0" pivotButton="0" quotePrefix="0" xfId="0"/>
    <xf numFmtId="170" fontId="17" fillId="13" borderId="0" pivotButton="0" quotePrefix="0" xfId="0"/>
    <xf numFmtId="170" fontId="17" fillId="16" borderId="0" pivotButton="0" quotePrefix="0" xfId="0"/>
    <xf numFmtId="170" fontId="17" fillId="17" borderId="0" pivotButton="0" quotePrefix="0" xfId="0"/>
    <xf numFmtId="170" fontId="17" fillId="18" borderId="0" pivotButton="0" quotePrefix="0" xfId="0"/>
    <xf numFmtId="172" fontId="62" fillId="15" borderId="6" applyAlignment="1" applyProtection="1" pivotButton="0" quotePrefix="0" xfId="1">
      <alignment horizontal="center" vertical="center"/>
      <protection locked="0" hidden="0"/>
    </xf>
    <xf numFmtId="171" fontId="17" fillId="15" borderId="6" pivotButton="0" quotePrefix="0" xfId="1"/>
    <xf numFmtId="170" fontId="17" fillId="15" borderId="6" pivotButton="0" quotePrefix="0" xfId="3"/>
    <xf numFmtId="170" fontId="17" fillId="13" borderId="6" pivotButton="0" quotePrefix="0" xfId="3"/>
    <xf numFmtId="170" fontId="17" fillId="16" borderId="6" pivotButton="0" quotePrefix="0" xfId="3"/>
    <xf numFmtId="170" fontId="17" fillId="17" borderId="6" pivotButton="0" quotePrefix="0" xfId="3"/>
    <xf numFmtId="170" fontId="17" fillId="18" borderId="6" pivotButton="0" quotePrefix="0" xfId="3"/>
    <xf numFmtId="170" fontId="17" fillId="15" borderId="6" pivotButton="0" quotePrefix="0" xfId="0"/>
    <xf numFmtId="170" fontId="17" fillId="13" borderId="6" pivotButton="0" quotePrefix="0" xfId="0"/>
    <xf numFmtId="170" fontId="17" fillId="16" borderId="6" pivotButton="0" quotePrefix="0" xfId="0"/>
    <xf numFmtId="170" fontId="17" fillId="17" borderId="6" pivotButton="0" quotePrefix="0" xfId="0"/>
    <xf numFmtId="170" fontId="17" fillId="18" borderId="6" pivotButton="0" quotePrefix="0" xfId="0"/>
    <xf numFmtId="171" fontId="17" fillId="15" borderId="3" pivotButton="0" quotePrefix="0" xfId="1"/>
    <xf numFmtId="171" fontId="17" fillId="13" borderId="3" pivotButton="0" quotePrefix="0" xfId="1"/>
    <xf numFmtId="171" fontId="17" fillId="16" borderId="3" pivotButton="0" quotePrefix="0" xfId="1"/>
    <xf numFmtId="171" fontId="17" fillId="17" borderId="3" pivotButton="0" quotePrefix="0" xfId="1"/>
    <xf numFmtId="171" fontId="17" fillId="18" borderId="3" pivotButton="0" quotePrefix="0" xfId="1"/>
    <xf numFmtId="170" fontId="17" fillId="15" borderId="1" pivotButton="0" quotePrefix="0" xfId="0"/>
    <xf numFmtId="170" fontId="17" fillId="13" borderId="1" pivotButton="0" quotePrefix="0" xfId="0"/>
    <xf numFmtId="170" fontId="17" fillId="16" borderId="1" pivotButton="0" quotePrefix="0" xfId="0"/>
    <xf numFmtId="170" fontId="17" fillId="17" borderId="1" pivotButton="0" quotePrefix="0" xfId="0"/>
    <xf numFmtId="170" fontId="17" fillId="18" borderId="1" pivotButton="0" quotePrefix="0" xfId="0"/>
    <xf numFmtId="172" fontId="62" fillId="13" borderId="6" applyAlignment="1" applyProtection="1" pivotButton="0" quotePrefix="0" xfId="1">
      <alignment horizontal="center" vertical="center"/>
      <protection locked="0" hidden="0"/>
    </xf>
    <xf numFmtId="171" fontId="17" fillId="13" borderId="6" pivotButton="0" quotePrefix="0" xfId="1"/>
    <xf numFmtId="171" fontId="17" fillId="16" borderId="6" pivotButton="0" quotePrefix="0" xfId="1"/>
    <xf numFmtId="172" fontId="62" fillId="16" borderId="6" applyAlignment="1" applyProtection="1" pivotButton="0" quotePrefix="0" xfId="1">
      <alignment horizontal="center" vertical="center"/>
      <protection locked="0" hidden="0"/>
    </xf>
    <xf numFmtId="172" fontId="62" fillId="17" borderId="6" applyAlignment="1" applyProtection="1" pivotButton="0" quotePrefix="0" xfId="1">
      <alignment horizontal="center" vertical="center"/>
      <protection locked="0" hidden="0"/>
    </xf>
    <xf numFmtId="172" fontId="62" fillId="18" borderId="6" applyAlignment="1" applyProtection="1" pivotButton="0" quotePrefix="0" xfId="1">
      <alignment horizontal="center" vertical="center"/>
      <protection locked="0" hidden="0"/>
    </xf>
    <xf numFmtId="170" fontId="17" fillId="0" borderId="1" pivotButton="0" quotePrefix="0" xfId="0"/>
    <xf numFmtId="170" fontId="18" fillId="0" borderId="1" pivotButton="0" quotePrefix="0" xfId="0"/>
    <xf numFmtId="170" fontId="18" fillId="0" borderId="0" pivotButton="0" quotePrefix="0" xfId="0"/>
    <xf numFmtId="170" fontId="17" fillId="0" borderId="6" pivotButton="0" quotePrefix="0" xfId="0"/>
    <xf numFmtId="170" fontId="18" fillId="0" borderId="6" pivotButton="0" quotePrefix="0" xfId="0"/>
    <xf numFmtId="166" fontId="17" fillId="0" borderId="0" pivotButton="0" quotePrefix="0" xfId="0"/>
    <xf numFmtId="164" fontId="17" fillId="0" borderId="0" pivotButton="0" quotePrefix="0" xfId="0"/>
    <xf numFmtId="170" fontId="17" fillId="0" borderId="1" pivotButton="0" quotePrefix="0" xfId="10"/>
    <xf numFmtId="166" fontId="23" fillId="0" borderId="0" pivotButton="0" quotePrefix="0" xfId="0"/>
    <xf numFmtId="169" fontId="24" fillId="0" borderId="1" applyAlignment="1" pivotButton="0" quotePrefix="0" xfId="0">
      <alignment horizontal="center"/>
    </xf>
    <xf numFmtId="170" fontId="17" fillId="0" borderId="1" pivotButton="0" quotePrefix="0" xfId="9"/>
    <xf numFmtId="170" fontId="23" fillId="0" borderId="1" pivotButton="0" quotePrefix="0" xfId="0"/>
    <xf numFmtId="170" fontId="20" fillId="0" borderId="1" pivotButton="0" quotePrefix="0" xfId="10"/>
    <xf numFmtId="170" fontId="28" fillId="0" borderId="1" pivotButton="0" quotePrefix="0" xfId="9"/>
    <xf numFmtId="170" fontId="21" fillId="0" borderId="1" pivotButton="0" quotePrefix="0" xfId="9"/>
    <xf numFmtId="166" fontId="17" fillId="0" borderId="1" pivotButton="0" quotePrefix="0" xfId="0"/>
    <xf numFmtId="170" fontId="18" fillId="0" borderId="1" pivotButton="0" quotePrefix="0" xfId="9"/>
    <xf numFmtId="166" fontId="18" fillId="0" borderId="1" pivotButton="0" quotePrefix="0" xfId="0"/>
    <xf numFmtId="166" fontId="23" fillId="0" borderId="1" pivotButton="0" quotePrefix="0" xfId="0"/>
    <xf numFmtId="170" fontId="21" fillId="0" borderId="0" applyAlignment="1" pivotButton="0" quotePrefix="0" xfId="3">
      <alignment horizontal="center"/>
    </xf>
    <xf numFmtId="170" fontId="17" fillId="0" borderId="1" pivotButton="0" quotePrefix="0" xfId="3"/>
    <xf numFmtId="170" fontId="19" fillId="9" borderId="5" pivotButton="0" quotePrefix="0" xfId="3"/>
    <xf numFmtId="170" fontId="26" fillId="0" borderId="1" pivotButton="0" quotePrefix="0" xfId="3"/>
    <xf numFmtId="171" fontId="19" fillId="9" borderId="5" pivotButton="0" quotePrefix="0" xfId="1"/>
    <xf numFmtId="170" fontId="22" fillId="0" borderId="1" pivotButton="0" quotePrefix="0" xfId="3"/>
    <xf numFmtId="170" fontId="23" fillId="0" borderId="1" pivotButton="0" quotePrefix="0" xfId="3"/>
    <xf numFmtId="170" fontId="32" fillId="0" borderId="3" pivotButton="0" quotePrefix="0" xfId="3"/>
    <xf numFmtId="168" fontId="26" fillId="0" borderId="0" applyAlignment="1" pivotButton="0" quotePrefix="0" xfId="0">
      <alignment horizontal="left" indent="1"/>
    </xf>
    <xf numFmtId="168" fontId="22" fillId="0" borderId="0" pivotButton="0" quotePrefix="0" xfId="0"/>
    <xf numFmtId="170" fontId="18" fillId="0" borderId="1" pivotButton="0" quotePrefix="0" xfId="3"/>
    <xf numFmtId="168" fontId="21" fillId="0" borderId="0" applyAlignment="1" pivotButton="0" quotePrefix="0" xfId="0">
      <alignment horizontal="left" indent="1"/>
    </xf>
    <xf numFmtId="168" fontId="22" fillId="0" borderId="3" applyAlignment="1" pivotButton="0" quotePrefix="0" xfId="0">
      <alignment horizontal="left"/>
    </xf>
    <xf numFmtId="170" fontId="22" fillId="0" borderId="3" applyAlignment="1" pivotButton="0" quotePrefix="0" xfId="3">
      <alignment horizontal="center"/>
    </xf>
    <xf numFmtId="168" fontId="21" fillId="0" borderId="0" pivotButton="0" quotePrefix="0" xfId="0"/>
    <xf numFmtId="168" fontId="17" fillId="0" borderId="0" pivotButton="0" quotePrefix="0" xfId="0"/>
    <xf numFmtId="171" fontId="19" fillId="7" borderId="1" pivotButton="0" quotePrefix="0" xfId="1"/>
    <xf numFmtId="168" fontId="17" fillId="0" borderId="1" pivotButton="0" quotePrefix="0" xfId="0"/>
    <xf numFmtId="168" fontId="14" fillId="9" borderId="3" pivotButton="0" quotePrefix="0" xfId="0"/>
    <xf numFmtId="170" fontId="14" fillId="9" borderId="3" pivotButton="0" quotePrefix="0" xfId="3"/>
    <xf numFmtId="168" fontId="65" fillId="0" borderId="1" applyAlignment="1" pivotButton="0" quotePrefix="0" xfId="0">
      <alignment horizontal="left"/>
    </xf>
    <xf numFmtId="168" fontId="27" fillId="0" borderId="0" pivotButton="0" quotePrefix="0" xfId="0"/>
    <xf numFmtId="168" fontId="21" fillId="3" borderId="0" pivotButton="0" quotePrefix="0" xfId="0"/>
    <xf numFmtId="168" fontId="22" fillId="0" borderId="3" pivotButton="0" quotePrefix="0" xfId="0"/>
    <xf numFmtId="170" fontId="18" fillId="0" borderId="3" pivotButton="0" quotePrefix="0" xfId="3"/>
    <xf numFmtId="170" fontId="21" fillId="0" borderId="1" applyAlignment="1" pivotButton="0" quotePrefix="0" xfId="3">
      <alignment horizontal="center"/>
    </xf>
    <xf numFmtId="168" fontId="19" fillId="9" borderId="2" pivotButton="0" quotePrefix="0" xfId="0"/>
    <xf numFmtId="170" fontId="19" fillId="9" borderId="2" pivotButton="0" quotePrefix="0" xfId="3"/>
    <xf numFmtId="168" fontId="52" fillId="0" borderId="0" applyAlignment="1" pivotButton="0" quotePrefix="0" xfId="0">
      <alignment horizontal="left"/>
    </xf>
    <xf numFmtId="165" fontId="17" fillId="0" borderId="1" pivotButton="0" quotePrefix="0" xfId="0"/>
    <xf numFmtId="170" fontId="15" fillId="0" borderId="1" pivotButton="0" quotePrefix="0" xfId="9"/>
    <xf numFmtId="170" fontId="21" fillId="0" borderId="1" applyAlignment="1" pivotButton="0" quotePrefix="0" xfId="9">
      <alignment horizontal="center"/>
    </xf>
    <xf numFmtId="170" fontId="93" fillId="0" borderId="5" pivotButton="0" quotePrefix="0" xfId="9"/>
    <xf numFmtId="170" fontId="45" fillId="0" borderId="1" pivotButton="0" quotePrefix="0" xfId="9"/>
    <xf numFmtId="170" fontId="52" fillId="0" borderId="1" pivotButton="0" quotePrefix="0" xfId="9"/>
    <xf numFmtId="170" fontId="22" fillId="0" borderId="3" applyAlignment="1" pivotButton="0" quotePrefix="0" xfId="9">
      <alignment horizontal="center"/>
    </xf>
    <xf numFmtId="170" fontId="26" fillId="0" borderId="1" pivotButton="0" quotePrefix="0" xfId="9"/>
    <xf numFmtId="170" fontId="96" fillId="0" borderId="1" pivotButton="0" quotePrefix="0" xfId="9"/>
    <xf numFmtId="170" fontId="18" fillId="0" borderId="3" pivotButton="0" quotePrefix="0" xfId="9"/>
    <xf numFmtId="170" fontId="20" fillId="0" borderId="1" pivotButton="0" quotePrefix="0" xfId="9"/>
    <xf numFmtId="170" fontId="97" fillId="0" borderId="1" pivotButton="0" quotePrefix="0" xfId="9"/>
    <xf numFmtId="170" fontId="22" fillId="0" borderId="5" pivotButton="0" quotePrefix="0" xfId="9"/>
    <xf numFmtId="170" fontId="19" fillId="9" borderId="3" applyAlignment="1" pivotButton="0" quotePrefix="0" xfId="10">
      <alignment horizontal="center"/>
    </xf>
    <xf numFmtId="170" fontId="22" fillId="0" borderId="3" pivotButton="0" quotePrefix="0" xfId="9"/>
    <xf numFmtId="170" fontId="23" fillId="0" borderId="0" pivotButton="0" quotePrefix="0" xfId="0"/>
    <xf numFmtId="170" fontId="17" fillId="0" borderId="0" pivotButton="0" quotePrefix="0" xfId="3"/>
    <xf numFmtId="170" fontId="18" fillId="0" borderId="5" pivotButton="0" quotePrefix="0" xfId="0"/>
    <xf numFmtId="170" fontId="28" fillId="4" borderId="1" pivotButton="0" quotePrefix="0" xfId="3"/>
    <xf numFmtId="170" fontId="18" fillId="0" borderId="2" pivotButton="0" quotePrefix="0" xfId="0"/>
    <xf numFmtId="170" fontId="18" fillId="14" borderId="2" pivotButton="0" quotePrefix="0" xfId="0"/>
    <xf numFmtId="167" fontId="23" fillId="0" borderId="0" pivotButton="0" quotePrefix="0" xfId="0"/>
    <xf numFmtId="168" fontId="23" fillId="0" borderId="0" pivotButton="0" quotePrefix="0" xfId="0"/>
    <xf numFmtId="164" fontId="18" fillId="0" borderId="0" pivotButton="0" quotePrefix="0" xfId="0"/>
    <xf numFmtId="164" fontId="28" fillId="0" borderId="1" pivotButton="0" quotePrefix="0" xfId="3"/>
    <xf numFmtId="170" fontId="28" fillId="4" borderId="1" applyAlignment="1" pivotButton="0" quotePrefix="0" xfId="3">
      <alignment vertical="center"/>
    </xf>
    <xf numFmtId="170" fontId="21" fillId="0" borderId="0" pivotButton="0" quotePrefix="0" xfId="3"/>
    <xf numFmtId="164" fontId="18" fillId="0" borderId="0" pivotButton="0" quotePrefix="0" xfId="3"/>
    <xf numFmtId="170" fontId="18" fillId="0" borderId="0" pivotButton="0" quotePrefix="0" xfId="3"/>
    <xf numFmtId="164" fontId="21" fillId="0" borderId="0" pivotButton="0" quotePrefix="0" xfId="3"/>
    <xf numFmtId="168" fontId="13" fillId="0" borderId="0" pivotButton="0" quotePrefix="0" xfId="0"/>
    <xf numFmtId="164" fontId="19" fillId="9" borderId="2" pivotButton="0" quotePrefix="0" xfId="0"/>
    <xf numFmtId="170" fontId="19" fillId="9" borderId="2" pivotButton="0" quotePrefix="0" xfId="0"/>
    <xf numFmtId="168" fontId="25" fillId="0" borderId="0" pivotButton="0" quotePrefix="0" xfId="0"/>
    <xf numFmtId="170" fontId="21" fillId="3" borderId="0" pivotButton="0" quotePrefix="0" xfId="3"/>
    <xf numFmtId="164" fontId="46" fillId="0" borderId="0" pivotButton="0" quotePrefix="0" xfId="3"/>
    <xf numFmtId="170" fontId="46" fillId="0" borderId="0" pivotButton="0" quotePrefix="0" xfId="1"/>
    <xf numFmtId="170" fontId="0" fillId="0" borderId="15" pivotButton="0" quotePrefix="0" xfId="0"/>
    <xf numFmtId="170" fontId="17" fillId="0" borderId="15" pivotButton="0" quotePrefix="0" xfId="9"/>
    <xf numFmtId="167" fontId="21" fillId="0" borderId="1" pivotButton="0" quotePrefix="0" xfId="9"/>
    <xf numFmtId="170" fontId="17" fillId="0" borderId="7" pivotButton="0" quotePrefix="0" xfId="9"/>
    <xf numFmtId="176" fontId="28" fillId="39" borderId="1" applyAlignment="1" pivotButton="0" quotePrefix="0" xfId="10">
      <alignment vertical="center"/>
    </xf>
    <xf numFmtId="170" fontId="39" fillId="0" borderId="0" pivotButton="0" quotePrefix="0" xfId="0"/>
    <xf numFmtId="168" fontId="0" fillId="0" borderId="0" pivotButton="0" quotePrefix="0" xfId="0"/>
    <xf numFmtId="170" fontId="39" fillId="14" borderId="0" pivotButton="0" quotePrefix="0" xfId="0"/>
    <xf numFmtId="168" fontId="2" fillId="0" borderId="0" pivotButton="0" quotePrefix="0" xfId="0"/>
    <xf numFmtId="170" fontId="53" fillId="0" borderId="3" pivotButton="0" quotePrefix="0" xfId="0"/>
    <xf numFmtId="170" fontId="0" fillId="0" borderId="0" pivotButton="0" quotePrefix="0" xfId="0"/>
    <xf numFmtId="170" fontId="40" fillId="0" borderId="3" pivotButton="0" quotePrefix="0" xfId="0"/>
    <xf numFmtId="170" fontId="0" fillId="0" borderId="8" pivotButton="0" quotePrefix="0" xfId="0"/>
    <xf numFmtId="164" fontId="0" fillId="0" borderId="1" pivotButton="0" quotePrefix="0" xfId="9"/>
    <xf numFmtId="0" fontId="57" fillId="0" borderId="1" applyAlignment="1" pivotButton="0" quotePrefix="0" xfId="0">
      <alignment horizontal="center"/>
    </xf>
    <xf numFmtId="170" fontId="0" fillId="39" borderId="0" pivotButton="0" quotePrefix="0" xfId="0"/>
    <xf numFmtId="0" fontId="57" fillId="0" borderId="1" applyAlignment="1" pivotButton="0" quotePrefix="0" xfId="0">
      <alignment horizontal="right" vertical="center" textRotation="90"/>
    </xf>
    <xf numFmtId="176" fontId="28" fillId="38" borderId="1" pivotButton="0" quotePrefix="0" xfId="0"/>
    <xf numFmtId="170" fontId="0" fillId="16" borderId="0" pivotButton="0" quotePrefix="0" xfId="0"/>
    <xf numFmtId="176" fontId="28" fillId="40" borderId="1" pivotButton="0" quotePrefix="0" xfId="0"/>
    <xf numFmtId="170" fontId="0" fillId="0" borderId="3" pivotButton="0" quotePrefix="0" xfId="0"/>
    <xf numFmtId="170" fontId="57" fillId="0" borderId="0" pivotButton="0" quotePrefix="0" xfId="0"/>
  </cellXfs>
  <cellStyles count="15">
    <cellStyle name="Normal" xfId="0" builtinId="0"/>
    <cellStyle name="Comma" xfId="1" builtinId="3"/>
    <cellStyle name="Per cent" xfId="2" builtinId="5"/>
    <cellStyle name="Currency" xfId="3" builtinId="4"/>
    <cellStyle name="Normal 2" xfId="4"/>
    <cellStyle name="Hyperlink" xfId="5" builtinId="8"/>
    <cellStyle name="Hyperlink 2" xfId="6"/>
    <cellStyle name="Normal 3" xfId="7"/>
    <cellStyle name="Comma 2" xfId="8"/>
    <cellStyle name="Currency 2" xfId="9"/>
    <cellStyle name="Percent 2" xfId="10"/>
    <cellStyle name="Normal 4" xfId="11"/>
    <cellStyle name="Comma 2 2" xfId="12"/>
    <cellStyle name="Per cent 2" xfId="13"/>
    <cellStyle name="Normal 5" xfId="1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Jean-Claude Havaux</author>
  </authors>
  <commentList>
    <comment ref="C2" authorId="0" shapeId="0">
      <text>
        <t xml:space="preserve">Jean-Claude Havaux:
BIke needs other parts than standard. Usually 10 to 20% of purchase cost
</t>
      </text>
    </comment>
  </commentList>
</comments>
</file>

<file path=xl/comments/comment2.xml><?xml version="1.0" encoding="utf-8"?>
<comments xmlns="http://schemas.openxmlformats.org/spreadsheetml/2006/main">
  <authors>
    <author>Jean-Claude Havaux</author>
  </authors>
  <commentList>
    <comment ref="A13" authorId="0" shapeId="0">
      <text>
        <t>Jean-Claude Havaux:
No worth to split monthly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Book2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../../jch/Library/CloudStorage/Dropbox/A%20-%20BREVO%20MOTORS/FUNDRAISING/BUSINESS%20PLAN/TABLEAUX/Brevo%20Motors_Financial%20Model_EDD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B1" t="str">
            <v> </v>
          </cell>
        </row>
        <row r="5">
          <cell r="C5">
            <v>2026</v>
          </cell>
          <cell r="D5">
            <v>2027</v>
          </cell>
          <cell r="E5">
            <v>2028</v>
          </cell>
          <cell r="F5">
            <v>2029</v>
          </cell>
          <cell r="G5">
            <v>2030</v>
          </cell>
        </row>
        <row r="63">
          <cell r="C63">
            <v>0</v>
          </cell>
          <cell r="D63">
            <v>22549.851026073782</v>
          </cell>
          <cell r="E63">
            <v>10664.150000464959</v>
          </cell>
          <cell r="F63">
            <v>47724.128846711719</v>
          </cell>
          <cell r="G63">
            <v>168667.33235694643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RT INFO"/>
      <sheetName val="1 Data"/>
      <sheetName val="2 Controls"/>
      <sheetName val="3 Revenue Asumptions"/>
      <sheetName val="4 Expense Assumptions"/>
      <sheetName val="5 Payroll Assumptions"/>
      <sheetName val="6 Debt Schedule"/>
      <sheetName val="7 Fixed Asset Schedules"/>
      <sheetName val="8 Working Capital Schedule"/>
      <sheetName val="9 Monthly P&amp;L"/>
      <sheetName val="10 Annual P&amp;L"/>
      <sheetName val="11 Monthly CFS"/>
      <sheetName val="12 Annual CFS"/>
      <sheetName val="13 Balance Sheet"/>
      <sheetName val="14 Valu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3">
          <cell r="F13">
            <v>11573346.9774825</v>
          </cell>
        </row>
        <row r="56">
          <cell r="F56">
            <v>3614121.8461921411</v>
          </cell>
        </row>
        <row r="59">
          <cell r="B59">
            <v>11208.427260077844</v>
          </cell>
          <cell r="C59">
            <v>29252.814444658376</v>
          </cell>
          <cell r="D59">
            <v>70688.574653030766</v>
          </cell>
          <cell r="E59">
            <v>256932.20486542955</v>
          </cell>
          <cell r="F59">
            <v>304997.83520344354</v>
          </cell>
        </row>
        <row r="62">
          <cell r="B62">
            <v>-175154.1507711086</v>
          </cell>
          <cell r="C62">
            <v>-52124.014343193317</v>
          </cell>
          <cell r="D62">
            <v>459612.76162280422</v>
          </cell>
          <cell r="E62">
            <v>2048229.7640318533</v>
          </cell>
          <cell r="F62">
            <v>3295232.2092506499</v>
          </cell>
        </row>
        <row r="63">
          <cell r="B63">
            <v>0</v>
          </cell>
          <cell r="C63">
            <v>0</v>
          </cell>
          <cell r="D63">
            <v>68941.91424342063</v>
          </cell>
          <cell r="E63">
            <v>307234.46460477798</v>
          </cell>
          <cell r="F63">
            <v>494284.83138759749</v>
          </cell>
        </row>
      </sheetData>
      <sheetData sheetId="11"/>
      <sheetData sheetId="12">
        <row r="11">
          <cell r="B11">
            <v>-109893.75599999999</v>
          </cell>
          <cell r="C11">
            <v>-102471.65302000003</v>
          </cell>
          <cell r="D11">
            <v>-417889.74890999997</v>
          </cell>
          <cell r="E11">
            <v>-175752.91611525009</v>
          </cell>
          <cell r="F11">
            <v>-690683.89803715609</v>
          </cell>
        </row>
        <row r="12">
          <cell r="B12">
            <v>-67894.312000000005</v>
          </cell>
          <cell r="C12">
            <v>-99040.567999999999</v>
          </cell>
          <cell r="D12">
            <v>-196989.05394000001</v>
          </cell>
          <cell r="E12">
            <v>-303821.16187500011</v>
          </cell>
          <cell r="F12">
            <v>-117745.81955324986</v>
          </cell>
        </row>
        <row r="19">
          <cell r="B19">
            <v>-387500</v>
          </cell>
          <cell r="C19">
            <v>-215000</v>
          </cell>
          <cell r="D19">
            <v>-425000</v>
          </cell>
          <cell r="E19">
            <v>-1750000</v>
          </cell>
          <cell r="F19">
            <v>-850000</v>
          </cell>
        </row>
      </sheetData>
      <sheetData sheetId="13"/>
      <sheetData sheetId="14"/>
    </sheetDataSet>
  </externalBook>
</externalLink>
</file>

<file path=xl/theme/theme1.xml><?xml version="1.0" encoding="utf-8"?>
<a:theme xmlns:a="http://schemas.openxmlformats.org/drawingml/2006/main" name="Sheets">
  <a:themeElements>
    <a:clrScheme name="KRISP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A3D8EA"/>
      </a:accent1>
      <a:accent2>
        <a:srgbClr val="A3E2EA"/>
      </a:accent2>
      <a:accent3>
        <a:srgbClr val="A5A5A5"/>
      </a:accent3>
      <a:accent4>
        <a:srgbClr val="FCCA4A"/>
      </a:accent4>
      <a:accent5>
        <a:srgbClr val="FDAAB7"/>
      </a:accent5>
      <a:accent6>
        <a:srgbClr val="FE6769"/>
      </a:accent6>
      <a:hlink>
        <a:srgbClr val="97DDDD"/>
      </a:hlink>
      <a:folHlink>
        <a:srgbClr val="91A8D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c.havaux@brevomotors.com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https://finance.yahoo.com/quote/PIA.MI/key-statistics?p=PIA.MI" TargetMode="External" Id="rId1"/><Relationship Type="http://schemas.openxmlformats.org/officeDocument/2006/relationships/hyperlink" Target="https://finance.yahoo.com/quote/7272.T/key-statistics?p=7272.T" TargetMode="External" Id="rId2"/><Relationship Type="http://schemas.openxmlformats.org/officeDocument/2006/relationships/hyperlink" Target="https://finance.yahoo.com/quote/ZEV/key-statistics?p=ZEV" TargetMode="External" Id="rId3"/><Relationship Type="http://schemas.openxmlformats.org/officeDocument/2006/relationships/hyperlink" Target="https://finance.yahoo.com/quote/9107.T/key-statistics?p=9107.T" TargetMode="External" Id="rId4"/><Relationship Type="http://schemas.openxmlformats.org/officeDocument/2006/relationships/hyperlink" Target="https://finance.yahoo.com/quote/HOG/key-statistics?p=HOG" TargetMode="External" Id="rId5"/><Relationship Type="http://schemas.openxmlformats.org/officeDocument/2006/relationships/hyperlink" Target="https://finance.yahoo.com/quote/HEROMOTOCO.NS/key-statistics?p=HEROMOTOCO.NS" TargetMode="External" Id="rId6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35"/>
  <sheetViews>
    <sheetView showGridLines="0" topLeftCell="A3" zoomScale="130" zoomScaleNormal="130" workbookViewId="0">
      <selection activeCell="B18" sqref="B18"/>
    </sheetView>
  </sheetViews>
  <sheetFormatPr baseColWidth="10" defaultColWidth="11.5" defaultRowHeight="12"/>
  <cols>
    <col width="7.33203125" customWidth="1" style="28" min="1" max="1"/>
    <col width="11.5" customWidth="1" style="28" min="2" max="2"/>
    <col width="33.5" bestFit="1" customWidth="1" style="28" min="3" max="3"/>
    <col width="14.33203125" bestFit="1" customWidth="1" style="28" min="4" max="4"/>
    <col width="11.5" customWidth="1" style="28" min="5" max="10"/>
    <col width="15.1640625" customWidth="1" style="28" min="11" max="11"/>
    <col width="18" customWidth="1" style="28" min="12" max="12"/>
    <col width="11.5" customWidth="1" style="28" min="13" max="16384"/>
  </cols>
  <sheetData>
    <row r="1" customFormat="1" s="27">
      <c r="E1" s="28" t="n"/>
      <c r="F1" s="28" t="n"/>
      <c r="G1" s="28" t="n"/>
      <c r="H1" s="28" t="n"/>
      <c r="I1" s="28" t="n"/>
    </row>
    <row r="2" customFormat="1" s="27">
      <c r="E2" s="28" t="n"/>
      <c r="F2" s="28" t="n"/>
      <c r="G2" s="28" t="n"/>
      <c r="H2" s="28" t="n"/>
      <c r="I2" s="28" t="n"/>
    </row>
    <row r="3" ht="25" customFormat="1" customHeight="1" s="27">
      <c r="A3" s="29" t="n"/>
      <c r="B3" s="28" t="n"/>
      <c r="E3" s="28" t="n"/>
      <c r="F3" s="28" t="n"/>
      <c r="G3" s="49" t="n"/>
      <c r="H3" s="28" t="n"/>
      <c r="I3" s="28" t="n"/>
    </row>
    <row r="4" ht="18" customFormat="1" customHeight="1" s="27">
      <c r="A4" s="30" t="n"/>
      <c r="B4" s="28" t="n"/>
      <c r="E4" s="28" t="n"/>
      <c r="F4" s="28" t="n"/>
      <c r="G4" s="49" t="n"/>
      <c r="H4" s="28" t="n"/>
      <c r="I4" s="28" t="n"/>
    </row>
    <row r="5" ht="18" customFormat="1" customHeight="1" s="27">
      <c r="B5" s="28" t="n"/>
      <c r="C5" s="257" t="inlineStr">
        <is>
          <t>DVS financial Data</t>
        </is>
      </c>
      <c r="E5" s="28" t="n"/>
      <c r="F5" s="28" t="n"/>
      <c r="G5" s="28" t="n"/>
      <c r="H5" s="28" t="n"/>
      <c r="I5" s="28" t="n"/>
    </row>
    <row r="6" customFormat="1" s="27">
      <c r="B6" s="28" t="n"/>
      <c r="C6" s="48" t="n"/>
      <c r="E6" s="28" t="n"/>
      <c r="F6" s="28" t="n"/>
      <c r="G6" s="28" t="n"/>
      <c r="H6" s="28" t="n"/>
      <c r="I6" s="28" t="n"/>
    </row>
    <row r="7" ht="16" customFormat="1" customHeight="1" s="27">
      <c r="B7" s="28" t="n"/>
      <c r="C7" s="255" t="inlineStr">
        <is>
          <t>For</t>
        </is>
      </c>
      <c r="D7" s="255" t="inlineStr">
        <is>
          <t>FN</t>
        </is>
      </c>
      <c r="E7" s="28" t="n"/>
      <c r="F7" s="35" t="inlineStr">
        <is>
          <t>Contact:</t>
        </is>
      </c>
      <c r="G7" s="492" t="inlineStr">
        <is>
          <t>Jean-Claude Havaux</t>
        </is>
      </c>
      <c r="I7" s="28" t="n"/>
    </row>
    <row r="8" ht="14" customFormat="1" customHeight="1" s="27">
      <c r="B8" s="31" t="n"/>
      <c r="C8" s="256" t="inlineStr">
        <is>
          <t>Version</t>
        </is>
      </c>
      <c r="D8" s="256" t="inlineStr">
        <is>
          <t>2000K 1.0</t>
        </is>
      </c>
      <c r="E8" s="28" t="n"/>
      <c r="F8" s="32" t="n"/>
      <c r="G8" s="159" t="inlineStr">
        <is>
          <t>CEO</t>
        </is>
      </c>
      <c r="H8" s="53" t="n"/>
      <c r="I8" s="28" t="n"/>
    </row>
    <row r="9" ht="13" customFormat="1" customHeight="1" s="27">
      <c r="B9" s="31" t="n"/>
      <c r="C9" s="256" t="inlineStr">
        <is>
          <t>Author</t>
        </is>
      </c>
      <c r="D9" s="256" t="inlineStr">
        <is>
          <t>JCH</t>
        </is>
      </c>
      <c r="E9" s="28" t="n"/>
      <c r="F9" s="32" t="n"/>
      <c r="G9" s="493" t="inlineStr">
        <is>
          <t>Jc.havaux@brevomotors.com</t>
        </is>
      </c>
      <c r="I9" s="28" t="n"/>
    </row>
    <row r="10" ht="13" customHeight="1" s="497">
      <c r="B10" s="31" t="n"/>
      <c r="C10" s="258" t="inlineStr">
        <is>
          <t>Date:</t>
        </is>
      </c>
      <c r="D10" s="499" t="n">
        <v>45159</v>
      </c>
    </row>
    <row r="11" ht="16" customHeight="1" s="497">
      <c r="A11" s="32" t="n"/>
      <c r="D11" s="33" t="n"/>
      <c r="E11" s="32" t="n"/>
      <c r="F11" s="32" t="n"/>
      <c r="G11" s="32" t="n"/>
      <c r="H11" s="32" t="n"/>
      <c r="I11" s="32" t="n"/>
    </row>
    <row r="12" ht="13" customHeight="1" s="497">
      <c r="A12" s="32" t="n"/>
      <c r="B12" s="33" t="n"/>
      <c r="C12" s="33" t="n"/>
      <c r="D12" s="33" t="n"/>
      <c r="E12" s="32" t="n"/>
      <c r="F12" s="32" t="n"/>
      <c r="G12" s="32" t="n"/>
      <c r="H12" s="32" t="n"/>
      <c r="I12" s="32" t="n"/>
    </row>
    <row r="13">
      <c r="A13" s="32" t="n"/>
      <c r="B13" s="32" t="n"/>
      <c r="C13" s="32" t="n"/>
      <c r="D13" s="32" t="n"/>
      <c r="E13" s="32" t="n"/>
      <c r="F13" s="32" t="n"/>
      <c r="G13" s="32" t="n"/>
      <c r="H13" s="32" t="n"/>
      <c r="I13" s="32" t="n"/>
    </row>
    <row r="14">
      <c r="A14" s="32" t="n"/>
      <c r="B14" s="47" t="n"/>
      <c r="C14" s="47" t="n"/>
      <c r="D14" s="32" t="n"/>
      <c r="E14" s="32" t="n"/>
      <c r="F14" s="32" t="n"/>
      <c r="G14" s="32" t="n"/>
      <c r="H14" s="32" t="n"/>
      <c r="I14" s="32" t="n"/>
    </row>
    <row r="15" ht="16" customHeight="1" s="497">
      <c r="A15" s="260" t="n">
        <v>1</v>
      </c>
      <c r="B15" s="494" t="inlineStr">
        <is>
          <t>Instructions</t>
        </is>
      </c>
      <c r="D15" s="32" t="n"/>
      <c r="E15" s="32" t="n"/>
      <c r="F15" s="32" t="n"/>
      <c r="G15" s="32" t="n"/>
      <c r="H15" s="32" t="n"/>
      <c r="I15" s="32" t="n"/>
    </row>
    <row r="16" ht="16" customHeight="1" s="497">
      <c r="A16" s="260" t="n">
        <v>2</v>
      </c>
      <c r="B16" s="372" t="inlineStr">
        <is>
          <t>DATA Raw</t>
        </is>
      </c>
      <c r="C16" s="494" t="n"/>
      <c r="D16" s="32" t="n"/>
      <c r="E16" s="32" t="n"/>
      <c r="F16" s="32" t="n"/>
      <c r="G16" s="32" t="n"/>
      <c r="H16" s="32" t="n"/>
      <c r="I16" s="32" t="n"/>
    </row>
    <row r="17" ht="16" customHeight="1" s="497">
      <c r="A17" s="260" t="n">
        <v>3</v>
      </c>
      <c r="B17" s="494" t="inlineStr">
        <is>
          <t>Competitors</t>
        </is>
      </c>
      <c r="C17" s="494" t="n"/>
      <c r="D17" s="32" t="n"/>
      <c r="E17" s="32" t="n"/>
      <c r="F17" s="32" t="n"/>
      <c r="G17" s="32" t="n"/>
      <c r="H17" s="32" t="n"/>
      <c r="I17" s="32" t="n"/>
    </row>
    <row r="18" ht="16" customHeight="1" s="497">
      <c r="A18" s="260" t="n">
        <v>4</v>
      </c>
      <c r="B18" s="494" t="inlineStr">
        <is>
          <t>Dashboard</t>
        </is>
      </c>
      <c r="C18" s="265" t="inlineStr">
        <is>
          <t>NOT INCLUDED</t>
        </is>
      </c>
      <c r="D18" s="32" t="n"/>
      <c r="E18" s="32" t="n"/>
      <c r="F18" s="32" t="n"/>
      <c r="G18" s="32" t="n"/>
      <c r="H18" s="32" t="n"/>
      <c r="I18" s="32" t="n"/>
    </row>
    <row r="19" ht="16" customHeight="1" s="497">
      <c r="A19" s="260" t="n">
        <v>5</v>
      </c>
      <c r="B19" s="494" t="inlineStr">
        <is>
          <t>Controls</t>
        </is>
      </c>
      <c r="C19" s="261" t="n"/>
      <c r="D19" s="32" t="n"/>
      <c r="E19" s="32" t="n"/>
      <c r="F19" s="32" t="n"/>
      <c r="G19" s="32" t="n"/>
      <c r="H19" s="32" t="n"/>
      <c r="I19" s="32" t="n"/>
    </row>
    <row r="20" ht="16" customHeight="1" s="497">
      <c r="A20" s="260" t="n">
        <v>6</v>
      </c>
      <c r="B20" s="494" t="inlineStr">
        <is>
          <t>Revenue Asumptions</t>
        </is>
      </c>
      <c r="C20" s="262" t="n"/>
      <c r="D20" s="32" t="n"/>
      <c r="E20" s="32" t="n"/>
      <c r="F20" s="32" t="n"/>
      <c r="G20" s="32" t="n"/>
      <c r="H20" s="32" t="n"/>
      <c r="I20" s="32" t="n"/>
      <c r="J20" s="32" t="n"/>
    </row>
    <row r="21" ht="16" customHeight="1" s="497">
      <c r="A21" s="260" t="n">
        <v>7</v>
      </c>
      <c r="B21" s="494" t="inlineStr">
        <is>
          <t>Expense Assumptions</t>
        </is>
      </c>
      <c r="C21" s="262" t="n"/>
      <c r="D21" s="32" t="n"/>
      <c r="E21" s="32" t="n"/>
      <c r="F21" s="32" t="n"/>
      <c r="G21" s="32" t="n"/>
      <c r="H21" s="32" t="n"/>
      <c r="I21" s="32" t="n"/>
      <c r="J21" s="32" t="n"/>
      <c r="K21" s="37" t="n"/>
      <c r="L21" s="38" t="n"/>
    </row>
    <row r="22" ht="14" customHeight="1" s="497">
      <c r="A22" s="260" t="n">
        <v>8</v>
      </c>
      <c r="B22" s="494" t="inlineStr">
        <is>
          <t>Payroll Assumptions</t>
        </is>
      </c>
      <c r="C22" s="262" t="n"/>
      <c r="D22" s="32" t="n"/>
      <c r="E22" s="32" t="n"/>
      <c r="F22" s="32" t="n"/>
      <c r="G22" s="32" t="n"/>
      <c r="H22" s="32" t="n"/>
      <c r="I22" s="32" t="n"/>
      <c r="J22" s="32" t="n"/>
      <c r="K22" s="492" t="n"/>
    </row>
    <row r="23" ht="16" customHeight="1" s="497">
      <c r="A23" s="260" t="n">
        <v>9</v>
      </c>
      <c r="B23" s="263" t="inlineStr">
        <is>
          <t>Debt Schedule</t>
        </is>
      </c>
      <c r="C23" s="262" t="n"/>
      <c r="D23" s="32" t="n"/>
      <c r="E23" s="32" t="n"/>
      <c r="F23" s="32" t="n"/>
      <c r="G23" s="32" t="n"/>
      <c r="H23" s="32" t="n"/>
      <c r="I23" s="32" t="n"/>
      <c r="J23" s="32" t="n"/>
      <c r="K23" s="39" t="n"/>
      <c r="L23" s="36" t="n"/>
    </row>
    <row r="24" ht="13" customHeight="1" s="497">
      <c r="A24" s="260" t="n">
        <v>10</v>
      </c>
      <c r="B24" s="263" t="inlineStr">
        <is>
          <t>Fixed Asset Schedules</t>
        </is>
      </c>
      <c r="C24" s="262" t="n"/>
      <c r="D24" s="32" t="n"/>
      <c r="E24" s="32" t="n"/>
      <c r="F24" s="32" t="n"/>
      <c r="G24" s="32" t="n"/>
      <c r="H24" s="32" t="n"/>
      <c r="I24" s="32" t="n"/>
      <c r="J24" s="32" t="n"/>
      <c r="K24" s="495" t="n"/>
    </row>
    <row r="25" ht="13" customHeight="1" s="497">
      <c r="A25" s="260" t="n">
        <v>11</v>
      </c>
      <c r="B25" s="263" t="inlineStr">
        <is>
          <t>Working Capital Schedule</t>
        </is>
      </c>
      <c r="C25" s="262" t="n"/>
      <c r="D25" s="32" t="n"/>
      <c r="E25" s="32" t="n"/>
      <c r="F25" s="32" t="n"/>
      <c r="G25" s="32" t="n"/>
      <c r="H25" s="32" t="n"/>
      <c r="I25" s="32" t="n"/>
      <c r="J25" s="32" t="n"/>
      <c r="K25" s="495" t="n"/>
      <c r="L25" s="495" t="n"/>
    </row>
    <row r="26" ht="16" customHeight="1" s="497">
      <c r="A26" s="260" t="n">
        <v>12</v>
      </c>
      <c r="B26" s="263" t="inlineStr">
        <is>
          <t>Monthly P&amp;L</t>
        </is>
      </c>
      <c r="C26" s="262" t="n"/>
      <c r="D26" s="32" t="n"/>
      <c r="E26" s="32" t="n"/>
      <c r="F26" s="32" t="n"/>
      <c r="G26" s="45" t="n"/>
      <c r="H26" s="32" t="n"/>
      <c r="I26" s="32" t="n"/>
      <c r="J26" s="32" t="n"/>
      <c r="K26" s="32" t="n"/>
      <c r="L26" s="32" t="n"/>
    </row>
    <row r="27" ht="16" customHeight="1" s="497">
      <c r="A27" s="260" t="n">
        <v>13</v>
      </c>
      <c r="B27" s="494" t="inlineStr">
        <is>
          <t>Annual P&amp;L</t>
        </is>
      </c>
      <c r="C27" s="262" t="n"/>
      <c r="D27" s="32" t="n"/>
      <c r="E27" s="32" t="n"/>
      <c r="F27" s="32" t="n"/>
      <c r="G27" s="45" t="n"/>
      <c r="H27" s="32" t="n"/>
      <c r="I27" s="32" t="n"/>
      <c r="J27" s="32" t="n"/>
      <c r="K27" s="32" t="n"/>
      <c r="L27" s="32" t="n"/>
    </row>
    <row r="28" ht="16" customHeight="1" s="497">
      <c r="A28" s="260" t="n">
        <v>14</v>
      </c>
      <c r="B28" s="494" t="inlineStr">
        <is>
          <t>Monthly CFS</t>
        </is>
      </c>
      <c r="C28" s="26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</row>
    <row r="29" ht="16" customHeight="1" s="497">
      <c r="A29" s="260" t="n">
        <v>15</v>
      </c>
      <c r="B29" s="264" t="inlineStr">
        <is>
          <t>Annual CFS</t>
        </is>
      </c>
      <c r="C29" s="26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</row>
    <row r="30" ht="16" customHeight="1" s="497">
      <c r="A30" s="260" t="n">
        <v>16</v>
      </c>
      <c r="B30" s="264" t="inlineStr">
        <is>
          <t>Balance Sheet</t>
        </is>
      </c>
      <c r="C30" s="26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</row>
    <row r="31" ht="16" customHeight="1" s="497">
      <c r="A31" s="260" t="n">
        <v>17</v>
      </c>
      <c r="B31" s="264" t="inlineStr">
        <is>
          <t>Valuation</t>
        </is>
      </c>
      <c r="C31" s="46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</row>
    <row r="32">
      <c r="A32" s="41" t="n"/>
      <c r="B32" s="50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</row>
    <row r="33">
      <c r="A33" s="34" t="n"/>
      <c r="B33" s="40" t="n"/>
    </row>
    <row r="34">
      <c r="A34" s="34" t="n"/>
    </row>
    <row r="35">
      <c r="A35" s="34" t="n"/>
    </row>
  </sheetData>
  <mergeCells count="5">
    <mergeCell ref="B15:C15"/>
    <mergeCell ref="G7:H7"/>
    <mergeCell ref="K24:L24"/>
    <mergeCell ref="G9:H9"/>
    <mergeCell ref="K22:L22"/>
  </mergeCells>
  <hyperlinks>
    <hyperlink xmlns:r="http://schemas.openxmlformats.org/officeDocument/2006/relationships" ref="G9" display="Jc.havaux@brevomotors.com" r:id="rId1"/>
    <hyperlink ref="B15" location="Instructions!A1" display="Instructions"/>
    <hyperlink ref="B18" location="Dashboard!A1" display="Dashboard"/>
    <hyperlink ref="B19" location="Controls!A1" display="Controls"/>
    <hyperlink ref="B20" location="'Revenue Asumptions'!A1" display="Revenue Asumptions"/>
    <hyperlink ref="B21" location="'Expense Assumptions'!A1" display="Expense Assumptions"/>
    <hyperlink ref="B22" location="'Payroll Assumptions'!A1" display="Payroll Assumptions"/>
    <hyperlink ref="B23" location="'Debt Schedule'!A1" display="Debt Schedule"/>
    <hyperlink ref="B24" location="'Fixed Asset Schedules'!A1" display="Fixed Asset Schedules"/>
    <hyperlink ref="B26" location="'Monthly P&amp;L'!A1" display="Monthly P&amp;L"/>
    <hyperlink ref="B27" location="'Annual P&amp;L'!A1" display="Annual P&amp;L"/>
    <hyperlink ref="B28" location="'Monthly CFS'!A1" display="Monthly CFS"/>
    <hyperlink ref="B29" location="'Annual CFS'!A1" display="Annual CFS"/>
    <hyperlink ref="B30" location="' Balance Sheet'!A1" display="Balance Sheet"/>
    <hyperlink ref="B31" location="Valuation!A1" display="Valuation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topLeftCell="A13" zoomScale="199" zoomScaleNormal="199" workbookViewId="0">
      <selection activeCell="B20" sqref="B20"/>
    </sheetView>
  </sheetViews>
  <sheetFormatPr baseColWidth="10" defaultColWidth="11.5" defaultRowHeight="13"/>
  <cols>
    <col width="48.33203125" bestFit="1" customWidth="1" style="497" min="1" max="1"/>
    <col width="7.33203125" bestFit="1" customWidth="1" style="497" min="2" max="2"/>
    <col width="32" bestFit="1" customWidth="1" style="497" min="3" max="3"/>
    <col width="8.6640625" bestFit="1" customWidth="1" style="497" min="4" max="4"/>
    <col width="10.1640625" bestFit="1" customWidth="1" style="497" min="5" max="5"/>
    <col width="10.1640625" customWidth="1" style="497" min="6" max="6"/>
    <col width="18.6640625" bestFit="1" customWidth="1" style="497" min="8" max="8"/>
  </cols>
  <sheetData>
    <row r="1" ht="19" customHeight="1" s="497">
      <c r="A1" s="433" t="inlineStr">
        <is>
          <t>DATA RAW FOR MARKET POTENTIAL CALCULATION</t>
        </is>
      </c>
      <c r="B1" s="434" t="n"/>
      <c r="C1" s="434" t="n"/>
      <c r="D1" s="434" t="n"/>
    </row>
    <row r="2" ht="19" customHeight="1" s="497">
      <c r="A2" s="433" t="n"/>
      <c r="B2" s="434" t="inlineStr">
        <is>
          <t>Min</t>
        </is>
      </c>
      <c r="C2" s="434" t="inlineStr">
        <is>
          <t>Max</t>
        </is>
      </c>
      <c r="D2" s="434" t="n"/>
    </row>
    <row r="3" ht="19" customHeight="1" s="497">
      <c r="A3" s="433" t="inlineStr">
        <is>
          <t>Market Growth %</t>
        </is>
      </c>
      <c r="B3" s="434" t="n">
        <v>8</v>
      </c>
      <c r="C3" s="434" t="n">
        <v>12</v>
      </c>
      <c r="D3" s="434" t="n"/>
    </row>
    <row r="4" ht="19" customHeight="1" s="497">
      <c r="A4" s="433" t="n"/>
      <c r="B4" s="434" t="n"/>
      <c r="C4" s="434" t="n"/>
      <c r="D4" s="434" t="n"/>
    </row>
    <row r="5" ht="19" customHeight="1" s="497">
      <c r="A5" s="433" t="inlineStr">
        <is>
          <t>Epidemiology – Allergies</t>
        </is>
      </c>
      <c r="B5" s="434" t="n"/>
      <c r="C5" s="434" t="n"/>
      <c r="D5" s="434" t="n"/>
    </row>
    <row r="6" ht="15" customHeight="1" s="497">
      <c r="A6" s="435" t="inlineStr">
        <is>
          <t>Dogs: 12–18% prevalence</t>
        </is>
      </c>
      <c r="B6" s="434" t="n">
        <v>12</v>
      </c>
      <c r="C6" s="434" t="n">
        <v>18</v>
      </c>
      <c r="D6" s="434" t="n"/>
    </row>
    <row r="7" ht="15" customHeight="1" s="497">
      <c r="A7" s="435" t="inlineStr">
        <is>
          <t>Cats: 10–14% prevalence</t>
        </is>
      </c>
      <c r="B7" s="434" t="n">
        <v>10</v>
      </c>
      <c r="C7" s="434" t="n">
        <v>14</v>
      </c>
      <c r="D7" s="434" t="n"/>
    </row>
    <row r="8" ht="17" customHeight="1" s="497">
      <c r="A8" s="435" t="inlineStr">
        <is>
          <t>Symptomatic cases tested</t>
        </is>
      </c>
      <c r="B8" s="434" t="n"/>
      <c r="C8" s="434" t="n">
        <v>25</v>
      </c>
      <c r="D8" s="434" t="n"/>
      <c r="G8" s="431" t="inlineStr">
        <is>
          <t>Distribution Strategy EU5</t>
        </is>
      </c>
    </row>
    <row r="9" ht="15" customHeight="1" s="497">
      <c r="A9" s="435" t="n"/>
      <c r="B9" s="434" t="n"/>
      <c r="C9" s="434" t="n"/>
      <c r="D9" s="434" t="n"/>
      <c r="G9" s="432" t="inlineStr">
        <is>
          <t>• FR: Centravet, Alcyon, Coveto</t>
        </is>
      </c>
    </row>
    <row r="10" ht="19" customHeight="1" s="497">
      <c r="A10" s="433" t="inlineStr">
        <is>
          <t>Pet Allergy Diagnostics Market</t>
        </is>
      </c>
      <c r="B10" s="434" t="n"/>
      <c r="C10" s="434" t="n"/>
      <c r="D10" s="434" t="n"/>
      <c r="G10" s="432" t="inlineStr">
        <is>
          <t>• IT: Agrisan, Virbac Italy</t>
        </is>
      </c>
    </row>
    <row r="11" ht="14" customHeight="1" s="497">
      <c r="A11" s="432" t="inlineStr">
        <is>
          <t>Global: $370M (2025) → $714M (2035)</t>
        </is>
      </c>
      <c r="B11" s="434" t="n"/>
      <c r="C11" s="434" t="n"/>
      <c r="D11" s="434" t="n"/>
      <c r="G11" s="432" t="inlineStr">
        <is>
          <t>• ES: Distrivet, Covetrus</t>
        </is>
      </c>
    </row>
    <row r="12" ht="19" customHeight="1" s="497">
      <c r="A12" s="433" t="inlineStr">
        <is>
          <t>KIT SALES PRICES €</t>
        </is>
      </c>
      <c r="B12" s="434" t="inlineStr">
        <is>
          <t>Min €</t>
        </is>
      </c>
      <c r="C12" s="434" t="inlineStr">
        <is>
          <t>Max €</t>
        </is>
      </c>
      <c r="D12" s="434" t="n"/>
      <c r="G12" s="432" t="inlineStr">
        <is>
          <t>• DE: Alvetra &amp; Werfft</t>
        </is>
      </c>
    </row>
    <row r="13" ht="14" customHeight="1" s="497">
      <c r="A13" s="432" t="inlineStr">
        <is>
          <t>Lab IgE panels ELISA</t>
        </is>
      </c>
      <c r="B13" s="434" t="n">
        <v>85</v>
      </c>
      <c r="C13" s="434" t="n">
        <v>150</v>
      </c>
      <c r="D13" s="434" t="n"/>
      <c r="G13" s="432" t="inlineStr">
        <is>
          <t>• BE: Ecuphar, Cenvet</t>
        </is>
      </c>
    </row>
    <row r="14" ht="14" customHeight="1" s="497">
      <c r="A14" s="432" t="inlineStr">
        <is>
          <t xml:space="preserve">Rapid tests: </t>
        </is>
      </c>
      <c r="B14" s="434" t="n">
        <v>28</v>
      </c>
      <c r="C14" s="434" t="n">
        <v>45</v>
      </c>
      <c r="D14" s="434" t="n"/>
    </row>
    <row r="15" ht="14" customHeight="1" s="497">
      <c r="A15" s="432" t="inlineStr">
        <is>
          <t xml:space="preserve">Dot arrays: </t>
        </is>
      </c>
      <c r="B15" s="434" t="n">
        <v>120</v>
      </c>
      <c r="C15" s="434" t="n">
        <v>180</v>
      </c>
      <c r="D15" s="434" t="n"/>
    </row>
    <row r="16" ht="14" customHeight="1" s="497">
      <c r="A16" s="432" t="inlineStr">
        <is>
          <t>Vetalyx Rapid Test</t>
        </is>
      </c>
      <c r="B16" s="437" t="n">
        <v>35</v>
      </c>
      <c r="C16" s="438" t="n">
        <v>39</v>
      </c>
      <c r="D16" s="434" t="n"/>
    </row>
    <row r="17" ht="15" customHeight="1" s="497">
      <c r="A17" s="436" t="inlineStr">
        <is>
          <t>Vetalyx Array</t>
        </is>
      </c>
      <c r="B17" s="437" t="n">
        <v>120</v>
      </c>
      <c r="C17" s="438" t="n">
        <v>150</v>
      </c>
      <c r="D17" s="434" t="n"/>
    </row>
    <row r="18" ht="19" customHeight="1" s="497">
      <c r="A18" s="433" t="inlineStr">
        <is>
          <t>READER SALES PRICES €</t>
        </is>
      </c>
      <c r="B18" s="434" t="n"/>
      <c r="C18" s="434" t="n"/>
      <c r="D18" s="434" t="n"/>
    </row>
    <row r="19" ht="15" customHeight="1" s="497">
      <c r="A19" s="435" t="inlineStr">
        <is>
          <t>Unknown</t>
        </is>
      </c>
      <c r="B19" s="434" t="n">
        <v>1000</v>
      </c>
      <c r="C19" s="434" t="n"/>
      <c r="D19" s="434" t="n"/>
    </row>
    <row r="20" ht="15" customHeight="1" s="497">
      <c r="A20" s="435" t="n"/>
      <c r="B20" s="434" t="n"/>
      <c r="C20" s="434" t="n"/>
      <c r="D20" s="434" t="n"/>
    </row>
    <row r="21" ht="19" customHeight="1" s="497">
      <c r="A21" s="440" t="inlineStr">
        <is>
          <t>CLINICS &amp; MARKET POTENTIAL TESTS</t>
        </is>
      </c>
      <c r="B21" s="441" t="inlineStr">
        <is>
          <t xml:space="preserve">Clinics </t>
        </is>
      </c>
      <c r="C21" s="441" t="inlineStr">
        <is>
          <t>Tests Max</t>
        </is>
      </c>
    </row>
    <row r="22">
      <c r="A22" s="285" t="inlineStr">
        <is>
          <t>France</t>
        </is>
      </c>
      <c r="B22" s="286" t="n">
        <v>7200</v>
      </c>
      <c r="C22" s="286" t="n">
        <v>270000</v>
      </c>
    </row>
    <row r="23">
      <c r="A23" s="285" t="inlineStr">
        <is>
          <t>Germany</t>
        </is>
      </c>
      <c r="B23" s="286" t="n">
        <v>10000</v>
      </c>
      <c r="C23" s="286">
        <f>+C22/B22*B23</f>
        <v/>
      </c>
    </row>
    <row r="24">
      <c r="A24" s="285" t="inlineStr">
        <is>
          <t>Italy</t>
        </is>
      </c>
      <c r="B24" s="286" t="n">
        <v>8500</v>
      </c>
      <c r="C24" s="286">
        <f>+C23/B23*B24</f>
        <v/>
      </c>
    </row>
    <row r="25">
      <c r="A25" s="285" t="inlineStr">
        <is>
          <t>Spain</t>
        </is>
      </c>
      <c r="B25" s="286" t="n">
        <v>7100</v>
      </c>
      <c r="C25" s="286">
        <f>+C24/B24*B25</f>
        <v/>
      </c>
    </row>
    <row r="26">
      <c r="A26" s="285" t="inlineStr">
        <is>
          <t>Belgium</t>
        </is>
      </c>
      <c r="B26" s="286" t="n">
        <v>750</v>
      </c>
      <c r="C26" s="286">
        <f>+C25/B25*B26</f>
        <v/>
      </c>
    </row>
    <row r="27">
      <c r="C27" s="286">
        <f>SUM(C22:C26)</f>
        <v/>
      </c>
      <c r="D27" s="89" t="inlineStr">
        <is>
          <t>TEST/Y</t>
        </is>
      </c>
    </row>
    <row r="28"/>
    <row r="29"/>
    <row r="30"/>
    <row r="31"/>
    <row r="32" ht="15" customHeight="1" s="497">
      <c r="A32" s="439" t="inlineStr">
        <is>
          <t>Metric France</t>
        </is>
      </c>
      <c r="B32" s="439" t="inlineStr">
        <is>
          <t>Value</t>
        </is>
      </c>
      <c r="C32" s="439" t="inlineStr">
        <is>
          <t>Notes</t>
        </is>
      </c>
    </row>
    <row r="33">
      <c r="A33" t="inlineStr">
        <is>
          <t>Number of veterinary clinics</t>
        </is>
      </c>
      <c r="B33" t="n">
        <v>7500</v>
      </c>
      <c r="C33" t="inlineStr">
        <is>
          <t>Ordre National des Vétérinaires (France)</t>
        </is>
      </c>
      <c r="G33" s="500" t="n">
        <v>0</v>
      </c>
      <c r="H33" s="285" t="inlineStr">
        <is>
          <t>€ turnover</t>
        </is>
      </c>
    </row>
    <row r="34">
      <c r="A34" t="inlineStr">
        <is>
          <t>Dogs population (million)</t>
        </is>
      </c>
      <c r="B34" t="n">
        <v>7.6</v>
      </c>
      <c r="C34" t="inlineStr">
        <is>
          <t>FACCO / Kantar</t>
        </is>
      </c>
      <c r="G34" s="501" t="n"/>
      <c r="H34" s="266" t="n"/>
    </row>
    <row r="35">
      <c r="A35" t="inlineStr">
        <is>
          <t>Cats population (million)</t>
        </is>
      </c>
      <c r="B35" t="n">
        <v>15.1</v>
      </c>
      <c r="C35" t="inlineStr">
        <is>
          <t>FACCO / Kantar</t>
        </is>
      </c>
    </row>
    <row r="36">
      <c r="A36" t="inlineStr">
        <is>
          <t>Dermatology-related consultations (%)</t>
        </is>
      </c>
      <c r="B36" t="inlineStr">
        <is>
          <t>15–20%</t>
        </is>
      </c>
      <c r="C36" t="inlineStr">
        <is>
          <t>Veterinary dermatology benchmarks</t>
        </is>
      </c>
    </row>
    <row r="37">
      <c r="A37" t="inlineStr">
        <is>
          <t>Average test price (€)</t>
        </is>
      </c>
      <c r="B37" t="n">
        <v>35</v>
      </c>
      <c r="C37" t="inlineStr">
        <is>
          <t>JCHYTECH internal pricing</t>
        </is>
      </c>
    </row>
    <row r="38">
      <c r="A38" t="inlineStr">
        <is>
          <t>Target gross margin (%)</t>
        </is>
      </c>
      <c r="B38" t="n">
        <v>60</v>
      </c>
      <c r="C38" t="inlineStr">
        <is>
          <t>Manufacturing &amp; distribution model</t>
        </is>
      </c>
    </row>
    <row r="39"/>
    <row r="40"/>
    <row r="41"/>
    <row r="42">
      <c r="G42" s="500" t="n">
        <v>0</v>
      </c>
      <c r="H42" s="285" t="inlineStr">
        <is>
          <t>€ turnover</t>
        </is>
      </c>
    </row>
    <row r="43">
      <c r="G43" s="501" t="n"/>
      <c r="H43" s="266" t="n"/>
    </row>
    <row r="44" customFormat="1" s="79"/>
    <row r="45" customFormat="1" s="79"/>
    <row r="46" customFormat="1" s="79">
      <c r="G46" s="266" t="n"/>
      <c r="H46" s="266" t="n"/>
    </row>
    <row r="47" customFormat="1" s="79">
      <c r="G47" s="266" t="n"/>
      <c r="H47" s="266" t="n"/>
    </row>
    <row r="48" customFormat="1" s="79">
      <c r="G48" s="266" t="n"/>
      <c r="H48" s="266" t="n"/>
    </row>
    <row r="49" customFormat="1" s="79">
      <c r="G49" s="266" t="inlineStr">
        <is>
          <t>/Year</t>
        </is>
      </c>
      <c r="H49" s="266" t="inlineStr">
        <is>
          <t xml:space="preserve"> </t>
        </is>
      </c>
    </row>
    <row r="50">
      <c r="G50" s="89" t="inlineStr">
        <is>
          <t>/Year</t>
        </is>
      </c>
    </row>
    <row r="51">
      <c r="G51" s="89" t="inlineStr">
        <is>
          <t>/Year</t>
        </is>
      </c>
    </row>
    <row r="55" customFormat="1" s="289"/>
  </sheetData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zoomScale="158" zoomScaleNormal="256" workbookViewId="0">
      <selection activeCell="F4" sqref="F4"/>
    </sheetView>
  </sheetViews>
  <sheetFormatPr baseColWidth="10" defaultColWidth="10.83203125" defaultRowHeight="16"/>
  <cols>
    <col width="45.1640625" bestFit="1" customWidth="1" style="368" min="1" max="1"/>
    <col width="11.33203125" bestFit="1" customWidth="1" style="368" min="2" max="2"/>
    <col width="12" bestFit="1" customWidth="1" style="368" min="3" max="3"/>
    <col width="16" bestFit="1" customWidth="1" style="368" min="4" max="4"/>
    <col width="10.33203125" bestFit="1" customWidth="1" style="368" min="5" max="5"/>
    <col width="107.5" bestFit="1" customWidth="1" style="368" min="6" max="6"/>
    <col width="10.83203125" customWidth="1" style="368" min="7" max="16384"/>
  </cols>
  <sheetData>
    <row r="1">
      <c r="B1" s="370" t="inlineStr">
        <is>
          <t>€ VAT excl</t>
        </is>
      </c>
      <c r="C1" s="370" t="inlineStr">
        <is>
          <t>Parts VATe</t>
        </is>
      </c>
      <c r="D1" s="370" t="inlineStr">
        <is>
          <t>Total W/o taxes</t>
        </is>
      </c>
      <c r="E1" s="370" t="inlineStr">
        <is>
          <t>PRIX TTC</t>
        </is>
      </c>
    </row>
    <row r="2" ht="20" customHeight="1" s="497">
      <c r="A2" s="385" t="n">
        <v>1</v>
      </c>
      <c r="C2" t="n"/>
    </row>
    <row r="3">
      <c r="A3" s="386" t="n"/>
      <c r="B3" s="502" t="n"/>
      <c r="C3" s="374" t="n"/>
      <c r="D3" s="503" t="n"/>
      <c r="E3" s="503" t="n"/>
    </row>
    <row r="4">
      <c r="A4" s="386" t="n"/>
      <c r="B4" s="502" t="n"/>
      <c r="C4" s="374" t="n"/>
      <c r="D4" s="503" t="n"/>
      <c r="E4" s="503" t="n"/>
    </row>
    <row r="5">
      <c r="A5" s="386" t="n"/>
      <c r="B5" s="502" t="n"/>
      <c r="C5" s="374" t="n"/>
      <c r="D5" s="503" t="n"/>
      <c r="E5" s="503" t="n"/>
    </row>
    <row r="6">
      <c r="A6" s="386" t="n"/>
      <c r="B6" s="504" t="n"/>
      <c r="C6" s="374" t="n"/>
      <c r="D6" s="505" t="n"/>
      <c r="E6" s="505" t="n"/>
    </row>
    <row r="7">
      <c r="A7" s="386" t="n"/>
      <c r="B7" s="502" t="n"/>
      <c r="C7" s="374" t="n"/>
      <c r="D7" s="503" t="n"/>
      <c r="E7" s="503" t="n"/>
    </row>
    <row r="8" ht="20" customHeight="1" s="497">
      <c r="A8" s="385" t="n">
        <v>2</v>
      </c>
      <c r="B8" s="506" t="n"/>
      <c r="D8" s="506" t="n"/>
      <c r="E8" s="506" t="n"/>
    </row>
    <row r="9">
      <c r="A9" s="386" t="n"/>
      <c r="B9" s="502" t="n"/>
      <c r="C9" s="375" t="n"/>
      <c r="D9" s="503" t="n"/>
      <c r="E9" s="503" t="n"/>
    </row>
    <row r="10">
      <c r="A10" s="386" t="n"/>
      <c r="B10" s="502" t="n"/>
      <c r="C10" s="375" t="n"/>
      <c r="D10" s="503" t="n"/>
      <c r="E10" s="503" t="n"/>
    </row>
    <row r="11">
      <c r="A11" s="386" t="n"/>
      <c r="B11" s="502" t="n"/>
      <c r="C11" s="375" t="n"/>
      <c r="D11" s="503" t="n"/>
      <c r="E11" s="503" t="n"/>
    </row>
    <row r="12">
      <c r="A12" s="386" t="n"/>
      <c r="B12" s="502" t="n"/>
      <c r="C12" s="375" t="n"/>
      <c r="D12" s="503" t="n"/>
      <c r="E12" s="503" t="n"/>
    </row>
    <row r="13">
      <c r="A13" s="391" t="n"/>
      <c r="B13" s="502" t="n"/>
      <c r="C13" s="375" t="n"/>
      <c r="D13" s="503" t="n"/>
      <c r="E13" s="503" t="n"/>
    </row>
    <row r="14">
      <c r="A14" s="386" t="n"/>
      <c r="B14" s="502" t="n"/>
      <c r="C14" s="375" t="n"/>
      <c r="D14" s="503" t="n"/>
      <c r="E14" s="503" t="n"/>
    </row>
    <row r="15">
      <c r="B15" s="506" t="n"/>
      <c r="D15" s="506" t="n"/>
      <c r="E15" s="506" t="n"/>
    </row>
    <row r="16">
      <c r="A16" s="376" t="n"/>
      <c r="B16" s="507" t="n"/>
      <c r="C16" s="369" t="n"/>
      <c r="D16" s="507" t="n"/>
      <c r="E16" s="507" t="n"/>
    </row>
    <row r="17">
      <c r="A17" s="376" t="n"/>
      <c r="B17" s="507" t="n"/>
      <c r="C17" s="369" t="n"/>
      <c r="D17" s="508" t="n"/>
      <c r="E17" s="507" t="n"/>
    </row>
    <row r="18" customFormat="1" s="369">
      <c r="A18" s="371" t="n"/>
      <c r="B18" s="509" t="n"/>
      <c r="C18" s="373" t="n"/>
      <c r="D18" s="509" t="n"/>
    </row>
    <row r="19" customFormat="1" s="369">
      <c r="A19" s="371" t="n"/>
    </row>
    <row r="20" customFormat="1" s="369">
      <c r="A20" s="371" t="n"/>
    </row>
    <row r="21" ht="12" customFormat="1" customHeight="1" s="393">
      <c r="A21" s="392" t="n"/>
    </row>
    <row r="22" ht="12" customFormat="1" customHeight="1" s="393">
      <c r="B22" s="394" t="n"/>
      <c r="C22" s="394" t="n"/>
      <c r="D22" s="395" t="n"/>
      <c r="E22" s="395" t="n"/>
    </row>
    <row r="23" ht="12" customFormat="1" customHeight="1" s="393">
      <c r="B23" s="394" t="n"/>
      <c r="C23" s="394" t="n"/>
      <c r="D23" s="394" t="n"/>
      <c r="E23" s="394" t="n"/>
    </row>
    <row r="24" ht="12" customFormat="1" customHeight="1" s="393">
      <c r="B24" s="394" t="n"/>
      <c r="C24" s="394" t="n"/>
      <c r="D24" s="394" t="n"/>
      <c r="E24" s="394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3">
    <tabColor rgb="FF002060"/>
    <outlinePr summaryBelow="1" summaryRight="1"/>
    <pageSetUpPr/>
  </sheetPr>
  <dimension ref="A1:BG162"/>
  <sheetViews>
    <sheetView showGridLines="0" zoomScale="141" zoomScaleNormal="248" workbookViewId="0">
      <pane xSplit="1" ySplit="5" topLeftCell="B128" activePane="bottomRight" state="frozen"/>
      <selection pane="topRight" activeCell="H16" sqref="H16"/>
      <selection pane="bottomLeft" activeCell="H16" sqref="H16"/>
      <selection pane="bottomRight" activeCell="D156" sqref="D156"/>
    </sheetView>
  </sheetViews>
  <sheetFormatPr baseColWidth="10" defaultColWidth="8.5" defaultRowHeight="12"/>
  <cols>
    <col width="50.6640625" customWidth="1" style="68" min="1" max="1"/>
    <col width="11.83203125" bestFit="1" customWidth="1" style="68" min="2" max="2"/>
    <col width="11.33203125" customWidth="1" style="68" min="3" max="6"/>
    <col width="1.6640625" bestFit="1" customWidth="1" style="68" min="7" max="7"/>
    <col width="9.5" bestFit="1" customWidth="1" style="68" min="8" max="8"/>
    <col width="8.5" customWidth="1" style="68" min="9" max="16384"/>
  </cols>
  <sheetData>
    <row r="1" ht="26.25" customFormat="1" customHeight="1" s="121">
      <c r="A1" s="118" t="inlineStr">
        <is>
          <t>Vetalyx</t>
        </is>
      </c>
      <c r="B1" s="119" t="n"/>
      <c r="C1" s="119" t="n"/>
      <c r="D1" s="119" t="n"/>
      <c r="E1" s="119" t="n"/>
      <c r="F1" s="119" t="n"/>
      <c r="G1" s="119" t="n"/>
      <c r="H1" s="120" t="n"/>
      <c r="I1" s="120" t="n"/>
      <c r="J1" s="120" t="n"/>
      <c r="K1" s="120" t="n"/>
      <c r="L1" s="120" t="n"/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120" t="n"/>
      <c r="AR1" s="120" t="n"/>
      <c r="AS1" s="120" t="n"/>
      <c r="AT1" s="120" t="n"/>
      <c r="AU1" s="120" t="n"/>
      <c r="AV1" s="120" t="n"/>
      <c r="AW1" s="120" t="n"/>
      <c r="AX1" s="120" t="n"/>
      <c r="AY1" s="120" t="n"/>
      <c r="AZ1" s="120" t="n"/>
      <c r="BA1" s="120" t="n"/>
      <c r="BB1" s="120" t="n"/>
    </row>
    <row r="2" ht="13" customFormat="1" customHeight="1" s="123">
      <c r="A2" s="122" t="inlineStr">
        <is>
          <t>Controls Sheet</t>
        </is>
      </c>
    </row>
    <row r="3" ht="13" customFormat="1" customHeight="1" s="123">
      <c r="A3" s="124" t="inlineStr">
        <is>
          <t>Amounts in €</t>
        </is>
      </c>
    </row>
    <row r="4" customFormat="1" s="56">
      <c r="A4" s="54" t="n"/>
      <c r="B4" s="55" t="inlineStr">
        <is>
          <t>Year 1</t>
        </is>
      </c>
      <c r="C4" s="55" t="inlineStr">
        <is>
          <t>Year 2</t>
        </is>
      </c>
      <c r="D4" s="55" t="inlineStr">
        <is>
          <t>Year 3</t>
        </is>
      </c>
      <c r="E4" s="55" t="inlineStr">
        <is>
          <t>Year 4</t>
        </is>
      </c>
      <c r="F4" s="55" t="inlineStr">
        <is>
          <t>Year 5</t>
        </is>
      </c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  <c r="AQ4" s="55" t="n"/>
      <c r="AR4" s="55" t="n"/>
      <c r="AS4" s="55" t="n"/>
      <c r="AT4" s="55" t="n"/>
      <c r="AU4" s="55" t="n"/>
      <c r="AV4" s="55" t="n"/>
      <c r="AW4" s="55" t="n"/>
      <c r="AX4" s="55" t="n"/>
      <c r="AY4" s="55" t="n"/>
      <c r="AZ4" s="55" t="n"/>
      <c r="BA4" s="55" t="n"/>
      <c r="BB4" s="55" t="n"/>
      <c r="BC4" s="55" t="n"/>
      <c r="BD4" s="55" t="n"/>
      <c r="BE4" s="55" t="n"/>
      <c r="BF4" s="55" t="n"/>
      <c r="BG4" s="55" t="n"/>
    </row>
    <row r="5" customFormat="1" s="123">
      <c r="A5" s="125" t="inlineStr">
        <is>
          <t>Assumptions for the Annual Period</t>
        </is>
      </c>
      <c r="B5" s="126" t="n">
        <v>2026</v>
      </c>
      <c r="C5" s="126">
        <f>+B5+1</f>
        <v/>
      </c>
      <c r="D5" s="126">
        <f>+C5+1</f>
        <v/>
      </c>
      <c r="E5" s="126">
        <f>+D5+1</f>
        <v/>
      </c>
      <c r="F5" s="126">
        <f>+E5+1</f>
        <v/>
      </c>
    </row>
    <row r="6" ht="13" customHeight="1" s="497">
      <c r="A6" s="90" t="inlineStr">
        <is>
          <t>Start Date of the Model</t>
        </is>
      </c>
      <c r="B6" s="128" t="n">
        <v>46174</v>
      </c>
    </row>
    <row r="7" customFormat="1" s="57">
      <c r="A7" s="125" t="inlineStr">
        <is>
          <t>REVENUE ASSUMPTIONS</t>
        </is>
      </c>
      <c r="B7" s="126" t="n"/>
      <c r="C7" s="126" t="n"/>
      <c r="D7" s="126" t="n"/>
      <c r="E7" s="126" t="n"/>
      <c r="F7" s="126" t="n"/>
    </row>
    <row r="8" customFormat="1" s="60">
      <c r="A8" s="58" t="n"/>
      <c r="B8" s="59" t="n"/>
      <c r="C8" s="59" t="n"/>
      <c r="D8" s="59" t="n"/>
      <c r="E8" s="59" t="n"/>
      <c r="F8" s="59" t="n"/>
    </row>
    <row r="9" hidden="1" customFormat="1" s="60">
      <c r="A9" s="69" t="inlineStr">
        <is>
          <t>Quarterly Sales Targets</t>
        </is>
      </c>
      <c r="B9" s="59" t="n"/>
      <c r="C9" s="59" t="n"/>
      <c r="D9" s="59" t="n"/>
      <c r="E9" s="59" t="n"/>
      <c r="F9" s="59" t="n"/>
    </row>
    <row r="10" hidden="1" customFormat="1" s="60">
      <c r="A10" s="69" t="n"/>
      <c r="B10" s="59" t="n"/>
      <c r="C10" s="59" t="n"/>
      <c r="D10" s="59" t="n"/>
      <c r="E10" s="59" t="n"/>
      <c r="F10" s="59" t="n"/>
    </row>
    <row r="11" hidden="1" customFormat="1" s="60">
      <c r="A11" s="292" t="inlineStr">
        <is>
          <t>Thermic Units</t>
        </is>
      </c>
      <c r="B11" s="59" t="n"/>
      <c r="C11" s="59" t="n"/>
      <c r="D11" s="59" t="n"/>
      <c r="E11" s="59" t="n"/>
      <c r="F11" s="59" t="n"/>
    </row>
    <row r="12" hidden="1" customFormat="1" s="60">
      <c r="A12" s="58" t="inlineStr">
        <is>
          <t>La 12T Belgium</t>
        </is>
      </c>
      <c r="B12" s="510">
        <f>SUM('Revenue Asumptions'!B10:M10)</f>
        <v/>
      </c>
      <c r="C12" s="510">
        <f>SUM('Revenue Asumptions'!N10:Y10)</f>
        <v/>
      </c>
      <c r="D12" s="510">
        <f>SUM('Revenue Asumptions'!Z10:AK10)</f>
        <v/>
      </c>
      <c r="E12" s="510">
        <f>SUM('Revenue Asumptions'!AL10:AW10)</f>
        <v/>
      </c>
      <c r="F12" s="510">
        <f>SUM('Revenue Asumptions'!AX10:BI10)</f>
        <v/>
      </c>
    </row>
    <row r="13" hidden="1" customFormat="1" s="60">
      <c r="A13" s="58" t="inlineStr">
        <is>
          <t>La 12T France</t>
        </is>
      </c>
      <c r="B13" s="510">
        <f>SUM('Revenue Asumptions'!B11:M11)</f>
        <v/>
      </c>
      <c r="C13" s="510">
        <f>SUM('Revenue Asumptions'!N11:Y11)</f>
        <v/>
      </c>
      <c r="D13" s="510">
        <f>SUM('Revenue Asumptions'!Z11:AK11)</f>
        <v/>
      </c>
      <c r="E13" s="510">
        <f>SUM('Revenue Asumptions'!AL11:AW11)</f>
        <v/>
      </c>
      <c r="F13" s="510">
        <f>SUM('Revenue Asumptions'!AX11:BI11)</f>
        <v/>
      </c>
    </row>
    <row r="14" hidden="1" customFormat="1" s="60">
      <c r="A14" s="58" t="inlineStr">
        <is>
          <t>La 12T Europe</t>
        </is>
      </c>
      <c r="B14" s="510">
        <f>SUM('Revenue Asumptions'!B12:M12)</f>
        <v/>
      </c>
      <c r="C14" s="510">
        <f>SUM('Revenue Asumptions'!N12:Y12)</f>
        <v/>
      </c>
      <c r="D14" s="510">
        <f>SUM('Revenue Asumptions'!Z12:AK12)</f>
        <v/>
      </c>
      <c r="E14" s="510">
        <f>SUM('Revenue Asumptions'!AL12:AW12)</f>
        <v/>
      </c>
      <c r="F14" s="510">
        <f>SUM('Revenue Asumptions'!AX12:BI12)</f>
        <v/>
      </c>
    </row>
    <row r="15" hidden="1" customFormat="1" s="60">
      <c r="A15" s="58" t="inlineStr">
        <is>
          <t>La 12T USA</t>
        </is>
      </c>
      <c r="B15" s="510">
        <f>SUM('Revenue Asumptions'!B13:M13)</f>
        <v/>
      </c>
      <c r="C15" s="510">
        <f>SUM('Revenue Asumptions'!N13:Y13)</f>
        <v/>
      </c>
      <c r="D15" s="510">
        <f>SUM('Revenue Asumptions'!Z13:AK13)</f>
        <v/>
      </c>
      <c r="E15" s="510">
        <f>SUM('Revenue Asumptions'!AL13:AW13)</f>
        <v/>
      </c>
      <c r="F15" s="510">
        <f>SUM('Revenue Asumptions'!AX13:BI13)</f>
        <v/>
      </c>
    </row>
    <row r="16" hidden="1" customFormat="1" s="60">
      <c r="A16" s="58" t="inlineStr">
        <is>
          <t>La 12T SE ASIA</t>
        </is>
      </c>
      <c r="B16" s="510">
        <f>SUM('Revenue Asumptions'!B14:M14)</f>
        <v/>
      </c>
      <c r="C16" s="510">
        <f>SUM('Revenue Asumptions'!N14:Y14)</f>
        <v/>
      </c>
      <c r="D16" s="510">
        <f>SUM('Revenue Asumptions'!Z14:AK14)</f>
        <v/>
      </c>
      <c r="E16" s="510">
        <f>SUM('Revenue Asumptions'!AL14:AW14)</f>
        <v/>
      </c>
      <c r="F16" s="510">
        <f>SUM('Revenue Asumptions'!AX14:BI14)</f>
        <v/>
      </c>
    </row>
    <row r="17" hidden="1" customFormat="1" s="60">
      <c r="A17" s="58" t="n"/>
      <c r="B17" s="511">
        <f>SUM(B12:B16)</f>
        <v/>
      </c>
      <c r="C17" s="511">
        <f>SUM(C12:C16)</f>
        <v/>
      </c>
      <c r="D17" s="511">
        <f>SUM(D12:D16)</f>
        <v/>
      </c>
      <c r="E17" s="511">
        <f>SUM(E12:E16)</f>
        <v/>
      </c>
      <c r="F17" s="511">
        <f>SUM(F12:F16)</f>
        <v/>
      </c>
    </row>
    <row r="18" hidden="1" customFormat="1" s="60">
      <c r="A18" s="292" t="inlineStr">
        <is>
          <t>Electric Units</t>
        </is>
      </c>
      <c r="B18" s="59" t="n"/>
      <c r="C18" s="59" t="n"/>
      <c r="D18" s="59" t="n"/>
      <c r="E18" s="59" t="n"/>
      <c r="F18" s="59" t="n"/>
    </row>
    <row r="19" hidden="1" customFormat="1" s="60">
      <c r="A19" s="58" t="inlineStr">
        <is>
          <t>La 12E Belgium</t>
        </is>
      </c>
      <c r="B19" s="510">
        <f>SUM('Revenue Asumptions'!B21:M21)</f>
        <v/>
      </c>
      <c r="C19" s="510">
        <f>SUM('Revenue Asumptions'!N21:AK21)</f>
        <v/>
      </c>
      <c r="D19" s="510">
        <f>SUM('Revenue Asumptions'!Z21:AK21)</f>
        <v/>
      </c>
      <c r="E19" s="510">
        <f>SUM('Revenue Asumptions'!AL21:AW21)</f>
        <v/>
      </c>
      <c r="F19" s="510">
        <f>SUM('Revenue Asumptions'!AX21:BI21)</f>
        <v/>
      </c>
    </row>
    <row r="20" hidden="1" customFormat="1" s="60">
      <c r="A20" s="58" t="inlineStr">
        <is>
          <t>La 12E France</t>
        </is>
      </c>
      <c r="B20" s="510">
        <f>SUM('Revenue Asumptions'!B22:M22)</f>
        <v/>
      </c>
      <c r="C20" s="510">
        <f>SUM('Revenue Asumptions'!N22:AK22)</f>
        <v/>
      </c>
      <c r="D20" s="510">
        <f>SUM('Revenue Asumptions'!Z22:AK22)</f>
        <v/>
      </c>
      <c r="E20" s="510">
        <f>SUM('Revenue Asumptions'!AL22:AW22)</f>
        <v/>
      </c>
      <c r="F20" s="510">
        <f>SUM('Revenue Asumptions'!AX22:BI22)</f>
        <v/>
      </c>
    </row>
    <row r="21" hidden="1" customFormat="1" s="60">
      <c r="A21" s="58" t="inlineStr">
        <is>
          <t>La 12E Europe</t>
        </is>
      </c>
      <c r="B21" s="510">
        <f>SUM('Revenue Asumptions'!B23:M23)</f>
        <v/>
      </c>
      <c r="C21" s="510">
        <f>SUM('Revenue Asumptions'!N23:AK23)</f>
        <v/>
      </c>
      <c r="D21" s="510">
        <f>SUM('Revenue Asumptions'!Z23:AK23)</f>
        <v/>
      </c>
      <c r="E21" s="510">
        <f>SUM('Revenue Asumptions'!AL23:AW23)</f>
        <v/>
      </c>
      <c r="F21" s="510">
        <f>SUM('Revenue Asumptions'!AX23:BI23)</f>
        <v/>
      </c>
    </row>
    <row r="22" hidden="1" customFormat="1" s="60">
      <c r="A22" s="58" t="inlineStr">
        <is>
          <t>La 12E USA</t>
        </is>
      </c>
      <c r="B22" s="510">
        <f>SUM('Revenue Asumptions'!B24:M24)</f>
        <v/>
      </c>
      <c r="C22" s="510">
        <f>SUM('Revenue Asumptions'!N24:AK24)</f>
        <v/>
      </c>
      <c r="D22" s="510">
        <f>SUM('Revenue Asumptions'!Z24:AK24)</f>
        <v/>
      </c>
      <c r="E22" s="510">
        <f>SUM('Revenue Asumptions'!AL24:AW24)</f>
        <v/>
      </c>
      <c r="F22" s="510">
        <f>SUM('Revenue Asumptions'!AX24:BI24)</f>
        <v/>
      </c>
    </row>
    <row r="23" hidden="1" customFormat="1" s="60">
      <c r="A23" s="58" t="inlineStr">
        <is>
          <t>La 12E SE ASIA</t>
        </is>
      </c>
      <c r="B23" s="510">
        <f>SUM('Revenue Asumptions'!B25:M25)</f>
        <v/>
      </c>
      <c r="C23" s="510">
        <f>SUM('Revenue Asumptions'!N25:AK25)</f>
        <v/>
      </c>
      <c r="D23" s="510">
        <f>SUM('Revenue Asumptions'!Z25:AK25)</f>
        <v/>
      </c>
      <c r="E23" s="510">
        <f>SUM('Revenue Asumptions'!AL25:AW25)</f>
        <v/>
      </c>
      <c r="F23" s="510">
        <f>SUM('Revenue Asumptions'!AX25:BI25)</f>
        <v/>
      </c>
    </row>
    <row r="24" hidden="1" customFormat="1" s="60">
      <c r="A24" s="58" t="n"/>
      <c r="B24" s="511">
        <f>SUM(B19:B23)</f>
        <v/>
      </c>
      <c r="C24" s="511">
        <f>SUM(C19:C23)</f>
        <v/>
      </c>
      <c r="D24" s="511">
        <f>SUM(D19:D23)</f>
        <v/>
      </c>
      <c r="E24" s="511">
        <f>SUM(E19:E23)</f>
        <v/>
      </c>
      <c r="F24" s="511">
        <f>SUM(F19:F23)</f>
        <v/>
      </c>
    </row>
    <row r="25" customFormat="1" s="512">
      <c r="A25" s="186" t="inlineStr">
        <is>
          <t>KITS RAPID TEST</t>
        </is>
      </c>
    </row>
    <row r="26" customFormat="1" s="512">
      <c r="A26" s="189" t="inlineStr">
        <is>
          <t>Total Units Sold</t>
        </is>
      </c>
      <c r="B26" s="513">
        <f>SUM(B27:B29)</f>
        <v/>
      </c>
      <c r="C26" s="513">
        <f>SUM(C27:C29)</f>
        <v/>
      </c>
      <c r="D26" s="513">
        <f>SUM(D27:D29)</f>
        <v/>
      </c>
      <c r="E26" s="513">
        <f>SUM(E27:E29)</f>
        <v/>
      </c>
      <c r="F26" s="513">
        <f>SUM(F27:F29)</f>
        <v/>
      </c>
    </row>
    <row r="27" customFormat="1" s="512">
      <c r="A27" s="430" t="inlineStr">
        <is>
          <t>FRANCE</t>
        </is>
      </c>
      <c r="B27" s="513">
        <f>+'DATA Raw'!C22*0.03</f>
        <v/>
      </c>
      <c r="C27" s="513">
        <f>+B27*2</f>
        <v/>
      </c>
      <c r="D27" s="513">
        <f>+C27*2</f>
        <v/>
      </c>
      <c r="E27" s="513">
        <f>+D27*1.5</f>
        <v/>
      </c>
      <c r="F27" s="513">
        <f>+E27*1.3</f>
        <v/>
      </c>
    </row>
    <row r="28" customFormat="1" s="60">
      <c r="A28" s="430" t="inlineStr">
        <is>
          <t>COUNTRIES 2</t>
        </is>
      </c>
      <c r="B28" s="513" t="n"/>
      <c r="C28" s="513">
        <f>+'DATA Raw'!C24*0.01</f>
        <v/>
      </c>
      <c r="D28" s="513">
        <f>+C28*2</f>
        <v/>
      </c>
      <c r="E28" s="513">
        <f>+D28*2</f>
        <v/>
      </c>
      <c r="F28" s="513">
        <f>+E28*1.5</f>
        <v/>
      </c>
    </row>
    <row r="29" customFormat="1" s="60">
      <c r="A29" s="430" t="inlineStr">
        <is>
          <t>COUNTRIES 3</t>
        </is>
      </c>
      <c r="B29" s="511">
        <f>+(B17+B24)*0.2</f>
        <v/>
      </c>
      <c r="C29" s="511">
        <f>+'DATA Raw'!C23*0.01</f>
        <v/>
      </c>
      <c r="D29" s="513">
        <f>+C29*2</f>
        <v/>
      </c>
      <c r="E29" s="513">
        <f>+D29*2</f>
        <v/>
      </c>
      <c r="F29" s="513">
        <f>+E29*1.5</f>
        <v/>
      </c>
    </row>
    <row r="30" customFormat="1" s="60">
      <c r="A30" s="443" t="inlineStr">
        <is>
          <t xml:space="preserve">Revenue generated </t>
        </is>
      </c>
      <c r="B30" s="514">
        <f>+B26*'DATA Raw'!$B$16</f>
        <v/>
      </c>
      <c r="C30" s="514">
        <f>+C26*'DATA Raw'!$B$16</f>
        <v/>
      </c>
      <c r="D30" s="514">
        <f>+D26*'DATA Raw'!$B$16</f>
        <v/>
      </c>
      <c r="E30" s="514">
        <f>+E26*'DATA Raw'!$B$16</f>
        <v/>
      </c>
      <c r="F30" s="514">
        <f>+F26*'DATA Raw'!$B$16</f>
        <v/>
      </c>
    </row>
    <row r="31" customFormat="1" s="60">
      <c r="A31" s="186" t="inlineStr">
        <is>
          <t>KITS ARRAY</t>
        </is>
      </c>
      <c r="B31" s="515">
        <f>+(B17+B24)*0.3</f>
        <v/>
      </c>
      <c r="C31" s="515">
        <f>+(C17+C24)*0.3</f>
        <v/>
      </c>
      <c r="D31" s="515">
        <f>+(D17+D24)*0.3</f>
        <v/>
      </c>
      <c r="E31" s="515">
        <f>+(E17+E24)*0.3</f>
        <v/>
      </c>
      <c r="F31" s="515">
        <f>+(F17+F24)*0.3</f>
        <v/>
      </c>
    </row>
    <row r="32" customFormat="1" s="60">
      <c r="A32" s="189" t="inlineStr">
        <is>
          <t>Total Units Sold</t>
        </is>
      </c>
      <c r="B32" s="516">
        <f>SUM(B33:B35)</f>
        <v/>
      </c>
      <c r="C32" s="516">
        <f>SUM(C33:C35)</f>
        <v/>
      </c>
      <c r="D32" s="516">
        <f>SUM(D33:D35)</f>
        <v/>
      </c>
      <c r="E32" s="516">
        <f>SUM(E33:E35)</f>
        <v/>
      </c>
      <c r="F32" s="516">
        <f>SUM(F33:F35)</f>
        <v/>
      </c>
    </row>
    <row r="33" customFormat="1" s="60">
      <c r="A33" s="430" t="inlineStr">
        <is>
          <t>FRANCE</t>
        </is>
      </c>
      <c r="B33" s="447" t="n"/>
      <c r="C33" s="514" t="n"/>
      <c r="D33" s="511">
        <f>+B27*0.6</f>
        <v/>
      </c>
      <c r="E33" s="511">
        <f>+C27*0.6</f>
        <v/>
      </c>
      <c r="F33" s="511">
        <f>+D27*0.6</f>
        <v/>
      </c>
    </row>
    <row r="34" customFormat="1" s="60">
      <c r="A34" s="430" t="inlineStr">
        <is>
          <t>COUNTRIES 2</t>
        </is>
      </c>
      <c r="B34" s="448" t="n"/>
      <c r="C34" s="448" t="n"/>
      <c r="D34" s="511">
        <f>+B28*0.6</f>
        <v/>
      </c>
      <c r="E34" s="511">
        <f>+C28*0.6</f>
        <v/>
      </c>
      <c r="F34" s="511">
        <f>+D28*0.6</f>
        <v/>
      </c>
    </row>
    <row r="35" customFormat="1" s="60">
      <c r="A35" s="430" t="inlineStr">
        <is>
          <t>COUNTRIES 3</t>
        </is>
      </c>
      <c r="B35" s="189" t="n"/>
      <c r="C35" s="189" t="n"/>
      <c r="D35" s="511">
        <f>+B29*0.6</f>
        <v/>
      </c>
      <c r="E35" s="511">
        <f>+C29*0.6</f>
        <v/>
      </c>
      <c r="F35" s="511">
        <f>+D29*0.6</f>
        <v/>
      </c>
    </row>
    <row r="36" hidden="1" customFormat="1" s="60">
      <c r="A36" s="189" t="inlineStr">
        <is>
          <t xml:space="preserve">Revenue generated </t>
        </is>
      </c>
      <c r="F36" s="517">
        <f>SUM(F33:F35)</f>
        <v/>
      </c>
    </row>
    <row r="37" hidden="1" customFormat="1" s="60">
      <c r="A37" s="186" t="inlineStr">
        <is>
          <t>READERS</t>
        </is>
      </c>
      <c r="B37" s="518" t="n">
        <v>0</v>
      </c>
      <c r="C37" s="518">
        <f>B37*(1+C38)</f>
        <v/>
      </c>
      <c r="D37" s="519">
        <f>C37*(1+D38)</f>
        <v/>
      </c>
      <c r="E37" s="519">
        <f>D37*(1+E38)</f>
        <v/>
      </c>
      <c r="F37" s="519">
        <f>E37*(1+F38)</f>
        <v/>
      </c>
      <c r="G37" s="60" t="inlineStr">
        <is>
          <t xml:space="preserve"> </t>
        </is>
      </c>
    </row>
    <row r="38" hidden="1" customFormat="1" s="60">
      <c r="A38" s="189" t="inlineStr">
        <is>
          <t>Total Units Sold</t>
        </is>
      </c>
      <c r="C38" s="64" t="n">
        <v>0.05</v>
      </c>
      <c r="D38" s="64" t="n">
        <v>0.05</v>
      </c>
      <c r="E38" s="64" t="n">
        <v>0.05</v>
      </c>
      <c r="F38" s="64" t="n">
        <v>0.05</v>
      </c>
    </row>
    <row r="39" hidden="1" customFormat="1" s="60">
      <c r="A39" s="430" t="inlineStr">
        <is>
          <t>FRANCE</t>
        </is>
      </c>
      <c r="B39" s="518" t="n">
        <v>0</v>
      </c>
      <c r="C39" s="519">
        <f>B39*(1+C40)</f>
        <v/>
      </c>
      <c r="D39" s="519">
        <f>C39*(1+D40)</f>
        <v/>
      </c>
      <c r="E39" s="519">
        <f>D39*(1+E40)</f>
        <v/>
      </c>
      <c r="F39" s="519">
        <f>E39*(1+F40)</f>
        <v/>
      </c>
    </row>
    <row r="40" hidden="1" customFormat="1" s="60">
      <c r="A40" s="430" t="inlineStr">
        <is>
          <t>COUNTRIES 2</t>
        </is>
      </c>
      <c r="C40" s="64" t="n">
        <v>0.05</v>
      </c>
      <c r="D40" s="64" t="n">
        <v>0.05</v>
      </c>
      <c r="E40" s="64" t="n">
        <v>0.05</v>
      </c>
      <c r="F40" s="64" t="n">
        <v>0.05</v>
      </c>
    </row>
    <row r="41" hidden="1" customFormat="1" s="60">
      <c r="A41" s="430" t="inlineStr">
        <is>
          <t>COUNTRIES 3</t>
        </is>
      </c>
      <c r="B41" s="64" t="n">
        <v>0.25</v>
      </c>
      <c r="C41" s="64" t="n">
        <v>0.25</v>
      </c>
      <c r="D41" s="64" t="n">
        <v>0.25</v>
      </c>
      <c r="E41" s="64" t="n">
        <v>0.25</v>
      </c>
      <c r="F41" s="64" t="n">
        <v>0.25</v>
      </c>
    </row>
    <row r="42" hidden="1" customFormat="1" s="60">
      <c r="A42" s="189" t="inlineStr">
        <is>
          <t xml:space="preserve">Revenue generated </t>
        </is>
      </c>
      <c r="B42" s="64" t="n"/>
      <c r="C42" s="300" t="inlineStr">
        <is>
          <t>NA</t>
        </is>
      </c>
      <c r="D42" s="300" t="inlineStr">
        <is>
          <t>NA</t>
        </is>
      </c>
      <c r="E42" s="300" t="inlineStr">
        <is>
          <t>NA</t>
        </is>
      </c>
      <c r="F42" s="300" t="inlineStr">
        <is>
          <t>NA</t>
        </is>
      </c>
    </row>
    <row r="43" customFormat="1" s="60">
      <c r="A43" s="189" t="inlineStr">
        <is>
          <t xml:space="preserve">Revenue generated </t>
        </is>
      </c>
      <c r="B43" s="514" t="n"/>
      <c r="C43" s="514" t="n"/>
      <c r="D43" s="514">
        <f>+D32*'DATA Raw'!$B$17</f>
        <v/>
      </c>
      <c r="E43" s="514">
        <f>+E32*'DATA Raw'!$B$17</f>
        <v/>
      </c>
      <c r="F43" s="514">
        <f>+F32*'DATA Raw'!$B$17</f>
        <v/>
      </c>
      <c r="G43" s="519">
        <f>+G32*'DATA Raw'!$B$17</f>
        <v/>
      </c>
    </row>
    <row r="44" customFormat="1" s="62">
      <c r="A44" s="186" t="inlineStr">
        <is>
          <t>READERS</t>
        </is>
      </c>
      <c r="B44" s="518" t="n"/>
      <c r="C44" s="519" t="n"/>
      <c r="D44" s="519" t="n"/>
      <c r="E44" s="519" t="n"/>
      <c r="F44" s="519" t="n"/>
    </row>
    <row r="45" customFormat="1" s="62">
      <c r="A45" s="189" t="inlineStr">
        <is>
          <t>Total Units Sold</t>
        </is>
      </c>
      <c r="B45" s="511">
        <f>+B26/500</f>
        <v/>
      </c>
      <c r="C45" s="511">
        <f>+C26/500</f>
        <v/>
      </c>
      <c r="D45" s="511">
        <f>+D26/500</f>
        <v/>
      </c>
      <c r="E45" s="511">
        <f>+E26/500</f>
        <v/>
      </c>
      <c r="F45" s="511">
        <f>+F26/500</f>
        <v/>
      </c>
    </row>
    <row r="46" customFormat="1" s="56">
      <c r="A46" s="189" t="inlineStr">
        <is>
          <t xml:space="preserve">Revenue generated </t>
        </is>
      </c>
      <c r="B46" s="514">
        <f>+B45*'DATA Raw'!$B$19</f>
        <v/>
      </c>
      <c r="C46" s="514">
        <f>+C45*'DATA Raw'!$B$19</f>
        <v/>
      </c>
      <c r="D46" s="514">
        <f>+D45*'DATA Raw'!$B$19</f>
        <v/>
      </c>
      <c r="E46" s="514">
        <f>+E45*'DATA Raw'!$B$19</f>
        <v/>
      </c>
      <c r="F46" s="514">
        <f>+F45*'DATA Raw'!$B$19</f>
        <v/>
      </c>
    </row>
    <row r="47" customFormat="1" s="56">
      <c r="A47" s="186" t="inlineStr">
        <is>
          <t>SERVICES</t>
        </is>
      </c>
    </row>
    <row r="48" customFormat="1" s="56">
      <c r="A48" s="58" t="inlineStr">
        <is>
          <t>Network and software customization</t>
        </is>
      </c>
      <c r="B48" s="298" t="inlineStr">
        <is>
          <t>NOT CONSIDERED</t>
        </is>
      </c>
      <c r="C48" s="298" t="n"/>
      <c r="D48" s="298" t="n"/>
      <c r="E48" s="298" t="n"/>
      <c r="F48" s="298" t="n"/>
    </row>
    <row r="49" customFormat="1" s="56">
      <c r="A49" s="451" t="inlineStr">
        <is>
          <t xml:space="preserve">Revenue generated </t>
        </is>
      </c>
      <c r="B49" s="298" t="inlineStr">
        <is>
          <t>NOT CONSIDERED</t>
        </is>
      </c>
      <c r="C49" s="298" t="n"/>
      <c r="D49" s="298" t="n"/>
      <c r="E49" s="298" t="n"/>
      <c r="F49" s="298" t="n"/>
    </row>
    <row r="50" customFormat="1" s="56">
      <c r="A50" s="299" t="inlineStr">
        <is>
          <t xml:space="preserve"> </t>
        </is>
      </c>
    </row>
    <row r="51" customFormat="1" s="56">
      <c r="A51" s="450" t="inlineStr">
        <is>
          <t>TOTAL REVENUES</t>
        </is>
      </c>
      <c r="B51" s="520">
        <f>+B46+B43+B30</f>
        <v/>
      </c>
      <c r="C51" s="520">
        <f>+C46+C43+C30</f>
        <v/>
      </c>
      <c r="D51" s="520">
        <f>+D46+D43+D30</f>
        <v/>
      </c>
      <c r="E51" s="520">
        <f>+E46+E43+E30</f>
        <v/>
      </c>
      <c r="F51" s="520">
        <f>+F46+F43+F30</f>
        <v/>
      </c>
    </row>
    <row r="52" customFormat="1" s="56">
      <c r="A52" s="69" t="n"/>
    </row>
    <row r="53" customFormat="1" s="56">
      <c r="A53" s="293" t="inlineStr">
        <is>
          <t xml:space="preserve">Distributor Margin </t>
        </is>
      </c>
      <c r="B53" s="452" t="n">
        <v>0.21</v>
      </c>
    </row>
    <row r="54" customFormat="1" s="56">
      <c r="A54" s="454" t="n"/>
      <c r="B54" s="453" t="n"/>
    </row>
    <row r="55" customFormat="1" s="56">
      <c r="A55" s="303" t="inlineStr">
        <is>
          <t>Operating Expenses (OPEX) MONTHLY COST</t>
        </is>
      </c>
      <c r="B55" s="453" t="n"/>
    </row>
    <row r="56" customFormat="1" s="56">
      <c r="A56" s="58" t="inlineStr">
        <is>
          <t>Cost of Sales Services as a % of sales</t>
        </is>
      </c>
    </row>
    <row r="57" customFormat="1" s="56"/>
    <row r="58" customFormat="1" s="56">
      <c r="A58" s="69" t="n"/>
    </row>
    <row r="59" customFormat="1" s="56">
      <c r="A59" s="61" t="n"/>
    </row>
    <row r="60" customFormat="1" s="56"/>
    <row r="61" customFormat="1" s="56">
      <c r="A61" s="61" t="n"/>
    </row>
    <row r="62" ht="13" customFormat="1" customHeight="1" s="56">
      <c r="A62" t="inlineStr">
        <is>
          <t>Car rental</t>
        </is>
      </c>
      <c r="B62" s="521" t="n">
        <v>0</v>
      </c>
      <c r="C62" s="519" t="n">
        <v>300</v>
      </c>
      <c r="D62" s="519">
        <f>C62*(1+D63)</f>
        <v/>
      </c>
      <c r="E62" s="519">
        <f>D62*(1+E63)</f>
        <v/>
      </c>
      <c r="F62" s="519">
        <f>E62*(1+F63)</f>
        <v/>
      </c>
    </row>
    <row r="63" customFormat="1" s="56">
      <c r="A63" s="161" t="inlineStr">
        <is>
          <t>Annual Increase %</t>
        </is>
      </c>
      <c r="C63" s="63" t="n">
        <v>0.1</v>
      </c>
      <c r="D63" s="63" t="n">
        <v>0.1</v>
      </c>
      <c r="E63" s="63" t="n">
        <v>0.15</v>
      </c>
      <c r="F63" s="63" t="n">
        <v>0.1</v>
      </c>
    </row>
    <row r="64" customFormat="1" s="56">
      <c r="B64" s="294">
        <f>+B62*12</f>
        <v/>
      </c>
      <c r="C64" s="294">
        <f>+C62*12</f>
        <v/>
      </c>
      <c r="D64" s="294">
        <f>+D62*12</f>
        <v/>
      </c>
      <c r="E64" s="294">
        <f>+E62*12</f>
        <v/>
      </c>
      <c r="F64" s="294">
        <f>+F62*12</f>
        <v/>
      </c>
    </row>
    <row r="65" customFormat="1" s="56">
      <c r="B65" s="294" t="n"/>
      <c r="C65" s="294" t="n"/>
      <c r="D65" s="294" t="n"/>
      <c r="E65" s="294" t="n"/>
      <c r="F65" s="294" t="n"/>
    </row>
    <row r="66" ht="13" customFormat="1" customHeight="1" s="56">
      <c r="A66" t="inlineStr">
        <is>
          <t>Commercial vehicle rentals</t>
        </is>
      </c>
      <c r="B66" s="521" t="n">
        <v>0</v>
      </c>
      <c r="C66" s="519">
        <f>B66*(1+C67)</f>
        <v/>
      </c>
      <c r="D66" s="519" t="n">
        <v>300</v>
      </c>
      <c r="E66" s="519">
        <f>D66*(1+E67)</f>
        <v/>
      </c>
      <c r="F66" s="519">
        <f>E66*(1+F67)</f>
        <v/>
      </c>
    </row>
    <row r="67" customFormat="1" s="56">
      <c r="A67" s="161" t="inlineStr">
        <is>
          <t>Annual Increase %</t>
        </is>
      </c>
      <c r="C67" s="63" t="n">
        <v>0.1</v>
      </c>
      <c r="D67" s="63" t="n">
        <v>0.1</v>
      </c>
      <c r="E67" s="63" t="n">
        <v>0.15</v>
      </c>
      <c r="F67" s="63" t="n">
        <v>0.1</v>
      </c>
    </row>
    <row r="68" customFormat="1" s="56">
      <c r="B68" s="294">
        <f>+B66*12</f>
        <v/>
      </c>
      <c r="C68" s="294">
        <f>+C66*12</f>
        <v/>
      </c>
      <c r="D68" s="294">
        <f>+D66*12</f>
        <v/>
      </c>
      <c r="E68" s="294">
        <f>+E66*12</f>
        <v/>
      </c>
      <c r="F68" s="294">
        <f>+F66*12</f>
        <v/>
      </c>
    </row>
    <row r="69" customFormat="1" s="56">
      <c r="B69" s="295" t="n"/>
      <c r="C69" s="295" t="n"/>
      <c r="D69" s="295" t="n"/>
      <c r="E69" s="295" t="n"/>
      <c r="F69" s="295" t="n"/>
    </row>
    <row r="70" ht="13" customFormat="1" customHeight="1" s="56">
      <c r="A70" t="inlineStr">
        <is>
          <t>Fuel</t>
        </is>
      </c>
      <c r="B70" s="521" t="n">
        <v>0</v>
      </c>
      <c r="C70" s="519" t="n">
        <v>300</v>
      </c>
      <c r="D70" s="519">
        <f>C70*(1+D71)</f>
        <v/>
      </c>
      <c r="E70" s="519">
        <f>D70*(1+E71)</f>
        <v/>
      </c>
      <c r="F70" s="519">
        <f>E70*(1+F71)</f>
        <v/>
      </c>
    </row>
    <row r="71" customFormat="1" s="56">
      <c r="A71" s="161" t="inlineStr">
        <is>
          <t>Annual Increase %</t>
        </is>
      </c>
      <c r="B71" s="70" t="n"/>
      <c r="C71" s="63" t="n">
        <v>0.1</v>
      </c>
      <c r="D71" s="63" t="n">
        <v>0.5</v>
      </c>
      <c r="E71" s="63" t="n">
        <v>0.15</v>
      </c>
      <c r="F71" s="63" t="n">
        <v>0.1</v>
      </c>
    </row>
    <row r="72" ht="13" customFormat="1" customHeight="1" s="56">
      <c r="B72" s="294">
        <f>+B70*12</f>
        <v/>
      </c>
      <c r="C72" s="294">
        <f>+C70*12</f>
        <v/>
      </c>
      <c r="D72" s="294">
        <f>+D70*12</f>
        <v/>
      </c>
      <c r="E72" s="294">
        <f>+E70*12</f>
        <v/>
      </c>
      <c r="F72" s="294">
        <f>+F70*12</f>
        <v/>
      </c>
    </row>
    <row r="73" ht="13" customFormat="1" customHeight="1" s="56">
      <c r="B73" s="70" t="n"/>
      <c r="C73" s="70" t="n"/>
      <c r="D73" s="70" t="n"/>
      <c r="E73" s="70" t="n"/>
      <c r="F73" s="70" t="n"/>
    </row>
    <row r="74" ht="13" customFormat="1" customHeight="1" s="56">
      <c r="A74" t="inlineStr">
        <is>
          <t>Travel costs (parking, etc.)</t>
        </is>
      </c>
      <c r="B74" s="521" t="n">
        <v>400</v>
      </c>
      <c r="C74" s="519">
        <f>B74*(1+C75)</f>
        <v/>
      </c>
      <c r="D74" s="519">
        <f>C74*(1+D75)</f>
        <v/>
      </c>
      <c r="E74" s="519">
        <f>D74*(1+E75)</f>
        <v/>
      </c>
      <c r="F74" s="519">
        <f>E74*(1+F75)</f>
        <v/>
      </c>
    </row>
    <row r="75" customFormat="1" s="56">
      <c r="A75" s="161" t="inlineStr">
        <is>
          <t>Annual Increase %</t>
        </is>
      </c>
      <c r="B75" s="70" t="n"/>
      <c r="C75" s="63" t="n">
        <v>0.25</v>
      </c>
      <c r="D75" s="63" t="n">
        <v>0.25</v>
      </c>
      <c r="E75" s="63" t="n">
        <v>0.1</v>
      </c>
      <c r="F75" s="63" t="n">
        <v>0.1</v>
      </c>
    </row>
    <row r="76" ht="13" customFormat="1" customHeight="1" s="56">
      <c r="B76" s="522">
        <f>+B74*12</f>
        <v/>
      </c>
      <c r="C76" s="522">
        <f>+C74*12</f>
        <v/>
      </c>
      <c r="D76" s="522">
        <f>+D74*12</f>
        <v/>
      </c>
      <c r="E76" s="522">
        <f>+E74*12</f>
        <v/>
      </c>
      <c r="F76" s="522">
        <f>+F74*12</f>
        <v/>
      </c>
    </row>
    <row r="77" ht="13" customFormat="1" customHeight="1" s="56">
      <c r="B77" s="296" t="n"/>
      <c r="C77" s="296" t="n"/>
      <c r="D77" s="296" t="n"/>
      <c r="E77" s="296" t="n"/>
      <c r="F77" s="296" t="n"/>
    </row>
    <row r="78" ht="13" customFormat="1" customHeight="1" s="56">
      <c r="A78" t="inlineStr">
        <is>
          <t>Car insurance (omnium)</t>
        </is>
      </c>
      <c r="B78" s="521" t="n">
        <v>0</v>
      </c>
      <c r="C78" s="519" t="n">
        <v>120</v>
      </c>
      <c r="D78" s="519">
        <f>C78*(1+D79)</f>
        <v/>
      </c>
      <c r="E78" s="519">
        <f>D78*(1+E79)</f>
        <v/>
      </c>
      <c r="F78" s="519">
        <f>E78*(1+F79)</f>
        <v/>
      </c>
    </row>
    <row r="79" customFormat="1" s="56">
      <c r="A79" s="161" t="inlineStr">
        <is>
          <t>Annual Increase %</t>
        </is>
      </c>
      <c r="B79" s="70" t="n"/>
      <c r="C79" s="63" t="n">
        <v>0.1</v>
      </c>
      <c r="D79" s="63" t="n">
        <v>0.5</v>
      </c>
      <c r="E79" s="63" t="n">
        <v>0.15</v>
      </c>
      <c r="F79" s="63" t="n">
        <v>0.1</v>
      </c>
    </row>
    <row r="80" ht="13" customFormat="1" customHeight="1" s="56">
      <c r="B80" s="522">
        <f>+B78*12</f>
        <v/>
      </c>
      <c r="C80" s="522">
        <f>+C78*12</f>
        <v/>
      </c>
      <c r="D80" s="522">
        <f>+D78*12</f>
        <v/>
      </c>
      <c r="E80" s="522">
        <f>+E78*12</f>
        <v/>
      </c>
      <c r="F80" s="522">
        <f>+F78*12</f>
        <v/>
      </c>
    </row>
    <row r="81" ht="13" customFormat="1" customHeight="1" s="56">
      <c r="B81" s="70" t="n"/>
      <c r="C81" s="70" t="n"/>
      <c r="D81" s="70" t="n"/>
      <c r="E81" s="70" t="n"/>
      <c r="F81" s="70" t="n"/>
    </row>
    <row r="82" ht="13" customFormat="1" customHeight="1" s="56">
      <c r="A82" s="89" t="inlineStr">
        <is>
          <t>Events , Fairs , Missions</t>
        </is>
      </c>
      <c r="B82" s="521" t="n">
        <v>150</v>
      </c>
      <c r="C82" s="519">
        <f>B82*(1+C83)</f>
        <v/>
      </c>
      <c r="D82" s="519">
        <f>C82*(1+D83)</f>
        <v/>
      </c>
      <c r="E82" s="519">
        <f>D82*(1+E83)</f>
        <v/>
      </c>
      <c r="F82" s="519" t="n">
        <v>250</v>
      </c>
    </row>
    <row r="83" customFormat="1" s="56">
      <c r="A83" s="161" t="inlineStr">
        <is>
          <t>Annual Increase %</t>
        </is>
      </c>
      <c r="B83" s="70" t="n"/>
      <c r="C83" s="63" t="n">
        <v>1</v>
      </c>
      <c r="D83" s="63" t="n">
        <v>0.1</v>
      </c>
      <c r="E83" s="63" t="n">
        <v>0.15</v>
      </c>
      <c r="F83" s="63" t="n">
        <v>0.1</v>
      </c>
    </row>
    <row r="84" ht="13" customFormat="1" customHeight="1" s="56">
      <c r="B84" s="522">
        <f>+B82*12</f>
        <v/>
      </c>
      <c r="C84" s="522">
        <f>+C82*12</f>
        <v/>
      </c>
      <c r="D84" s="522">
        <f>+D82*12</f>
        <v/>
      </c>
      <c r="E84" s="522">
        <f>+E82*12</f>
        <v/>
      </c>
      <c r="F84" s="522">
        <f>+F82*12</f>
        <v/>
      </c>
    </row>
    <row r="85" ht="13" customFormat="1" customHeight="1" s="56">
      <c r="B85" s="296" t="n"/>
      <c r="C85" s="296" t="n"/>
      <c r="D85" s="296" t="n"/>
      <c r="E85" s="296" t="n"/>
      <c r="F85" s="296" t="n"/>
    </row>
    <row r="86" ht="13" customFormat="1" customHeight="1" s="56">
      <c r="A86" t="inlineStr">
        <is>
          <t>Website</t>
        </is>
      </c>
      <c r="B86" s="521" t="n">
        <v>200</v>
      </c>
      <c r="C86" s="519">
        <f>B86*(1+C87)</f>
        <v/>
      </c>
      <c r="D86" s="519">
        <f>C86*(1+D87)</f>
        <v/>
      </c>
      <c r="E86" s="519">
        <f>D86*(1+E87)</f>
        <v/>
      </c>
      <c r="F86" s="519">
        <f>E86*(1+F87)</f>
        <v/>
      </c>
    </row>
    <row r="87" customFormat="1" s="56">
      <c r="A87" s="161" t="inlineStr">
        <is>
          <t>Annual Increase %</t>
        </is>
      </c>
      <c r="B87" s="70" t="n"/>
      <c r="C87" s="63" t="n">
        <v>0.25</v>
      </c>
      <c r="D87" s="63" t="n">
        <v>0.25</v>
      </c>
      <c r="E87" s="63" t="n">
        <v>0.15</v>
      </c>
      <c r="F87" s="63" t="n">
        <v>0.1</v>
      </c>
    </row>
    <row r="88" ht="13" customFormat="1" customHeight="1" s="56">
      <c r="B88" s="522">
        <f>+B86*12</f>
        <v/>
      </c>
      <c r="C88" s="522">
        <f>+C86*12</f>
        <v/>
      </c>
      <c r="D88" s="522">
        <f>+D86*12</f>
        <v/>
      </c>
      <c r="E88" s="522">
        <f>+E86*12</f>
        <v/>
      </c>
      <c r="F88" s="522">
        <f>+F86*12</f>
        <v/>
      </c>
    </row>
    <row r="89" ht="13" customFormat="1" customHeight="1" s="56">
      <c r="B89" s="70" t="n"/>
      <c r="C89" s="70" t="n"/>
      <c r="D89" s="70" t="n"/>
      <c r="E89" s="70" t="n"/>
      <c r="F89" s="70" t="n"/>
    </row>
    <row r="90" ht="13" customFormat="1" customHeight="1" s="56">
      <c r="A90" t="inlineStr">
        <is>
          <t>Advertising / SPONSORSHIP</t>
        </is>
      </c>
      <c r="B90" s="521" t="n">
        <v>100</v>
      </c>
      <c r="C90" s="519">
        <f>B90*(1+C91)</f>
        <v/>
      </c>
      <c r="D90" s="519">
        <f>C90*(1+D91)</f>
        <v/>
      </c>
      <c r="E90" s="519">
        <f>D90*(1+E91)</f>
        <v/>
      </c>
      <c r="F90" s="519">
        <f>E90*(1+F91)</f>
        <v/>
      </c>
    </row>
    <row r="91" customFormat="1" s="56">
      <c r="A91" s="161" t="inlineStr">
        <is>
          <t>Annual Increase %</t>
        </is>
      </c>
      <c r="B91" s="70" t="n"/>
      <c r="C91" s="63" t="n">
        <v>0.1</v>
      </c>
      <c r="D91" s="63" t="n">
        <v>0.1</v>
      </c>
      <c r="E91" s="63" t="n">
        <v>0.15</v>
      </c>
      <c r="F91" s="63" t="n">
        <v>0.1</v>
      </c>
    </row>
    <row r="92" ht="13" customFormat="1" customHeight="1" s="56">
      <c r="B92" s="522">
        <f>+B90*12</f>
        <v/>
      </c>
      <c r="C92" s="522">
        <f>+C90*12</f>
        <v/>
      </c>
      <c r="D92" s="522">
        <f>+D90*12</f>
        <v/>
      </c>
      <c r="E92" s="522">
        <f>+E90*12</f>
        <v/>
      </c>
      <c r="F92" s="522">
        <f>+F90*12</f>
        <v/>
      </c>
    </row>
    <row r="93" ht="13" customFormat="1" customHeight="1" s="56">
      <c r="B93" s="70" t="n"/>
      <c r="C93" s="70" t="n"/>
      <c r="D93" s="70" t="n"/>
      <c r="E93" s="70" t="n"/>
      <c r="F93" s="70" t="n"/>
    </row>
    <row r="94" ht="13" customFormat="1" customHeight="1" s="56">
      <c r="A94" s="455" t="inlineStr">
        <is>
          <t>Building rent</t>
        </is>
      </c>
      <c r="B94" s="521" t="n">
        <v>200</v>
      </c>
      <c r="C94" s="519" t="n">
        <v>500</v>
      </c>
      <c r="D94" s="519" t="n">
        <v>1000</v>
      </c>
      <c r="E94" s="519" t="n">
        <v>2000</v>
      </c>
      <c r="F94" s="519">
        <f>E94*(1+F95)</f>
        <v/>
      </c>
    </row>
    <row r="95" customFormat="1" s="56">
      <c r="A95" s="161" t="inlineStr">
        <is>
          <t>Annual Increase %</t>
        </is>
      </c>
      <c r="B95" s="70" t="n"/>
      <c r="C95" s="63" t="n">
        <v>0.1</v>
      </c>
      <c r="D95" s="63" t="n">
        <v>0.1</v>
      </c>
      <c r="E95" s="63" t="n">
        <v>0.15</v>
      </c>
      <c r="F95" s="63" t="n">
        <v>0.1</v>
      </c>
    </row>
    <row r="96" ht="13" customFormat="1" customHeight="1" s="56">
      <c r="B96" s="522">
        <f>+B94*12</f>
        <v/>
      </c>
      <c r="C96" s="522">
        <f>+C94*12</f>
        <v/>
      </c>
      <c r="D96" s="522">
        <f>+D94*12</f>
        <v/>
      </c>
      <c r="E96" s="522">
        <f>+E94*12</f>
        <v/>
      </c>
      <c r="F96" s="522">
        <f>+F94*12</f>
        <v/>
      </c>
    </row>
    <row r="97" ht="13" customFormat="1" customHeight="1" s="56">
      <c r="B97" s="70" t="n"/>
      <c r="C97" s="70" t="n"/>
      <c r="D97" s="70" t="n"/>
      <c r="E97" s="70" t="n"/>
      <c r="F97" s="70" t="n"/>
    </row>
    <row r="98" ht="13" customFormat="1" customHeight="1" s="56">
      <c r="A98" s="89" t="inlineStr">
        <is>
          <t>Office General &amp; Admin</t>
        </is>
      </c>
      <c r="B98" s="521" t="n">
        <v>250</v>
      </c>
      <c r="C98" s="519">
        <f>B98*(1+C99)</f>
        <v/>
      </c>
      <c r="D98" s="519">
        <f>C98*(1+D99)</f>
        <v/>
      </c>
      <c r="E98" s="519">
        <f>D98*(1+E99)</f>
        <v/>
      </c>
      <c r="F98" s="519">
        <f>E98*(1+F99)</f>
        <v/>
      </c>
    </row>
    <row r="99" customFormat="1" s="56">
      <c r="A99" s="161" t="inlineStr">
        <is>
          <t>Annual Increase %</t>
        </is>
      </c>
      <c r="B99" s="70" t="n"/>
      <c r="C99" s="63" t="n">
        <v>0.5</v>
      </c>
      <c r="D99" s="63" t="n">
        <v>0.5</v>
      </c>
      <c r="E99" s="63" t="n">
        <v>0.5</v>
      </c>
      <c r="F99" s="63" t="n">
        <v>0.5</v>
      </c>
    </row>
    <row r="100" ht="13" customFormat="1" customHeight="1" s="56">
      <c r="B100" s="522">
        <f>+B98*12</f>
        <v/>
      </c>
      <c r="C100" s="522">
        <f>+C98*12</f>
        <v/>
      </c>
      <c r="D100" s="522">
        <f>+D98*12</f>
        <v/>
      </c>
      <c r="E100" s="522">
        <f>+E98*12</f>
        <v/>
      </c>
      <c r="F100" s="522">
        <f>+F98*12</f>
        <v/>
      </c>
    </row>
    <row r="101" ht="13" customFormat="1" customHeight="1" s="56">
      <c r="B101" s="70" t="n"/>
      <c r="C101" s="70" t="n"/>
      <c r="D101" s="70" t="n"/>
      <c r="E101" s="70" t="n"/>
      <c r="F101" s="70" t="n"/>
    </row>
    <row r="102" ht="13" customFormat="1" customHeight="1" s="56">
      <c r="A102" s="89" t="inlineStr">
        <is>
          <t>Consulting fees STRATEGY / B2B / SALES ORGANIZATION</t>
        </is>
      </c>
      <c r="B102" s="521" t="n">
        <v>3000</v>
      </c>
      <c r="C102" s="519">
        <f>B102*(1+C103)</f>
        <v/>
      </c>
      <c r="D102" s="519">
        <f>C102*(1+D103)</f>
        <v/>
      </c>
      <c r="E102" s="519">
        <f>D102*(1+E103)</f>
        <v/>
      </c>
      <c r="F102" s="519">
        <f>E102*(1+F103)</f>
        <v/>
      </c>
    </row>
    <row r="103" customFormat="1" s="56">
      <c r="A103" s="161" t="inlineStr">
        <is>
          <t>Annual Increase %</t>
        </is>
      </c>
      <c r="B103" s="70" t="n"/>
      <c r="C103" s="63" t="n">
        <v>0.2</v>
      </c>
      <c r="D103" s="63" t="n">
        <v>0.15</v>
      </c>
      <c r="E103" s="63" t="n">
        <v>0.15</v>
      </c>
      <c r="F103" s="63" t="n">
        <v>0.15</v>
      </c>
    </row>
    <row r="104" ht="13" customFormat="1" customHeight="1" s="56">
      <c r="B104" s="522">
        <f>+B102*12</f>
        <v/>
      </c>
      <c r="C104" s="522">
        <f>+C102*12</f>
        <v/>
      </c>
      <c r="D104" s="522">
        <f>+D102*12</f>
        <v/>
      </c>
      <c r="E104" s="522">
        <f>+E102*12</f>
        <v/>
      </c>
      <c r="F104" s="522">
        <f>+F102*12</f>
        <v/>
      </c>
    </row>
    <row r="105" ht="13" customFormat="1" customHeight="1" s="56">
      <c r="B105" s="522" t="n"/>
      <c r="C105" s="522" t="n"/>
      <c r="D105" s="522" t="n"/>
      <c r="E105" s="522" t="n"/>
      <c r="F105" s="522" t="n"/>
    </row>
    <row r="106" ht="13" customFormat="1" customHeight="1" s="56">
      <c r="A106" s="89" t="inlineStr">
        <is>
          <t xml:space="preserve">Consulting fees REGULATORY AFFAIRS / R&amp;D </t>
        </is>
      </c>
      <c r="B106" s="521" t="n">
        <v>3000</v>
      </c>
      <c r="C106" s="519">
        <f>B106*(1+C107)</f>
        <v/>
      </c>
      <c r="D106" s="519">
        <f>C106*(1+D107)</f>
        <v/>
      </c>
      <c r="E106" s="519">
        <f>D106*(1+E107)</f>
        <v/>
      </c>
      <c r="F106" s="519">
        <f>E106*(1+F107)</f>
        <v/>
      </c>
    </row>
    <row r="107" customFormat="1" s="56">
      <c r="A107" s="161" t="inlineStr">
        <is>
          <t>Annual Increase %</t>
        </is>
      </c>
      <c r="B107" s="70" t="n"/>
      <c r="C107" s="63" t="n">
        <v>0.35</v>
      </c>
      <c r="D107" s="63" t="n">
        <v>0.35</v>
      </c>
      <c r="E107" s="63" t="n">
        <v>0.15</v>
      </c>
      <c r="F107" s="63" t="n">
        <v>0.15</v>
      </c>
    </row>
    <row r="108" ht="13" customFormat="1" customHeight="1" s="56">
      <c r="B108" s="522">
        <f>+B106*12</f>
        <v/>
      </c>
      <c r="C108" s="522">
        <f>+C106*12</f>
        <v/>
      </c>
      <c r="D108" s="522">
        <f>+D106*12</f>
        <v/>
      </c>
      <c r="E108" s="522">
        <f>+E106*12</f>
        <v/>
      </c>
      <c r="F108" s="522">
        <f>+F106*12</f>
        <v/>
      </c>
    </row>
    <row r="109" ht="13" customFormat="1" customHeight="1" s="56">
      <c r="B109" s="522" t="n"/>
      <c r="C109" s="522" t="n"/>
      <c r="D109" s="522" t="n"/>
      <c r="E109" s="522" t="n"/>
      <c r="F109" s="522" t="n"/>
    </row>
    <row r="110" ht="13" customFormat="1" customHeight="1" s="56">
      <c r="A110" t="inlineStr">
        <is>
          <t>Accounting fees</t>
        </is>
      </c>
      <c r="B110" s="521" t="n">
        <v>150</v>
      </c>
      <c r="C110" s="519">
        <f>B110*(1+C111)</f>
        <v/>
      </c>
      <c r="D110" s="519">
        <f>C110*(1+D111)</f>
        <v/>
      </c>
      <c r="E110" s="519">
        <f>D110*(1+E111)</f>
        <v/>
      </c>
      <c r="F110" s="519">
        <f>E110*(1+F111)</f>
        <v/>
      </c>
    </row>
    <row r="111" customFormat="1" s="56">
      <c r="A111" s="161" t="inlineStr">
        <is>
          <t>Annual Increase %</t>
        </is>
      </c>
      <c r="B111" s="70" t="n"/>
      <c r="C111" s="63" t="n">
        <v>1</v>
      </c>
      <c r="D111" s="63" t="n">
        <v>0.1</v>
      </c>
      <c r="E111" s="63" t="n">
        <v>0.1</v>
      </c>
      <c r="F111" s="63" t="n">
        <v>0.05</v>
      </c>
    </row>
    <row r="112" ht="13" customFormat="1" customHeight="1" s="56">
      <c r="B112" s="522">
        <f>+B110*12</f>
        <v/>
      </c>
      <c r="C112" s="522">
        <f>+C110*12</f>
        <v/>
      </c>
      <c r="D112" s="522">
        <f>+D110*12</f>
        <v/>
      </c>
      <c r="E112" s="522">
        <f>+E110*12</f>
        <v/>
      </c>
      <c r="F112" s="522">
        <f>+F110*12</f>
        <v/>
      </c>
    </row>
    <row r="113" ht="13" customFormat="1" customHeight="1" s="56">
      <c r="B113" s="70" t="n"/>
      <c r="C113" s="70" t="n"/>
      <c r="D113" s="70" t="n"/>
      <c r="E113" s="70" t="n"/>
      <c r="F113" s="70" t="n"/>
    </row>
    <row r="114" ht="13" customFormat="1" customHeight="1" s="56">
      <c r="A114" t="inlineStr">
        <is>
          <t>Lawyer fees</t>
        </is>
      </c>
      <c r="B114" s="521" t="n">
        <v>100</v>
      </c>
      <c r="C114" s="519">
        <f>B114*(1+C115)</f>
        <v/>
      </c>
      <c r="D114" s="519">
        <f>C114*(1+D115)</f>
        <v/>
      </c>
      <c r="E114" s="519">
        <f>D114*(1+E115)</f>
        <v/>
      </c>
      <c r="F114" s="519">
        <f>E114*(1+F115)</f>
        <v/>
      </c>
    </row>
    <row r="115" customFormat="1" s="56">
      <c r="A115" s="161" t="inlineStr">
        <is>
          <t>Annual Increase %</t>
        </is>
      </c>
      <c r="B115" s="70" t="n"/>
      <c r="C115" s="63" t="n">
        <v>1</v>
      </c>
      <c r="D115" s="63" t="n">
        <v>0.05</v>
      </c>
      <c r="E115" s="63" t="n">
        <v>0.1</v>
      </c>
      <c r="F115" s="63" t="n">
        <v>0.05</v>
      </c>
    </row>
    <row r="116" ht="13" customFormat="1" customHeight="1" s="56">
      <c r="B116" s="522">
        <f>+B114*12</f>
        <v/>
      </c>
      <c r="C116" s="522">
        <f>+C114*12</f>
        <v/>
      </c>
      <c r="D116" s="522">
        <f>+D114*12</f>
        <v/>
      </c>
      <c r="E116" s="522">
        <f>+E114*12</f>
        <v/>
      </c>
      <c r="F116" s="522">
        <f>+F114*12</f>
        <v/>
      </c>
    </row>
    <row r="117" ht="13" customFormat="1" customHeight="1" s="56">
      <c r="B117" s="70" t="n"/>
      <c r="C117" s="70" t="n"/>
      <c r="D117" s="70" t="n"/>
      <c r="E117" s="70" t="n"/>
      <c r="F117" s="70" t="n"/>
    </row>
    <row r="118" ht="13" customFormat="1" customHeight="1" s="56">
      <c r="A118" s="89" t="inlineStr">
        <is>
          <t>Coordination chinese partners</t>
        </is>
      </c>
      <c r="B118" s="521" t="n">
        <v>750</v>
      </c>
      <c r="C118" s="519">
        <f>B118*(1+C119)</f>
        <v/>
      </c>
      <c r="D118" s="519">
        <f>C118*(1+D119)</f>
        <v/>
      </c>
      <c r="E118" s="519">
        <f>D118*(1+E119)</f>
        <v/>
      </c>
      <c r="F118" s="519">
        <f>E118*(1+F119)</f>
        <v/>
      </c>
    </row>
    <row r="119" customFormat="1" s="56">
      <c r="A119" s="161" t="inlineStr">
        <is>
          <t>Annual Increase %</t>
        </is>
      </c>
      <c r="B119" s="70" t="n"/>
      <c r="C119" s="63" t="n">
        <v>0.05</v>
      </c>
      <c r="D119" s="63" t="n">
        <v>0.05</v>
      </c>
      <c r="E119" s="63" t="n">
        <v>0.1</v>
      </c>
      <c r="F119" s="63" t="n">
        <v>0.05</v>
      </c>
    </row>
    <row r="120" ht="13" customFormat="1" customHeight="1" s="56">
      <c r="B120" s="522">
        <f>+B118*12</f>
        <v/>
      </c>
      <c r="C120" s="522">
        <f>+C118*12</f>
        <v/>
      </c>
      <c r="D120" s="522">
        <f>+D118*12</f>
        <v/>
      </c>
      <c r="E120" s="522">
        <f>+E118*12</f>
        <v/>
      </c>
      <c r="F120" s="522">
        <f>+F118*12</f>
        <v/>
      </c>
    </row>
    <row r="121" ht="13" customFormat="1" customHeight="1" s="56">
      <c r="B121" s="70" t="n"/>
      <c r="C121" s="70" t="n"/>
      <c r="D121" s="70" t="n"/>
      <c r="E121" s="70" t="n"/>
      <c r="F121" s="70" t="n"/>
    </row>
    <row r="122" ht="13" customFormat="1" customHeight="1" s="56">
      <c r="A122" s="89" t="inlineStr">
        <is>
          <t>Professional contribution</t>
        </is>
      </c>
      <c r="B122" s="521" t="n">
        <v>30</v>
      </c>
      <c r="C122" s="519">
        <f>B122*(1+C123)</f>
        <v/>
      </c>
      <c r="D122" s="519">
        <f>C122*(1+D123)</f>
        <v/>
      </c>
      <c r="E122" s="519">
        <f>D122*(1+E123)</f>
        <v/>
      </c>
      <c r="F122" s="519">
        <f>E122*(1+F123)</f>
        <v/>
      </c>
    </row>
    <row r="123" customFormat="1" s="56">
      <c r="A123" s="161" t="inlineStr">
        <is>
          <t>Annual Increase %</t>
        </is>
      </c>
      <c r="B123" s="70" t="n"/>
      <c r="C123" s="63" t="n">
        <v>0.05</v>
      </c>
      <c r="D123" s="63" t="n">
        <v>0.05</v>
      </c>
      <c r="E123" s="63" t="n">
        <v>0.1</v>
      </c>
      <c r="F123" s="63" t="n">
        <v>0.05</v>
      </c>
    </row>
    <row r="124" ht="13" customFormat="1" customHeight="1" s="56">
      <c r="B124" s="522">
        <f>+B122*12</f>
        <v/>
      </c>
      <c r="C124" s="522">
        <f>+C122*12</f>
        <v/>
      </c>
      <c r="D124" s="522">
        <f>+D122*12</f>
        <v/>
      </c>
      <c r="E124" s="522">
        <f>+E122*12</f>
        <v/>
      </c>
      <c r="F124" s="522">
        <f>+F122*12</f>
        <v/>
      </c>
      <c r="H124" s="523" t="n"/>
      <c r="I124" s="523" t="n"/>
      <c r="J124" s="523" t="n"/>
      <c r="K124" s="523" t="n"/>
    </row>
    <row r="125" ht="13" customFormat="1" customHeight="1" s="56">
      <c r="B125" s="522" t="n"/>
      <c r="C125" s="522" t="n"/>
      <c r="D125" s="522" t="n"/>
      <c r="E125" s="522" t="n"/>
      <c r="F125" s="522" t="n"/>
      <c r="H125" s="523" t="n"/>
      <c r="I125" s="523" t="n"/>
      <c r="J125" s="523" t="n"/>
      <c r="K125" s="523" t="n"/>
    </row>
    <row r="126" ht="13" customFormat="1" customHeight="1" s="56">
      <c r="A126" s="458" t="inlineStr">
        <is>
          <t>Monthly TOTAL</t>
        </is>
      </c>
      <c r="B126" s="524">
        <f>+B122+B118+B114+B110+B106+B102+B98+B94+B90+B86+B82+B78+B74+B70+B66+B62</f>
        <v/>
      </c>
      <c r="C126" s="524">
        <f>+C122+C118+C114+C110+C106+C102+C98+C94+C90+C86+C82+C78+C74+C70+C66+C62</f>
        <v/>
      </c>
      <c r="D126" s="524">
        <f>+D122+D118+D114+D110+D106+D102+D98+D94+D90+D86+D82+D78+D74+D70+D66+D62</f>
        <v/>
      </c>
      <c r="E126" s="524">
        <f>+E122+E118+E114+E110+E106+E102+E98+E94+E90+E86+E82+E78+E74+E70+E66+E62</f>
        <v/>
      </c>
      <c r="F126" s="524">
        <f>+F122+F118+F114+F110+F106+F102+F98+F94+F90+F86+F82+F78+F74+F70+F66+F62</f>
        <v/>
      </c>
      <c r="H126" s="523" t="n"/>
      <c r="I126" s="523" t="n"/>
      <c r="J126" s="523" t="n"/>
      <c r="K126" s="523" t="n"/>
    </row>
    <row r="127" ht="13" customFormat="1" customHeight="1" s="56">
      <c r="A127" s="89" t="inlineStr">
        <is>
          <t>Annual TOTAL</t>
        </is>
      </c>
      <c r="B127" s="522">
        <f>+B126*12</f>
        <v/>
      </c>
      <c r="C127" s="522">
        <f>+C126*12</f>
        <v/>
      </c>
      <c r="D127" s="522">
        <f>+D126*12</f>
        <v/>
      </c>
      <c r="E127" s="522">
        <f>+E126*12</f>
        <v/>
      </c>
      <c r="F127" s="522">
        <f>+F126*12</f>
        <v/>
      </c>
      <c r="H127" s="523" t="n"/>
      <c r="I127" s="523" t="n"/>
      <c r="J127" s="523" t="n"/>
      <c r="K127" s="523" t="n"/>
    </row>
    <row r="128" ht="13" customFormat="1" customHeight="1" s="56">
      <c r="B128" s="522" t="n"/>
      <c r="C128" s="522" t="n"/>
      <c r="D128" s="522" t="n"/>
      <c r="E128" s="522" t="n"/>
      <c r="F128" s="522" t="n"/>
      <c r="H128" s="523" t="n"/>
      <c r="I128" s="523" t="n"/>
      <c r="J128" s="523" t="n"/>
      <c r="K128" s="523" t="n"/>
    </row>
    <row r="129" ht="13" customFormat="1" customHeight="1" s="56">
      <c r="B129" s="522" t="n"/>
      <c r="C129" s="522" t="n"/>
      <c r="D129" s="522" t="n"/>
      <c r="E129" s="522" t="n"/>
      <c r="F129" s="522" t="n"/>
      <c r="H129" s="523" t="n"/>
      <c r="I129" s="523" t="n"/>
      <c r="J129" s="523" t="n"/>
      <c r="K129" s="523" t="n"/>
    </row>
    <row r="130" ht="13" customFormat="1" customHeight="1" s="56">
      <c r="B130" s="70" t="n"/>
      <c r="C130" s="70" t="n"/>
      <c r="D130" s="70" t="n"/>
      <c r="E130" s="70" t="n"/>
      <c r="F130" s="70" t="n"/>
      <c r="H130" s="523" t="n"/>
      <c r="I130" s="523" t="n"/>
      <c r="J130" s="523" t="n"/>
      <c r="K130" s="523" t="n"/>
    </row>
    <row r="131" customFormat="1" s="56">
      <c r="A131" s="71" t="n"/>
      <c r="B131" s="525" t="n"/>
      <c r="C131" s="519" t="n"/>
      <c r="D131" s="519" t="n"/>
      <c r="E131" s="519" t="n"/>
      <c r="F131" s="519" t="n"/>
      <c r="H131" s="160" t="n"/>
    </row>
    <row r="132" hidden="1" customFormat="1" s="56">
      <c r="A132" s="65" t="n"/>
      <c r="B132" s="525" t="n"/>
      <c r="C132" s="519" t="n"/>
      <c r="D132" s="519" t="n"/>
      <c r="E132" s="519" t="n"/>
      <c r="F132" s="519" t="n"/>
      <c r="H132" s="160" t="n"/>
    </row>
    <row r="133" customFormat="1" s="56">
      <c r="A133" s="65" t="n"/>
      <c r="B133" s="525" t="n"/>
      <c r="C133" s="519" t="n"/>
      <c r="D133" s="519" t="n"/>
      <c r="E133" s="519" t="n"/>
      <c r="F133" s="519" t="n"/>
    </row>
    <row r="134" customFormat="1" s="56">
      <c r="A134" s="125" t="inlineStr">
        <is>
          <t>PAYROLL ASSUMPTIONS</t>
        </is>
      </c>
      <c r="B134" s="525" t="n"/>
      <c r="C134" s="519" t="n"/>
      <c r="D134" s="519" t="n"/>
      <c r="E134" s="519" t="n"/>
      <c r="F134" s="519" t="n"/>
    </row>
    <row r="135" customFormat="1" s="56">
      <c r="A135" s="66" t="n"/>
      <c r="B135" s="525" t="n"/>
      <c r="C135" s="519" t="n"/>
      <c r="D135" s="519" t="n"/>
      <c r="E135" s="519" t="n"/>
      <c r="F135" s="519" t="n"/>
    </row>
    <row r="136" customFormat="1" s="56">
      <c r="A136" s="66" t="inlineStr">
        <is>
          <t xml:space="preserve">Management Team </t>
        </is>
      </c>
    </row>
    <row r="137" customFormat="1" s="56">
      <c r="A137" s="56" t="inlineStr">
        <is>
          <t>Chief Technical Officer - CXO</t>
        </is>
      </c>
      <c r="B137" s="525" t="n">
        <v>0</v>
      </c>
      <c r="C137" s="519" t="n">
        <v>3000</v>
      </c>
      <c r="D137" s="519" t="n">
        <v>6000</v>
      </c>
      <c r="E137" s="519">
        <f>+D137*1.03</f>
        <v/>
      </c>
      <c r="F137" s="519">
        <f>+E137*1.03</f>
        <v/>
      </c>
    </row>
    <row r="138" customFormat="1" s="56">
      <c r="A138" s="91" t="inlineStr">
        <is>
          <t>Board of Directors</t>
        </is>
      </c>
      <c r="B138" s="525" t="n">
        <v>0</v>
      </c>
      <c r="C138" s="525" t="n">
        <v>500</v>
      </c>
      <c r="D138" s="519">
        <f>+C138*1.1</f>
        <v/>
      </c>
      <c r="E138" s="519">
        <f>+D138*1.1</f>
        <v/>
      </c>
      <c r="F138" s="519">
        <f>+E138*1.1</f>
        <v/>
      </c>
    </row>
    <row r="139" customFormat="1" s="56">
      <c r="A139" s="91" t="n"/>
      <c r="B139" s="525" t="n"/>
      <c r="C139" s="519" t="n"/>
      <c r="E139" s="519" t="n"/>
      <c r="F139" s="519" t="n"/>
    </row>
    <row r="140" customFormat="1" s="56">
      <c r="A140" s="66" t="inlineStr">
        <is>
          <t>Production Team</t>
        </is>
      </c>
      <c r="H140" s="160" t="n"/>
    </row>
    <row r="141" customFormat="1" s="56">
      <c r="A141" s="67" t="inlineStr">
        <is>
          <t>Production and QC Technician</t>
        </is>
      </c>
      <c r="B141" s="525" t="n">
        <v>0</v>
      </c>
      <c r="C141" s="519" t="n">
        <v>0</v>
      </c>
      <c r="D141" s="519" t="n">
        <v>4500</v>
      </c>
      <c r="E141" s="519">
        <f>+D141*1.03</f>
        <v/>
      </c>
      <c r="F141" s="519">
        <f>+E141*1.03</f>
        <v/>
      </c>
    </row>
    <row r="142" customFormat="1" s="56">
      <c r="A142" s="56" t="inlineStr">
        <is>
          <t>QC Technician</t>
        </is>
      </c>
      <c r="B142" s="525" t="n">
        <v>0</v>
      </c>
      <c r="C142" s="519" t="n">
        <v>0</v>
      </c>
      <c r="D142" s="519" t="n">
        <v>0</v>
      </c>
      <c r="E142" s="519" t="n">
        <v>4635</v>
      </c>
      <c r="F142" s="519">
        <f>+E142*1.03</f>
        <v/>
      </c>
    </row>
    <row r="143" customFormat="1" s="56">
      <c r="A143" s="56" t="inlineStr">
        <is>
          <t xml:space="preserve">Quality Insurance </t>
        </is>
      </c>
      <c r="B143" s="525" t="n">
        <v>0</v>
      </c>
      <c r="C143" s="525" t="n">
        <v>0</v>
      </c>
      <c r="D143" s="525" t="n">
        <v>0</v>
      </c>
      <c r="E143" s="519" t="n">
        <v>3000</v>
      </c>
      <c r="F143" s="519" t="n">
        <v>7000</v>
      </c>
    </row>
    <row r="144" customFormat="1" s="56">
      <c r="A144" s="56" t="inlineStr">
        <is>
          <t>Secretary Logistics/ordering etc</t>
        </is>
      </c>
      <c r="B144" s="526" t="n"/>
      <c r="C144" s="526" t="n">
        <v>4000</v>
      </c>
      <c r="D144" s="526">
        <f>+C144*1.03</f>
        <v/>
      </c>
      <c r="E144" s="526">
        <f>+D144*1.03</f>
        <v/>
      </c>
      <c r="F144" s="526">
        <f>+E144*1.03</f>
        <v/>
      </c>
    </row>
    <row r="145" customFormat="1" s="56">
      <c r="B145" s="525" t="n"/>
      <c r="C145" s="519" t="n"/>
      <c r="D145" s="519" t="n"/>
      <c r="E145" s="519" t="n"/>
      <c r="F145" s="519" t="n"/>
    </row>
    <row r="146" customFormat="1" s="56">
      <c r="A146" s="54" t="inlineStr">
        <is>
          <t>Sales Team</t>
        </is>
      </c>
    </row>
    <row r="147" customFormat="1" s="56">
      <c r="A147" s="56" t="inlineStr">
        <is>
          <t>Sales Director (consultant partially paid by % on sales (50% of Revenu)</t>
        </is>
      </c>
      <c r="B147" s="525" t="n">
        <v>0</v>
      </c>
      <c r="C147" s="519" t="n">
        <v>5000</v>
      </c>
      <c r="D147" s="519">
        <f>+C147*1.25</f>
        <v/>
      </c>
      <c r="E147" s="519">
        <f>+D147*1.25</f>
        <v/>
      </c>
      <c r="F147" s="519">
        <f>+E147*1.25</f>
        <v/>
      </c>
    </row>
    <row r="148" customFormat="1" s="56">
      <c r="A148" s="56" t="inlineStr">
        <is>
          <t>Sales Director (consultant partially paid by % on sales (25% of Revenu)</t>
        </is>
      </c>
      <c r="B148" s="525" t="n">
        <v>0</v>
      </c>
      <c r="C148" s="519" t="n">
        <v>0</v>
      </c>
      <c r="D148" s="519" t="n">
        <v>5000</v>
      </c>
      <c r="E148" s="519">
        <f>+D148*1.1</f>
        <v/>
      </c>
      <c r="F148" s="519">
        <f>+E148*1.1</f>
        <v/>
      </c>
    </row>
    <row r="149" customFormat="1" s="56">
      <c r="B149" s="527" t="n"/>
      <c r="C149" s="528" t="n"/>
      <c r="D149" s="528" t="n"/>
      <c r="E149" s="528" t="n"/>
      <c r="F149" s="528" t="n"/>
    </row>
    <row r="150">
      <c r="A150" s="54" t="inlineStr">
        <is>
          <t xml:space="preserve">Marketing Team </t>
        </is>
      </c>
    </row>
    <row r="151">
      <c r="A151" s="56" t="inlineStr">
        <is>
          <t>Marketing Manager</t>
        </is>
      </c>
      <c r="B151" s="525" t="n">
        <v>0</v>
      </c>
      <c r="C151" s="519" t="n">
        <v>0</v>
      </c>
      <c r="D151" s="525" t="n">
        <v>0</v>
      </c>
      <c r="E151" s="519" t="n">
        <v>0</v>
      </c>
      <c r="F151" s="68" t="n">
        <v>6000</v>
      </c>
    </row>
    <row r="152">
      <c r="A152" s="56" t="n"/>
    </row>
    <row r="153">
      <c r="A153" s="76" t="inlineStr">
        <is>
          <t xml:space="preserve">Product Development Team </t>
        </is>
      </c>
    </row>
    <row r="154">
      <c r="A154" s="67" t="inlineStr">
        <is>
          <t>IT Project Manager (consultant)</t>
        </is>
      </c>
      <c r="B154" s="525" t="n">
        <v>0</v>
      </c>
      <c r="C154" s="519" t="n">
        <v>2000</v>
      </c>
      <c r="D154" s="525" t="n">
        <v>3000</v>
      </c>
      <c r="E154" s="519" t="n">
        <v>4000</v>
      </c>
      <c r="F154" s="68" t="n">
        <v>5000</v>
      </c>
    </row>
    <row r="155"/>
    <row r="156">
      <c r="B156" s="529">
        <f>SUM(B137:B154)</f>
        <v/>
      </c>
      <c r="C156" s="529">
        <f>SUM(C137:C154)</f>
        <v/>
      </c>
      <c r="D156" s="529">
        <f>SUM(D137:D154)</f>
        <v/>
      </c>
      <c r="E156" s="529">
        <f>SUM(E137:E154)</f>
        <v/>
      </c>
      <c r="F156" s="529">
        <f>SUM(F137:F154)</f>
        <v/>
      </c>
    </row>
    <row r="158">
      <c r="A158" t="inlineStr">
        <is>
          <t>CAPITAL &amp; SHAREHOLDING — 06/10/2026</t>
        </is>
      </c>
    </row>
    <row r="159">
      <c r="A159" t="inlineStr">
        <is>
          <t>Actionnaire</t>
        </is>
      </c>
      <c r="B159" t="inlineStr">
        <is>
          <t>Part</t>
        </is>
      </c>
      <c r="C159" t="inlineStr">
        <is>
          <t>Souscrit (€)</t>
        </is>
      </c>
      <c r="D159" t="inlineStr">
        <is>
          <t>Libéré (€)</t>
        </is>
      </c>
    </row>
    <row r="160">
      <c r="A160" t="inlineStr">
        <is>
          <t>DIAHO (fondateur)</t>
        </is>
      </c>
      <c r="B160" t="inlineStr">
        <is>
          <t>40 %</t>
        </is>
      </c>
      <c r="C160" t="n">
        <v>4000</v>
      </c>
      <c r="D160" t="n">
        <v>1600</v>
      </c>
    </row>
    <row r="161">
      <c r="A161" t="inlineStr">
        <is>
          <t>Fondateurs (4 × 15 %)</t>
        </is>
      </c>
      <c r="B161" t="inlineStr">
        <is>
          <t>60 %</t>
        </is>
      </c>
      <c r="C161" t="n">
        <v>6000</v>
      </c>
      <c r="D161" t="n">
        <v>2400</v>
      </c>
    </row>
    <row r="162">
      <c r="A162" t="inlineStr">
        <is>
          <t>Total</t>
        </is>
      </c>
      <c r="B162" t="inlineStr">
        <is>
          <t>100 %</t>
        </is>
      </c>
      <c r="C162" t="n">
        <v>10000</v>
      </c>
      <c r="D162" t="n">
        <v>4000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4">
    <tabColor rgb="FF0070C0"/>
    <outlinePr summaryBelow="1" summaryRight="1"/>
    <pageSetUpPr/>
  </sheetPr>
  <dimension ref="A1:BI60"/>
  <sheetViews>
    <sheetView showGridLines="0" zoomScale="150" zoomScaleNormal="150" workbookViewId="0">
      <pane xSplit="1" ySplit="5" topLeftCell="J35" activePane="bottomRight" state="frozen"/>
      <selection pane="topRight" activeCell="A2" sqref="A2"/>
      <selection pane="bottomLeft" activeCell="A2" sqref="A2"/>
      <selection pane="bottomRight" activeCell="K62" sqref="K62"/>
    </sheetView>
  </sheetViews>
  <sheetFormatPr baseColWidth="10" defaultColWidth="8.5" defaultRowHeight="12"/>
  <cols>
    <col width="44.5" bestFit="1" customWidth="1" style="512" min="1" max="1"/>
    <col hidden="1" width="11.1640625" customWidth="1" style="512" min="2" max="9"/>
    <col width="6" bestFit="1" customWidth="1" style="512" min="10" max="10"/>
    <col width="11.1640625" customWidth="1" style="512" min="11" max="13"/>
    <col width="12.5" customWidth="1" style="512" min="14" max="14"/>
    <col width="12.1640625" customWidth="1" style="512" min="15" max="21"/>
    <col width="12.1640625" bestFit="1" customWidth="1" style="512" min="22" max="22"/>
    <col width="12.1640625" customWidth="1" style="512" min="23" max="33"/>
    <col width="12.1640625" bestFit="1" customWidth="1" style="512" min="34" max="34"/>
    <col width="12.1640625" customWidth="1" style="512" min="35" max="45"/>
    <col width="12.1640625" bestFit="1" customWidth="1" style="512" min="46" max="46"/>
    <col width="12.1640625" customWidth="1" style="512" min="47" max="57"/>
    <col width="12.1640625" bestFit="1" customWidth="1" style="512" min="58" max="58"/>
    <col hidden="1" width="12.1640625" customWidth="1" style="512" min="59" max="60"/>
    <col hidden="1" width="14.1640625" customWidth="1" style="512" min="61" max="61"/>
    <col width="8.5" customWidth="1" style="512" min="62" max="16384"/>
  </cols>
  <sheetData>
    <row r="1" ht="26.25" customFormat="1" customHeight="1" s="106">
      <c r="A1" s="104" t="inlineStr">
        <is>
          <t>Vetalyx</t>
        </is>
      </c>
      <c r="B1" s="113" t="n"/>
      <c r="C1" s="105" t="n"/>
      <c r="D1" s="105" t="n"/>
      <c r="E1" s="105" t="n"/>
      <c r="F1" s="114" t="n"/>
      <c r="G1" s="114" t="n"/>
      <c r="H1" s="114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  <c r="AZ1" s="114" t="n"/>
      <c r="BA1" s="114" t="n"/>
      <c r="BB1" s="114" t="n"/>
    </row>
    <row r="2" ht="13" customFormat="1" customHeight="1" s="108">
      <c r="A2" s="117" t="inlineStr">
        <is>
          <t>Revenue Assumptions Sheet</t>
        </is>
      </c>
    </row>
    <row r="3" ht="13" customFormat="1" customHeight="1" s="108">
      <c r="A3" s="109" t="inlineStr">
        <is>
          <t>Amounts in €</t>
        </is>
      </c>
      <c r="B3" s="116">
        <f>YEAR(B5)</f>
        <v/>
      </c>
      <c r="C3" s="116">
        <f>YEAR(C5)</f>
        <v/>
      </c>
      <c r="D3" s="116">
        <f>YEAR(D5)</f>
        <v/>
      </c>
      <c r="E3" s="116">
        <f>YEAR(E5)</f>
        <v/>
      </c>
      <c r="F3" s="116">
        <f>YEAR(F5)</f>
        <v/>
      </c>
      <c r="G3" s="116">
        <f>YEAR(G5)</f>
        <v/>
      </c>
      <c r="H3" s="116">
        <f>YEAR(H5)</f>
        <v/>
      </c>
      <c r="I3" s="116">
        <f>YEAR(I5)</f>
        <v/>
      </c>
      <c r="J3" s="116">
        <f>YEAR(J5)</f>
        <v/>
      </c>
      <c r="K3" s="116">
        <f>YEAR(K5)</f>
        <v/>
      </c>
      <c r="L3" s="116">
        <f>YEAR(L5)</f>
        <v/>
      </c>
      <c r="M3" s="116">
        <f>YEAR(M5)</f>
        <v/>
      </c>
      <c r="N3" s="116">
        <f>YEAR(N5)</f>
        <v/>
      </c>
      <c r="O3" s="116">
        <f>YEAR(O5)</f>
        <v/>
      </c>
      <c r="P3" s="116">
        <f>YEAR(P5)</f>
        <v/>
      </c>
      <c r="Q3" s="116">
        <f>YEAR(Q5)</f>
        <v/>
      </c>
      <c r="R3" s="116">
        <f>YEAR(R5)</f>
        <v/>
      </c>
      <c r="S3" s="116">
        <f>YEAR(S5)</f>
        <v/>
      </c>
      <c r="T3" s="116">
        <f>YEAR(T5)</f>
        <v/>
      </c>
      <c r="U3" s="116">
        <f>YEAR(U5)</f>
        <v/>
      </c>
      <c r="V3" s="116">
        <f>YEAR(V5)</f>
        <v/>
      </c>
      <c r="W3" s="116">
        <f>YEAR(W5)</f>
        <v/>
      </c>
      <c r="X3" s="116">
        <f>YEAR(X5)</f>
        <v/>
      </c>
      <c r="Y3" s="116">
        <f>YEAR(Y5)</f>
        <v/>
      </c>
      <c r="Z3" s="116">
        <f>YEAR(Z5)</f>
        <v/>
      </c>
      <c r="AA3" s="116">
        <f>YEAR(AA5)</f>
        <v/>
      </c>
      <c r="AB3" s="116">
        <f>YEAR(AB5)</f>
        <v/>
      </c>
      <c r="AC3" s="116">
        <f>YEAR(AC5)</f>
        <v/>
      </c>
      <c r="AD3" s="116">
        <f>YEAR(AD5)</f>
        <v/>
      </c>
      <c r="AE3" s="116">
        <f>YEAR(AE5)</f>
        <v/>
      </c>
      <c r="AF3" s="116">
        <f>YEAR(AF5)</f>
        <v/>
      </c>
      <c r="AG3" s="116">
        <f>YEAR(AG5)</f>
        <v/>
      </c>
      <c r="AH3" s="116">
        <f>YEAR(AH5)</f>
        <v/>
      </c>
      <c r="AI3" s="116">
        <f>YEAR(AI5)</f>
        <v/>
      </c>
      <c r="AJ3" s="116">
        <f>YEAR(AJ5)</f>
        <v/>
      </c>
      <c r="AK3" s="116">
        <f>YEAR(AK5)</f>
        <v/>
      </c>
      <c r="AL3" s="116">
        <f>YEAR(AL5)</f>
        <v/>
      </c>
      <c r="AM3" s="116">
        <f>YEAR(AM5)</f>
        <v/>
      </c>
      <c r="AN3" s="116">
        <f>YEAR(AN5)</f>
        <v/>
      </c>
      <c r="AO3" s="116">
        <f>YEAR(AO5)</f>
        <v/>
      </c>
      <c r="AP3" s="116">
        <f>YEAR(AP5)</f>
        <v/>
      </c>
      <c r="AQ3" s="116">
        <f>YEAR(AQ5)</f>
        <v/>
      </c>
      <c r="AR3" s="116">
        <f>YEAR(AR5)</f>
        <v/>
      </c>
      <c r="AS3" s="116">
        <f>YEAR(AS5)</f>
        <v/>
      </c>
      <c r="AT3" s="116">
        <f>YEAR(AT5)</f>
        <v/>
      </c>
      <c r="AU3" s="116">
        <f>YEAR(AU5)</f>
        <v/>
      </c>
      <c r="AV3" s="116">
        <f>YEAR(AV5)</f>
        <v/>
      </c>
      <c r="AW3" s="116">
        <f>YEAR(AW5)</f>
        <v/>
      </c>
      <c r="AX3" s="116">
        <f>YEAR(AX5)</f>
        <v/>
      </c>
      <c r="AY3" s="116">
        <f>YEAR(AY5)</f>
        <v/>
      </c>
      <c r="AZ3" s="116">
        <f>YEAR(AZ5)</f>
        <v/>
      </c>
      <c r="BA3" s="116">
        <f>YEAR(BA5)</f>
        <v/>
      </c>
      <c r="BB3" s="116">
        <f>YEAR(BB5)</f>
        <v/>
      </c>
      <c r="BC3" s="116">
        <f>YEAR(BC5)</f>
        <v/>
      </c>
      <c r="BD3" s="116">
        <f>YEAR(BD5)</f>
        <v/>
      </c>
      <c r="BE3" s="116">
        <f>YEAR(BE5)</f>
        <v/>
      </c>
      <c r="BF3" s="116">
        <f>YEAR(BF5)</f>
        <v/>
      </c>
      <c r="BG3" s="116">
        <f>YEAR(BG5)</f>
        <v/>
      </c>
      <c r="BH3" s="116">
        <f>YEAR(BH5)</f>
        <v/>
      </c>
      <c r="BI3" s="116">
        <f>YEAR(BI5)</f>
        <v/>
      </c>
    </row>
    <row r="4" ht="11" customFormat="1" customHeight="1" s="5">
      <c r="B4" s="530" t="n">
        <v>1</v>
      </c>
      <c r="C4" s="530">
        <f>B4+1</f>
        <v/>
      </c>
      <c r="D4" s="530">
        <f>C4+1</f>
        <v/>
      </c>
      <c r="E4" s="530">
        <f>D4+1</f>
        <v/>
      </c>
      <c r="F4" s="530">
        <f>E4+1</f>
        <v/>
      </c>
      <c r="G4" s="530">
        <f>F4+1</f>
        <v/>
      </c>
      <c r="H4" s="530">
        <f>G4+1</f>
        <v/>
      </c>
      <c r="I4" s="530">
        <f>H4+1</f>
        <v/>
      </c>
      <c r="J4" s="530">
        <f>I4+1</f>
        <v/>
      </c>
      <c r="K4" s="530">
        <f>J4+1</f>
        <v/>
      </c>
      <c r="L4" s="530">
        <f>K4+1</f>
        <v/>
      </c>
      <c r="M4" s="530">
        <f>L4+1</f>
        <v/>
      </c>
      <c r="N4" s="530">
        <f>M4+1</f>
        <v/>
      </c>
      <c r="O4" s="530">
        <f>N4+1</f>
        <v/>
      </c>
      <c r="P4" s="530">
        <f>O4+1</f>
        <v/>
      </c>
      <c r="Q4" s="530">
        <f>P4+1</f>
        <v/>
      </c>
      <c r="R4" s="530">
        <f>Q4+1</f>
        <v/>
      </c>
      <c r="S4" s="530">
        <f>R4+1</f>
        <v/>
      </c>
      <c r="T4" s="530">
        <f>S4+1</f>
        <v/>
      </c>
      <c r="U4" s="530">
        <f>T4+1</f>
        <v/>
      </c>
      <c r="V4" s="530">
        <f>U4+1</f>
        <v/>
      </c>
      <c r="W4" s="530">
        <f>V4+1</f>
        <v/>
      </c>
      <c r="X4" s="530">
        <f>W4+1</f>
        <v/>
      </c>
      <c r="Y4" s="530">
        <f>X4+1</f>
        <v/>
      </c>
      <c r="Z4" s="530">
        <f>Y4+1</f>
        <v/>
      </c>
      <c r="AA4" s="530">
        <f>Z4+1</f>
        <v/>
      </c>
      <c r="AB4" s="530">
        <f>AA4+1</f>
        <v/>
      </c>
      <c r="AC4" s="530">
        <f>AB4+1</f>
        <v/>
      </c>
      <c r="AD4" s="530">
        <f>AC4+1</f>
        <v/>
      </c>
      <c r="AE4" s="530">
        <f>AD4+1</f>
        <v/>
      </c>
      <c r="AF4" s="530">
        <f>AE4+1</f>
        <v/>
      </c>
      <c r="AG4" s="530">
        <f>AF4+1</f>
        <v/>
      </c>
      <c r="AH4" s="530">
        <f>AG4+1</f>
        <v/>
      </c>
      <c r="AI4" s="530">
        <f>AH4+1</f>
        <v/>
      </c>
      <c r="AJ4" s="530">
        <f>AI4+1</f>
        <v/>
      </c>
      <c r="AK4" s="530">
        <f>AJ4+1</f>
        <v/>
      </c>
      <c r="AL4" s="530">
        <f>AK4+1</f>
        <v/>
      </c>
      <c r="AM4" s="530">
        <f>AL4+1</f>
        <v/>
      </c>
      <c r="AN4" s="530">
        <f>AM4+1</f>
        <v/>
      </c>
      <c r="AO4" s="530">
        <f>AN4+1</f>
        <v/>
      </c>
      <c r="AP4" s="530">
        <f>AO4+1</f>
        <v/>
      </c>
      <c r="AQ4" s="530">
        <f>AP4+1</f>
        <v/>
      </c>
      <c r="AR4" s="530">
        <f>AQ4+1</f>
        <v/>
      </c>
      <c r="AS4" s="530">
        <f>AR4+1</f>
        <v/>
      </c>
      <c r="AT4" s="530">
        <f>AS4+1</f>
        <v/>
      </c>
      <c r="AU4" s="530">
        <f>AT4+1</f>
        <v/>
      </c>
      <c r="AV4" s="530">
        <f>AU4+1</f>
        <v/>
      </c>
      <c r="AW4" s="530">
        <f>AV4+1</f>
        <v/>
      </c>
      <c r="AX4" s="530">
        <f>AW4+1</f>
        <v/>
      </c>
      <c r="AY4" s="530">
        <f>AX4+1</f>
        <v/>
      </c>
      <c r="AZ4" s="530">
        <f>AY4+1</f>
        <v/>
      </c>
      <c r="BA4" s="530">
        <f>AZ4+1</f>
        <v/>
      </c>
      <c r="BB4" s="530">
        <f>BA4+1</f>
        <v/>
      </c>
      <c r="BC4" s="530">
        <f>BB4+1</f>
        <v/>
      </c>
      <c r="BD4" s="530">
        <f>BC4+1</f>
        <v/>
      </c>
      <c r="BE4" s="530">
        <f>BD4+1</f>
        <v/>
      </c>
      <c r="BF4" s="530">
        <f>BE4+1</f>
        <v/>
      </c>
      <c r="BG4" s="530">
        <f>BF4+1</f>
        <v/>
      </c>
      <c r="BH4" s="530">
        <f>BG4+1</f>
        <v/>
      </c>
      <c r="BI4" s="530">
        <f>BH4+1</f>
        <v/>
      </c>
    </row>
    <row r="5" customFormat="1" s="108">
      <c r="A5" s="110" t="inlineStr">
        <is>
          <t>Assumptions for the Monthly Period</t>
        </is>
      </c>
      <c r="B5" s="111">
        <f>Controls!B6</f>
        <v/>
      </c>
      <c r="C5" s="111">
        <f>DATE(YEAR(B5),MONTH(B5)+1,DAY(B5))</f>
        <v/>
      </c>
      <c r="D5" s="111">
        <f>DATE(YEAR(C5),MONTH(C5)+1,DAY(C5))</f>
        <v/>
      </c>
      <c r="E5" s="111">
        <f>DATE(YEAR(D5),MONTH(D5)+1,DAY(D5))</f>
        <v/>
      </c>
      <c r="F5" s="111">
        <f>DATE(YEAR(E5),MONTH(E5)+1,DAY(E5))</f>
        <v/>
      </c>
      <c r="G5" s="111">
        <f>DATE(YEAR(F5),MONTH(F5)+1,DAY(F5))</f>
        <v/>
      </c>
      <c r="H5" s="111">
        <f>DATE(YEAR(G5),MONTH(G5)+1,DAY(G5))</f>
        <v/>
      </c>
      <c r="I5" s="111">
        <f>DATE(YEAR(H5),MONTH(H5)+1,DAY(H5))</f>
        <v/>
      </c>
      <c r="J5" s="111">
        <f>DATE(YEAR(I5),MONTH(I5)+1,DAY(I5))</f>
        <v/>
      </c>
      <c r="K5" s="111">
        <f>DATE(YEAR(J5),MONTH(J5)+1,DAY(J5))</f>
        <v/>
      </c>
      <c r="L5" s="111">
        <f>DATE(YEAR(K5),MONTH(K5)+1,DAY(K5))</f>
        <v/>
      </c>
      <c r="M5" s="111">
        <f>DATE(YEAR(L5),MONTH(L5)+1,DAY(L5))</f>
        <v/>
      </c>
      <c r="N5" s="111">
        <f>DATE(YEAR(M5),MONTH(M5)+1,DAY(M5))</f>
        <v/>
      </c>
      <c r="O5" s="111">
        <f>DATE(YEAR(N5),MONTH(N5)+1,DAY(N5))</f>
        <v/>
      </c>
      <c r="P5" s="111">
        <f>DATE(YEAR(O5),MONTH(O5)+1,DAY(O5))</f>
        <v/>
      </c>
      <c r="Q5" s="111">
        <f>DATE(YEAR(P5),MONTH(P5)+1,DAY(P5))</f>
        <v/>
      </c>
      <c r="R5" s="111">
        <f>DATE(YEAR(Q5),MONTH(Q5)+1,DAY(Q5))</f>
        <v/>
      </c>
      <c r="S5" s="111">
        <f>DATE(YEAR(R5),MONTH(R5)+1,DAY(R5))</f>
        <v/>
      </c>
      <c r="T5" s="111">
        <f>DATE(YEAR(S5),MONTH(S5)+1,DAY(S5))</f>
        <v/>
      </c>
      <c r="U5" s="111">
        <f>DATE(YEAR(T5),MONTH(T5)+1,DAY(T5))</f>
        <v/>
      </c>
      <c r="V5" s="111">
        <f>DATE(YEAR(U5),MONTH(U5)+1,DAY(U5))</f>
        <v/>
      </c>
      <c r="W5" s="111">
        <f>DATE(YEAR(V5),MONTH(V5)+1,DAY(V5))</f>
        <v/>
      </c>
      <c r="X5" s="111">
        <f>DATE(YEAR(W5),MONTH(W5)+1,DAY(W5))</f>
        <v/>
      </c>
      <c r="Y5" s="111">
        <f>DATE(YEAR(X5),MONTH(X5)+1,DAY(X5))</f>
        <v/>
      </c>
      <c r="Z5" s="111">
        <f>DATE(YEAR(Y5),MONTH(Y5)+1,DAY(Y5))</f>
        <v/>
      </c>
      <c r="AA5" s="111">
        <f>DATE(YEAR(Z5),MONTH(Z5)+1,DAY(Z5))</f>
        <v/>
      </c>
      <c r="AB5" s="111">
        <f>DATE(YEAR(AA5),MONTH(AA5)+1,DAY(AA5))</f>
        <v/>
      </c>
      <c r="AC5" s="111">
        <f>DATE(YEAR(AB5),MONTH(AB5)+1,DAY(AB5))</f>
        <v/>
      </c>
      <c r="AD5" s="111">
        <f>DATE(YEAR(AC5),MONTH(AC5)+1,DAY(AC5))</f>
        <v/>
      </c>
      <c r="AE5" s="111">
        <f>DATE(YEAR(AD5),MONTH(AD5)+1,DAY(AD5))</f>
        <v/>
      </c>
      <c r="AF5" s="111">
        <f>DATE(YEAR(AE5),MONTH(AE5)+1,DAY(AE5))</f>
        <v/>
      </c>
      <c r="AG5" s="111">
        <f>DATE(YEAR(AF5),MONTH(AF5)+1,DAY(AF5))</f>
        <v/>
      </c>
      <c r="AH5" s="111">
        <f>DATE(YEAR(AG5),MONTH(AG5)+1,DAY(AG5))</f>
        <v/>
      </c>
      <c r="AI5" s="111">
        <f>DATE(YEAR(AH5),MONTH(AH5)+1,DAY(AH5))</f>
        <v/>
      </c>
      <c r="AJ5" s="111">
        <f>DATE(YEAR(AI5),MONTH(AI5)+1,DAY(AI5))</f>
        <v/>
      </c>
      <c r="AK5" s="111">
        <f>DATE(YEAR(AJ5),MONTH(AJ5)+1,DAY(AJ5))</f>
        <v/>
      </c>
      <c r="AL5" s="111">
        <f>DATE(YEAR(AK5),MONTH(AK5)+1,DAY(AK5))</f>
        <v/>
      </c>
      <c r="AM5" s="111">
        <f>DATE(YEAR(AL5),MONTH(AL5)+1,DAY(AL5))</f>
        <v/>
      </c>
      <c r="AN5" s="111">
        <f>DATE(YEAR(AM5),MONTH(AM5)+1,DAY(AM5))</f>
        <v/>
      </c>
      <c r="AO5" s="111">
        <f>DATE(YEAR(AN5),MONTH(AN5)+1,DAY(AN5))</f>
        <v/>
      </c>
      <c r="AP5" s="111">
        <f>DATE(YEAR(AO5),MONTH(AO5)+1,DAY(AO5))</f>
        <v/>
      </c>
      <c r="AQ5" s="111">
        <f>DATE(YEAR(AP5),MONTH(AP5)+1,DAY(AP5))</f>
        <v/>
      </c>
      <c r="AR5" s="111">
        <f>DATE(YEAR(AQ5),MONTH(AQ5)+1,DAY(AQ5))</f>
        <v/>
      </c>
      <c r="AS5" s="111">
        <f>DATE(YEAR(AR5),MONTH(AR5)+1,DAY(AR5))</f>
        <v/>
      </c>
      <c r="AT5" s="111">
        <f>DATE(YEAR(AS5),MONTH(AS5)+1,DAY(AS5))</f>
        <v/>
      </c>
      <c r="AU5" s="111">
        <f>DATE(YEAR(AT5),MONTH(AT5)+1,DAY(AT5))</f>
        <v/>
      </c>
      <c r="AV5" s="111">
        <f>DATE(YEAR(AU5),MONTH(AU5)+1,DAY(AU5))</f>
        <v/>
      </c>
      <c r="AW5" s="111">
        <f>DATE(YEAR(AV5),MONTH(AV5)+1,DAY(AV5))</f>
        <v/>
      </c>
      <c r="AX5" s="111">
        <f>DATE(YEAR(AW5),MONTH(AW5)+1,DAY(AW5))</f>
        <v/>
      </c>
      <c r="AY5" s="111">
        <f>DATE(YEAR(AX5),MONTH(AX5)+1,DAY(AX5))</f>
        <v/>
      </c>
      <c r="AZ5" s="111">
        <f>DATE(YEAR(AY5),MONTH(AY5)+1,DAY(AY5))</f>
        <v/>
      </c>
      <c r="BA5" s="111">
        <f>DATE(YEAR(AZ5),MONTH(AZ5)+1,DAY(AZ5))</f>
        <v/>
      </c>
      <c r="BB5" s="111">
        <f>DATE(YEAR(BA5),MONTH(BA5)+1,DAY(BA5))</f>
        <v/>
      </c>
      <c r="BC5" s="111">
        <f>DATE(YEAR(BB5),MONTH(BB5)+1,DAY(BB5))</f>
        <v/>
      </c>
      <c r="BD5" s="111">
        <f>DATE(YEAR(BC5),MONTH(BC5)+1,DAY(BC5))</f>
        <v/>
      </c>
      <c r="BE5" s="111">
        <f>DATE(YEAR(BD5),MONTH(BD5)+1,DAY(BD5))</f>
        <v/>
      </c>
      <c r="BF5" s="111">
        <f>DATE(YEAR(BE5),MONTH(BE5)+1,DAY(BE5))</f>
        <v/>
      </c>
      <c r="BG5" s="111">
        <f>DATE(YEAR(BF5),MONTH(BF5)+1,DAY(BF5))</f>
        <v/>
      </c>
      <c r="BH5" s="111">
        <f>DATE(YEAR(BG5),MONTH(BG5)+1,DAY(BG5))</f>
        <v/>
      </c>
      <c r="BI5" s="111">
        <f>DATE(YEAR(BH5),MONTH(BH5)+1,DAY(BH5))</f>
        <v/>
      </c>
    </row>
    <row r="6" customFormat="1" s="531">
      <c r="A6" s="532" t="n"/>
      <c r="B6" s="533" t="n"/>
      <c r="C6" s="533" t="n"/>
      <c r="D6" s="533" t="n"/>
      <c r="E6" s="533" t="n"/>
      <c r="F6" s="533" t="n"/>
      <c r="G6" s="533" t="n"/>
      <c r="H6" s="533" t="n"/>
      <c r="I6" s="533" t="n"/>
      <c r="J6" s="533" t="n"/>
      <c r="K6" s="533" t="n"/>
      <c r="L6" s="533" t="n"/>
      <c r="M6" s="533" t="n"/>
      <c r="N6" s="534" t="n"/>
      <c r="O6" s="534" t="n"/>
      <c r="P6" s="534" t="n"/>
      <c r="Q6" s="534" t="n"/>
      <c r="R6" s="534" t="n"/>
      <c r="S6" s="534" t="n"/>
      <c r="T6" s="534" t="n"/>
      <c r="U6" s="534" t="n"/>
      <c r="V6" s="534" t="n"/>
      <c r="W6" s="534" t="n"/>
      <c r="X6" s="534" t="n"/>
      <c r="Y6" s="534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6" t="n"/>
      <c r="AM6" s="536" t="n"/>
      <c r="AN6" s="536" t="n"/>
      <c r="AO6" s="536" t="n"/>
      <c r="AP6" s="536" t="n"/>
      <c r="AQ6" s="536" t="n"/>
      <c r="AR6" s="536" t="n"/>
      <c r="AS6" s="536" t="n"/>
      <c r="AT6" s="536" t="n"/>
      <c r="AU6" s="536" t="n"/>
      <c r="AV6" s="536" t="n"/>
      <c r="AW6" s="536" t="n"/>
      <c r="AX6" s="537" t="n"/>
      <c r="AY6" s="537" t="n"/>
      <c r="AZ6" s="537" t="n"/>
      <c r="BA6" s="537" t="n"/>
      <c r="BB6" s="537" t="n"/>
      <c r="BC6" s="537" t="n"/>
      <c r="BD6" s="537" t="n"/>
      <c r="BE6" s="537" t="n"/>
      <c r="BF6" s="537" t="n"/>
      <c r="BG6" s="537" t="n"/>
      <c r="BH6" s="537" t="n"/>
      <c r="BI6" s="537" t="n"/>
    </row>
    <row r="7">
      <c r="A7" s="69" t="inlineStr">
        <is>
          <t>Unit Sales</t>
        </is>
      </c>
      <c r="B7" s="538" t="n"/>
      <c r="C7" s="539" t="n"/>
      <c r="D7" s="539" t="n"/>
      <c r="E7" s="539" t="n"/>
      <c r="F7" s="539" t="n"/>
      <c r="G7" s="539" t="n"/>
      <c r="H7" s="539" t="n"/>
      <c r="I7" s="539" t="n"/>
      <c r="J7" s="539" t="n"/>
      <c r="K7" s="539" t="n"/>
      <c r="L7" s="539" t="n"/>
      <c r="M7" s="539" t="n"/>
      <c r="N7" s="540" t="n"/>
      <c r="O7" s="540" t="n"/>
      <c r="P7" s="540" t="n"/>
      <c r="Q7" s="540" t="n"/>
      <c r="R7" s="540" t="n"/>
      <c r="S7" s="540" t="n"/>
      <c r="T7" s="540" t="n"/>
      <c r="U7" s="540" t="n"/>
      <c r="V7" s="540" t="n"/>
      <c r="W7" s="540" t="n"/>
      <c r="X7" s="540" t="n"/>
      <c r="Y7" s="540" t="n"/>
      <c r="Z7" s="541" t="n"/>
      <c r="AA7" s="541" t="n"/>
      <c r="AB7" s="541" t="n"/>
      <c r="AC7" s="541" t="n"/>
      <c r="AD7" s="541" t="n"/>
      <c r="AE7" s="541" t="n"/>
      <c r="AF7" s="541" t="n"/>
      <c r="AG7" s="541" t="n"/>
      <c r="AH7" s="541" t="n"/>
      <c r="AI7" s="541" t="n"/>
      <c r="AJ7" s="541" t="n"/>
      <c r="AK7" s="541" t="n"/>
      <c r="AL7" s="542" t="n"/>
      <c r="AM7" s="542" t="n"/>
      <c r="AN7" s="542" t="n"/>
      <c r="AO7" s="542" t="n"/>
      <c r="AP7" s="542" t="n"/>
      <c r="AQ7" s="542" t="n"/>
      <c r="AR7" s="542" t="n"/>
      <c r="AS7" s="542" t="n"/>
      <c r="AT7" s="542" t="n"/>
      <c r="AU7" s="542" t="n"/>
      <c r="AV7" s="542" t="n"/>
      <c r="AW7" s="542" t="n"/>
      <c r="AX7" s="543" t="n"/>
      <c r="AY7" s="543" t="n"/>
      <c r="AZ7" s="543" t="n"/>
      <c r="BA7" s="543" t="n"/>
      <c r="BB7" s="543" t="n"/>
      <c r="BC7" s="543" t="n"/>
      <c r="BD7" s="543" t="n"/>
      <c r="BE7" s="543" t="n"/>
      <c r="BF7" s="543" t="n"/>
      <c r="BG7" s="543" t="n"/>
      <c r="BH7" s="543" t="n"/>
      <c r="BI7" s="543" t="n"/>
    </row>
    <row r="8">
      <c r="A8" s="69" t="n"/>
      <c r="B8" s="544" t="n"/>
      <c r="C8" s="544" t="n"/>
      <c r="D8" s="544" t="n"/>
      <c r="E8" s="544" t="n"/>
      <c r="F8" s="544" t="n"/>
      <c r="G8" s="544" t="n"/>
      <c r="H8" s="544" t="n"/>
      <c r="I8" s="544" t="n"/>
      <c r="J8" s="544" t="n"/>
      <c r="K8" s="544" t="n"/>
      <c r="L8" s="544" t="n"/>
      <c r="M8" s="544" t="n"/>
      <c r="N8" s="545" t="n"/>
      <c r="O8" s="545" t="n"/>
      <c r="P8" s="545" t="n"/>
      <c r="Q8" s="545" t="n"/>
      <c r="R8" s="545" t="n"/>
      <c r="S8" s="545" t="n"/>
      <c r="T8" s="545" t="n"/>
      <c r="U8" s="545" t="n"/>
      <c r="V8" s="545" t="n"/>
      <c r="W8" s="545" t="n"/>
      <c r="X8" s="545" t="n"/>
      <c r="Y8" s="545" t="n"/>
      <c r="Z8" s="546" t="n"/>
      <c r="AA8" s="546" t="n"/>
      <c r="AB8" s="546" t="n"/>
      <c r="AC8" s="546" t="n"/>
      <c r="AD8" s="546" t="n"/>
      <c r="AE8" s="546" t="n"/>
      <c r="AF8" s="546" t="n"/>
      <c r="AG8" s="546" t="n"/>
      <c r="AH8" s="546" t="n"/>
      <c r="AI8" s="546" t="n"/>
      <c r="AJ8" s="546" t="n"/>
      <c r="AK8" s="546" t="n"/>
      <c r="AL8" s="547" t="n"/>
      <c r="AM8" s="547" t="n"/>
      <c r="AN8" s="547" t="n"/>
      <c r="AO8" s="547" t="n"/>
      <c r="AP8" s="547" t="n"/>
      <c r="AQ8" s="547" t="n"/>
      <c r="AR8" s="547" t="n"/>
      <c r="AS8" s="547" t="n"/>
      <c r="AT8" s="547" t="n"/>
      <c r="AU8" s="547" t="n"/>
      <c r="AV8" s="547" t="n"/>
      <c r="AW8" s="547" t="n"/>
      <c r="AX8" s="548" t="n"/>
      <c r="AY8" s="548" t="n"/>
      <c r="AZ8" s="548" t="n"/>
      <c r="BA8" s="548" t="n"/>
      <c r="BB8" s="548" t="n"/>
      <c r="BC8" s="548" t="n"/>
      <c r="BD8" s="548" t="n"/>
      <c r="BE8" s="548" t="n"/>
      <c r="BF8" s="548" t="n"/>
      <c r="BG8" s="548" t="n"/>
      <c r="BH8" s="548" t="n"/>
      <c r="BI8" s="548" t="n"/>
    </row>
    <row r="9" hidden="1" s="497">
      <c r="A9" s="184" t="inlineStr">
        <is>
          <t>Thermic Units</t>
        </is>
      </c>
      <c r="B9" s="544" t="n"/>
      <c r="C9" s="544" t="n"/>
      <c r="D9" s="544" t="n"/>
      <c r="E9" s="544" t="n"/>
      <c r="F9" s="544" t="n"/>
      <c r="G9" s="544" t="n"/>
      <c r="H9" s="544" t="n"/>
      <c r="I9" s="544" t="n"/>
      <c r="J9" s="544" t="n"/>
      <c r="K9" s="544" t="n"/>
      <c r="L9" s="544" t="n"/>
      <c r="M9" s="544" t="n"/>
      <c r="N9" s="545" t="n"/>
      <c r="O9" s="545" t="n"/>
      <c r="P9" s="545" t="n"/>
      <c r="Q9" s="545" t="n"/>
      <c r="R9" s="545" t="n"/>
      <c r="S9" s="545" t="n"/>
      <c r="T9" s="545" t="n"/>
      <c r="U9" s="545" t="n"/>
      <c r="V9" s="545" t="n"/>
      <c r="W9" s="545" t="n"/>
      <c r="X9" s="545" t="n"/>
      <c r="Y9" s="545" t="n"/>
      <c r="Z9" s="546" t="n"/>
      <c r="AA9" s="546" t="n"/>
      <c r="AB9" s="546" t="n"/>
      <c r="AC9" s="546" t="n"/>
      <c r="AD9" s="546" t="n"/>
      <c r="AE9" s="546" t="n"/>
      <c r="AF9" s="546" t="n"/>
      <c r="AG9" s="546" t="n"/>
      <c r="AH9" s="546" t="n"/>
      <c r="AI9" s="546" t="n"/>
      <c r="AJ9" s="546" t="n"/>
      <c r="AK9" s="546" t="n"/>
      <c r="AL9" s="547" t="n"/>
      <c r="AM9" s="547" t="n"/>
      <c r="AN9" s="547" t="n"/>
      <c r="AO9" s="547" t="n"/>
      <c r="AP9" s="547" t="n"/>
      <c r="AQ9" s="547" t="n"/>
      <c r="AR9" s="547" t="n"/>
      <c r="AS9" s="547" t="n"/>
      <c r="AT9" s="547" t="n"/>
      <c r="AU9" s="547" t="n"/>
      <c r="AV9" s="547" t="n"/>
      <c r="AW9" s="547" t="n"/>
      <c r="AX9" s="548" t="n"/>
      <c r="AY9" s="548" t="n"/>
      <c r="AZ9" s="548" t="n"/>
      <c r="BA9" s="548" t="n"/>
      <c r="BB9" s="548" t="n"/>
      <c r="BC9" s="548" t="n"/>
      <c r="BD9" s="548" t="n"/>
      <c r="BE9" s="548" t="n"/>
      <c r="BF9" s="548" t="n"/>
      <c r="BG9" s="548" t="n"/>
      <c r="BH9" s="548" t="n"/>
      <c r="BI9" s="548" t="n"/>
    </row>
    <row r="10" hidden="1" ht="14" customHeight="1" s="497">
      <c r="A10" s="58" t="inlineStr">
        <is>
          <t>La 12T Belgium</t>
        </is>
      </c>
      <c r="B10" s="549" t="n">
        <v>0</v>
      </c>
      <c r="C10" s="549" t="n">
        <v>0</v>
      </c>
      <c r="D10" s="549" t="n">
        <v>0</v>
      </c>
      <c r="E10" s="549" t="n">
        <v>0</v>
      </c>
      <c r="F10" s="549" t="n">
        <v>0</v>
      </c>
      <c r="G10" s="549" t="n">
        <v>0</v>
      </c>
      <c r="H10" s="549" t="n">
        <v>0</v>
      </c>
      <c r="I10" s="549" t="n">
        <v>0</v>
      </c>
      <c r="J10" s="549" t="n">
        <v>0</v>
      </c>
      <c r="K10" s="549" t="n">
        <v>0</v>
      </c>
      <c r="L10" s="549" t="n">
        <v>0</v>
      </c>
      <c r="M10" s="549" t="n">
        <v>0</v>
      </c>
      <c r="N10" s="549" t="n">
        <v>0</v>
      </c>
      <c r="O10" s="549" t="n">
        <v>0</v>
      </c>
      <c r="P10" s="549" t="n">
        <v>0</v>
      </c>
      <c r="Q10" s="549" t="n">
        <v>0</v>
      </c>
      <c r="R10" s="549" t="n">
        <v>0</v>
      </c>
      <c r="S10" s="549" t="n">
        <v>0</v>
      </c>
      <c r="T10" s="549" t="n">
        <v>0</v>
      </c>
      <c r="U10" s="549" t="n">
        <v>0</v>
      </c>
      <c r="V10" s="549" t="n">
        <v>0</v>
      </c>
      <c r="W10" s="549" t="n">
        <v>0</v>
      </c>
      <c r="X10" s="549" t="n">
        <v>0</v>
      </c>
      <c r="Y10" s="549" t="n">
        <v>0</v>
      </c>
      <c r="Z10" s="549" t="n">
        <v>0</v>
      </c>
      <c r="AA10" s="549" t="n">
        <v>0</v>
      </c>
      <c r="AB10" s="549" t="n">
        <v>0</v>
      </c>
      <c r="AC10" s="549" t="n">
        <v>0</v>
      </c>
      <c r="AD10" s="549" t="n">
        <v>0</v>
      </c>
      <c r="AE10" s="549" t="n">
        <v>0</v>
      </c>
      <c r="AF10" s="549" t="n">
        <v>0</v>
      </c>
      <c r="AG10" s="549" t="n">
        <v>0</v>
      </c>
      <c r="AH10" s="549" t="n">
        <v>0</v>
      </c>
      <c r="AI10" s="549" t="n">
        <v>0</v>
      </c>
      <c r="AJ10" s="549" t="n">
        <v>0</v>
      </c>
      <c r="AK10" s="549" t="n">
        <v>0</v>
      </c>
      <c r="AL10" s="549" t="n">
        <v>0</v>
      </c>
      <c r="AM10" s="549" t="n">
        <v>0</v>
      </c>
      <c r="AN10" s="549" t="n">
        <v>0</v>
      </c>
      <c r="AO10" s="549" t="n">
        <v>0</v>
      </c>
      <c r="AP10" s="549" t="n">
        <v>0</v>
      </c>
      <c r="AQ10" s="549" t="n">
        <v>0</v>
      </c>
      <c r="AR10" s="549" t="n">
        <v>0</v>
      </c>
      <c r="AS10" s="549" t="n">
        <v>0</v>
      </c>
      <c r="AT10" s="549" t="n">
        <v>0</v>
      </c>
      <c r="AU10" s="549" t="n">
        <v>0</v>
      </c>
      <c r="AV10" s="549" t="n">
        <v>0</v>
      </c>
      <c r="AW10" s="549" t="n">
        <v>0</v>
      </c>
      <c r="AX10" s="549" t="n">
        <v>0</v>
      </c>
      <c r="AY10" s="549" t="n">
        <v>0</v>
      </c>
      <c r="AZ10" s="549" t="n">
        <v>0</v>
      </c>
      <c r="BA10" s="549" t="n">
        <v>0</v>
      </c>
      <c r="BB10" s="549" t="n">
        <v>0</v>
      </c>
      <c r="BC10" s="549" t="n">
        <v>0</v>
      </c>
      <c r="BD10" s="549" t="n">
        <v>0</v>
      </c>
      <c r="BE10" s="549" t="n">
        <v>0</v>
      </c>
      <c r="BF10" s="549" t="n">
        <v>0</v>
      </c>
      <c r="BG10" s="549" t="n">
        <v>0</v>
      </c>
      <c r="BH10" s="549" t="n">
        <v>0</v>
      </c>
      <c r="BI10" s="549" t="n">
        <v>0</v>
      </c>
    </row>
    <row r="11" hidden="1" ht="14" customHeight="1" s="497">
      <c r="A11" s="58" t="inlineStr">
        <is>
          <t>La 12T France</t>
        </is>
      </c>
      <c r="B11" s="549" t="n">
        <v>0</v>
      </c>
      <c r="C11" s="549" t="n">
        <v>0</v>
      </c>
      <c r="D11" s="549" t="n">
        <v>0</v>
      </c>
      <c r="E11" s="549" t="n">
        <v>0</v>
      </c>
      <c r="F11" s="549" t="n">
        <v>0</v>
      </c>
      <c r="G11" s="549" t="n">
        <v>0</v>
      </c>
      <c r="H11" s="549" t="n">
        <v>0</v>
      </c>
      <c r="I11" s="549" t="n">
        <v>0</v>
      </c>
      <c r="J11" s="549" t="n">
        <v>0</v>
      </c>
      <c r="K11" s="549" t="n">
        <v>0</v>
      </c>
      <c r="L11" s="549" t="n">
        <v>0</v>
      </c>
      <c r="M11" s="549" t="n">
        <v>0</v>
      </c>
      <c r="N11" s="549" t="n">
        <v>0</v>
      </c>
      <c r="O11" s="549" t="n">
        <v>0</v>
      </c>
      <c r="P11" s="549" t="n">
        <v>0</v>
      </c>
      <c r="Q11" s="549" t="n">
        <v>0</v>
      </c>
      <c r="R11" s="549" t="n">
        <v>0</v>
      </c>
      <c r="S11" s="549" t="n">
        <v>0</v>
      </c>
      <c r="T11" s="549" t="n">
        <v>0</v>
      </c>
      <c r="U11" s="549" t="n">
        <v>0</v>
      </c>
      <c r="V11" s="549" t="n">
        <v>0</v>
      </c>
      <c r="W11" s="549" t="n">
        <v>0</v>
      </c>
      <c r="X11" s="549" t="n">
        <v>0</v>
      </c>
      <c r="Y11" s="549" t="n">
        <v>0</v>
      </c>
      <c r="Z11" s="549" t="n">
        <v>0</v>
      </c>
      <c r="AA11" s="549" t="n">
        <v>0</v>
      </c>
      <c r="AB11" s="549" t="n">
        <v>0</v>
      </c>
      <c r="AC11" s="549" t="n">
        <v>0</v>
      </c>
      <c r="AD11" s="549" t="n">
        <v>0</v>
      </c>
      <c r="AE11" s="549" t="n">
        <v>0</v>
      </c>
      <c r="AF11" s="549" t="n">
        <v>0</v>
      </c>
      <c r="AG11" s="549" t="n">
        <v>0</v>
      </c>
      <c r="AH11" s="549" t="n">
        <v>0</v>
      </c>
      <c r="AI11" s="549" t="n">
        <v>0</v>
      </c>
      <c r="AJ11" s="549" t="n">
        <v>0</v>
      </c>
      <c r="AK11" s="549" t="n">
        <v>0</v>
      </c>
      <c r="AL11" s="549" t="n">
        <v>0</v>
      </c>
      <c r="AM11" s="549" t="n">
        <v>0</v>
      </c>
      <c r="AN11" s="549" t="n">
        <v>0</v>
      </c>
      <c r="AO11" s="549" t="n">
        <v>0</v>
      </c>
      <c r="AP11" s="549" t="n">
        <v>0</v>
      </c>
      <c r="AQ11" s="549" t="n">
        <v>0</v>
      </c>
      <c r="AR11" s="549" t="n">
        <v>0</v>
      </c>
      <c r="AS11" s="549" t="n">
        <v>0</v>
      </c>
      <c r="AT11" s="549" t="n">
        <v>0</v>
      </c>
      <c r="AU11" s="549" t="n">
        <v>0</v>
      </c>
      <c r="AV11" s="549" t="n">
        <v>0</v>
      </c>
      <c r="AW11" s="549" t="n">
        <v>0</v>
      </c>
      <c r="AX11" s="549" t="n">
        <v>0</v>
      </c>
      <c r="AY11" s="549" t="n">
        <v>0</v>
      </c>
      <c r="AZ11" s="549" t="n">
        <v>0</v>
      </c>
      <c r="BA11" s="549" t="n">
        <v>0</v>
      </c>
      <c r="BB11" s="549" t="n">
        <v>0</v>
      </c>
      <c r="BC11" s="549" t="n">
        <v>0</v>
      </c>
      <c r="BD11" s="549" t="n">
        <v>0</v>
      </c>
      <c r="BE11" s="549" t="n">
        <v>0</v>
      </c>
      <c r="BF11" s="549" t="n">
        <v>0</v>
      </c>
      <c r="BG11" s="549" t="n">
        <v>0</v>
      </c>
      <c r="BH11" s="549" t="n">
        <v>0</v>
      </c>
      <c r="BI11" s="549" t="n">
        <v>0</v>
      </c>
    </row>
    <row r="12" hidden="1" ht="14" customHeight="1" s="497">
      <c r="A12" s="58" t="inlineStr">
        <is>
          <t>La 12T Europe</t>
        </is>
      </c>
      <c r="B12" s="549" t="n">
        <v>0</v>
      </c>
      <c r="C12" s="549" t="n">
        <v>0</v>
      </c>
      <c r="D12" s="549" t="n">
        <v>0</v>
      </c>
      <c r="E12" s="549" t="n">
        <v>0</v>
      </c>
      <c r="F12" s="549" t="n">
        <v>0</v>
      </c>
      <c r="G12" s="549" t="n">
        <v>0</v>
      </c>
      <c r="H12" s="549" t="n">
        <v>0</v>
      </c>
      <c r="I12" s="549" t="n">
        <v>0</v>
      </c>
      <c r="J12" s="549" t="n">
        <v>0</v>
      </c>
      <c r="K12" s="549" t="n">
        <v>0</v>
      </c>
      <c r="L12" s="549" t="n">
        <v>0</v>
      </c>
      <c r="M12" s="549" t="n">
        <v>0</v>
      </c>
      <c r="N12" s="549" t="n">
        <v>0</v>
      </c>
      <c r="O12" s="549" t="n">
        <v>0</v>
      </c>
      <c r="P12" s="549" t="n">
        <v>0</v>
      </c>
      <c r="Q12" s="549" t="n">
        <v>0</v>
      </c>
      <c r="R12" s="549" t="n">
        <v>0</v>
      </c>
      <c r="S12" s="549" t="n">
        <v>0</v>
      </c>
      <c r="T12" s="549" t="n">
        <v>0</v>
      </c>
      <c r="U12" s="549" t="n">
        <v>0</v>
      </c>
      <c r="V12" s="549" t="n">
        <v>0</v>
      </c>
      <c r="W12" s="549" t="n">
        <v>0</v>
      </c>
      <c r="X12" s="549" t="n">
        <v>0</v>
      </c>
      <c r="Y12" s="549" t="n">
        <v>0</v>
      </c>
      <c r="Z12" s="549" t="n">
        <v>0</v>
      </c>
      <c r="AA12" s="549" t="n">
        <v>0</v>
      </c>
      <c r="AB12" s="549" t="n">
        <v>0</v>
      </c>
      <c r="AC12" s="549" t="n">
        <v>0</v>
      </c>
      <c r="AD12" s="549" t="n">
        <v>0</v>
      </c>
      <c r="AE12" s="549" t="n">
        <v>0</v>
      </c>
      <c r="AF12" s="549" t="n">
        <v>0</v>
      </c>
      <c r="AG12" s="549" t="n">
        <v>0</v>
      </c>
      <c r="AH12" s="549" t="n">
        <v>0</v>
      </c>
      <c r="AI12" s="549" t="n">
        <v>0</v>
      </c>
      <c r="AJ12" s="549" t="n">
        <v>0</v>
      </c>
      <c r="AK12" s="549" t="n">
        <v>0</v>
      </c>
      <c r="AL12" s="549" t="n">
        <v>0</v>
      </c>
      <c r="AM12" s="549" t="n">
        <v>0</v>
      </c>
      <c r="AN12" s="549" t="n">
        <v>0</v>
      </c>
      <c r="AO12" s="549" t="n">
        <v>0</v>
      </c>
      <c r="AP12" s="549" t="n">
        <v>0</v>
      </c>
      <c r="AQ12" s="549" t="n">
        <v>0</v>
      </c>
      <c r="AR12" s="549" t="n">
        <v>0</v>
      </c>
      <c r="AS12" s="549" t="n">
        <v>0</v>
      </c>
      <c r="AT12" s="549" t="n">
        <v>0</v>
      </c>
      <c r="AU12" s="549" t="n">
        <v>0</v>
      </c>
      <c r="AV12" s="549" t="n">
        <v>0</v>
      </c>
      <c r="AW12" s="549" t="n">
        <v>0</v>
      </c>
      <c r="AX12" s="549" t="n">
        <v>0</v>
      </c>
      <c r="AY12" s="549" t="n">
        <v>0</v>
      </c>
      <c r="AZ12" s="549" t="n">
        <v>0</v>
      </c>
      <c r="BA12" s="549" t="n">
        <v>0</v>
      </c>
      <c r="BB12" s="549" t="n">
        <v>0</v>
      </c>
      <c r="BC12" s="549" t="n">
        <v>0</v>
      </c>
      <c r="BD12" s="549" t="n">
        <v>0</v>
      </c>
      <c r="BE12" s="549" t="n">
        <v>0</v>
      </c>
      <c r="BF12" s="549" t="n">
        <v>0</v>
      </c>
      <c r="BG12" s="549" t="n">
        <v>0</v>
      </c>
      <c r="BH12" s="549" t="n">
        <v>0</v>
      </c>
      <c r="BI12" s="549" t="n">
        <v>0</v>
      </c>
    </row>
    <row r="13" hidden="1" ht="14" customHeight="1" s="497">
      <c r="A13" s="58" t="inlineStr">
        <is>
          <t>La 12T USA</t>
        </is>
      </c>
      <c r="B13" s="549" t="n">
        <v>0</v>
      </c>
      <c r="C13" s="549" t="n">
        <v>0</v>
      </c>
      <c r="D13" s="549" t="n">
        <v>0</v>
      </c>
      <c r="E13" s="549" t="n">
        <v>0</v>
      </c>
      <c r="F13" s="549" t="n">
        <v>0</v>
      </c>
      <c r="G13" s="549" t="n">
        <v>0</v>
      </c>
      <c r="H13" s="549" t="n">
        <v>0</v>
      </c>
      <c r="I13" s="549" t="n">
        <v>0</v>
      </c>
      <c r="J13" s="549" t="n">
        <v>0</v>
      </c>
      <c r="K13" s="549" t="n">
        <v>0</v>
      </c>
      <c r="L13" s="549" t="n">
        <v>0</v>
      </c>
      <c r="M13" s="549" t="n">
        <v>0</v>
      </c>
      <c r="N13" s="549" t="n">
        <v>0</v>
      </c>
      <c r="O13" s="549" t="n">
        <v>0</v>
      </c>
      <c r="P13" s="549" t="n">
        <v>0</v>
      </c>
      <c r="Q13" s="549" t="n">
        <v>0</v>
      </c>
      <c r="R13" s="549" t="n">
        <v>0</v>
      </c>
      <c r="S13" s="549" t="n">
        <v>0</v>
      </c>
      <c r="T13" s="549" t="n">
        <v>0</v>
      </c>
      <c r="U13" s="549" t="n">
        <v>0</v>
      </c>
      <c r="V13" s="549" t="n">
        <v>0</v>
      </c>
      <c r="W13" s="549" t="n">
        <v>0</v>
      </c>
      <c r="X13" s="549" t="n">
        <v>0</v>
      </c>
      <c r="Y13" s="549" t="n">
        <v>0</v>
      </c>
      <c r="Z13" s="549" t="n">
        <v>0</v>
      </c>
      <c r="AA13" s="549" t="n">
        <v>0</v>
      </c>
      <c r="AB13" s="549" t="n">
        <v>0</v>
      </c>
      <c r="AC13" s="549" t="n">
        <v>0</v>
      </c>
      <c r="AD13" s="549" t="n">
        <v>0</v>
      </c>
      <c r="AE13" s="549" t="n">
        <v>0</v>
      </c>
      <c r="AF13" s="549" t="n">
        <v>0</v>
      </c>
      <c r="AG13" s="549" t="n">
        <v>0</v>
      </c>
      <c r="AH13" s="549" t="n">
        <v>0</v>
      </c>
      <c r="AI13" s="549" t="n">
        <v>0</v>
      </c>
      <c r="AJ13" s="549" t="n">
        <v>0</v>
      </c>
      <c r="AK13" s="549" t="n">
        <v>0</v>
      </c>
      <c r="AL13" s="549" t="n">
        <v>0</v>
      </c>
      <c r="AM13" s="549" t="n">
        <v>0</v>
      </c>
      <c r="AN13" s="549" t="n">
        <v>0</v>
      </c>
      <c r="AO13" s="549" t="n">
        <v>0</v>
      </c>
      <c r="AP13" s="549" t="n">
        <v>0</v>
      </c>
      <c r="AQ13" s="549" t="n">
        <v>0</v>
      </c>
      <c r="AR13" s="549" t="n">
        <v>0</v>
      </c>
      <c r="AS13" s="549" t="n">
        <v>0</v>
      </c>
      <c r="AT13" s="549" t="n">
        <v>0</v>
      </c>
      <c r="AU13" s="549" t="n">
        <v>0</v>
      </c>
      <c r="AV13" s="549" t="n">
        <v>0</v>
      </c>
      <c r="AW13" s="549" t="n">
        <v>0</v>
      </c>
      <c r="AX13" s="549" t="n">
        <v>0</v>
      </c>
      <c r="AY13" s="549" t="n">
        <v>0</v>
      </c>
      <c r="AZ13" s="549" t="n">
        <v>0</v>
      </c>
      <c r="BA13" s="549" t="n">
        <v>0</v>
      </c>
      <c r="BB13" s="549" t="n">
        <v>0</v>
      </c>
      <c r="BC13" s="549" t="n">
        <v>0</v>
      </c>
      <c r="BD13" s="549" t="n">
        <v>0</v>
      </c>
      <c r="BE13" s="549" t="n">
        <v>0</v>
      </c>
      <c r="BF13" s="549" t="n">
        <v>0</v>
      </c>
      <c r="BG13" s="549" t="n">
        <v>0</v>
      </c>
      <c r="BH13" s="549" t="n">
        <v>0</v>
      </c>
      <c r="BI13" s="549" t="n">
        <v>0</v>
      </c>
    </row>
    <row r="14" hidden="1" ht="14" customHeight="1" s="497">
      <c r="A14" s="58" t="inlineStr">
        <is>
          <t>La 12T SE ASIA</t>
        </is>
      </c>
      <c r="B14" s="549" t="n">
        <v>0</v>
      </c>
      <c r="C14" s="549" t="n">
        <v>0</v>
      </c>
      <c r="D14" s="549" t="n">
        <v>0</v>
      </c>
      <c r="E14" s="549" t="n">
        <v>0</v>
      </c>
      <c r="F14" s="549" t="n">
        <v>0</v>
      </c>
      <c r="G14" s="549" t="n">
        <v>0</v>
      </c>
      <c r="H14" s="549" t="n">
        <v>0</v>
      </c>
      <c r="I14" s="549" t="n">
        <v>0</v>
      </c>
      <c r="J14" s="549" t="n">
        <v>0</v>
      </c>
      <c r="K14" s="549" t="n">
        <v>0</v>
      </c>
      <c r="L14" s="549" t="n">
        <v>0</v>
      </c>
      <c r="M14" s="549" t="n">
        <v>0</v>
      </c>
      <c r="N14" s="549" t="n">
        <v>0</v>
      </c>
      <c r="O14" s="549" t="n">
        <v>0</v>
      </c>
      <c r="P14" s="549" t="n">
        <v>0</v>
      </c>
      <c r="Q14" s="549" t="n">
        <v>0</v>
      </c>
      <c r="R14" s="549" t="n">
        <v>0</v>
      </c>
      <c r="S14" s="549" t="n">
        <v>0</v>
      </c>
      <c r="T14" s="549" t="n">
        <v>0</v>
      </c>
      <c r="U14" s="549" t="n">
        <v>0</v>
      </c>
      <c r="V14" s="549" t="n">
        <v>0</v>
      </c>
      <c r="W14" s="549" t="n">
        <v>0</v>
      </c>
      <c r="X14" s="549" t="n">
        <v>0</v>
      </c>
      <c r="Y14" s="549" t="n">
        <v>0</v>
      </c>
      <c r="Z14" s="549" t="n">
        <v>0</v>
      </c>
      <c r="AA14" s="549" t="n">
        <v>0</v>
      </c>
      <c r="AB14" s="549" t="n">
        <v>0</v>
      </c>
      <c r="AC14" s="549" t="n">
        <v>0</v>
      </c>
      <c r="AD14" s="549" t="n">
        <v>0</v>
      </c>
      <c r="AE14" s="549" t="n">
        <v>0</v>
      </c>
      <c r="AF14" s="549" t="n">
        <v>0</v>
      </c>
      <c r="AG14" s="549" t="n">
        <v>0</v>
      </c>
      <c r="AH14" s="549" t="n">
        <v>0</v>
      </c>
      <c r="AI14" s="549" t="n">
        <v>0</v>
      </c>
      <c r="AJ14" s="549" t="n">
        <v>0</v>
      </c>
      <c r="AK14" s="549" t="n">
        <v>0</v>
      </c>
      <c r="AL14" s="549" t="n">
        <v>0</v>
      </c>
      <c r="AM14" s="549" t="n">
        <v>0</v>
      </c>
      <c r="AN14" s="549" t="n">
        <v>0</v>
      </c>
      <c r="AO14" s="549" t="n">
        <v>0</v>
      </c>
      <c r="AP14" s="549" t="n">
        <v>0</v>
      </c>
      <c r="AQ14" s="549" t="n">
        <v>0</v>
      </c>
      <c r="AR14" s="549" t="n">
        <v>0</v>
      </c>
      <c r="AS14" s="549" t="n">
        <v>0</v>
      </c>
      <c r="AT14" s="549" t="n">
        <v>0</v>
      </c>
      <c r="AU14" s="549" t="n">
        <v>0</v>
      </c>
      <c r="AV14" s="549" t="n">
        <v>0</v>
      </c>
      <c r="AW14" s="549" t="n">
        <v>0</v>
      </c>
      <c r="AX14" s="549" t="n">
        <v>0</v>
      </c>
      <c r="AY14" s="549" t="n">
        <v>0</v>
      </c>
      <c r="AZ14" s="549" t="n">
        <v>0</v>
      </c>
      <c r="BA14" s="549" t="n">
        <v>0</v>
      </c>
      <c r="BB14" s="549" t="n">
        <v>0</v>
      </c>
      <c r="BC14" s="549" t="n">
        <v>0</v>
      </c>
      <c r="BD14" s="549" t="n">
        <v>0</v>
      </c>
      <c r="BE14" s="549" t="n">
        <v>0</v>
      </c>
      <c r="BF14" s="549" t="n">
        <v>0</v>
      </c>
      <c r="BG14" s="549" t="n">
        <v>0</v>
      </c>
      <c r="BH14" s="549" t="n">
        <v>0</v>
      </c>
      <c r="BI14" s="549" t="n">
        <v>0</v>
      </c>
    </row>
    <row r="15" hidden="1" s="497">
      <c r="A15" s="190" t="inlineStr">
        <is>
          <t>Total Units Sold</t>
        </is>
      </c>
      <c r="B15" s="550">
        <f>ROUND(SUM(B10:B14),0)</f>
        <v/>
      </c>
      <c r="C15" s="550">
        <f>ROUND(SUM(C10:C14),0)</f>
        <v/>
      </c>
      <c r="D15" s="550">
        <f>ROUND(SUM(D10:D14),0)</f>
        <v/>
      </c>
      <c r="E15" s="550">
        <f>ROUND(SUM(E10:E14),0)</f>
        <v/>
      </c>
      <c r="F15" s="550">
        <f>ROUND(SUM(F10:F14),0)</f>
        <v/>
      </c>
      <c r="G15" s="550">
        <f>ROUND(SUM(G10:G14),0)</f>
        <v/>
      </c>
      <c r="H15" s="550">
        <f>ROUND(SUM(H10:H14),0)</f>
        <v/>
      </c>
      <c r="I15" s="550">
        <f>ROUND(SUM(I10:I14),0)</f>
        <v/>
      </c>
      <c r="J15" s="550">
        <f>ROUND(SUM(J10:J14),0)</f>
        <v/>
      </c>
      <c r="K15" s="550">
        <f>ROUND(SUM(K10:K14),0)</f>
        <v/>
      </c>
      <c r="L15" s="550">
        <f>ROUND(SUM(L10:L14),0)</f>
        <v/>
      </c>
      <c r="M15" s="550">
        <f>ROUND(SUM(M10:M14),0)</f>
        <v/>
      </c>
      <c r="N15" s="550">
        <f>ROUND(SUM(N10:N14),0)</f>
        <v/>
      </c>
      <c r="O15" s="550">
        <f>ROUND(SUM(O10:O14),0)</f>
        <v/>
      </c>
      <c r="P15" s="550">
        <f>ROUND(SUM(P10:P14),0)</f>
        <v/>
      </c>
      <c r="Q15" s="550">
        <f>ROUND(SUM(Q10:Q14),0)</f>
        <v/>
      </c>
      <c r="R15" s="550">
        <f>ROUND(SUM(R10:R14),0)</f>
        <v/>
      </c>
      <c r="S15" s="550">
        <f>ROUND(SUM(S10:S14),0)</f>
        <v/>
      </c>
      <c r="T15" s="550">
        <f>ROUND(SUM(T10:T14),0)</f>
        <v/>
      </c>
      <c r="U15" s="550">
        <f>ROUND(SUM(U10:U14),0)</f>
        <v/>
      </c>
      <c r="V15" s="550">
        <f>ROUND(SUM(V10:V14),0)</f>
        <v/>
      </c>
      <c r="W15" s="550">
        <f>ROUND(SUM(W10:W14),0)</f>
        <v/>
      </c>
      <c r="X15" s="550">
        <f>ROUND(SUM(X10:X14),0)</f>
        <v/>
      </c>
      <c r="Y15" s="550">
        <f>ROUND(SUM(Y10:Y14),0)</f>
        <v/>
      </c>
      <c r="Z15" s="550">
        <f>ROUND(SUM(Z10:Z14),0)</f>
        <v/>
      </c>
      <c r="AA15" s="550">
        <f>ROUND(SUM(AA10:AA14),0)</f>
        <v/>
      </c>
      <c r="AB15" s="550">
        <f>ROUND(SUM(AB10:AB14),0)</f>
        <v/>
      </c>
      <c r="AC15" s="550">
        <f>ROUND(SUM(AC10:AC14),0)</f>
        <v/>
      </c>
      <c r="AD15" s="550">
        <f>ROUND(SUM(AD10:AD14),0)</f>
        <v/>
      </c>
      <c r="AE15" s="550">
        <f>ROUND(SUM(AE10:AE14),0)</f>
        <v/>
      </c>
      <c r="AF15" s="550">
        <f>ROUND(SUM(AF10:AF14),0)</f>
        <v/>
      </c>
      <c r="AG15" s="550">
        <f>ROUND(SUM(AG10:AG14),0)</f>
        <v/>
      </c>
      <c r="AH15" s="550">
        <f>ROUND(SUM(AH10:AH14),0)</f>
        <v/>
      </c>
      <c r="AI15" s="550">
        <f>ROUND(SUM(AI10:AI14),0)</f>
        <v/>
      </c>
      <c r="AJ15" s="550">
        <f>ROUND(SUM(AJ10:AJ14),0)</f>
        <v/>
      </c>
      <c r="AK15" s="550">
        <f>ROUND(SUM(AK10:AK14),0)</f>
        <v/>
      </c>
      <c r="AL15" s="550">
        <f>ROUND(SUM(AL10:AL14),0)</f>
        <v/>
      </c>
      <c r="AM15" s="550">
        <f>ROUND(SUM(AM10:AM14),0)</f>
        <v/>
      </c>
      <c r="AN15" s="550">
        <f>ROUND(SUM(AN10:AN14),0)</f>
        <v/>
      </c>
      <c r="AO15" s="550">
        <f>ROUND(SUM(AO10:AO14),0)</f>
        <v/>
      </c>
      <c r="AP15" s="550">
        <f>ROUND(SUM(AP10:AP14),0)</f>
        <v/>
      </c>
      <c r="AQ15" s="550">
        <f>ROUND(SUM(AQ10:AQ14),0)</f>
        <v/>
      </c>
      <c r="AR15" s="550">
        <f>ROUND(SUM(AR10:AR14),0)</f>
        <v/>
      </c>
      <c r="AS15" s="550">
        <f>ROUND(SUM(AS10:AS14),0)</f>
        <v/>
      </c>
      <c r="AT15" s="550">
        <f>ROUND(SUM(AT10:AT14),0)</f>
        <v/>
      </c>
      <c r="AU15" s="550">
        <f>ROUND(SUM(AU10:AU14),0)</f>
        <v/>
      </c>
      <c r="AV15" s="550">
        <f>ROUND(SUM(AV10:AV14),0)</f>
        <v/>
      </c>
      <c r="AW15" s="550">
        <f>ROUND(SUM(AW10:AW14),0)</f>
        <v/>
      </c>
      <c r="AX15" s="550">
        <f>ROUND(SUM(AX10:AX14),0)</f>
        <v/>
      </c>
      <c r="AY15" s="550">
        <f>ROUND(SUM(AY10:AY14),0)</f>
        <v/>
      </c>
      <c r="AZ15" s="550">
        <f>ROUND(SUM(AZ10:AZ14),0)</f>
        <v/>
      </c>
      <c r="BA15" s="550">
        <f>ROUND(SUM(BA10:BA14),0)</f>
        <v/>
      </c>
      <c r="BB15" s="550">
        <f>ROUND(SUM(BB10:BB14),0)</f>
        <v/>
      </c>
      <c r="BC15" s="550">
        <f>ROUND(SUM(BC10:BC14),0)</f>
        <v/>
      </c>
      <c r="BD15" s="550">
        <f>ROUND(SUM(BD10:BD14),0)</f>
        <v/>
      </c>
      <c r="BE15" s="550">
        <f>ROUND(SUM(BE10:BE14),0)</f>
        <v/>
      </c>
      <c r="BF15" s="550">
        <f>ROUND(SUM(BF10:BF14),0)</f>
        <v/>
      </c>
      <c r="BG15" s="550">
        <f>ROUND(SUM(BG10:BG14),0)</f>
        <v/>
      </c>
      <c r="BH15" s="550">
        <f>ROUND(SUM(BH10:BH14),0)</f>
        <v/>
      </c>
      <c r="BI15" s="550">
        <f>ROUND(SUM(BI10:BI14),0)</f>
        <v/>
      </c>
    </row>
    <row r="16" hidden="1" s="497">
      <c r="B16" s="544" t="n"/>
      <c r="C16" s="544" t="n"/>
      <c r="D16" s="544" t="n"/>
      <c r="E16" s="544" t="n"/>
      <c r="F16" s="544" t="n"/>
      <c r="G16" s="544" t="n"/>
      <c r="H16" s="544" t="n"/>
      <c r="I16" s="544" t="n"/>
      <c r="J16" s="544" t="n"/>
      <c r="K16" s="544" t="n"/>
      <c r="L16" s="544" t="n"/>
      <c r="M16" s="544" t="n"/>
      <c r="N16" s="545" t="n"/>
      <c r="O16" s="545" t="n"/>
      <c r="P16" s="545" t="n"/>
      <c r="Q16" s="545" t="n"/>
      <c r="R16" s="545" t="n"/>
      <c r="S16" s="545" t="n"/>
      <c r="T16" s="545" t="n"/>
      <c r="U16" s="545" t="n"/>
      <c r="V16" s="545" t="n"/>
      <c r="W16" s="545" t="n"/>
      <c r="X16" s="545" t="n"/>
      <c r="Y16" s="545" t="n"/>
      <c r="Z16" s="546" t="n"/>
      <c r="AA16" s="546" t="n"/>
      <c r="AB16" s="546" t="n"/>
      <c r="AC16" s="546" t="n"/>
      <c r="AD16" s="546" t="n"/>
      <c r="AE16" s="546" t="n"/>
      <c r="AF16" s="546" t="n"/>
      <c r="AG16" s="546" t="n"/>
      <c r="AH16" s="546" t="n"/>
      <c r="AI16" s="546" t="n"/>
      <c r="AJ16" s="546" t="n"/>
      <c r="AK16" s="546" t="n"/>
      <c r="AL16" s="547" t="n"/>
      <c r="AM16" s="547" t="n"/>
      <c r="AN16" s="547" t="n"/>
      <c r="AO16" s="547" t="n"/>
      <c r="AP16" s="547" t="n"/>
      <c r="AQ16" s="547" t="n"/>
      <c r="AR16" s="547" t="n"/>
      <c r="AS16" s="547" t="n"/>
      <c r="AT16" s="547" t="n"/>
      <c r="AU16" s="547" t="n"/>
      <c r="AV16" s="547" t="n"/>
      <c r="AW16" s="547" t="n"/>
      <c r="AX16" s="548" t="n"/>
      <c r="AY16" s="548" t="n"/>
      <c r="AZ16" s="548" t="n"/>
      <c r="BA16" s="548" t="n"/>
      <c r="BB16" s="548" t="n"/>
      <c r="BC16" s="548" t="n"/>
      <c r="BD16" s="548" t="n"/>
      <c r="BE16" s="548" t="n"/>
      <c r="BF16" s="548" t="n"/>
      <c r="BG16" s="548" t="n"/>
      <c r="BH16" s="548" t="n"/>
      <c r="BI16" s="548" t="n"/>
    </row>
    <row r="17" hidden="1" s="497">
      <c r="A17" s="189" t="inlineStr">
        <is>
          <t>Thermic Unit Average Price</t>
        </is>
      </c>
      <c r="B17" s="551">
        <f>HLOOKUP(B$3,Controls!$A$5:$F$558,MATCH($A17,Controls!$A$5:$A$564,0),0)</f>
        <v/>
      </c>
      <c r="C17" s="551">
        <f>HLOOKUP(C$3,Controls!$A$5:$F$558,MATCH($A17,Controls!$A$5:$A$564,0),0)</f>
        <v/>
      </c>
      <c r="D17" s="551">
        <f>HLOOKUP(D$3,Controls!$A$5:$F$558,MATCH($A17,Controls!$A$5:$A$564,0),0)</f>
        <v/>
      </c>
      <c r="E17" s="551">
        <f>HLOOKUP(E$3,Controls!$A$5:$F$558,MATCH($A17,Controls!$A$5:$A$564,0),0)</f>
        <v/>
      </c>
      <c r="F17" s="551">
        <f>HLOOKUP(F$3,Controls!$A$5:$F$558,MATCH($A17,Controls!$A$5:$A$564,0),0)</f>
        <v/>
      </c>
      <c r="G17" s="551">
        <f>HLOOKUP(G$3,Controls!$A$5:$F$558,MATCH($A17,Controls!$A$5:$A$564,0),0)</f>
        <v/>
      </c>
      <c r="H17" s="551">
        <f>HLOOKUP(H$3,Controls!$A$5:$F$558,MATCH($A17,Controls!$A$5:$A$564,0),0)</f>
        <v/>
      </c>
      <c r="I17" s="551">
        <f>HLOOKUP(I$3,Controls!$A$5:$F$558,MATCH($A17,Controls!$A$5:$A$564,0),0)</f>
        <v/>
      </c>
      <c r="J17" s="551">
        <f>HLOOKUP(J$3,Controls!$A$5:$F$558,MATCH($A17,Controls!$A$5:$A$564,0),0)</f>
        <v/>
      </c>
      <c r="K17" s="551">
        <f>HLOOKUP(K$3,Controls!$A$5:$F$558,MATCH($A17,Controls!$A$5:$A$564,0),0)</f>
        <v/>
      </c>
      <c r="L17" s="551">
        <f>HLOOKUP(L$3,Controls!$A$5:$F$558,MATCH($A17,Controls!$A$5:$A$564,0),0)</f>
        <v/>
      </c>
      <c r="M17" s="551">
        <f>HLOOKUP(M$3,Controls!$A$5:$F$558,MATCH($A17,Controls!$A$5:$A$564,0),0)</f>
        <v/>
      </c>
      <c r="N17" s="552">
        <f>HLOOKUP(N$3,Controls!$A$5:$F$558,MATCH($A17,Controls!$A$5:$A$564,0),0)</f>
        <v/>
      </c>
      <c r="O17" s="552">
        <f>HLOOKUP(O$3,Controls!$A$5:$F$558,MATCH($A17,Controls!$A$5:$A$564,0),0)</f>
        <v/>
      </c>
      <c r="P17" s="552">
        <f>HLOOKUP(P$3,Controls!$A$5:$F$558,MATCH($A17,Controls!$A$5:$A$564,0),0)</f>
        <v/>
      </c>
      <c r="Q17" s="552">
        <f>HLOOKUP(Q$3,Controls!$A$5:$F$558,MATCH($A17,Controls!$A$5:$A$564,0),0)</f>
        <v/>
      </c>
      <c r="R17" s="552">
        <f>HLOOKUP(R$3,Controls!$A$5:$F$558,MATCH($A17,Controls!$A$5:$A$564,0),0)</f>
        <v/>
      </c>
      <c r="S17" s="552">
        <f>HLOOKUP(S$3,Controls!$A$5:$F$558,MATCH($A17,Controls!$A$5:$A$564,0),0)</f>
        <v/>
      </c>
      <c r="T17" s="552">
        <f>HLOOKUP(T$3,Controls!$A$5:$F$558,MATCH($A17,Controls!$A$5:$A$564,0),0)</f>
        <v/>
      </c>
      <c r="U17" s="552">
        <f>HLOOKUP(U$3,Controls!$A$5:$F$558,MATCH($A17,Controls!$A$5:$A$564,0),0)</f>
        <v/>
      </c>
      <c r="V17" s="552">
        <f>HLOOKUP(V$3,Controls!$A$5:$F$558,MATCH($A17,Controls!$A$5:$A$564,0),0)</f>
        <v/>
      </c>
      <c r="W17" s="552">
        <f>HLOOKUP(W$3,Controls!$A$5:$F$558,MATCH($A17,Controls!$A$5:$A$564,0),0)</f>
        <v/>
      </c>
      <c r="X17" s="552">
        <f>HLOOKUP(X$3,Controls!$A$5:$F$558,MATCH($A17,Controls!$A$5:$A$564,0),0)</f>
        <v/>
      </c>
      <c r="Y17" s="552">
        <f>HLOOKUP(Y$3,Controls!$A$5:$F$558,MATCH($A17,Controls!$A$5:$A$564,0),0)</f>
        <v/>
      </c>
      <c r="Z17" s="553">
        <f>HLOOKUP(Z$3,Controls!$A$5:$F$558,MATCH($A17,Controls!$A$5:$A$564,0),0)</f>
        <v/>
      </c>
      <c r="AA17" s="553">
        <f>HLOOKUP(AA$3,Controls!$A$5:$F$558,MATCH($A17,Controls!$A$5:$A$564,0),0)</f>
        <v/>
      </c>
      <c r="AB17" s="553">
        <f>HLOOKUP(AB$3,Controls!$A$5:$F$558,MATCH($A17,Controls!$A$5:$A$564,0),0)</f>
        <v/>
      </c>
      <c r="AC17" s="553">
        <f>HLOOKUP(AC$3,Controls!$A$5:$F$558,MATCH($A17,Controls!$A$5:$A$564,0),0)</f>
        <v/>
      </c>
      <c r="AD17" s="553">
        <f>HLOOKUP(AD$3,Controls!$A$5:$F$558,MATCH($A17,Controls!$A$5:$A$564,0),0)</f>
        <v/>
      </c>
      <c r="AE17" s="553">
        <f>HLOOKUP(AE$3,Controls!$A$5:$F$558,MATCH($A17,Controls!$A$5:$A$564,0),0)</f>
        <v/>
      </c>
      <c r="AF17" s="553">
        <f>HLOOKUP(AF$3,Controls!$A$5:$F$558,MATCH($A17,Controls!$A$5:$A$564,0),0)</f>
        <v/>
      </c>
      <c r="AG17" s="553">
        <f>HLOOKUP(AG$3,Controls!$A$5:$F$558,MATCH($A17,Controls!$A$5:$A$564,0),0)</f>
        <v/>
      </c>
      <c r="AH17" s="553">
        <f>HLOOKUP(AH$3,Controls!$A$5:$F$558,MATCH($A17,Controls!$A$5:$A$564,0),0)</f>
        <v/>
      </c>
      <c r="AI17" s="553">
        <f>HLOOKUP(AI$3,Controls!$A$5:$F$558,MATCH($A17,Controls!$A$5:$A$564,0),0)</f>
        <v/>
      </c>
      <c r="AJ17" s="553">
        <f>HLOOKUP(AJ$3,Controls!$A$5:$F$558,MATCH($A17,Controls!$A$5:$A$564,0),0)</f>
        <v/>
      </c>
      <c r="AK17" s="553">
        <f>HLOOKUP(AK$3,Controls!$A$5:$F$558,MATCH($A17,Controls!$A$5:$A$564,0),0)</f>
        <v/>
      </c>
      <c r="AL17" s="554">
        <f>HLOOKUP(AL$3,Controls!$A$5:$F$558,MATCH($A17,Controls!$A$5:$A$564,0),0)</f>
        <v/>
      </c>
      <c r="AM17" s="554">
        <f>HLOOKUP(AM$3,Controls!$A$5:$F$558,MATCH($A17,Controls!$A$5:$A$564,0),0)</f>
        <v/>
      </c>
      <c r="AN17" s="554">
        <f>HLOOKUP(AN$3,Controls!$A$5:$F$558,MATCH($A17,Controls!$A$5:$A$564,0),0)</f>
        <v/>
      </c>
      <c r="AO17" s="554">
        <f>HLOOKUP(AO$3,Controls!$A$5:$F$558,MATCH($A17,Controls!$A$5:$A$564,0),0)</f>
        <v/>
      </c>
      <c r="AP17" s="554">
        <f>HLOOKUP(AP$3,Controls!$A$5:$F$558,MATCH($A17,Controls!$A$5:$A$564,0),0)</f>
        <v/>
      </c>
      <c r="AQ17" s="554">
        <f>HLOOKUP(AQ$3,Controls!$A$5:$F$558,MATCH($A17,Controls!$A$5:$A$564,0),0)</f>
        <v/>
      </c>
      <c r="AR17" s="554">
        <f>HLOOKUP(AR$3,Controls!$A$5:$F$558,MATCH($A17,Controls!$A$5:$A$564,0),0)</f>
        <v/>
      </c>
      <c r="AS17" s="554">
        <f>HLOOKUP(AS$3,Controls!$A$5:$F$558,MATCH($A17,Controls!$A$5:$A$564,0),0)</f>
        <v/>
      </c>
      <c r="AT17" s="554">
        <f>HLOOKUP(AT$3,Controls!$A$5:$F$558,MATCH($A17,Controls!$A$5:$A$564,0),0)</f>
        <v/>
      </c>
      <c r="AU17" s="554">
        <f>HLOOKUP(AU$3,Controls!$A$5:$F$558,MATCH($A17,Controls!$A$5:$A$564,0),0)</f>
        <v/>
      </c>
      <c r="AV17" s="554">
        <f>HLOOKUP(AV$3,Controls!$A$5:$F$558,MATCH($A17,Controls!$A$5:$A$564,0),0)</f>
        <v/>
      </c>
      <c r="AW17" s="554">
        <f>HLOOKUP(AW$3,Controls!$A$5:$F$558,MATCH($A17,Controls!$A$5:$A$564,0),0)</f>
        <v/>
      </c>
      <c r="AX17" s="555">
        <f>HLOOKUP(AX$3,Controls!$A$5:$F$558,MATCH($A17,Controls!$A$5:$A$564,0),0)</f>
        <v/>
      </c>
      <c r="AY17" s="555">
        <f>HLOOKUP(AY$3,Controls!$A$5:$F$558,MATCH($A17,Controls!$A$5:$A$564,0),0)</f>
        <v/>
      </c>
      <c r="AZ17" s="555">
        <f>HLOOKUP(AZ$3,Controls!$A$5:$F$558,MATCH($A17,Controls!$A$5:$A$564,0),0)</f>
        <v/>
      </c>
      <c r="BA17" s="555">
        <f>HLOOKUP(BA$3,Controls!$A$5:$F$558,MATCH($A17,Controls!$A$5:$A$564,0),0)</f>
        <v/>
      </c>
      <c r="BB17" s="555">
        <f>HLOOKUP(BB$3,Controls!$A$5:$F$558,MATCH($A17,Controls!$A$5:$A$564,0),0)</f>
        <v/>
      </c>
      <c r="BC17" s="555">
        <f>HLOOKUP(BC$3,Controls!$A$5:$F$558,MATCH($A17,Controls!$A$5:$A$564,0),0)</f>
        <v/>
      </c>
      <c r="BD17" s="555">
        <f>HLOOKUP(BD$3,Controls!$A$5:$F$558,MATCH($A17,Controls!$A$5:$A$564,0),0)</f>
        <v/>
      </c>
      <c r="BE17" s="555">
        <f>HLOOKUP(BE$3,Controls!$A$5:$F$558,MATCH($A17,Controls!$A$5:$A$564,0),0)</f>
        <v/>
      </c>
      <c r="BF17" s="555">
        <f>HLOOKUP(BF$3,Controls!$A$5:$F$558,MATCH($A17,Controls!$A$5:$A$564,0),0)</f>
        <v/>
      </c>
      <c r="BG17" s="555">
        <f>HLOOKUP(BG$3,Controls!$A$5:$F$558,MATCH($A17,Controls!$A$5:$A$564,0),0)</f>
        <v/>
      </c>
      <c r="BH17" s="555">
        <f>HLOOKUP(BH$3,Controls!$A$5:$F$558,MATCH($A17,Controls!$A$5:$A$564,0),0)</f>
        <v/>
      </c>
      <c r="BI17" s="555">
        <f>HLOOKUP(BI$3,Controls!$A$5:$F$558,MATCH($A17,Controls!$A$5:$A$564,0),0)</f>
        <v/>
      </c>
    </row>
    <row r="18" hidden="1" s="497">
      <c r="A18" s="189" t="inlineStr">
        <is>
          <t>Revenue from Sale of Thermic Units</t>
        </is>
      </c>
      <c r="B18" s="556">
        <f>B15*B17</f>
        <v/>
      </c>
      <c r="C18" s="556">
        <f>C15*C17</f>
        <v/>
      </c>
      <c r="D18" s="556">
        <f>D15*D17</f>
        <v/>
      </c>
      <c r="E18" s="556">
        <f>E15*E17</f>
        <v/>
      </c>
      <c r="F18" s="556">
        <f>F15*F17</f>
        <v/>
      </c>
      <c r="G18" s="556">
        <f>G15*G17</f>
        <v/>
      </c>
      <c r="H18" s="556">
        <f>H15*H17</f>
        <v/>
      </c>
      <c r="I18" s="556">
        <f>I15*I17</f>
        <v/>
      </c>
      <c r="J18" s="556">
        <f>J15*J17</f>
        <v/>
      </c>
      <c r="K18" s="556">
        <f>K15*K17</f>
        <v/>
      </c>
      <c r="L18" s="556">
        <f>L15*L17</f>
        <v/>
      </c>
      <c r="M18" s="556">
        <f>M15*M17</f>
        <v/>
      </c>
      <c r="N18" s="557">
        <f>N15*N17</f>
        <v/>
      </c>
      <c r="O18" s="557">
        <f>O15*O17</f>
        <v/>
      </c>
      <c r="P18" s="557">
        <f>P15*P17</f>
        <v/>
      </c>
      <c r="Q18" s="557">
        <f>Q15*Q17</f>
        <v/>
      </c>
      <c r="R18" s="557">
        <f>R15*R17</f>
        <v/>
      </c>
      <c r="S18" s="557">
        <f>S15*S17</f>
        <v/>
      </c>
      <c r="T18" s="557">
        <f>T15*T17</f>
        <v/>
      </c>
      <c r="U18" s="557">
        <f>U15*U17</f>
        <v/>
      </c>
      <c r="V18" s="557">
        <f>V15*V17</f>
        <v/>
      </c>
      <c r="W18" s="557">
        <f>W15*W17</f>
        <v/>
      </c>
      <c r="X18" s="557">
        <f>X15*X17</f>
        <v/>
      </c>
      <c r="Y18" s="557">
        <f>Y15*Y17</f>
        <v/>
      </c>
      <c r="Z18" s="558">
        <f>Z15*Z17</f>
        <v/>
      </c>
      <c r="AA18" s="558">
        <f>AA15*AA17</f>
        <v/>
      </c>
      <c r="AB18" s="558">
        <f>AB15*AB17</f>
        <v/>
      </c>
      <c r="AC18" s="558">
        <f>AC15*AC17</f>
        <v/>
      </c>
      <c r="AD18" s="558">
        <f>AD15*AD17</f>
        <v/>
      </c>
      <c r="AE18" s="558">
        <f>AE15*AE17</f>
        <v/>
      </c>
      <c r="AF18" s="558">
        <f>AF15*AF17</f>
        <v/>
      </c>
      <c r="AG18" s="558">
        <f>AG15*AG17</f>
        <v/>
      </c>
      <c r="AH18" s="558">
        <f>AH15*AH17</f>
        <v/>
      </c>
      <c r="AI18" s="558">
        <f>AI15*AI17</f>
        <v/>
      </c>
      <c r="AJ18" s="558">
        <f>AJ15*AJ17</f>
        <v/>
      </c>
      <c r="AK18" s="558">
        <f>AK15*AK17</f>
        <v/>
      </c>
      <c r="AL18" s="559">
        <f>AL15*AL17</f>
        <v/>
      </c>
      <c r="AM18" s="559">
        <f>AM15*AM17</f>
        <v/>
      </c>
      <c r="AN18" s="559">
        <f>AN15*AN17</f>
        <v/>
      </c>
      <c r="AO18" s="559">
        <f>AO15*AO17</f>
        <v/>
      </c>
      <c r="AP18" s="559">
        <f>AP15*AP17</f>
        <v/>
      </c>
      <c r="AQ18" s="559">
        <f>AQ15*AQ17</f>
        <v/>
      </c>
      <c r="AR18" s="559">
        <f>AR15*AR17</f>
        <v/>
      </c>
      <c r="AS18" s="559">
        <f>AS15*AS17</f>
        <v/>
      </c>
      <c r="AT18" s="559">
        <f>AT15*AT17</f>
        <v/>
      </c>
      <c r="AU18" s="559">
        <f>AU15*AU17</f>
        <v/>
      </c>
      <c r="AV18" s="559">
        <f>AV15*AV17</f>
        <v/>
      </c>
      <c r="AW18" s="559">
        <f>AW15*AW17</f>
        <v/>
      </c>
      <c r="AX18" s="560">
        <f>AX15*AX17</f>
        <v/>
      </c>
      <c r="AY18" s="560">
        <f>AY15*AY17</f>
        <v/>
      </c>
      <c r="AZ18" s="560">
        <f>AZ15*AZ17</f>
        <v/>
      </c>
      <c r="BA18" s="560">
        <f>BA15*BA17</f>
        <v/>
      </c>
      <c r="BB18" s="560">
        <f>BB15*BB17</f>
        <v/>
      </c>
      <c r="BC18" s="560">
        <f>BC15*BC17</f>
        <v/>
      </c>
      <c r="BD18" s="560">
        <f>BD15*BD17</f>
        <v/>
      </c>
      <c r="BE18" s="560">
        <f>BE15*BE17</f>
        <v/>
      </c>
      <c r="BF18" s="560">
        <f>BF15*BF17</f>
        <v/>
      </c>
      <c r="BG18" s="560">
        <f>BG15*BG17</f>
        <v/>
      </c>
      <c r="BH18" s="560">
        <f>BH15*BH17</f>
        <v/>
      </c>
      <c r="BI18" s="560">
        <f>BI15*BI17</f>
        <v/>
      </c>
    </row>
    <row r="19" hidden="1" s="497">
      <c r="A19" s="58" t="n"/>
      <c r="B19" s="544" t="n"/>
      <c r="C19" s="544" t="n"/>
      <c r="D19" s="544" t="n"/>
      <c r="E19" s="544" t="n"/>
      <c r="F19" s="544" t="n"/>
      <c r="G19" s="544" t="n"/>
      <c r="H19" s="544" t="n"/>
      <c r="I19" s="544" t="n"/>
      <c r="J19" s="544" t="n"/>
      <c r="K19" s="544" t="n"/>
      <c r="L19" s="544" t="n"/>
      <c r="M19" s="544" t="n"/>
      <c r="N19" s="545" t="n"/>
      <c r="O19" s="545" t="n"/>
      <c r="P19" s="545" t="n"/>
      <c r="Q19" s="545" t="n"/>
      <c r="R19" s="545" t="n"/>
      <c r="S19" s="545" t="n"/>
      <c r="T19" s="545" t="n"/>
      <c r="U19" s="545" t="n"/>
      <c r="V19" s="545" t="n"/>
      <c r="W19" s="545" t="n"/>
      <c r="X19" s="545" t="n"/>
      <c r="Y19" s="545" t="n"/>
      <c r="Z19" s="546" t="n"/>
      <c r="AA19" s="546" t="n"/>
      <c r="AB19" s="546" t="n"/>
      <c r="AC19" s="546" t="n"/>
      <c r="AD19" s="546" t="n"/>
      <c r="AE19" s="546" t="n"/>
      <c r="AF19" s="546" t="n"/>
      <c r="AG19" s="546" t="n"/>
      <c r="AH19" s="546" t="n"/>
      <c r="AI19" s="546" t="n"/>
      <c r="AJ19" s="546" t="n"/>
      <c r="AK19" s="546" t="n"/>
      <c r="AL19" s="547" t="n"/>
      <c r="AM19" s="547" t="n"/>
      <c r="AN19" s="547" t="n"/>
      <c r="AO19" s="547" t="n"/>
      <c r="AP19" s="547" t="n"/>
      <c r="AQ19" s="547" t="n"/>
      <c r="AR19" s="547" t="n"/>
      <c r="AS19" s="547" t="n"/>
      <c r="AT19" s="547" t="n"/>
      <c r="AU19" s="547" t="n"/>
      <c r="AV19" s="547" t="n"/>
      <c r="AW19" s="547" t="n"/>
      <c r="AX19" s="548" t="n"/>
      <c r="AY19" s="548" t="n"/>
      <c r="AZ19" s="548" t="n"/>
      <c r="BA19" s="548" t="n"/>
      <c r="BB19" s="548" t="n"/>
      <c r="BC19" s="548" t="n"/>
      <c r="BD19" s="548" t="n"/>
      <c r="BE19" s="548" t="n"/>
      <c r="BF19" s="548" t="n"/>
      <c r="BG19" s="548" t="n"/>
      <c r="BH19" s="548" t="n"/>
      <c r="BI19" s="548" t="n"/>
    </row>
    <row r="20" hidden="1" s="497">
      <c r="A20" s="185" t="inlineStr">
        <is>
          <t>Electric Units</t>
        </is>
      </c>
      <c r="B20" s="544" t="n"/>
      <c r="C20" s="544" t="n"/>
      <c r="D20" s="544" t="n"/>
      <c r="E20" s="544" t="n"/>
      <c r="F20" s="544" t="n"/>
      <c r="G20" s="544" t="n"/>
      <c r="H20" s="544" t="n"/>
      <c r="I20" s="544" t="n"/>
      <c r="J20" s="544" t="n"/>
      <c r="K20" s="544" t="n"/>
      <c r="L20" s="544" t="n"/>
      <c r="M20" s="544" t="n"/>
      <c r="N20" s="545" t="n"/>
      <c r="O20" s="545" t="n"/>
      <c r="P20" s="545" t="n"/>
      <c r="Q20" s="545" t="n"/>
      <c r="R20" s="545" t="n"/>
      <c r="S20" s="545" t="n"/>
      <c r="T20" s="545" t="n"/>
      <c r="U20" s="545" t="n"/>
      <c r="V20" s="545" t="n"/>
      <c r="W20" s="545" t="n"/>
      <c r="X20" s="545" t="n"/>
      <c r="Y20" s="545" t="n"/>
      <c r="Z20" s="546" t="n"/>
      <c r="AA20" s="546" t="n"/>
      <c r="AB20" s="546" t="n"/>
      <c r="AC20" s="546" t="n"/>
      <c r="AD20" s="546" t="n"/>
      <c r="AE20" s="546" t="n"/>
      <c r="AF20" s="546" t="n"/>
      <c r="AG20" s="546" t="n"/>
      <c r="AH20" s="546" t="n"/>
      <c r="AI20" s="546" t="n"/>
      <c r="AJ20" s="546" t="n"/>
      <c r="AK20" s="546" t="n"/>
      <c r="AL20" s="547" t="n"/>
      <c r="AM20" s="547" t="n"/>
      <c r="AN20" s="547" t="n"/>
      <c r="AO20" s="547" t="n"/>
      <c r="AP20" s="547" t="n"/>
      <c r="AQ20" s="547" t="n"/>
      <c r="AR20" s="547" t="n"/>
      <c r="AS20" s="547" t="n"/>
      <c r="AT20" s="547" t="n"/>
      <c r="AU20" s="547" t="n"/>
      <c r="AV20" s="547" t="n"/>
      <c r="AW20" s="547" t="n"/>
      <c r="AX20" s="548" t="n"/>
      <c r="AY20" s="548" t="n"/>
      <c r="AZ20" s="548" t="n"/>
      <c r="BA20" s="548" t="n"/>
      <c r="BB20" s="548" t="n"/>
      <c r="BC20" s="548" t="n"/>
      <c r="BD20" s="548" t="n"/>
      <c r="BE20" s="548" t="n"/>
      <c r="BF20" s="548" t="n"/>
      <c r="BG20" s="548" t="n"/>
      <c r="BH20" s="548" t="n"/>
      <c r="BI20" s="548" t="n"/>
    </row>
    <row r="21" hidden="1" ht="14" customHeight="1" s="497">
      <c r="A21" s="58" t="inlineStr">
        <is>
          <t>La 12E Belgium</t>
        </is>
      </c>
      <c r="B21" s="549" t="n">
        <v>0</v>
      </c>
      <c r="C21" s="549" t="n">
        <v>0</v>
      </c>
      <c r="D21" s="549" t="n">
        <v>0</v>
      </c>
      <c r="E21" s="549" t="n">
        <v>0</v>
      </c>
      <c r="F21" s="549" t="n">
        <v>0</v>
      </c>
      <c r="G21" s="549" t="n">
        <v>0</v>
      </c>
      <c r="H21" s="549" t="n">
        <v>0</v>
      </c>
      <c r="I21" s="549" t="n">
        <v>0</v>
      </c>
      <c r="J21" s="549" t="n">
        <v>0</v>
      </c>
      <c r="K21" s="549" t="n">
        <v>0</v>
      </c>
      <c r="L21" s="549" t="n">
        <v>0</v>
      </c>
      <c r="M21" s="549" t="n">
        <v>0</v>
      </c>
      <c r="N21" s="549" t="n">
        <v>0</v>
      </c>
      <c r="O21" s="549" t="n">
        <v>0</v>
      </c>
      <c r="P21" s="549" t="n">
        <v>0</v>
      </c>
      <c r="Q21" s="549" t="n">
        <v>0</v>
      </c>
      <c r="R21" s="549" t="n">
        <v>0</v>
      </c>
      <c r="S21" s="549" t="n">
        <v>0</v>
      </c>
      <c r="T21" s="549" t="n">
        <v>0</v>
      </c>
      <c r="U21" s="549" t="n">
        <v>0</v>
      </c>
      <c r="V21" s="549" t="n">
        <v>0</v>
      </c>
      <c r="W21" s="549" t="n">
        <v>0</v>
      </c>
      <c r="X21" s="549" t="n">
        <v>0</v>
      </c>
      <c r="Y21" s="549" t="n">
        <v>0</v>
      </c>
      <c r="Z21" s="549" t="n">
        <v>0</v>
      </c>
      <c r="AA21" s="549" t="n">
        <v>0</v>
      </c>
      <c r="AB21" s="549" t="n">
        <v>0</v>
      </c>
      <c r="AC21" s="549" t="n">
        <v>0</v>
      </c>
      <c r="AD21" s="549" t="n">
        <v>0</v>
      </c>
      <c r="AE21" s="549" t="n">
        <v>0</v>
      </c>
      <c r="AF21" s="549" t="n">
        <v>0</v>
      </c>
      <c r="AG21" s="549" t="n">
        <v>0</v>
      </c>
      <c r="AH21" s="549" t="n">
        <v>0</v>
      </c>
      <c r="AI21" s="549" t="n">
        <v>0</v>
      </c>
      <c r="AJ21" s="549" t="n">
        <v>0</v>
      </c>
      <c r="AK21" s="549" t="n">
        <v>0</v>
      </c>
      <c r="AL21" s="549" t="n">
        <v>0</v>
      </c>
      <c r="AM21" s="549" t="n">
        <v>0</v>
      </c>
      <c r="AN21" s="549" t="n">
        <v>0</v>
      </c>
      <c r="AO21" s="549" t="n">
        <v>0</v>
      </c>
      <c r="AP21" s="549" t="n">
        <v>0</v>
      </c>
      <c r="AQ21" s="549" t="n">
        <v>0</v>
      </c>
      <c r="AR21" s="549" t="n">
        <v>0</v>
      </c>
      <c r="AS21" s="549" t="n">
        <v>0</v>
      </c>
      <c r="AT21" s="549" t="n">
        <v>0</v>
      </c>
      <c r="AU21" s="549" t="n">
        <v>0</v>
      </c>
      <c r="AV21" s="549" t="n">
        <v>0</v>
      </c>
      <c r="AW21" s="549" t="n">
        <v>0</v>
      </c>
      <c r="AX21" s="549" t="n">
        <v>0</v>
      </c>
      <c r="AY21" s="549" t="n">
        <v>0</v>
      </c>
      <c r="AZ21" s="549" t="n">
        <v>0</v>
      </c>
      <c r="BA21" s="549" t="n">
        <v>0</v>
      </c>
      <c r="BB21" s="549" t="n">
        <v>0</v>
      </c>
      <c r="BC21" s="549" t="n">
        <v>0</v>
      </c>
      <c r="BD21" s="549" t="n">
        <v>0</v>
      </c>
      <c r="BE21" s="549" t="n">
        <v>0</v>
      </c>
      <c r="BF21" s="549" t="n">
        <v>0</v>
      </c>
      <c r="BG21" s="549" t="n">
        <v>0</v>
      </c>
      <c r="BH21" s="549" t="n">
        <v>0</v>
      </c>
      <c r="BI21" s="549" t="n">
        <v>0</v>
      </c>
    </row>
    <row r="22" hidden="1" ht="14" customHeight="1" s="497">
      <c r="A22" s="58" t="inlineStr">
        <is>
          <t>La 12E France</t>
        </is>
      </c>
      <c r="B22" s="549" t="n">
        <v>0</v>
      </c>
      <c r="C22" s="549" t="n">
        <v>0</v>
      </c>
      <c r="D22" s="549" t="n">
        <v>0</v>
      </c>
      <c r="E22" s="549" t="n">
        <v>0</v>
      </c>
      <c r="F22" s="549" t="n">
        <v>0</v>
      </c>
      <c r="G22" s="549" t="n">
        <v>0</v>
      </c>
      <c r="H22" s="549" t="n">
        <v>0</v>
      </c>
      <c r="I22" s="549" t="n">
        <v>0</v>
      </c>
      <c r="J22" s="549" t="n">
        <v>0</v>
      </c>
      <c r="K22" s="549" t="n">
        <v>0</v>
      </c>
      <c r="L22" s="549" t="n">
        <v>0</v>
      </c>
      <c r="M22" s="549" t="n">
        <v>0</v>
      </c>
      <c r="N22" s="549" t="n">
        <v>0</v>
      </c>
      <c r="O22" s="549" t="n">
        <v>0</v>
      </c>
      <c r="P22" s="549" t="n">
        <v>0</v>
      </c>
      <c r="Q22" s="549" t="n">
        <v>0</v>
      </c>
      <c r="R22" s="549" t="n">
        <v>0</v>
      </c>
      <c r="S22" s="549" t="n">
        <v>0</v>
      </c>
      <c r="T22" s="549" t="n">
        <v>0</v>
      </c>
      <c r="U22" s="549" t="n">
        <v>0</v>
      </c>
      <c r="V22" s="549" t="n">
        <v>0</v>
      </c>
      <c r="W22" s="549" t="n">
        <v>0</v>
      </c>
      <c r="X22" s="549" t="n">
        <v>0</v>
      </c>
      <c r="Y22" s="549" t="n">
        <v>0</v>
      </c>
      <c r="Z22" s="549" t="n">
        <v>0</v>
      </c>
      <c r="AA22" s="549" t="n">
        <v>0</v>
      </c>
      <c r="AB22" s="549" t="n">
        <v>0</v>
      </c>
      <c r="AC22" s="549" t="n">
        <v>0</v>
      </c>
      <c r="AD22" s="549" t="n">
        <v>0</v>
      </c>
      <c r="AE22" s="549" t="n">
        <v>0</v>
      </c>
      <c r="AF22" s="549" t="n">
        <v>0</v>
      </c>
      <c r="AG22" s="549" t="n">
        <v>0</v>
      </c>
      <c r="AH22" s="549" t="n">
        <v>0</v>
      </c>
      <c r="AI22" s="549" t="n">
        <v>0</v>
      </c>
      <c r="AJ22" s="549" t="n">
        <v>0</v>
      </c>
      <c r="AK22" s="549" t="n">
        <v>0</v>
      </c>
      <c r="AL22" s="549" t="n">
        <v>0</v>
      </c>
      <c r="AM22" s="549" t="n">
        <v>0</v>
      </c>
      <c r="AN22" s="549" t="n">
        <v>0</v>
      </c>
      <c r="AO22" s="549" t="n">
        <v>0</v>
      </c>
      <c r="AP22" s="549" t="n">
        <v>0</v>
      </c>
      <c r="AQ22" s="549" t="n">
        <v>0</v>
      </c>
      <c r="AR22" s="549" t="n">
        <v>0</v>
      </c>
      <c r="AS22" s="549" t="n">
        <v>0</v>
      </c>
      <c r="AT22" s="549" t="n">
        <v>0</v>
      </c>
      <c r="AU22" s="549" t="n">
        <v>0</v>
      </c>
      <c r="AV22" s="549" t="n">
        <v>0</v>
      </c>
      <c r="AW22" s="549" t="n">
        <v>0</v>
      </c>
      <c r="AX22" s="549" t="n">
        <v>0</v>
      </c>
      <c r="AY22" s="549" t="n">
        <v>0</v>
      </c>
      <c r="AZ22" s="549" t="n">
        <v>0</v>
      </c>
      <c r="BA22" s="549" t="n">
        <v>0</v>
      </c>
      <c r="BB22" s="549" t="n">
        <v>0</v>
      </c>
      <c r="BC22" s="549" t="n">
        <v>0</v>
      </c>
      <c r="BD22" s="549" t="n">
        <v>0</v>
      </c>
      <c r="BE22" s="549" t="n">
        <v>0</v>
      </c>
      <c r="BF22" s="549" t="n">
        <v>0</v>
      </c>
      <c r="BG22" s="549" t="n">
        <v>0</v>
      </c>
      <c r="BH22" s="549" t="n">
        <v>0</v>
      </c>
      <c r="BI22" s="549" t="n">
        <v>0</v>
      </c>
    </row>
    <row r="23" hidden="1" ht="14" customHeight="1" s="497">
      <c r="A23" s="58" t="inlineStr">
        <is>
          <t>La 12E Europe</t>
        </is>
      </c>
      <c r="B23" s="549" t="n">
        <v>0</v>
      </c>
      <c r="C23" s="549" t="n">
        <v>0</v>
      </c>
      <c r="D23" s="549" t="n">
        <v>0</v>
      </c>
      <c r="E23" s="549" t="n">
        <v>0</v>
      </c>
      <c r="F23" s="549" t="n">
        <v>0</v>
      </c>
      <c r="G23" s="549" t="n">
        <v>0</v>
      </c>
      <c r="H23" s="549" t="n">
        <v>0</v>
      </c>
      <c r="I23" s="549" t="n">
        <v>0</v>
      </c>
      <c r="J23" s="549" t="n">
        <v>0</v>
      </c>
      <c r="K23" s="549" t="n">
        <v>0</v>
      </c>
      <c r="L23" s="549" t="n">
        <v>0</v>
      </c>
      <c r="M23" s="549" t="n">
        <v>0</v>
      </c>
      <c r="N23" s="549" t="n">
        <v>0</v>
      </c>
      <c r="O23" s="549" t="n">
        <v>0</v>
      </c>
      <c r="P23" s="549" t="n">
        <v>0</v>
      </c>
      <c r="Q23" s="549" t="n">
        <v>0</v>
      </c>
      <c r="R23" s="549" t="n">
        <v>0</v>
      </c>
      <c r="S23" s="549" t="n">
        <v>0</v>
      </c>
      <c r="T23" s="549" t="n">
        <v>0</v>
      </c>
      <c r="U23" s="549" t="n">
        <v>0</v>
      </c>
      <c r="V23" s="549" t="n">
        <v>0</v>
      </c>
      <c r="W23" s="549" t="n">
        <v>0</v>
      </c>
      <c r="X23" s="549" t="n">
        <v>0</v>
      </c>
      <c r="Y23" s="549" t="n">
        <v>0</v>
      </c>
      <c r="Z23" s="549" t="n">
        <v>0</v>
      </c>
      <c r="AA23" s="549" t="n">
        <v>0</v>
      </c>
      <c r="AB23" s="549" t="n">
        <v>0</v>
      </c>
      <c r="AC23" s="549" t="n">
        <v>0</v>
      </c>
      <c r="AD23" s="549" t="n">
        <v>0</v>
      </c>
      <c r="AE23" s="549" t="n">
        <v>0</v>
      </c>
      <c r="AF23" s="549" t="n">
        <v>0</v>
      </c>
      <c r="AG23" s="549" t="n">
        <v>0</v>
      </c>
      <c r="AH23" s="549" t="n">
        <v>0</v>
      </c>
      <c r="AI23" s="549" t="n">
        <v>0</v>
      </c>
      <c r="AJ23" s="549" t="n">
        <v>0</v>
      </c>
      <c r="AK23" s="549" t="n">
        <v>0</v>
      </c>
      <c r="AL23" s="549" t="n">
        <v>0</v>
      </c>
      <c r="AM23" s="549" t="n">
        <v>0</v>
      </c>
      <c r="AN23" s="549" t="n">
        <v>0</v>
      </c>
      <c r="AO23" s="549" t="n">
        <v>0</v>
      </c>
      <c r="AP23" s="549" t="n">
        <v>0</v>
      </c>
      <c r="AQ23" s="549" t="n">
        <v>0</v>
      </c>
      <c r="AR23" s="549" t="n">
        <v>0</v>
      </c>
      <c r="AS23" s="549" t="n">
        <v>0</v>
      </c>
      <c r="AT23" s="549" t="n">
        <v>0</v>
      </c>
      <c r="AU23" s="549" t="n">
        <v>0</v>
      </c>
      <c r="AV23" s="549" t="n">
        <v>0</v>
      </c>
      <c r="AW23" s="549" t="n">
        <v>0</v>
      </c>
      <c r="AX23" s="549" t="n">
        <v>0</v>
      </c>
      <c r="AY23" s="549" t="n">
        <v>0</v>
      </c>
      <c r="AZ23" s="549" t="n">
        <v>0</v>
      </c>
      <c r="BA23" s="549" t="n">
        <v>0</v>
      </c>
      <c r="BB23" s="549" t="n">
        <v>0</v>
      </c>
      <c r="BC23" s="549" t="n">
        <v>0</v>
      </c>
      <c r="BD23" s="549" t="n">
        <v>0</v>
      </c>
      <c r="BE23" s="549" t="n">
        <v>0</v>
      </c>
      <c r="BF23" s="549" t="n">
        <v>0</v>
      </c>
      <c r="BG23" s="549" t="n">
        <v>0</v>
      </c>
      <c r="BH23" s="549" t="n">
        <v>0</v>
      </c>
      <c r="BI23" s="549" t="n">
        <v>0</v>
      </c>
    </row>
    <row r="24" hidden="1" ht="14" customHeight="1" s="497">
      <c r="A24" s="58" t="inlineStr">
        <is>
          <t>La 12E USA</t>
        </is>
      </c>
      <c r="B24" s="549" t="n">
        <v>0</v>
      </c>
      <c r="C24" s="549" t="n">
        <v>0</v>
      </c>
      <c r="D24" s="549" t="n">
        <v>0</v>
      </c>
      <c r="E24" s="549" t="n">
        <v>0</v>
      </c>
      <c r="F24" s="549" t="n">
        <v>0</v>
      </c>
      <c r="G24" s="549" t="n">
        <v>0</v>
      </c>
      <c r="H24" s="549" t="n">
        <v>0</v>
      </c>
      <c r="I24" s="549" t="n">
        <v>0</v>
      </c>
      <c r="J24" s="549" t="n">
        <v>0</v>
      </c>
      <c r="K24" s="549" t="n">
        <v>0</v>
      </c>
      <c r="L24" s="549" t="n">
        <v>0</v>
      </c>
      <c r="M24" s="549" t="n">
        <v>0</v>
      </c>
      <c r="N24" s="549" t="n">
        <v>0</v>
      </c>
      <c r="O24" s="549" t="n">
        <v>0</v>
      </c>
      <c r="P24" s="549" t="n">
        <v>0</v>
      </c>
      <c r="Q24" s="549" t="n">
        <v>0</v>
      </c>
      <c r="R24" s="549" t="n">
        <v>0</v>
      </c>
      <c r="S24" s="549" t="n">
        <v>0</v>
      </c>
      <c r="T24" s="549" t="n">
        <v>0</v>
      </c>
      <c r="U24" s="549" t="n">
        <v>0</v>
      </c>
      <c r="V24" s="549" t="n">
        <v>0</v>
      </c>
      <c r="W24" s="549" t="n">
        <v>0</v>
      </c>
      <c r="X24" s="549" t="n">
        <v>0</v>
      </c>
      <c r="Y24" s="549" t="n">
        <v>0</v>
      </c>
      <c r="Z24" s="549" t="n">
        <v>0</v>
      </c>
      <c r="AA24" s="549" t="n">
        <v>0</v>
      </c>
      <c r="AB24" s="549" t="n">
        <v>0</v>
      </c>
      <c r="AC24" s="549" t="n">
        <v>0</v>
      </c>
      <c r="AD24" s="549" t="n">
        <v>0</v>
      </c>
      <c r="AE24" s="549" t="n">
        <v>0</v>
      </c>
      <c r="AF24" s="549" t="n">
        <v>0</v>
      </c>
      <c r="AG24" s="549" t="n">
        <v>0</v>
      </c>
      <c r="AH24" s="549" t="n">
        <v>0</v>
      </c>
      <c r="AI24" s="549" t="n">
        <v>0</v>
      </c>
      <c r="AJ24" s="549" t="n">
        <v>0</v>
      </c>
      <c r="AK24" s="549" t="n">
        <v>0</v>
      </c>
      <c r="AL24" s="549" t="n">
        <v>0</v>
      </c>
      <c r="AM24" s="549" t="n">
        <v>0</v>
      </c>
      <c r="AN24" s="549" t="n">
        <v>0</v>
      </c>
      <c r="AO24" s="549" t="n">
        <v>0</v>
      </c>
      <c r="AP24" s="549" t="n">
        <v>0</v>
      </c>
      <c r="AQ24" s="549" t="n">
        <v>0</v>
      </c>
      <c r="AR24" s="549" t="n">
        <v>0</v>
      </c>
      <c r="AS24" s="549" t="n">
        <v>0</v>
      </c>
      <c r="AT24" s="549" t="n">
        <v>0</v>
      </c>
      <c r="AU24" s="549" t="n">
        <v>0</v>
      </c>
      <c r="AV24" s="549" t="n">
        <v>0</v>
      </c>
      <c r="AW24" s="549" t="n">
        <v>0</v>
      </c>
      <c r="AX24" s="549" t="n">
        <v>0</v>
      </c>
      <c r="AY24" s="549" t="n">
        <v>0</v>
      </c>
      <c r="AZ24" s="549" t="n">
        <v>0</v>
      </c>
      <c r="BA24" s="549" t="n">
        <v>0</v>
      </c>
      <c r="BB24" s="549" t="n">
        <v>0</v>
      </c>
      <c r="BC24" s="549" t="n">
        <v>0</v>
      </c>
      <c r="BD24" s="549" t="n">
        <v>0</v>
      </c>
      <c r="BE24" s="549" t="n">
        <v>0</v>
      </c>
      <c r="BF24" s="549" t="n">
        <v>0</v>
      </c>
      <c r="BG24" s="549" t="n">
        <v>0</v>
      </c>
      <c r="BH24" s="549" t="n">
        <v>0</v>
      </c>
      <c r="BI24" s="549" t="n">
        <v>0</v>
      </c>
    </row>
    <row r="25" hidden="1" ht="14" customHeight="1" s="497">
      <c r="A25" s="58" t="inlineStr">
        <is>
          <t>La 12E SE ASIA</t>
        </is>
      </c>
      <c r="B25" s="549" t="n">
        <v>0</v>
      </c>
      <c r="C25" s="549" t="n">
        <v>0</v>
      </c>
      <c r="D25" s="549" t="n">
        <v>0</v>
      </c>
      <c r="E25" s="549" t="n">
        <v>0</v>
      </c>
      <c r="F25" s="549" t="n">
        <v>0</v>
      </c>
      <c r="G25" s="549" t="n">
        <v>0</v>
      </c>
      <c r="H25" s="549" t="n">
        <v>0</v>
      </c>
      <c r="I25" s="549" t="n">
        <v>0</v>
      </c>
      <c r="J25" s="549" t="n">
        <v>0</v>
      </c>
      <c r="K25" s="549" t="n">
        <v>0</v>
      </c>
      <c r="L25" s="549" t="n">
        <v>0</v>
      </c>
      <c r="M25" s="549" t="n">
        <v>0</v>
      </c>
      <c r="N25" s="549" t="n">
        <v>0</v>
      </c>
      <c r="O25" s="549" t="n">
        <v>0</v>
      </c>
      <c r="P25" s="549" t="n">
        <v>0</v>
      </c>
      <c r="Q25" s="549" t="n">
        <v>0</v>
      </c>
      <c r="R25" s="549" t="n">
        <v>0</v>
      </c>
      <c r="S25" s="549" t="n">
        <v>0</v>
      </c>
      <c r="T25" s="549" t="n">
        <v>0</v>
      </c>
      <c r="U25" s="549" t="n">
        <v>0</v>
      </c>
      <c r="V25" s="549" t="n">
        <v>0</v>
      </c>
      <c r="W25" s="549" t="n">
        <v>0</v>
      </c>
      <c r="X25" s="549" t="n">
        <v>0</v>
      </c>
      <c r="Y25" s="549" t="n">
        <v>0</v>
      </c>
      <c r="Z25" s="549" t="n">
        <v>0</v>
      </c>
      <c r="AA25" s="549" t="n">
        <v>0</v>
      </c>
      <c r="AB25" s="549" t="n">
        <v>0</v>
      </c>
      <c r="AC25" s="549" t="n">
        <v>0</v>
      </c>
      <c r="AD25" s="549" t="n">
        <v>0</v>
      </c>
      <c r="AE25" s="549" t="n">
        <v>0</v>
      </c>
      <c r="AF25" s="549" t="n">
        <v>0</v>
      </c>
      <c r="AG25" s="549" t="n">
        <v>0</v>
      </c>
      <c r="AH25" s="549" t="n">
        <v>0</v>
      </c>
      <c r="AI25" s="549" t="n">
        <v>0</v>
      </c>
      <c r="AJ25" s="549" t="n">
        <v>0</v>
      </c>
      <c r="AK25" s="549" t="n">
        <v>0</v>
      </c>
      <c r="AL25" s="549" t="n">
        <v>0</v>
      </c>
      <c r="AM25" s="549" t="n">
        <v>0</v>
      </c>
      <c r="AN25" s="549" t="n">
        <v>0</v>
      </c>
      <c r="AO25" s="549" t="n">
        <v>0</v>
      </c>
      <c r="AP25" s="549" t="n">
        <v>0</v>
      </c>
      <c r="AQ25" s="549" t="n">
        <v>0</v>
      </c>
      <c r="AR25" s="549" t="n">
        <v>0</v>
      </c>
      <c r="AS25" s="549" t="n">
        <v>0</v>
      </c>
      <c r="AT25" s="549" t="n">
        <v>0</v>
      </c>
      <c r="AU25" s="549" t="n">
        <v>0</v>
      </c>
      <c r="AV25" s="549" t="n">
        <v>0</v>
      </c>
      <c r="AW25" s="549" t="n">
        <v>0</v>
      </c>
      <c r="AX25" s="549" t="n">
        <v>0</v>
      </c>
      <c r="AY25" s="549" t="n">
        <v>0</v>
      </c>
      <c r="AZ25" s="549" t="n">
        <v>0</v>
      </c>
      <c r="BA25" s="549" t="n">
        <v>0</v>
      </c>
      <c r="BB25" s="549" t="n">
        <v>0</v>
      </c>
      <c r="BC25" s="549" t="n">
        <v>0</v>
      </c>
      <c r="BD25" s="549" t="n">
        <v>0</v>
      </c>
      <c r="BE25" s="549" t="n">
        <v>0</v>
      </c>
      <c r="BF25" s="549" t="n">
        <v>0</v>
      </c>
      <c r="BG25" s="549" t="n">
        <v>0</v>
      </c>
      <c r="BH25" s="549" t="n">
        <v>0</v>
      </c>
      <c r="BI25" s="549" t="n">
        <v>0</v>
      </c>
    </row>
    <row r="26" hidden="1" s="497">
      <c r="A26" s="191" t="inlineStr">
        <is>
          <t>Total Units Sold</t>
        </is>
      </c>
      <c r="B26" s="561">
        <f>ROUND(SUM(B21:B25),0)</f>
        <v/>
      </c>
      <c r="C26" s="561">
        <f>ROUND(SUM(C21:C25),0)</f>
        <v/>
      </c>
      <c r="D26" s="561">
        <f>ROUND(SUM(D21:D25),0)</f>
        <v/>
      </c>
      <c r="E26" s="561">
        <f>ROUND(SUM(E21:E25),0)</f>
        <v/>
      </c>
      <c r="F26" s="561">
        <f>ROUND(SUM(F21:F25),0)</f>
        <v/>
      </c>
      <c r="G26" s="561">
        <f>ROUND(SUM(G21:G25),0)</f>
        <v/>
      </c>
      <c r="H26" s="561">
        <f>ROUND(SUM(H21:H25),0)</f>
        <v/>
      </c>
      <c r="I26" s="561">
        <f>ROUND(SUM(I21:I25),0)</f>
        <v/>
      </c>
      <c r="J26" s="561">
        <f>ROUND(SUM(J21:J25),0)</f>
        <v/>
      </c>
      <c r="K26" s="561">
        <f>ROUND(SUM(K21:K25),0)</f>
        <v/>
      </c>
      <c r="L26" s="561">
        <f>ROUND(SUM(L21:L25),0)</f>
        <v/>
      </c>
      <c r="M26" s="561">
        <f>ROUND(SUM(M21:M25),0)</f>
        <v/>
      </c>
      <c r="N26" s="562">
        <f>ROUND(SUM(N21:N25),0)</f>
        <v/>
      </c>
      <c r="O26" s="562">
        <f>ROUND(SUM(O21:O25),0)</f>
        <v/>
      </c>
      <c r="P26" s="562">
        <f>ROUND(SUM(P21:P25),0)</f>
        <v/>
      </c>
      <c r="Q26" s="562">
        <f>ROUND(SUM(Q21:Q25),0)</f>
        <v/>
      </c>
      <c r="R26" s="562">
        <f>ROUND(SUM(R21:R25),0)</f>
        <v/>
      </c>
      <c r="S26" s="562">
        <f>ROUND(SUM(S21:S25),0)</f>
        <v/>
      </c>
      <c r="T26" s="562">
        <f>ROUND(SUM(T21:T25),0)</f>
        <v/>
      </c>
      <c r="U26" s="562">
        <f>ROUND(SUM(U21:U25),0)</f>
        <v/>
      </c>
      <c r="V26" s="562">
        <f>ROUND(SUM(V21:V25),0)</f>
        <v/>
      </c>
      <c r="W26" s="562">
        <f>ROUND(SUM(W21:W25),0)</f>
        <v/>
      </c>
      <c r="X26" s="562">
        <f>ROUND(SUM(X21:X25),0)</f>
        <v/>
      </c>
      <c r="Y26" s="562">
        <f>ROUND(SUM(Y21:Y25),0)</f>
        <v/>
      </c>
      <c r="Z26" s="563">
        <f>ROUND(SUM(Z21:Z25),0)</f>
        <v/>
      </c>
      <c r="AA26" s="563">
        <f>ROUND(SUM(AA21:AA25),0)</f>
        <v/>
      </c>
      <c r="AB26" s="563">
        <f>ROUND(SUM(AB21:AB25),0)</f>
        <v/>
      </c>
      <c r="AC26" s="563">
        <f>ROUND(SUM(AC21:AC25),0)</f>
        <v/>
      </c>
      <c r="AD26" s="563">
        <f>ROUND(SUM(AD21:AD25),0)</f>
        <v/>
      </c>
      <c r="AE26" s="563">
        <f>ROUND(SUM(AE21:AE25),0)</f>
        <v/>
      </c>
      <c r="AF26" s="563">
        <f>ROUND(SUM(AF21:AF25),0)</f>
        <v/>
      </c>
      <c r="AG26" s="563">
        <f>ROUND(SUM(AG21:AG25),0)</f>
        <v/>
      </c>
      <c r="AH26" s="563">
        <f>ROUND(SUM(AH21:AH25),0)</f>
        <v/>
      </c>
      <c r="AI26" s="563">
        <f>ROUND(SUM(AI21:AI25),0)</f>
        <v/>
      </c>
      <c r="AJ26" s="563">
        <f>ROUND(SUM(AJ21:AJ25),0)</f>
        <v/>
      </c>
      <c r="AK26" s="563">
        <f>ROUND(SUM(AK21:AK25),0)</f>
        <v/>
      </c>
      <c r="AL26" s="564">
        <f>ROUND(SUM(AL21:AL25),0)</f>
        <v/>
      </c>
      <c r="AM26" s="564">
        <f>ROUND(SUM(AM21:AM25),0)</f>
        <v/>
      </c>
      <c r="AN26" s="564">
        <f>ROUND(SUM(AN21:AN25),0)</f>
        <v/>
      </c>
      <c r="AO26" s="564">
        <f>ROUND(SUM(AO21:AO25),0)</f>
        <v/>
      </c>
      <c r="AP26" s="564">
        <f>ROUND(SUM(AP21:AP25),0)</f>
        <v/>
      </c>
      <c r="AQ26" s="564">
        <f>ROUND(SUM(AQ21:AQ25),0)</f>
        <v/>
      </c>
      <c r="AR26" s="564">
        <f>ROUND(SUM(AR21:AR25),0)</f>
        <v/>
      </c>
      <c r="AS26" s="564">
        <f>ROUND(SUM(AS21:AS25),0)</f>
        <v/>
      </c>
      <c r="AT26" s="564">
        <f>ROUND(SUM(AT21:AT25),0)</f>
        <v/>
      </c>
      <c r="AU26" s="564">
        <f>ROUND(SUM(AU21:AU25),0)</f>
        <v/>
      </c>
      <c r="AV26" s="564">
        <f>ROUND(SUM(AV21:AV25),0)</f>
        <v/>
      </c>
      <c r="AW26" s="564">
        <f>ROUND(SUM(AW21:AW25),0)</f>
        <v/>
      </c>
      <c r="AX26" s="565">
        <f>ROUND(SUM(AX21:AX25),0)</f>
        <v/>
      </c>
      <c r="AY26" s="565">
        <f>ROUND(SUM(AY21:AY25),0)</f>
        <v/>
      </c>
      <c r="AZ26" s="565">
        <f>ROUND(SUM(AZ21:AZ25),0)</f>
        <v/>
      </c>
      <c r="BA26" s="565">
        <f>ROUND(SUM(BA21:BA25),0)</f>
        <v/>
      </c>
      <c r="BB26" s="565">
        <f>ROUND(SUM(BB21:BB25),0)</f>
        <v/>
      </c>
      <c r="BC26" s="565">
        <f>ROUND(SUM(BC21:BC25),0)</f>
        <v/>
      </c>
      <c r="BD26" s="565">
        <f>ROUND(SUM(BD21:BD25),0)</f>
        <v/>
      </c>
      <c r="BE26" s="565">
        <f>ROUND(SUM(BE21:BE25),0)</f>
        <v/>
      </c>
      <c r="BF26" s="565">
        <f>ROUND(SUM(BF21:BF25),0)</f>
        <v/>
      </c>
      <c r="BG26" s="565">
        <f>ROUND(SUM(BG21:BG25),0)</f>
        <v/>
      </c>
      <c r="BH26" s="565">
        <f>ROUND(SUM(BH21:BH25),0)</f>
        <v/>
      </c>
      <c r="BI26" s="565">
        <f>ROUND(SUM(BI21:BI25),0)</f>
        <v/>
      </c>
    </row>
    <row r="27" hidden="1" s="497">
      <c r="A27" s="69" t="n"/>
      <c r="B27" s="544" t="n"/>
      <c r="C27" s="544" t="n"/>
      <c r="D27" s="544" t="n"/>
      <c r="E27" s="544" t="n"/>
      <c r="F27" s="544" t="n"/>
      <c r="G27" s="544" t="n"/>
      <c r="H27" s="544" t="n"/>
      <c r="I27" s="544" t="n"/>
      <c r="J27" s="544" t="n"/>
      <c r="K27" s="544" t="n"/>
      <c r="L27" s="544" t="n"/>
      <c r="M27" s="544" t="n"/>
      <c r="N27" s="545" t="n"/>
      <c r="O27" s="545" t="n"/>
      <c r="P27" s="545" t="n"/>
      <c r="Q27" s="545" t="n"/>
      <c r="R27" s="545" t="n"/>
      <c r="S27" s="545" t="n"/>
      <c r="T27" s="545" t="n"/>
      <c r="U27" s="545" t="n"/>
      <c r="V27" s="545" t="n"/>
      <c r="W27" s="545" t="n"/>
      <c r="X27" s="545" t="n"/>
      <c r="Y27" s="545" t="n"/>
      <c r="Z27" s="546" t="n"/>
      <c r="AA27" s="546" t="n"/>
      <c r="AB27" s="546" t="n"/>
      <c r="AC27" s="546" t="n"/>
      <c r="AD27" s="546" t="n"/>
      <c r="AE27" s="546" t="n"/>
      <c r="AF27" s="546" t="n"/>
      <c r="AG27" s="546" t="n"/>
      <c r="AH27" s="546" t="n"/>
      <c r="AI27" s="546" t="n"/>
      <c r="AJ27" s="546" t="n"/>
      <c r="AK27" s="546" t="n"/>
      <c r="AL27" s="547" t="n"/>
      <c r="AM27" s="547" t="n"/>
      <c r="AN27" s="547" t="n"/>
      <c r="AO27" s="547" t="n"/>
      <c r="AP27" s="547" t="n"/>
      <c r="AQ27" s="547" t="n"/>
      <c r="AR27" s="547" t="n"/>
      <c r="AS27" s="547" t="n"/>
      <c r="AT27" s="547" t="n"/>
      <c r="AU27" s="547" t="n"/>
      <c r="AV27" s="547" t="n"/>
      <c r="AW27" s="547" t="n"/>
      <c r="AX27" s="548" t="n"/>
      <c r="AY27" s="548" t="n"/>
      <c r="AZ27" s="548" t="n"/>
      <c r="BA27" s="548" t="n"/>
      <c r="BB27" s="548" t="n"/>
      <c r="BC27" s="548" t="n"/>
      <c r="BD27" s="548" t="n"/>
      <c r="BE27" s="548" t="n"/>
      <c r="BF27" s="548" t="n"/>
      <c r="BG27" s="548" t="n"/>
      <c r="BH27" s="548" t="n"/>
      <c r="BI27" s="548" t="n"/>
    </row>
    <row r="28" hidden="1" s="497">
      <c r="A28" s="58" t="inlineStr">
        <is>
          <t>Electric Unit Average Price</t>
        </is>
      </c>
      <c r="B28" s="551">
        <f>HLOOKUP(B$3,Controls!$A$5:$F$558,MATCH($A28,Controls!$A$5:$A$564,0),0)</f>
        <v/>
      </c>
      <c r="C28" s="551">
        <f>HLOOKUP(C$3,Controls!$A$5:$F$558,MATCH($A28,Controls!$A$5:$A$564,0),0)</f>
        <v/>
      </c>
      <c r="D28" s="551">
        <f>HLOOKUP(D$3,Controls!$A$5:$F$558,MATCH($A28,Controls!$A$5:$A$564,0),0)</f>
        <v/>
      </c>
      <c r="E28" s="551">
        <f>HLOOKUP(E$3,Controls!$A$5:$F$558,MATCH($A28,Controls!$A$5:$A$564,0),0)</f>
        <v/>
      </c>
      <c r="F28" s="551">
        <f>HLOOKUP(F$3,Controls!$A$5:$F$558,MATCH($A28,Controls!$A$5:$A$564,0),0)</f>
        <v/>
      </c>
      <c r="G28" s="551">
        <f>HLOOKUP(G$3,Controls!$A$5:$F$558,MATCH($A28,Controls!$A$5:$A$564,0),0)</f>
        <v/>
      </c>
      <c r="H28" s="551">
        <f>HLOOKUP(H$3,Controls!$A$5:$F$558,MATCH($A28,Controls!$A$5:$A$564,0),0)</f>
        <v/>
      </c>
      <c r="I28" s="551">
        <f>HLOOKUP(I$3,Controls!$A$5:$F$558,MATCH($A28,Controls!$A$5:$A$564,0),0)</f>
        <v/>
      </c>
      <c r="J28" s="551">
        <f>HLOOKUP(J$3,Controls!$A$5:$F$558,MATCH($A28,Controls!$A$5:$A$564,0),0)</f>
        <v/>
      </c>
      <c r="K28" s="551">
        <f>HLOOKUP(K$3,Controls!$A$5:$F$558,MATCH($A28,Controls!$A$5:$A$564,0),0)</f>
        <v/>
      </c>
      <c r="L28" s="551">
        <f>HLOOKUP(L$3,Controls!$A$5:$F$558,MATCH($A28,Controls!$A$5:$A$564,0),0)</f>
        <v/>
      </c>
      <c r="M28" s="551">
        <f>HLOOKUP(M$3,Controls!$A$5:$F$558,MATCH($A28,Controls!$A$5:$A$564,0),0)</f>
        <v/>
      </c>
      <c r="N28" s="552">
        <f>HLOOKUP(N$3,Controls!$A$5:$F$558,MATCH($A28,Controls!$A$5:$A$564,0),0)</f>
        <v/>
      </c>
      <c r="O28" s="552">
        <f>HLOOKUP(O$3,Controls!$A$5:$F$558,MATCH($A28,Controls!$A$5:$A$564,0),0)</f>
        <v/>
      </c>
      <c r="P28" s="552">
        <f>HLOOKUP(P$3,Controls!$A$5:$F$558,MATCH($A28,Controls!$A$5:$A$564,0),0)</f>
        <v/>
      </c>
      <c r="Q28" s="552">
        <f>HLOOKUP(Q$3,Controls!$A$5:$F$558,MATCH($A28,Controls!$A$5:$A$564,0),0)</f>
        <v/>
      </c>
      <c r="R28" s="552">
        <f>HLOOKUP(R$3,Controls!$A$5:$F$558,MATCH($A28,Controls!$A$5:$A$564,0),0)</f>
        <v/>
      </c>
      <c r="S28" s="552">
        <f>HLOOKUP(S$3,Controls!$A$5:$F$558,MATCH($A28,Controls!$A$5:$A$564,0),0)</f>
        <v/>
      </c>
      <c r="T28" s="552">
        <f>HLOOKUP(T$3,Controls!$A$5:$F$558,MATCH($A28,Controls!$A$5:$A$564,0),0)</f>
        <v/>
      </c>
      <c r="U28" s="552">
        <f>HLOOKUP(U$3,Controls!$A$5:$F$558,MATCH($A28,Controls!$A$5:$A$564,0),0)</f>
        <v/>
      </c>
      <c r="V28" s="552">
        <f>HLOOKUP(V$3,Controls!$A$5:$F$558,MATCH($A28,Controls!$A$5:$A$564,0),0)</f>
        <v/>
      </c>
      <c r="W28" s="552">
        <f>HLOOKUP(W$3,Controls!$A$5:$F$558,MATCH($A28,Controls!$A$5:$A$564,0),0)</f>
        <v/>
      </c>
      <c r="X28" s="552">
        <f>HLOOKUP(X$3,Controls!$A$5:$F$558,MATCH($A28,Controls!$A$5:$A$564,0),0)</f>
        <v/>
      </c>
      <c r="Y28" s="552">
        <f>HLOOKUP(Y$3,Controls!$A$5:$F$558,MATCH($A28,Controls!$A$5:$A$564,0),0)</f>
        <v/>
      </c>
      <c r="Z28" s="553">
        <f>HLOOKUP(Z$3,Controls!$A$5:$F$558,MATCH($A28,Controls!$A$5:$A$564,0),0)</f>
        <v/>
      </c>
      <c r="AA28" s="553">
        <f>HLOOKUP(AA$3,Controls!$A$5:$F$558,MATCH($A28,Controls!$A$5:$A$564,0),0)</f>
        <v/>
      </c>
      <c r="AB28" s="553">
        <f>HLOOKUP(AB$3,Controls!$A$5:$F$558,MATCH($A28,Controls!$A$5:$A$564,0),0)</f>
        <v/>
      </c>
      <c r="AC28" s="553">
        <f>HLOOKUP(AC$3,Controls!$A$5:$F$558,MATCH($A28,Controls!$A$5:$A$564,0),0)</f>
        <v/>
      </c>
      <c r="AD28" s="553">
        <f>HLOOKUP(AD$3,Controls!$A$5:$F$558,MATCH($A28,Controls!$A$5:$A$564,0),0)</f>
        <v/>
      </c>
      <c r="AE28" s="553">
        <f>HLOOKUP(AE$3,Controls!$A$5:$F$558,MATCH($A28,Controls!$A$5:$A$564,0),0)</f>
        <v/>
      </c>
      <c r="AF28" s="553">
        <f>HLOOKUP(AF$3,Controls!$A$5:$F$558,MATCH($A28,Controls!$A$5:$A$564,0),0)</f>
        <v/>
      </c>
      <c r="AG28" s="553">
        <f>HLOOKUP(AG$3,Controls!$A$5:$F$558,MATCH($A28,Controls!$A$5:$A$564,0),0)</f>
        <v/>
      </c>
      <c r="AH28" s="553">
        <f>HLOOKUP(AH$3,Controls!$A$5:$F$558,MATCH($A28,Controls!$A$5:$A$564,0),0)</f>
        <v/>
      </c>
      <c r="AI28" s="553">
        <f>HLOOKUP(AI$3,Controls!$A$5:$F$558,MATCH($A28,Controls!$A$5:$A$564,0),0)</f>
        <v/>
      </c>
      <c r="AJ28" s="553">
        <f>HLOOKUP(AJ$3,Controls!$A$5:$F$558,MATCH($A28,Controls!$A$5:$A$564,0),0)</f>
        <v/>
      </c>
      <c r="AK28" s="553">
        <f>HLOOKUP(AK$3,Controls!$A$5:$F$558,MATCH($A28,Controls!$A$5:$A$564,0),0)</f>
        <v/>
      </c>
      <c r="AL28" s="554">
        <f>HLOOKUP(AL$3,Controls!$A$5:$F$558,MATCH($A28,Controls!$A$5:$A$564,0),0)</f>
        <v/>
      </c>
      <c r="AM28" s="554">
        <f>HLOOKUP(AM$3,Controls!$A$5:$F$558,MATCH($A28,Controls!$A$5:$A$564,0),0)</f>
        <v/>
      </c>
      <c r="AN28" s="554">
        <f>HLOOKUP(AN$3,Controls!$A$5:$F$558,MATCH($A28,Controls!$A$5:$A$564,0),0)</f>
        <v/>
      </c>
      <c r="AO28" s="554">
        <f>HLOOKUP(AO$3,Controls!$A$5:$F$558,MATCH($A28,Controls!$A$5:$A$564,0),0)</f>
        <v/>
      </c>
      <c r="AP28" s="554">
        <f>HLOOKUP(AP$3,Controls!$A$5:$F$558,MATCH($A28,Controls!$A$5:$A$564,0),0)</f>
        <v/>
      </c>
      <c r="AQ28" s="554">
        <f>HLOOKUP(AQ$3,Controls!$A$5:$F$558,MATCH($A28,Controls!$A$5:$A$564,0),0)</f>
        <v/>
      </c>
      <c r="AR28" s="554">
        <f>HLOOKUP(AR$3,Controls!$A$5:$F$558,MATCH($A28,Controls!$A$5:$A$564,0),0)</f>
        <v/>
      </c>
      <c r="AS28" s="554">
        <f>HLOOKUP(AS$3,Controls!$A$5:$F$558,MATCH($A28,Controls!$A$5:$A$564,0),0)</f>
        <v/>
      </c>
      <c r="AT28" s="554">
        <f>HLOOKUP(AT$3,Controls!$A$5:$F$558,MATCH($A28,Controls!$A$5:$A$564,0),0)</f>
        <v/>
      </c>
      <c r="AU28" s="554">
        <f>HLOOKUP(AU$3,Controls!$A$5:$F$558,MATCH($A28,Controls!$A$5:$A$564,0),0)</f>
        <v/>
      </c>
      <c r="AV28" s="554">
        <f>HLOOKUP(AV$3,Controls!$A$5:$F$558,MATCH($A28,Controls!$A$5:$A$564,0),0)</f>
        <v/>
      </c>
      <c r="AW28" s="554">
        <f>HLOOKUP(AW$3,Controls!$A$5:$F$558,MATCH($A28,Controls!$A$5:$A$564,0),0)</f>
        <v/>
      </c>
      <c r="AX28" s="555">
        <f>HLOOKUP(AX$3,Controls!$A$5:$F$558,MATCH($A28,Controls!$A$5:$A$564,0),0)</f>
        <v/>
      </c>
      <c r="AY28" s="555">
        <f>HLOOKUP(AY$3,Controls!$A$5:$F$558,MATCH($A28,Controls!$A$5:$A$564,0),0)</f>
        <v/>
      </c>
      <c r="AZ28" s="555">
        <f>HLOOKUP(AZ$3,Controls!$A$5:$F$558,MATCH($A28,Controls!$A$5:$A$564,0),0)</f>
        <v/>
      </c>
      <c r="BA28" s="555">
        <f>HLOOKUP(BA$3,Controls!$A$5:$F$558,MATCH($A28,Controls!$A$5:$A$564,0),0)</f>
        <v/>
      </c>
      <c r="BB28" s="555">
        <f>HLOOKUP(BB$3,Controls!$A$5:$F$558,MATCH($A28,Controls!$A$5:$A$564,0),0)</f>
        <v/>
      </c>
      <c r="BC28" s="555">
        <f>HLOOKUP(BC$3,Controls!$A$5:$F$558,MATCH($A28,Controls!$A$5:$A$564,0),0)</f>
        <v/>
      </c>
      <c r="BD28" s="555">
        <f>HLOOKUP(BD$3,Controls!$A$5:$F$558,MATCH($A28,Controls!$A$5:$A$564,0),0)</f>
        <v/>
      </c>
      <c r="BE28" s="555">
        <f>HLOOKUP(BE$3,Controls!$A$5:$F$558,MATCH($A28,Controls!$A$5:$A$564,0),0)</f>
        <v/>
      </c>
      <c r="BF28" s="555">
        <f>HLOOKUP(BF$3,Controls!$A$5:$F$558,MATCH($A28,Controls!$A$5:$A$564,0),0)</f>
        <v/>
      </c>
      <c r="BG28" s="555">
        <f>HLOOKUP(BG$3,Controls!$A$5:$F$558,MATCH($A28,Controls!$A$5:$A$564,0),0)</f>
        <v/>
      </c>
      <c r="BH28" s="555">
        <f>HLOOKUP(BH$3,Controls!$A$5:$F$558,MATCH($A28,Controls!$A$5:$A$564,0),0)</f>
        <v/>
      </c>
      <c r="BI28" s="555">
        <f>HLOOKUP(BI$3,Controls!$A$5:$F$558,MATCH($A28,Controls!$A$5:$A$564,0),0)</f>
        <v/>
      </c>
    </row>
    <row r="29" hidden="1" s="497">
      <c r="A29" s="165" t="inlineStr">
        <is>
          <t>Revenue from sale of Electric Units</t>
        </is>
      </c>
      <c r="B29" s="556">
        <f>B26*B28</f>
        <v/>
      </c>
      <c r="C29" s="556">
        <f>C26*C28</f>
        <v/>
      </c>
      <c r="D29" s="556">
        <f>D26*D28</f>
        <v/>
      </c>
      <c r="E29" s="556">
        <f>E26*E28</f>
        <v/>
      </c>
      <c r="F29" s="556">
        <f>F26*F28</f>
        <v/>
      </c>
      <c r="G29" s="556">
        <f>G26*G28</f>
        <v/>
      </c>
      <c r="H29" s="556">
        <f>H26*H28</f>
        <v/>
      </c>
      <c r="I29" s="556">
        <f>I26*I28</f>
        <v/>
      </c>
      <c r="J29" s="556">
        <f>J26*J28</f>
        <v/>
      </c>
      <c r="K29" s="556">
        <f>K26*K28</f>
        <v/>
      </c>
      <c r="L29" s="556">
        <f>L26*L28</f>
        <v/>
      </c>
      <c r="M29" s="556">
        <f>M26*M28</f>
        <v/>
      </c>
      <c r="N29" s="557">
        <f>N26*N28</f>
        <v/>
      </c>
      <c r="O29" s="557">
        <f>O26*O28</f>
        <v/>
      </c>
      <c r="P29" s="557">
        <f>P26*P28</f>
        <v/>
      </c>
      <c r="Q29" s="557">
        <f>Q26*Q28</f>
        <v/>
      </c>
      <c r="R29" s="557">
        <f>R26*R28</f>
        <v/>
      </c>
      <c r="S29" s="557">
        <f>S26*S28</f>
        <v/>
      </c>
      <c r="T29" s="557">
        <f>T26*T28</f>
        <v/>
      </c>
      <c r="U29" s="557">
        <f>U26*U28</f>
        <v/>
      </c>
      <c r="V29" s="557">
        <f>V26*V28</f>
        <v/>
      </c>
      <c r="W29" s="557">
        <f>W26*W28</f>
        <v/>
      </c>
      <c r="X29" s="557">
        <f>X26*X28</f>
        <v/>
      </c>
      <c r="Y29" s="557">
        <f>Y26*Y28</f>
        <v/>
      </c>
      <c r="Z29" s="558">
        <f>Z26*Z28</f>
        <v/>
      </c>
      <c r="AA29" s="558">
        <f>AA26*AA28</f>
        <v/>
      </c>
      <c r="AB29" s="558">
        <f>AB26*AB28</f>
        <v/>
      </c>
      <c r="AC29" s="558">
        <f>AC26*AC28</f>
        <v/>
      </c>
      <c r="AD29" s="558">
        <f>AD26*AD28</f>
        <v/>
      </c>
      <c r="AE29" s="558">
        <f>AE26*AE28</f>
        <v/>
      </c>
      <c r="AF29" s="558">
        <f>AF26*AF28</f>
        <v/>
      </c>
      <c r="AG29" s="558">
        <f>AG26*AG28</f>
        <v/>
      </c>
      <c r="AH29" s="558">
        <f>AH26*AH28</f>
        <v/>
      </c>
      <c r="AI29" s="558">
        <f>AI26*AI28</f>
        <v/>
      </c>
      <c r="AJ29" s="558">
        <f>AJ26*AJ28</f>
        <v/>
      </c>
      <c r="AK29" s="558">
        <f>AK26*AK28</f>
        <v/>
      </c>
      <c r="AL29" s="559">
        <f>AL26*AL28</f>
        <v/>
      </c>
      <c r="AM29" s="559">
        <f>AM26*AM28</f>
        <v/>
      </c>
      <c r="AN29" s="559">
        <f>AN26*AN28</f>
        <v/>
      </c>
      <c r="AO29" s="559">
        <f>AO26*AO28</f>
        <v/>
      </c>
      <c r="AP29" s="559">
        <f>AP26*AP28</f>
        <v/>
      </c>
      <c r="AQ29" s="559">
        <f>AQ26*AQ28</f>
        <v/>
      </c>
      <c r="AR29" s="559">
        <f>AR26*AR28</f>
        <v/>
      </c>
      <c r="AS29" s="559">
        <f>AS26*AS28</f>
        <v/>
      </c>
      <c r="AT29" s="559">
        <f>AT26*AT28</f>
        <v/>
      </c>
      <c r="AU29" s="559">
        <f>AU26*AU28</f>
        <v/>
      </c>
      <c r="AV29" s="559">
        <f>AV26*AV28</f>
        <v/>
      </c>
      <c r="AW29" s="559">
        <f>AW26*AW28</f>
        <v/>
      </c>
      <c r="AX29" s="560">
        <f>AX26*AX28</f>
        <v/>
      </c>
      <c r="AY29" s="560">
        <f>AY26*AY28</f>
        <v/>
      </c>
      <c r="AZ29" s="560">
        <f>AZ26*AZ28</f>
        <v/>
      </c>
      <c r="BA29" s="560">
        <f>BA26*BA28</f>
        <v/>
      </c>
      <c r="BB29" s="560">
        <f>BB26*BB28</f>
        <v/>
      </c>
      <c r="BC29" s="560">
        <f>BC26*BC28</f>
        <v/>
      </c>
      <c r="BD29" s="560">
        <f>BD26*BD28</f>
        <v/>
      </c>
      <c r="BE29" s="560">
        <f>BE26*BE28</f>
        <v/>
      </c>
      <c r="BF29" s="560">
        <f>BF26*BF28</f>
        <v/>
      </c>
      <c r="BG29" s="560">
        <f>BG26*BG28</f>
        <v/>
      </c>
      <c r="BH29" s="560">
        <f>BH26*BH28</f>
        <v/>
      </c>
      <c r="BI29" s="560">
        <f>BI26*BI28</f>
        <v/>
      </c>
    </row>
    <row r="30" hidden="1" s="497">
      <c r="A30" s="69" t="n"/>
      <c r="B30" s="544" t="n"/>
      <c r="C30" s="544" t="n"/>
      <c r="D30" s="544" t="n"/>
      <c r="E30" s="544" t="n"/>
      <c r="F30" s="544" t="n"/>
      <c r="G30" s="544" t="n"/>
      <c r="H30" s="544" t="n"/>
      <c r="I30" s="544" t="n"/>
      <c r="J30" s="544" t="n"/>
      <c r="K30" s="544" t="n"/>
      <c r="L30" s="544" t="n"/>
      <c r="M30" s="544" t="n"/>
      <c r="N30" s="545" t="n"/>
      <c r="O30" s="545" t="n"/>
      <c r="P30" s="545" t="n"/>
      <c r="Q30" s="545" t="n"/>
      <c r="R30" s="545" t="n"/>
      <c r="S30" s="545" t="n"/>
      <c r="T30" s="545" t="n"/>
      <c r="U30" s="545" t="n"/>
      <c r="V30" s="545" t="n"/>
      <c r="W30" s="545" t="n"/>
      <c r="X30" s="545" t="n"/>
      <c r="Y30" s="545" t="n"/>
      <c r="Z30" s="546" t="n"/>
      <c r="AA30" s="546" t="n"/>
      <c r="AB30" s="546" t="n"/>
      <c r="AC30" s="546" t="n"/>
      <c r="AD30" s="546" t="n"/>
      <c r="AE30" s="546" t="n"/>
      <c r="AF30" s="546" t="n"/>
      <c r="AG30" s="546" t="n"/>
      <c r="AH30" s="546" t="n"/>
      <c r="AI30" s="546" t="n"/>
      <c r="AJ30" s="546" t="n"/>
      <c r="AK30" s="546" t="n"/>
      <c r="AL30" s="547" t="n"/>
      <c r="AM30" s="547" t="n"/>
      <c r="AN30" s="547" t="n"/>
      <c r="AO30" s="547" t="n"/>
      <c r="AP30" s="547" t="n"/>
      <c r="AQ30" s="547" t="n"/>
      <c r="AR30" s="547" t="n"/>
      <c r="AS30" s="547" t="n"/>
      <c r="AT30" s="547" t="n"/>
      <c r="AU30" s="547" t="n"/>
      <c r="AV30" s="547" t="n"/>
      <c r="AW30" s="547" t="n"/>
      <c r="AX30" s="548" t="n"/>
      <c r="AY30" s="548" t="n"/>
      <c r="AZ30" s="548" t="n"/>
      <c r="BA30" s="548" t="n"/>
      <c r="BB30" s="548" t="n"/>
      <c r="BC30" s="548" t="n"/>
      <c r="BD30" s="548" t="n"/>
      <c r="BE30" s="548" t="n"/>
      <c r="BF30" s="548" t="n"/>
      <c r="BG30" s="548" t="n"/>
      <c r="BH30" s="548" t="n"/>
      <c r="BI30" s="548" t="n"/>
    </row>
    <row r="31" hidden="1" s="497">
      <c r="A31" s="188" t="inlineStr">
        <is>
          <t>Spare Parts and Aftermarket Services</t>
        </is>
      </c>
      <c r="B31" s="544" t="n"/>
      <c r="C31" s="544" t="n"/>
      <c r="D31" s="544" t="n"/>
      <c r="E31" s="544" t="n"/>
      <c r="F31" s="544" t="n"/>
      <c r="G31" s="544" t="n"/>
      <c r="H31" s="544" t="n"/>
      <c r="I31" s="544" t="n"/>
      <c r="J31" s="544" t="n"/>
      <c r="K31" s="544" t="n"/>
      <c r="L31" s="544" t="n"/>
      <c r="M31" s="544" t="n"/>
      <c r="N31" s="545" t="n"/>
      <c r="O31" s="545" t="n"/>
      <c r="P31" s="545" t="n"/>
      <c r="Q31" s="545" t="n"/>
      <c r="R31" s="545" t="n"/>
      <c r="S31" s="545" t="n"/>
      <c r="T31" s="545" t="n"/>
      <c r="U31" s="545" t="n"/>
      <c r="V31" s="545" t="n"/>
      <c r="W31" s="545" t="n"/>
      <c r="X31" s="545" t="n"/>
      <c r="Y31" s="545" t="n"/>
      <c r="Z31" s="546" t="n"/>
      <c r="AA31" s="546" t="n"/>
      <c r="AB31" s="546" t="n"/>
      <c r="AC31" s="546" t="n"/>
      <c r="AD31" s="546" t="n"/>
      <c r="AE31" s="546" t="n"/>
      <c r="AF31" s="546" t="n"/>
      <c r="AG31" s="546" t="n"/>
      <c r="AH31" s="546" t="n"/>
      <c r="AI31" s="546" t="n"/>
      <c r="AJ31" s="546" t="n"/>
      <c r="AK31" s="546" t="n"/>
      <c r="AL31" s="547" t="n"/>
      <c r="AM31" s="547" t="n"/>
      <c r="AN31" s="547" t="n"/>
      <c r="AO31" s="547" t="n"/>
      <c r="AP31" s="547" t="n"/>
      <c r="AQ31" s="547" t="n"/>
      <c r="AR31" s="547" t="n"/>
      <c r="AS31" s="547" t="n"/>
      <c r="AT31" s="547" t="n"/>
      <c r="AU31" s="547" t="n"/>
      <c r="AV31" s="547" t="n"/>
      <c r="AW31" s="547" t="n"/>
      <c r="AX31" s="548" t="n"/>
      <c r="AY31" s="548" t="n"/>
      <c r="AZ31" s="548" t="n"/>
      <c r="BA31" s="548" t="n"/>
      <c r="BB31" s="548" t="n"/>
      <c r="BC31" s="548" t="n"/>
      <c r="BD31" s="548" t="n"/>
      <c r="BE31" s="548" t="n"/>
      <c r="BF31" s="548" t="n"/>
      <c r="BG31" s="548" t="n"/>
      <c r="BH31" s="548" t="n"/>
      <c r="BI31" s="548" t="n"/>
    </row>
    <row r="32" hidden="1" s="497">
      <c r="A32" s="58" t="inlineStr">
        <is>
          <t>Spare Parts and Aftermarket Services as a % of Sales</t>
        </is>
      </c>
      <c r="B32" s="202">
        <f>HLOOKUP(B$3,Controls!$A$5:$F$558,MATCH($A32,Controls!$A$5:$A$564,0),0)</f>
        <v/>
      </c>
      <c r="C32" s="202">
        <f>HLOOKUP(C$3,Controls!$A$5:$F$558,MATCH($A32,Controls!$A$5:$A$564,0),0)</f>
        <v/>
      </c>
      <c r="D32" s="202">
        <f>HLOOKUP(D$3,Controls!$A$5:$F$558,MATCH($A32,Controls!$A$5:$A$564,0),0)</f>
        <v/>
      </c>
      <c r="E32" s="202">
        <f>HLOOKUP(E$3,Controls!$A$5:$F$558,MATCH($A32,Controls!$A$5:$A$564,0),0)</f>
        <v/>
      </c>
      <c r="F32" s="202">
        <f>HLOOKUP(F$3,Controls!$A$5:$F$558,MATCH($A32,Controls!$A$5:$A$564,0),0)</f>
        <v/>
      </c>
      <c r="G32" s="202">
        <f>HLOOKUP(G$3,Controls!$A$5:$F$558,MATCH($A32,Controls!$A$5:$A$564,0),0)</f>
        <v/>
      </c>
      <c r="H32" s="202">
        <f>HLOOKUP(H$3,Controls!$A$5:$F$558,MATCH($A32,Controls!$A$5:$A$564,0),0)</f>
        <v/>
      </c>
      <c r="I32" s="202">
        <f>HLOOKUP(I$3,Controls!$A$5:$F$558,MATCH($A32,Controls!$A$5:$A$564,0),0)</f>
        <v/>
      </c>
      <c r="J32" s="202">
        <f>HLOOKUP(J$3,Controls!$A$5:$F$558,MATCH($A32,Controls!$A$5:$A$564,0),0)</f>
        <v/>
      </c>
      <c r="K32" s="202">
        <f>HLOOKUP(K$3,Controls!$A$5:$F$558,MATCH($A32,Controls!$A$5:$A$564,0),0)</f>
        <v/>
      </c>
      <c r="L32" s="202">
        <f>HLOOKUP(L$3,Controls!$A$5:$F$558,MATCH($A32,Controls!$A$5:$A$564,0),0)</f>
        <v/>
      </c>
      <c r="M32" s="202">
        <f>HLOOKUP(M$3,Controls!$A$5:$F$558,MATCH($A32,Controls!$A$5:$A$564,0),0)</f>
        <v/>
      </c>
      <c r="N32" s="211">
        <f>HLOOKUP(N$3,Controls!$A$5:$F$558,MATCH($A32,Controls!$A$5:$A$564,0),0)</f>
        <v/>
      </c>
      <c r="O32" s="211">
        <f>HLOOKUP(O$3,Controls!$A$5:$F$558,MATCH($A32,Controls!$A$5:$A$564,0),0)</f>
        <v/>
      </c>
      <c r="P32" s="211">
        <f>HLOOKUP(P$3,Controls!$A$5:$F$558,MATCH($A32,Controls!$A$5:$A$564,0),0)</f>
        <v/>
      </c>
      <c r="Q32" s="211">
        <f>HLOOKUP(Q$3,Controls!$A$5:$F$558,MATCH($A32,Controls!$A$5:$A$564,0),0)</f>
        <v/>
      </c>
      <c r="R32" s="211">
        <f>HLOOKUP(R$3,Controls!$A$5:$F$558,MATCH($A32,Controls!$A$5:$A$564,0),0)</f>
        <v/>
      </c>
      <c r="S32" s="211">
        <f>HLOOKUP(S$3,Controls!$A$5:$F$558,MATCH($A32,Controls!$A$5:$A$564,0),0)</f>
        <v/>
      </c>
      <c r="T32" s="211">
        <f>HLOOKUP(T$3,Controls!$A$5:$F$558,MATCH($A32,Controls!$A$5:$A$564,0),0)</f>
        <v/>
      </c>
      <c r="U32" s="211">
        <f>HLOOKUP(U$3,Controls!$A$5:$F$558,MATCH($A32,Controls!$A$5:$A$564,0),0)</f>
        <v/>
      </c>
      <c r="V32" s="211">
        <f>HLOOKUP(V$3,Controls!$A$5:$F$558,MATCH($A32,Controls!$A$5:$A$564,0),0)</f>
        <v/>
      </c>
      <c r="W32" s="211">
        <f>HLOOKUP(W$3,Controls!$A$5:$F$558,MATCH($A32,Controls!$A$5:$A$564,0),0)</f>
        <v/>
      </c>
      <c r="X32" s="211">
        <f>HLOOKUP(X$3,Controls!$A$5:$F$558,MATCH($A32,Controls!$A$5:$A$564,0),0)</f>
        <v/>
      </c>
      <c r="Y32" s="211">
        <f>HLOOKUP(Y$3,Controls!$A$5:$F$558,MATCH($A32,Controls!$A$5:$A$564,0),0)</f>
        <v/>
      </c>
      <c r="Z32" s="222">
        <f>HLOOKUP(Z$3,Controls!$A$5:$F$558,MATCH($A32,Controls!$A$5:$A$564,0),0)</f>
        <v/>
      </c>
      <c r="AA32" s="222">
        <f>HLOOKUP(AA$3,Controls!$A$5:$F$558,MATCH($A32,Controls!$A$5:$A$564,0),0)</f>
        <v/>
      </c>
      <c r="AB32" s="222">
        <f>HLOOKUP(AB$3,Controls!$A$5:$F$558,MATCH($A32,Controls!$A$5:$A$564,0),0)</f>
        <v/>
      </c>
      <c r="AC32" s="222">
        <f>HLOOKUP(AC$3,Controls!$A$5:$F$558,MATCH($A32,Controls!$A$5:$A$564,0),0)</f>
        <v/>
      </c>
      <c r="AD32" s="222">
        <f>HLOOKUP(AD$3,Controls!$A$5:$F$558,MATCH($A32,Controls!$A$5:$A$564,0),0)</f>
        <v/>
      </c>
      <c r="AE32" s="222">
        <f>HLOOKUP(AE$3,Controls!$A$5:$F$558,MATCH($A32,Controls!$A$5:$A$564,0),0)</f>
        <v/>
      </c>
      <c r="AF32" s="222">
        <f>HLOOKUP(AF$3,Controls!$A$5:$F$558,MATCH($A32,Controls!$A$5:$A$564,0),0)</f>
        <v/>
      </c>
      <c r="AG32" s="222">
        <f>HLOOKUP(AG$3,Controls!$A$5:$F$558,MATCH($A32,Controls!$A$5:$A$564,0),0)</f>
        <v/>
      </c>
      <c r="AH32" s="222">
        <f>HLOOKUP(AH$3,Controls!$A$5:$F$558,MATCH($A32,Controls!$A$5:$A$564,0),0)</f>
        <v/>
      </c>
      <c r="AI32" s="222">
        <f>HLOOKUP(AI$3,Controls!$A$5:$F$558,MATCH($A32,Controls!$A$5:$A$564,0),0)</f>
        <v/>
      </c>
      <c r="AJ32" s="222">
        <f>HLOOKUP(AJ$3,Controls!$A$5:$F$558,MATCH($A32,Controls!$A$5:$A$564,0),0)</f>
        <v/>
      </c>
      <c r="AK32" s="222">
        <f>HLOOKUP(AK$3,Controls!$A$5:$F$558,MATCH($A32,Controls!$A$5:$A$564,0),0)</f>
        <v/>
      </c>
      <c r="AL32" s="231">
        <f>HLOOKUP(AL$3,Controls!$A$5:$F$558,MATCH($A32,Controls!$A$5:$A$564,0),0)</f>
        <v/>
      </c>
      <c r="AM32" s="231">
        <f>HLOOKUP(AM$3,Controls!$A$5:$F$558,MATCH($A32,Controls!$A$5:$A$564,0),0)</f>
        <v/>
      </c>
      <c r="AN32" s="231">
        <f>HLOOKUP(AN$3,Controls!$A$5:$F$558,MATCH($A32,Controls!$A$5:$A$564,0),0)</f>
        <v/>
      </c>
      <c r="AO32" s="231">
        <f>HLOOKUP(AO$3,Controls!$A$5:$F$558,MATCH($A32,Controls!$A$5:$A$564,0),0)</f>
        <v/>
      </c>
      <c r="AP32" s="231">
        <f>HLOOKUP(AP$3,Controls!$A$5:$F$558,MATCH($A32,Controls!$A$5:$A$564,0),0)</f>
        <v/>
      </c>
      <c r="AQ32" s="231">
        <f>HLOOKUP(AQ$3,Controls!$A$5:$F$558,MATCH($A32,Controls!$A$5:$A$564,0),0)</f>
        <v/>
      </c>
      <c r="AR32" s="231">
        <f>HLOOKUP(AR$3,Controls!$A$5:$F$558,MATCH($A32,Controls!$A$5:$A$564,0),0)</f>
        <v/>
      </c>
      <c r="AS32" s="231">
        <f>HLOOKUP(AS$3,Controls!$A$5:$F$558,MATCH($A32,Controls!$A$5:$A$564,0),0)</f>
        <v/>
      </c>
      <c r="AT32" s="231">
        <f>HLOOKUP(AT$3,Controls!$A$5:$F$558,MATCH($A32,Controls!$A$5:$A$564,0),0)</f>
        <v/>
      </c>
      <c r="AU32" s="231">
        <f>HLOOKUP(AU$3,Controls!$A$5:$F$558,MATCH($A32,Controls!$A$5:$A$564,0),0)</f>
        <v/>
      </c>
      <c r="AV32" s="231">
        <f>HLOOKUP(AV$3,Controls!$A$5:$F$558,MATCH($A32,Controls!$A$5:$A$564,0),0)</f>
        <v/>
      </c>
      <c r="AW32" s="231">
        <f>HLOOKUP(AW$3,Controls!$A$5:$F$558,MATCH($A32,Controls!$A$5:$A$564,0),0)</f>
        <v/>
      </c>
      <c r="AX32" s="240">
        <f>HLOOKUP(AX$3,Controls!$A$5:$F$558,MATCH($A32,Controls!$A$5:$A$564,0),0)</f>
        <v/>
      </c>
      <c r="AY32" s="240">
        <f>HLOOKUP(AY$3,Controls!$A$5:$F$558,MATCH($A32,Controls!$A$5:$A$564,0),0)</f>
        <v/>
      </c>
      <c r="AZ32" s="240">
        <f>HLOOKUP(AZ$3,Controls!$A$5:$F$558,MATCH($A32,Controls!$A$5:$A$564,0),0)</f>
        <v/>
      </c>
      <c r="BA32" s="240">
        <f>HLOOKUP(BA$3,Controls!$A$5:$F$558,MATCH($A32,Controls!$A$5:$A$564,0),0)</f>
        <v/>
      </c>
      <c r="BB32" s="240">
        <f>HLOOKUP(BB$3,Controls!$A$5:$F$558,MATCH($A32,Controls!$A$5:$A$564,0),0)</f>
        <v/>
      </c>
      <c r="BC32" s="240">
        <f>HLOOKUP(BC$3,Controls!$A$5:$F$558,MATCH($A32,Controls!$A$5:$A$564,0),0)</f>
        <v/>
      </c>
      <c r="BD32" s="240">
        <f>HLOOKUP(BD$3,Controls!$A$5:$F$558,MATCH($A32,Controls!$A$5:$A$564,0),0)</f>
        <v/>
      </c>
      <c r="BE32" s="240">
        <f>HLOOKUP(BE$3,Controls!$A$5:$F$558,MATCH($A32,Controls!$A$5:$A$564,0),0)</f>
        <v/>
      </c>
      <c r="BF32" s="240">
        <f>HLOOKUP(BF$3,Controls!$A$5:$F$558,MATCH($A32,Controls!$A$5:$A$564,0),0)</f>
        <v/>
      </c>
      <c r="BG32" s="240">
        <f>HLOOKUP(BG$3,Controls!$A$5:$F$558,MATCH($A32,Controls!$A$5:$A$564,0),0)</f>
        <v/>
      </c>
      <c r="BH32" s="240">
        <f>HLOOKUP(BH$3,Controls!$A$5:$F$558,MATCH($A32,Controls!$A$5:$A$564,0),0)</f>
        <v/>
      </c>
      <c r="BI32" s="240">
        <f>HLOOKUP(BI$3,Controls!$A$5:$F$558,MATCH($A32,Controls!$A$5:$A$564,0),0)</f>
        <v/>
      </c>
    </row>
    <row r="33" hidden="1" s="497">
      <c r="A33" s="165" t="inlineStr">
        <is>
          <t xml:space="preserve">Revenue generated </t>
        </is>
      </c>
      <c r="B33" s="556">
        <f>(B18+B29)*B32</f>
        <v/>
      </c>
      <c r="C33" s="556">
        <f>(C18+C29)*C32</f>
        <v/>
      </c>
      <c r="D33" s="556">
        <f>(D18+D29)*D32</f>
        <v/>
      </c>
      <c r="E33" s="556">
        <f>(E18+E29)*E32</f>
        <v/>
      </c>
      <c r="F33" s="556">
        <f>(F18+F29)*F32</f>
        <v/>
      </c>
      <c r="G33" s="556">
        <f>(G18+G29)*G32</f>
        <v/>
      </c>
      <c r="H33" s="556">
        <f>(H18+H29)*H32</f>
        <v/>
      </c>
      <c r="I33" s="556">
        <f>(I18+I29)*I32</f>
        <v/>
      </c>
      <c r="J33" s="556">
        <f>(J18+J29)*J32</f>
        <v/>
      </c>
      <c r="K33" s="556">
        <f>(K18+K29)*K32</f>
        <v/>
      </c>
      <c r="L33" s="556">
        <f>(L18+L29)*L32</f>
        <v/>
      </c>
      <c r="M33" s="556">
        <f>(M18+M29)*M32</f>
        <v/>
      </c>
      <c r="N33" s="557">
        <f>(N18+N29)*N32</f>
        <v/>
      </c>
      <c r="O33" s="557">
        <f>(O18+O29)*O32</f>
        <v/>
      </c>
      <c r="P33" s="557">
        <f>(P18+P29)*P32</f>
        <v/>
      </c>
      <c r="Q33" s="557">
        <f>(Q18+Q29)*Q32</f>
        <v/>
      </c>
      <c r="R33" s="557">
        <f>(R18+R29)*R32</f>
        <v/>
      </c>
      <c r="S33" s="557">
        <f>(S18+S29)*S32</f>
        <v/>
      </c>
      <c r="T33" s="557">
        <f>(T18+T29)*T32</f>
        <v/>
      </c>
      <c r="U33" s="557">
        <f>(U18+U29)*U32</f>
        <v/>
      </c>
      <c r="V33" s="557">
        <f>(V18+V29)*V32</f>
        <v/>
      </c>
      <c r="W33" s="557">
        <f>(W18+W29)*W32</f>
        <v/>
      </c>
      <c r="X33" s="557">
        <f>(X18+X29)*X32</f>
        <v/>
      </c>
      <c r="Y33" s="557">
        <f>(Y18+Y29)*Y32</f>
        <v/>
      </c>
      <c r="Z33" s="558">
        <f>(Z18+Z29)*Z32</f>
        <v/>
      </c>
      <c r="AA33" s="558">
        <f>(AA18+AA29)*AA32</f>
        <v/>
      </c>
      <c r="AB33" s="558">
        <f>(AB18+AB29)*AB32</f>
        <v/>
      </c>
      <c r="AC33" s="558">
        <f>(AC18+AC29)*AC32</f>
        <v/>
      </c>
      <c r="AD33" s="558">
        <f>(AD18+AD29)*AD32</f>
        <v/>
      </c>
      <c r="AE33" s="558">
        <f>(AE18+AE29)*AE32</f>
        <v/>
      </c>
      <c r="AF33" s="558">
        <f>(AF18+AF29)*AF32</f>
        <v/>
      </c>
      <c r="AG33" s="558">
        <f>(AG18+AG29)*AG32</f>
        <v/>
      </c>
      <c r="AH33" s="558">
        <f>(AH18+AH29)*AH32</f>
        <v/>
      </c>
      <c r="AI33" s="558">
        <f>(AI18+AI29)*AI32</f>
        <v/>
      </c>
      <c r="AJ33" s="558">
        <f>(AJ18+AJ29)*AJ32</f>
        <v/>
      </c>
      <c r="AK33" s="558">
        <f>(AK18+AK29)*AK32</f>
        <v/>
      </c>
      <c r="AL33" s="559">
        <f>(AL18+AL29)*AL32</f>
        <v/>
      </c>
      <c r="AM33" s="559">
        <f>(AM18+AM29)*AM32</f>
        <v/>
      </c>
      <c r="AN33" s="559">
        <f>(AN18+AN29)*AN32</f>
        <v/>
      </c>
      <c r="AO33" s="559">
        <f>(AO18+AO29)*AO32</f>
        <v/>
      </c>
      <c r="AP33" s="559">
        <f>(AP18+AP29)*AP32</f>
        <v/>
      </c>
      <c r="AQ33" s="559">
        <f>(AQ18+AQ29)*AQ32</f>
        <v/>
      </c>
      <c r="AR33" s="559">
        <f>(AR18+AR29)*AR32</f>
        <v/>
      </c>
      <c r="AS33" s="559">
        <f>(AS18+AS29)*AS32</f>
        <v/>
      </c>
      <c r="AT33" s="559">
        <f>(AT18+AT29)*AT32</f>
        <v/>
      </c>
      <c r="AU33" s="559">
        <f>(AU18+AU29)*AU32</f>
        <v/>
      </c>
      <c r="AV33" s="559">
        <f>(AV18+AV29)*AV32</f>
        <v/>
      </c>
      <c r="AW33" s="559">
        <f>(AW18+AW29)*AW32</f>
        <v/>
      </c>
      <c r="AX33" s="560">
        <f>(AX18+AX29)*AX32</f>
        <v/>
      </c>
      <c r="AY33" s="560">
        <f>(AY18+AY29)*AY32</f>
        <v/>
      </c>
      <c r="AZ33" s="560">
        <f>(AZ18+AZ29)*AZ32</f>
        <v/>
      </c>
      <c r="BA33" s="560">
        <f>(BA18+BA29)*BA32</f>
        <v/>
      </c>
      <c r="BB33" s="560">
        <f>(BB18+BB29)*BB32</f>
        <v/>
      </c>
      <c r="BC33" s="560">
        <f>(BC18+BC29)*BC32</f>
        <v/>
      </c>
      <c r="BD33" s="560">
        <f>(BD18+BD29)*BD32</f>
        <v/>
      </c>
      <c r="BE33" s="560">
        <f>(BE18+BE29)*BE32</f>
        <v/>
      </c>
      <c r="BF33" s="560">
        <f>(BF18+BF29)*BF32</f>
        <v/>
      </c>
      <c r="BG33" s="560">
        <f>(BG18+BG29)*BG32</f>
        <v/>
      </c>
      <c r="BH33" s="560">
        <f>(BH18+BH29)*BH32</f>
        <v/>
      </c>
      <c r="BI33" s="560">
        <f>(BI18+BI29)*BI32</f>
        <v/>
      </c>
    </row>
    <row r="34">
      <c r="A34" s="58" t="n"/>
      <c r="B34" s="566" t="n"/>
      <c r="C34" s="566" t="n"/>
      <c r="D34" s="566" t="n"/>
      <c r="E34" s="566" t="n"/>
      <c r="F34" s="566" t="n"/>
      <c r="G34" s="566" t="n"/>
      <c r="H34" s="566" t="n"/>
      <c r="I34" s="566" t="n"/>
      <c r="J34" s="566" t="n"/>
      <c r="K34" s="566" t="n"/>
      <c r="L34" s="566" t="n"/>
      <c r="M34" s="566" t="n"/>
      <c r="N34" s="567" t="n"/>
      <c r="O34" s="567" t="n"/>
      <c r="P34" s="567" t="n"/>
      <c r="Q34" s="567" t="n"/>
      <c r="R34" s="567" t="n"/>
      <c r="S34" s="567" t="n"/>
      <c r="T34" s="567" t="n"/>
      <c r="U34" s="567" t="n"/>
      <c r="V34" s="567" t="n"/>
      <c r="W34" s="567" t="n"/>
      <c r="X34" s="567" t="n"/>
      <c r="Y34" s="567" t="n"/>
      <c r="Z34" s="568" t="n"/>
      <c r="AA34" s="568" t="n"/>
      <c r="AB34" s="568" t="n"/>
      <c r="AC34" s="568" t="n"/>
      <c r="AD34" s="568" t="n"/>
      <c r="AE34" s="568" t="n"/>
      <c r="AF34" s="568" t="n"/>
      <c r="AG34" s="568" t="n"/>
      <c r="AH34" s="568" t="n"/>
      <c r="AI34" s="568" t="n"/>
      <c r="AJ34" s="568" t="n"/>
      <c r="AK34" s="568" t="n"/>
      <c r="AL34" s="569" t="n"/>
      <c r="AM34" s="569" t="n"/>
      <c r="AN34" s="569" t="n"/>
      <c r="AO34" s="569" t="n"/>
      <c r="AP34" s="569" t="n"/>
      <c r="AQ34" s="569" t="n"/>
      <c r="AR34" s="569" t="n"/>
      <c r="AS34" s="569" t="n"/>
      <c r="AT34" s="569" t="n"/>
      <c r="AU34" s="569" t="n"/>
      <c r="AV34" s="569" t="n"/>
      <c r="AW34" s="569" t="n"/>
      <c r="AX34" s="570" t="n"/>
      <c r="AY34" s="570" t="n"/>
      <c r="AZ34" s="570" t="n"/>
      <c r="BA34" s="570" t="n"/>
      <c r="BB34" s="570" t="n"/>
      <c r="BC34" s="570" t="n"/>
      <c r="BD34" s="570" t="n"/>
      <c r="BE34" s="570" t="n"/>
      <c r="BF34" s="570" t="n"/>
      <c r="BG34" s="570" t="n"/>
      <c r="BH34" s="570" t="n"/>
      <c r="BI34" s="570" t="n"/>
    </row>
    <row r="35">
      <c r="A35" s="186" t="inlineStr">
        <is>
          <t>KITS RAPID TEST</t>
        </is>
      </c>
      <c r="B35" s="566" t="n"/>
      <c r="C35" s="566" t="n"/>
      <c r="D35" s="566" t="n"/>
      <c r="E35" s="566" t="n"/>
      <c r="F35" s="566" t="n"/>
      <c r="G35" s="566" t="n"/>
      <c r="H35" s="566" t="n"/>
      <c r="I35" s="566" t="n"/>
      <c r="J35" s="566" t="n"/>
      <c r="K35" s="566" t="n"/>
      <c r="L35" s="566" t="n"/>
      <c r="M35" s="566" t="n"/>
      <c r="N35" s="567" t="n"/>
      <c r="O35" s="567" t="n"/>
      <c r="P35" s="567" t="n"/>
      <c r="Q35" s="567" t="n"/>
      <c r="R35" s="567" t="n"/>
      <c r="S35" s="567" t="n"/>
      <c r="T35" s="567" t="n"/>
      <c r="U35" s="567" t="n"/>
      <c r="V35" s="567" t="n"/>
      <c r="W35" s="567" t="n"/>
      <c r="X35" s="567" t="n"/>
      <c r="Y35" s="567" t="n"/>
      <c r="Z35" s="568" t="n"/>
      <c r="AA35" s="568" t="n"/>
      <c r="AB35" s="568" t="n"/>
      <c r="AC35" s="568" t="n"/>
      <c r="AD35" s="568" t="n"/>
      <c r="AE35" s="568" t="n"/>
      <c r="AF35" s="568" t="n"/>
      <c r="AG35" s="568" t="n"/>
      <c r="AH35" s="568" t="n"/>
      <c r="AI35" s="568" t="n"/>
      <c r="AJ35" s="568" t="n"/>
      <c r="AK35" s="568" t="n"/>
      <c r="AL35" s="569" t="n"/>
      <c r="AM35" s="569" t="n"/>
      <c r="AN35" s="569" t="n"/>
      <c r="AO35" s="569" t="n"/>
      <c r="AP35" s="569" t="n"/>
      <c r="AQ35" s="569" t="n"/>
      <c r="AR35" s="569" t="n"/>
      <c r="AS35" s="569" t="n"/>
      <c r="AT35" s="569" t="n"/>
      <c r="AU35" s="569" t="n"/>
      <c r="AV35" s="569" t="n"/>
      <c r="AW35" s="569" t="n"/>
      <c r="AX35" s="570" t="n"/>
      <c r="AY35" s="570" t="n"/>
      <c r="AZ35" s="570" t="n"/>
      <c r="BA35" s="570" t="n"/>
      <c r="BB35" s="570" t="n"/>
      <c r="BC35" s="570" t="n"/>
      <c r="BD35" s="570" t="n"/>
      <c r="BE35" s="570" t="n"/>
      <c r="BF35" s="570" t="n"/>
      <c r="BG35" s="570" t="n"/>
      <c r="BH35" s="570" t="n"/>
      <c r="BI35" s="570" t="n"/>
    </row>
    <row r="36" ht="14" customHeight="1" s="497">
      <c r="A36" s="189" t="inlineStr">
        <is>
          <t>Total Units Sold</t>
        </is>
      </c>
      <c r="B36" s="556" t="n"/>
      <c r="C36" s="556" t="n"/>
      <c r="D36" s="556" t="n"/>
      <c r="E36" s="556" t="n"/>
      <c r="F36" s="556" t="n"/>
      <c r="G36" s="556" t="n"/>
      <c r="H36" s="556" t="n"/>
      <c r="I36" s="556" t="n"/>
      <c r="J36" s="549" t="n">
        <v>0</v>
      </c>
      <c r="K36" s="549" t="n"/>
      <c r="L36" s="549" t="n"/>
      <c r="M36" s="549" t="n"/>
      <c r="N36" s="571" t="n"/>
      <c r="O36" s="571" t="n"/>
      <c r="P36" s="571" t="n"/>
      <c r="Q36" s="571" t="n"/>
      <c r="R36" s="571" t="n"/>
      <c r="S36" s="571" t="n"/>
      <c r="T36" s="571" t="n"/>
      <c r="U36" s="571" t="n"/>
      <c r="V36" s="571">
        <f>+J36*1.5</f>
        <v/>
      </c>
      <c r="W36" s="572" t="n"/>
      <c r="X36" s="572" t="n"/>
      <c r="Y36" s="572" t="n"/>
      <c r="Z36" s="573" t="n"/>
      <c r="AA36" s="573" t="n"/>
      <c r="AB36" s="573" t="n"/>
      <c r="AC36" s="573" t="n"/>
      <c r="AD36" s="573" t="n"/>
      <c r="AE36" s="573" t="n"/>
      <c r="AF36" s="573" t="n"/>
      <c r="AG36" s="574" t="n"/>
      <c r="AH36" s="574">
        <f>+V36*2</f>
        <v/>
      </c>
      <c r="AI36" s="574" t="n"/>
      <c r="AJ36" s="574" t="n"/>
      <c r="AK36" s="574" t="n"/>
      <c r="AL36" s="575" t="n"/>
      <c r="AM36" s="575" t="n"/>
      <c r="AN36" s="575" t="n"/>
      <c r="AO36" s="575" t="n"/>
      <c r="AP36" s="575" t="n"/>
      <c r="AQ36" s="575" t="n"/>
      <c r="AR36" s="575" t="n"/>
      <c r="AS36" s="575" t="n"/>
      <c r="AT36" s="575">
        <f>+AH36*1.7</f>
        <v/>
      </c>
      <c r="AU36" s="575" t="n"/>
      <c r="AV36" s="575" t="n"/>
      <c r="AW36" s="575" t="n"/>
      <c r="AX36" s="576" t="n"/>
      <c r="AY36" s="576" t="n"/>
      <c r="AZ36" s="576" t="n"/>
      <c r="BA36" s="576" t="n"/>
      <c r="BB36" s="576" t="n"/>
      <c r="BC36" s="576" t="n"/>
      <c r="BD36" s="576" t="n"/>
      <c r="BE36" s="576" t="n"/>
      <c r="BF36" s="576">
        <f>+AT36*1.75</f>
        <v/>
      </c>
      <c r="BG36" s="576" t="n"/>
      <c r="BH36" s="576" t="n"/>
      <c r="BI36" s="576" t="n"/>
    </row>
    <row r="37" ht="14" customHeight="1" s="497">
      <c r="A37" s="430" t="inlineStr">
        <is>
          <t>FRANCE</t>
        </is>
      </c>
      <c r="B37" s="556" t="n"/>
      <c r="C37" s="556" t="n"/>
      <c r="D37" s="556" t="n"/>
      <c r="E37" s="556" t="n"/>
      <c r="F37" s="556" t="n"/>
      <c r="G37" s="556" t="n"/>
      <c r="H37" s="556" t="n"/>
      <c r="I37" s="556" t="n"/>
      <c r="J37" s="549" t="n"/>
      <c r="K37" s="549" t="n"/>
      <c r="L37" s="549" t="n"/>
      <c r="M37" s="549" t="n"/>
      <c r="N37" s="571" t="n"/>
      <c r="O37" s="571" t="n"/>
      <c r="P37" s="571" t="n"/>
      <c r="Q37" s="571" t="n"/>
      <c r="R37" s="571" t="n"/>
      <c r="S37" s="571" t="n"/>
      <c r="T37" s="571" t="n"/>
      <c r="U37" s="571" t="n"/>
      <c r="V37" s="571" t="n"/>
      <c r="W37" s="572" t="n"/>
      <c r="X37" s="572" t="n"/>
      <c r="Y37" s="572" t="n"/>
      <c r="Z37" s="573" t="n"/>
      <c r="AA37" s="573" t="n"/>
      <c r="AB37" s="573" t="n"/>
      <c r="AC37" s="573" t="n"/>
      <c r="AD37" s="573" t="n"/>
      <c r="AE37" s="573" t="n"/>
      <c r="AF37" s="573" t="n"/>
      <c r="AG37" s="574" t="n"/>
      <c r="AH37" s="574" t="n"/>
      <c r="AI37" s="574" t="n"/>
      <c r="AJ37" s="574" t="n"/>
      <c r="AK37" s="574" t="n"/>
      <c r="AL37" s="575" t="n"/>
      <c r="AM37" s="575" t="n"/>
      <c r="AN37" s="575" t="n"/>
      <c r="AO37" s="575" t="n"/>
      <c r="AP37" s="575" t="n"/>
      <c r="AQ37" s="575" t="n"/>
      <c r="AR37" s="575" t="n"/>
      <c r="AS37" s="575" t="n"/>
      <c r="AT37" s="575" t="n"/>
      <c r="AU37" s="575" t="n"/>
      <c r="AV37" s="575" t="n"/>
      <c r="AW37" s="575" t="n"/>
      <c r="AX37" s="576" t="n"/>
      <c r="AY37" s="576" t="n"/>
      <c r="AZ37" s="576" t="n"/>
      <c r="BA37" s="576" t="n"/>
      <c r="BB37" s="576" t="n"/>
      <c r="BC37" s="576" t="n"/>
      <c r="BD37" s="576" t="n"/>
      <c r="BE37" s="576" t="n"/>
      <c r="BF37" s="576" t="n"/>
      <c r="BG37" s="576" t="n"/>
      <c r="BH37" s="576" t="n"/>
      <c r="BI37" s="576" t="n"/>
    </row>
    <row r="38" ht="14" customHeight="1" s="497">
      <c r="A38" s="430" t="inlineStr">
        <is>
          <t>COUNTRIES 2</t>
        </is>
      </c>
      <c r="B38" s="556" t="n"/>
      <c r="C38" s="556" t="n"/>
      <c r="D38" s="556" t="n"/>
      <c r="E38" s="556" t="n"/>
      <c r="F38" s="556" t="n"/>
      <c r="G38" s="556" t="n"/>
      <c r="H38" s="556" t="n"/>
      <c r="I38" s="556" t="n"/>
      <c r="J38" s="549" t="n"/>
      <c r="K38" s="549" t="n"/>
      <c r="L38" s="549" t="n"/>
      <c r="M38" s="549" t="n"/>
      <c r="N38" s="571" t="n"/>
      <c r="O38" s="571" t="n"/>
      <c r="P38" s="571" t="n"/>
      <c r="Q38" s="571" t="n"/>
      <c r="R38" s="571" t="n"/>
      <c r="S38" s="571" t="n"/>
      <c r="T38" s="571" t="n"/>
      <c r="U38" s="571" t="n"/>
      <c r="V38" s="571" t="n"/>
      <c r="W38" s="572" t="n"/>
      <c r="X38" s="572" t="n"/>
      <c r="Y38" s="572" t="n"/>
      <c r="Z38" s="573" t="n"/>
      <c r="AA38" s="573" t="n"/>
      <c r="AB38" s="573" t="n"/>
      <c r="AC38" s="573" t="n"/>
      <c r="AD38" s="573" t="n"/>
      <c r="AE38" s="573" t="n"/>
      <c r="AF38" s="573" t="n"/>
      <c r="AG38" s="574" t="n"/>
      <c r="AH38" s="574" t="n"/>
      <c r="AI38" s="574" t="n"/>
      <c r="AJ38" s="574" t="n"/>
      <c r="AK38" s="574" t="n"/>
      <c r="AL38" s="575" t="n"/>
      <c r="AM38" s="575" t="n"/>
      <c r="AN38" s="575" t="n"/>
      <c r="AO38" s="575" t="n"/>
      <c r="AP38" s="575" t="n"/>
      <c r="AQ38" s="575" t="n"/>
      <c r="AR38" s="575" t="n"/>
      <c r="AS38" s="575" t="n"/>
      <c r="AT38" s="575" t="n"/>
      <c r="AU38" s="575" t="n"/>
      <c r="AV38" s="575" t="n"/>
      <c r="AW38" s="575" t="n"/>
      <c r="AX38" s="576" t="n"/>
      <c r="AY38" s="576" t="n"/>
      <c r="AZ38" s="576" t="n"/>
      <c r="BA38" s="576" t="n"/>
      <c r="BB38" s="576" t="n"/>
      <c r="BC38" s="576" t="n"/>
      <c r="BD38" s="576" t="n"/>
      <c r="BE38" s="576" t="n"/>
      <c r="BF38" s="576" t="n"/>
      <c r="BG38" s="576" t="n"/>
      <c r="BH38" s="576" t="n"/>
      <c r="BI38" s="576" t="n"/>
    </row>
    <row r="39" ht="14" customHeight="1" s="497">
      <c r="A39" s="430" t="inlineStr">
        <is>
          <t>COUNTRIES 3</t>
        </is>
      </c>
      <c r="B39" s="556" t="n"/>
      <c r="C39" s="556" t="n"/>
      <c r="D39" s="556" t="n"/>
      <c r="E39" s="556" t="n"/>
      <c r="F39" s="556" t="n"/>
      <c r="G39" s="556" t="n"/>
      <c r="H39" s="556" t="n"/>
      <c r="I39" s="556" t="n"/>
      <c r="J39" s="549" t="n"/>
      <c r="K39" s="549" t="n"/>
      <c r="L39" s="549" t="n"/>
      <c r="M39" s="549" t="n"/>
      <c r="N39" s="571" t="n"/>
      <c r="O39" s="571" t="n"/>
      <c r="P39" s="571" t="n"/>
      <c r="Q39" s="571" t="n"/>
      <c r="R39" s="571" t="n"/>
      <c r="S39" s="571" t="n"/>
      <c r="T39" s="571" t="n"/>
      <c r="U39" s="571" t="n"/>
      <c r="V39" s="571" t="n"/>
      <c r="W39" s="572" t="n"/>
      <c r="X39" s="572" t="n"/>
      <c r="Y39" s="572" t="n"/>
      <c r="Z39" s="573" t="n"/>
      <c r="AA39" s="573" t="n"/>
      <c r="AB39" s="573" t="n"/>
      <c r="AC39" s="573" t="n"/>
      <c r="AD39" s="573" t="n"/>
      <c r="AE39" s="573" t="n"/>
      <c r="AF39" s="573" t="n"/>
      <c r="AG39" s="574" t="n"/>
      <c r="AH39" s="574" t="n"/>
      <c r="AI39" s="574" t="n"/>
      <c r="AJ39" s="574" t="n"/>
      <c r="AK39" s="574" t="n"/>
      <c r="AL39" s="575" t="n"/>
      <c r="AM39" s="575" t="n"/>
      <c r="AN39" s="575" t="n"/>
      <c r="AO39" s="575" t="n"/>
      <c r="AP39" s="575" t="n"/>
      <c r="AQ39" s="575" t="n"/>
      <c r="AR39" s="575" t="n"/>
      <c r="AS39" s="575" t="n"/>
      <c r="AT39" s="575" t="n"/>
      <c r="AU39" s="575" t="n"/>
      <c r="AV39" s="575" t="n"/>
      <c r="AW39" s="575" t="n"/>
      <c r="AX39" s="576" t="n"/>
      <c r="AY39" s="576" t="n"/>
      <c r="AZ39" s="576" t="n"/>
      <c r="BA39" s="576" t="n"/>
      <c r="BB39" s="576" t="n"/>
      <c r="BC39" s="576" t="n"/>
      <c r="BD39" s="576" t="n"/>
      <c r="BE39" s="576" t="n"/>
      <c r="BF39" s="576" t="n"/>
      <c r="BG39" s="576" t="n"/>
      <c r="BH39" s="576" t="n"/>
      <c r="BI39" s="576" t="n"/>
    </row>
    <row r="40">
      <c r="A40" s="189" t="inlineStr">
        <is>
          <t xml:space="preserve">Revenue generated </t>
        </is>
      </c>
      <c r="B40" s="556">
        <f>+B36*Controls!$B$43</f>
        <v/>
      </c>
      <c r="C40" s="556">
        <f>+C36*Controls!$B$43</f>
        <v/>
      </c>
      <c r="D40" s="556">
        <f>+D36*Controls!$B$43</f>
        <v/>
      </c>
      <c r="E40" s="556">
        <f>+E36*Controls!$B$43</f>
        <v/>
      </c>
      <c r="F40" s="556">
        <f>+F36*Controls!$B$43</f>
        <v/>
      </c>
      <c r="G40" s="556">
        <f>+G36*Controls!$B$43</f>
        <v/>
      </c>
      <c r="H40" s="556">
        <f>+H36*Controls!$B$43</f>
        <v/>
      </c>
      <c r="I40" s="556">
        <f>+I36*Controls!$B$43</f>
        <v/>
      </c>
      <c r="J40" s="556">
        <f>+J36*Controls!$B$43</f>
        <v/>
      </c>
      <c r="K40" s="556">
        <f>+K36*Controls!$B$43</f>
        <v/>
      </c>
      <c r="L40" s="556">
        <f>+L36*Controls!$B$43</f>
        <v/>
      </c>
      <c r="M40" s="556">
        <f>+M36*Controls!$B$43</f>
        <v/>
      </c>
      <c r="N40" s="557">
        <f>+N36*Controls!$C$43</f>
        <v/>
      </c>
      <c r="O40" s="557">
        <f>+O36*Controls!$C$43</f>
        <v/>
      </c>
      <c r="P40" s="557">
        <f>+P36*Controls!$C$43</f>
        <v/>
      </c>
      <c r="Q40" s="557">
        <f>+Q36*Controls!$C$43</f>
        <v/>
      </c>
      <c r="R40" s="557">
        <f>+R36*Controls!$C$43</f>
        <v/>
      </c>
      <c r="S40" s="557">
        <f>+S36*Controls!$C$43</f>
        <v/>
      </c>
      <c r="T40" s="557">
        <f>+T36*Controls!$C$43</f>
        <v/>
      </c>
      <c r="U40" s="557">
        <f>+U36*Controls!$C$43</f>
        <v/>
      </c>
      <c r="V40" s="557">
        <f>+V36*Controls!$C$43</f>
        <v/>
      </c>
      <c r="W40" s="557">
        <f>+W36*Controls!$C$43</f>
        <v/>
      </c>
      <c r="X40" s="557">
        <f>+X36*Controls!$C$43</f>
        <v/>
      </c>
      <c r="Y40" s="557">
        <f>+Y36*Controls!$C$43</f>
        <v/>
      </c>
      <c r="Z40" s="558">
        <f>+Z36*Controls!$D$43</f>
        <v/>
      </c>
      <c r="AA40" s="558">
        <f>+AA36*Controls!$D$43</f>
        <v/>
      </c>
      <c r="AB40" s="558">
        <f>+AB36*Controls!$D$43</f>
        <v/>
      </c>
      <c r="AC40" s="558">
        <f>+AC36*Controls!$D$43</f>
        <v/>
      </c>
      <c r="AD40" s="558">
        <f>+AD36*Controls!$D$43</f>
        <v/>
      </c>
      <c r="AE40" s="558">
        <f>+AE36*Controls!$D$43</f>
        <v/>
      </c>
      <c r="AF40" s="558">
        <f>+AF36*Controls!$D$43</f>
        <v/>
      </c>
      <c r="AG40" s="558">
        <f>+AG36*Controls!$D$43</f>
        <v/>
      </c>
      <c r="AH40" s="558">
        <f>+AH36*Controls!$D$43</f>
        <v/>
      </c>
      <c r="AI40" s="558">
        <f>+AI36*Controls!$D$43</f>
        <v/>
      </c>
      <c r="AJ40" s="558">
        <f>+AJ36*Controls!$D$43</f>
        <v/>
      </c>
      <c r="AK40" s="558">
        <f>+AK36*Controls!$D$43</f>
        <v/>
      </c>
      <c r="AL40" s="559">
        <f>+AL36*Controls!$E$43</f>
        <v/>
      </c>
      <c r="AM40" s="559">
        <f>+AM36*Controls!$E$43</f>
        <v/>
      </c>
      <c r="AN40" s="559">
        <f>+AN36*Controls!$E$43</f>
        <v/>
      </c>
      <c r="AO40" s="559">
        <f>+AO36*Controls!$E$43</f>
        <v/>
      </c>
      <c r="AP40" s="559">
        <f>+AP36*Controls!$E$43</f>
        <v/>
      </c>
      <c r="AQ40" s="559">
        <f>+AQ36*Controls!$E$43</f>
        <v/>
      </c>
      <c r="AR40" s="559">
        <f>+AR36*Controls!$E$43</f>
        <v/>
      </c>
      <c r="AS40" s="559">
        <f>+AS36*Controls!$E$43</f>
        <v/>
      </c>
      <c r="AT40" s="559">
        <f>+AT36*Controls!$E$43</f>
        <v/>
      </c>
      <c r="AU40" s="559">
        <f>+AU36*Controls!$E$43</f>
        <v/>
      </c>
      <c r="AV40" s="559">
        <f>+AV36*Controls!$E$43</f>
        <v/>
      </c>
      <c r="AW40" s="559">
        <f>+AW36*Controls!$E$43</f>
        <v/>
      </c>
      <c r="AX40" s="560">
        <f>+AX36*Controls!$F$43</f>
        <v/>
      </c>
      <c r="AY40" s="560">
        <f>+AY36*Controls!$F$43</f>
        <v/>
      </c>
      <c r="AZ40" s="560">
        <f>+AZ36*Controls!$F$43</f>
        <v/>
      </c>
      <c r="BA40" s="560">
        <f>+BA36*Controls!$F$43</f>
        <v/>
      </c>
      <c r="BB40" s="560">
        <f>+BB36*Controls!$F$43</f>
        <v/>
      </c>
      <c r="BC40" s="560">
        <f>+BC36*Controls!$F$43</f>
        <v/>
      </c>
      <c r="BD40" s="560">
        <f>+BD36*Controls!$F$43</f>
        <v/>
      </c>
      <c r="BE40" s="560">
        <f>+BE36*Controls!$F$43</f>
        <v/>
      </c>
      <c r="BF40" s="560">
        <f>+BF36*Controls!$F$43</f>
        <v/>
      </c>
      <c r="BG40" s="560">
        <f>+BG36*Controls!$F$43</f>
        <v/>
      </c>
      <c r="BH40" s="560">
        <f>+BH36*Controls!$F$43</f>
        <v/>
      </c>
      <c r="BI40" s="560">
        <f>+BI36*Controls!$F$43</f>
        <v/>
      </c>
    </row>
    <row r="41">
      <c r="A41" s="186" t="inlineStr">
        <is>
          <t>KITS ARRAY</t>
        </is>
      </c>
      <c r="B41" s="566" t="n"/>
      <c r="C41" s="566" t="n"/>
      <c r="D41" s="566" t="n"/>
      <c r="E41" s="566" t="n"/>
      <c r="F41" s="566" t="n"/>
      <c r="G41" s="566" t="n"/>
      <c r="H41" s="566" t="n"/>
      <c r="I41" s="566" t="n"/>
      <c r="J41" s="566" t="n"/>
      <c r="K41" s="566" t="n"/>
      <c r="L41" s="566" t="n"/>
      <c r="M41" s="566" t="n"/>
      <c r="N41" s="567" t="n"/>
      <c r="O41" s="567" t="n"/>
      <c r="P41" s="567" t="n"/>
      <c r="Q41" s="567" t="n"/>
      <c r="R41" s="567" t="n"/>
      <c r="S41" s="567" t="n"/>
      <c r="T41" s="567" t="n"/>
      <c r="U41" s="567" t="n"/>
      <c r="V41" s="567" t="n"/>
      <c r="W41" s="567" t="n"/>
      <c r="X41" s="567" t="n"/>
      <c r="Y41" s="567" t="n"/>
      <c r="Z41" s="568" t="n"/>
      <c r="AA41" s="568" t="n"/>
      <c r="AB41" s="568" t="n"/>
      <c r="AC41" s="568" t="n"/>
      <c r="AD41" s="568" t="n"/>
      <c r="AE41" s="568" t="n"/>
      <c r="AF41" s="568" t="n"/>
      <c r="AG41" s="568" t="n"/>
      <c r="AH41" s="568" t="n"/>
      <c r="AI41" s="568" t="n"/>
      <c r="AJ41" s="568" t="n"/>
      <c r="AK41" s="568" t="n"/>
      <c r="AL41" s="569" t="n"/>
      <c r="AM41" s="569" t="n"/>
      <c r="AN41" s="569" t="n"/>
      <c r="AO41" s="569" t="n"/>
      <c r="AP41" s="569" t="n"/>
      <c r="AQ41" s="569" t="n"/>
      <c r="AR41" s="569" t="n"/>
      <c r="AS41" s="569" t="n"/>
      <c r="AT41" s="569" t="n"/>
      <c r="AU41" s="569" t="n"/>
      <c r="AV41" s="569" t="n"/>
      <c r="AW41" s="569" t="n"/>
      <c r="AX41" s="570" t="n"/>
      <c r="AY41" s="570" t="n"/>
      <c r="AZ41" s="570" t="n"/>
      <c r="BA41" s="570" t="n"/>
      <c r="BB41" s="570" t="n"/>
      <c r="BC41" s="570" t="n"/>
      <c r="BD41" s="570" t="n"/>
      <c r="BE41" s="570" t="n"/>
      <c r="BF41" s="570" t="n"/>
      <c r="BG41" s="570" t="n"/>
      <c r="BH41" s="570" t="n"/>
      <c r="BI41" s="570" t="n"/>
    </row>
    <row r="42" ht="14" customHeight="1" s="497">
      <c r="A42" s="189" t="inlineStr">
        <is>
          <t>Total Units Sold</t>
        </is>
      </c>
      <c r="B42" s="556" t="n"/>
      <c r="C42" s="556" t="n"/>
      <c r="D42" s="556" t="n"/>
      <c r="E42" s="556" t="n"/>
      <c r="F42" s="556" t="n"/>
      <c r="G42" s="556" t="n"/>
      <c r="H42" s="556" t="n"/>
      <c r="I42" s="556" t="n"/>
      <c r="J42" s="549" t="n">
        <v>0</v>
      </c>
      <c r="K42" s="549" t="n"/>
      <c r="L42" s="549" t="n"/>
      <c r="M42" s="549" t="n"/>
      <c r="N42" s="571" t="n"/>
      <c r="O42" s="571" t="n"/>
      <c r="P42" s="571" t="n"/>
      <c r="Q42" s="571" t="n"/>
      <c r="R42" s="571" t="n"/>
      <c r="S42" s="571" t="n"/>
      <c r="T42" s="571" t="n"/>
      <c r="U42" s="571" t="n"/>
      <c r="V42" s="571">
        <f>+J42*1.5</f>
        <v/>
      </c>
      <c r="W42" s="572" t="n"/>
      <c r="X42" s="572" t="n"/>
      <c r="Y42" s="572" t="n"/>
      <c r="Z42" s="573" t="n"/>
      <c r="AA42" s="573" t="n"/>
      <c r="AB42" s="573" t="n"/>
      <c r="AC42" s="573" t="n"/>
      <c r="AD42" s="573" t="n"/>
      <c r="AE42" s="573" t="n"/>
      <c r="AF42" s="573" t="n"/>
      <c r="AG42" s="574" t="n"/>
      <c r="AH42" s="574">
        <f>+V42*2</f>
        <v/>
      </c>
      <c r="AI42" s="574" t="n"/>
      <c r="AJ42" s="574" t="n"/>
      <c r="AK42" s="574" t="n"/>
      <c r="AL42" s="575" t="n"/>
      <c r="AM42" s="575" t="n"/>
      <c r="AN42" s="575" t="n"/>
      <c r="AO42" s="575" t="n"/>
      <c r="AP42" s="575" t="n"/>
      <c r="AQ42" s="575" t="n"/>
      <c r="AR42" s="575" t="n"/>
      <c r="AS42" s="575" t="n"/>
      <c r="AT42" s="575">
        <f>+AH42*1.7</f>
        <v/>
      </c>
      <c r="AU42" s="575" t="n"/>
      <c r="AV42" s="575" t="n"/>
      <c r="AW42" s="575" t="n"/>
      <c r="AX42" s="576" t="n"/>
      <c r="AY42" s="576" t="n"/>
      <c r="AZ42" s="576" t="n"/>
      <c r="BA42" s="576" t="n"/>
      <c r="BB42" s="576" t="n"/>
      <c r="BC42" s="576" t="n"/>
      <c r="BD42" s="576" t="n"/>
      <c r="BE42" s="576" t="n"/>
      <c r="BF42" s="576">
        <f>+AT42*1.75</f>
        <v/>
      </c>
      <c r="BG42" s="570" t="n"/>
      <c r="BH42" s="570" t="n"/>
      <c r="BI42" s="570" t="n"/>
    </row>
    <row r="43" ht="14" customHeight="1" s="497">
      <c r="A43" s="430" t="inlineStr">
        <is>
          <t>FRANCE</t>
        </is>
      </c>
      <c r="B43" s="556" t="n"/>
      <c r="C43" s="556" t="n"/>
      <c r="D43" s="556" t="n"/>
      <c r="E43" s="556" t="n"/>
      <c r="F43" s="556" t="n"/>
      <c r="G43" s="556" t="n"/>
      <c r="H43" s="556" t="n"/>
      <c r="I43" s="556" t="n"/>
      <c r="J43" s="549" t="n"/>
      <c r="K43" s="549" t="n"/>
      <c r="L43" s="549" t="n"/>
      <c r="M43" s="549" t="n"/>
      <c r="N43" s="571" t="n"/>
      <c r="O43" s="571" t="n"/>
      <c r="P43" s="571" t="n"/>
      <c r="Q43" s="571" t="n"/>
      <c r="R43" s="571" t="n"/>
      <c r="S43" s="571" t="n"/>
      <c r="T43" s="571" t="n"/>
      <c r="U43" s="571" t="n"/>
      <c r="V43" s="571" t="n"/>
      <c r="W43" s="572" t="n"/>
      <c r="X43" s="572" t="n"/>
      <c r="Y43" s="572" t="n"/>
      <c r="Z43" s="573" t="n"/>
      <c r="AA43" s="573" t="n"/>
      <c r="AB43" s="573" t="n"/>
      <c r="AC43" s="573" t="n"/>
      <c r="AD43" s="573" t="n"/>
      <c r="AE43" s="573" t="n"/>
      <c r="AF43" s="573" t="n"/>
      <c r="AG43" s="574" t="n"/>
      <c r="AH43" s="574" t="n"/>
      <c r="AI43" s="574" t="n"/>
      <c r="AJ43" s="574" t="n"/>
      <c r="AK43" s="574" t="n"/>
      <c r="AL43" s="575" t="n"/>
      <c r="AM43" s="575" t="n"/>
      <c r="AN43" s="575" t="n"/>
      <c r="AO43" s="575" t="n"/>
      <c r="AP43" s="575" t="n"/>
      <c r="AQ43" s="575" t="n"/>
      <c r="AR43" s="575" t="n"/>
      <c r="AS43" s="575" t="n"/>
      <c r="AT43" s="575" t="n"/>
      <c r="AU43" s="575" t="n"/>
      <c r="AV43" s="575" t="n"/>
      <c r="AW43" s="575" t="n"/>
      <c r="AX43" s="576" t="n"/>
      <c r="AY43" s="576" t="n"/>
      <c r="AZ43" s="576" t="n"/>
      <c r="BA43" s="576" t="n"/>
      <c r="BB43" s="576" t="n"/>
      <c r="BC43" s="576" t="n"/>
      <c r="BD43" s="576" t="n"/>
      <c r="BE43" s="576" t="n"/>
      <c r="BF43" s="576" t="n"/>
      <c r="BG43" s="570" t="n"/>
      <c r="BH43" s="570" t="n"/>
      <c r="BI43" s="570" t="n"/>
    </row>
    <row r="44" ht="14" customHeight="1" s="497">
      <c r="A44" s="430" t="inlineStr">
        <is>
          <t>COUNTRIES 2</t>
        </is>
      </c>
      <c r="B44" s="556" t="n"/>
      <c r="C44" s="556" t="n"/>
      <c r="D44" s="556" t="n"/>
      <c r="E44" s="556" t="n"/>
      <c r="F44" s="556" t="n"/>
      <c r="G44" s="556" t="n"/>
      <c r="H44" s="556" t="n"/>
      <c r="I44" s="556" t="n"/>
      <c r="J44" s="549" t="n"/>
      <c r="K44" s="549" t="n"/>
      <c r="L44" s="549" t="n"/>
      <c r="M44" s="549" t="n"/>
      <c r="N44" s="571" t="n"/>
      <c r="O44" s="571" t="n"/>
      <c r="P44" s="571" t="n"/>
      <c r="Q44" s="571" t="n"/>
      <c r="R44" s="571" t="n"/>
      <c r="S44" s="571" t="n"/>
      <c r="T44" s="571" t="n"/>
      <c r="U44" s="571" t="n"/>
      <c r="V44" s="571" t="n"/>
      <c r="W44" s="572" t="n"/>
      <c r="X44" s="572" t="n"/>
      <c r="Y44" s="572" t="n"/>
      <c r="Z44" s="573" t="n"/>
      <c r="AA44" s="573" t="n"/>
      <c r="AB44" s="573" t="n"/>
      <c r="AC44" s="573" t="n"/>
      <c r="AD44" s="573" t="n"/>
      <c r="AE44" s="573" t="n"/>
      <c r="AF44" s="573" t="n"/>
      <c r="AG44" s="574" t="n"/>
      <c r="AH44" s="574" t="n"/>
      <c r="AI44" s="574" t="n"/>
      <c r="AJ44" s="574" t="n"/>
      <c r="AK44" s="574" t="n"/>
      <c r="AL44" s="575" t="n"/>
      <c r="AM44" s="575" t="n"/>
      <c r="AN44" s="575" t="n"/>
      <c r="AO44" s="575" t="n"/>
      <c r="AP44" s="575" t="n"/>
      <c r="AQ44" s="575" t="n"/>
      <c r="AR44" s="575" t="n"/>
      <c r="AS44" s="575" t="n"/>
      <c r="AT44" s="575" t="n"/>
      <c r="AU44" s="575" t="n"/>
      <c r="AV44" s="575" t="n"/>
      <c r="AW44" s="575" t="n"/>
      <c r="AX44" s="576" t="n"/>
      <c r="AY44" s="576" t="n"/>
      <c r="AZ44" s="576" t="n"/>
      <c r="BA44" s="576" t="n"/>
      <c r="BB44" s="576" t="n"/>
      <c r="BC44" s="576" t="n"/>
      <c r="BD44" s="576" t="n"/>
      <c r="BE44" s="576" t="n"/>
      <c r="BF44" s="576" t="n"/>
      <c r="BG44" s="570" t="n"/>
      <c r="BH44" s="570" t="n"/>
      <c r="BI44" s="570" t="n"/>
    </row>
    <row r="45" ht="14" customHeight="1" s="497">
      <c r="A45" s="430" t="inlineStr">
        <is>
          <t>COUNTRIES 3</t>
        </is>
      </c>
      <c r="B45" s="556" t="n"/>
      <c r="C45" s="556" t="n"/>
      <c r="D45" s="556" t="n"/>
      <c r="E45" s="556" t="n"/>
      <c r="F45" s="556" t="n"/>
      <c r="G45" s="556" t="n"/>
      <c r="H45" s="556" t="n"/>
      <c r="I45" s="556" t="n"/>
      <c r="J45" s="549" t="n"/>
      <c r="K45" s="549" t="n"/>
      <c r="L45" s="549" t="n"/>
      <c r="M45" s="549" t="n"/>
      <c r="N45" s="571" t="n"/>
      <c r="O45" s="571" t="n"/>
      <c r="P45" s="571" t="n"/>
      <c r="Q45" s="571" t="n"/>
      <c r="R45" s="571" t="n"/>
      <c r="S45" s="571" t="n"/>
      <c r="T45" s="571" t="n"/>
      <c r="U45" s="571" t="n"/>
      <c r="V45" s="571" t="n"/>
      <c r="W45" s="572" t="n"/>
      <c r="X45" s="572" t="n"/>
      <c r="Y45" s="572" t="n"/>
      <c r="Z45" s="573" t="n"/>
      <c r="AA45" s="573" t="n"/>
      <c r="AB45" s="573" t="n"/>
      <c r="AC45" s="573" t="n"/>
      <c r="AD45" s="573" t="n"/>
      <c r="AE45" s="573" t="n"/>
      <c r="AF45" s="573" t="n"/>
      <c r="AG45" s="574" t="n"/>
      <c r="AH45" s="574" t="n"/>
      <c r="AI45" s="574" t="n"/>
      <c r="AJ45" s="574" t="n"/>
      <c r="AK45" s="574" t="n"/>
      <c r="AL45" s="575" t="n"/>
      <c r="AM45" s="575" t="n"/>
      <c r="AN45" s="575" t="n"/>
      <c r="AO45" s="575" t="n"/>
      <c r="AP45" s="575" t="n"/>
      <c r="AQ45" s="575" t="n"/>
      <c r="AR45" s="575" t="n"/>
      <c r="AS45" s="575" t="n"/>
      <c r="AT45" s="575" t="n"/>
      <c r="AU45" s="575" t="n"/>
      <c r="AV45" s="575" t="n"/>
      <c r="AW45" s="575" t="n"/>
      <c r="AX45" s="576" t="n"/>
      <c r="AY45" s="576" t="n"/>
      <c r="AZ45" s="576" t="n"/>
      <c r="BA45" s="576" t="n"/>
      <c r="BB45" s="576" t="n"/>
      <c r="BC45" s="576" t="n"/>
      <c r="BD45" s="576" t="n"/>
      <c r="BE45" s="576" t="n"/>
      <c r="BF45" s="576" t="n"/>
      <c r="BG45" s="570" t="n"/>
      <c r="BH45" s="570" t="n"/>
      <c r="BI45" s="570" t="n"/>
    </row>
    <row r="46">
      <c r="A46" s="189" t="inlineStr">
        <is>
          <t xml:space="preserve">Revenue generated </t>
        </is>
      </c>
      <c r="B46" s="556">
        <f>+B42*Controls!$B$43</f>
        <v/>
      </c>
      <c r="C46" s="556">
        <f>+C42*Controls!$B$43</f>
        <v/>
      </c>
      <c r="D46" s="556">
        <f>+D42*Controls!$B$43</f>
        <v/>
      </c>
      <c r="E46" s="556">
        <f>+E42*Controls!$B$43</f>
        <v/>
      </c>
      <c r="F46" s="556">
        <f>+F42*Controls!$B$43</f>
        <v/>
      </c>
      <c r="G46" s="556">
        <f>+G42*Controls!$B$43</f>
        <v/>
      </c>
      <c r="H46" s="556">
        <f>+H42*Controls!$B$43</f>
        <v/>
      </c>
      <c r="I46" s="556">
        <f>+I42*Controls!$B$43</f>
        <v/>
      </c>
      <c r="J46" s="556">
        <f>+J42*Controls!$B$43</f>
        <v/>
      </c>
      <c r="K46" s="556">
        <f>+K42*Controls!$B$43</f>
        <v/>
      </c>
      <c r="L46" s="556">
        <f>+L42*Controls!$B$43</f>
        <v/>
      </c>
      <c r="M46" s="556">
        <f>+M42*Controls!$B$43</f>
        <v/>
      </c>
      <c r="N46" s="557">
        <f>+N42*Controls!$C$43</f>
        <v/>
      </c>
      <c r="O46" s="557">
        <f>+O42*Controls!$C$43</f>
        <v/>
      </c>
      <c r="P46" s="557">
        <f>+P42*Controls!$C$43</f>
        <v/>
      </c>
      <c r="Q46" s="557">
        <f>+Q42*Controls!$C$43</f>
        <v/>
      </c>
      <c r="R46" s="557">
        <f>+R42*Controls!$C$43</f>
        <v/>
      </c>
      <c r="S46" s="557">
        <f>+S42*Controls!$C$43</f>
        <v/>
      </c>
      <c r="T46" s="557">
        <f>+T42*Controls!$C$43</f>
        <v/>
      </c>
      <c r="U46" s="557">
        <f>+U42*Controls!$C$43</f>
        <v/>
      </c>
      <c r="V46" s="557">
        <f>+V42*Controls!$C$43</f>
        <v/>
      </c>
      <c r="W46" s="557">
        <f>+W42*Controls!$C$43</f>
        <v/>
      </c>
      <c r="X46" s="557">
        <f>+X42*Controls!$C$43</f>
        <v/>
      </c>
      <c r="Y46" s="557">
        <f>+Y42*Controls!$C$43</f>
        <v/>
      </c>
      <c r="Z46" s="558">
        <f>+Z42*Controls!$D$43</f>
        <v/>
      </c>
      <c r="AA46" s="558">
        <f>+AA42*Controls!$D$43</f>
        <v/>
      </c>
      <c r="AB46" s="558">
        <f>+AB42*Controls!$D$43</f>
        <v/>
      </c>
      <c r="AC46" s="558">
        <f>+AC42*Controls!$D$43</f>
        <v/>
      </c>
      <c r="AD46" s="558">
        <f>+AD42*Controls!$D$43</f>
        <v/>
      </c>
      <c r="AE46" s="558">
        <f>+AE42*Controls!$D$43</f>
        <v/>
      </c>
      <c r="AF46" s="558">
        <f>+AF42*Controls!$D$43</f>
        <v/>
      </c>
      <c r="AG46" s="558">
        <f>+AG42*Controls!$D$43</f>
        <v/>
      </c>
      <c r="AH46" s="558">
        <f>+AH42*Controls!$D$43</f>
        <v/>
      </c>
      <c r="AI46" s="558">
        <f>+AI42*Controls!$D$43</f>
        <v/>
      </c>
      <c r="AJ46" s="558">
        <f>+AJ42*Controls!$D$43</f>
        <v/>
      </c>
      <c r="AK46" s="558">
        <f>+AK42*Controls!$D$43</f>
        <v/>
      </c>
      <c r="AL46" s="559">
        <f>+AL42*Controls!$E$43</f>
        <v/>
      </c>
      <c r="AM46" s="559">
        <f>+AM42*Controls!$E$43</f>
        <v/>
      </c>
      <c r="AN46" s="559">
        <f>+AN42*Controls!$E$43</f>
        <v/>
      </c>
      <c r="AO46" s="559">
        <f>+AO42*Controls!$E$43</f>
        <v/>
      </c>
      <c r="AP46" s="559">
        <f>+AP42*Controls!$E$43</f>
        <v/>
      </c>
      <c r="AQ46" s="559">
        <f>+AQ42*Controls!$E$43</f>
        <v/>
      </c>
      <c r="AR46" s="559">
        <f>+AR42*Controls!$E$43</f>
        <v/>
      </c>
      <c r="AS46" s="559">
        <f>+AS42*Controls!$E$43</f>
        <v/>
      </c>
      <c r="AT46" s="559">
        <f>+AT42*Controls!$E$43</f>
        <v/>
      </c>
      <c r="AU46" s="559">
        <f>+AU42*Controls!$E$43</f>
        <v/>
      </c>
      <c r="AV46" s="559">
        <f>+AV42*Controls!$E$43</f>
        <v/>
      </c>
      <c r="AW46" s="559">
        <f>+AW42*Controls!$E$43</f>
        <v/>
      </c>
      <c r="AX46" s="560">
        <f>+AX42*Controls!$F$43</f>
        <v/>
      </c>
      <c r="AY46" s="560">
        <f>+AY42*Controls!$F$43</f>
        <v/>
      </c>
      <c r="AZ46" s="560">
        <f>+AZ42*Controls!$F$43</f>
        <v/>
      </c>
      <c r="BA46" s="560">
        <f>+BA42*Controls!$F$43</f>
        <v/>
      </c>
      <c r="BB46" s="560">
        <f>+BB42*Controls!$F$43</f>
        <v/>
      </c>
      <c r="BC46" s="560">
        <f>+BC42*Controls!$F$43</f>
        <v/>
      </c>
      <c r="BD46" s="560">
        <f>+BD42*Controls!$F$43</f>
        <v/>
      </c>
      <c r="BE46" s="560">
        <f>+BE42*Controls!$F$43</f>
        <v/>
      </c>
      <c r="BF46" s="560">
        <f>+BF42*Controls!$F$43</f>
        <v/>
      </c>
      <c r="BG46" s="570" t="n"/>
      <c r="BH46" s="570" t="n"/>
      <c r="BI46" s="570" t="n"/>
    </row>
    <row r="47">
      <c r="A47" s="186" t="inlineStr">
        <is>
          <t>READERS</t>
        </is>
      </c>
      <c r="B47" s="566" t="n"/>
      <c r="C47" s="566" t="n"/>
      <c r="D47" s="566" t="n"/>
      <c r="E47" s="566" t="n"/>
      <c r="F47" s="566" t="n"/>
      <c r="G47" s="566" t="n"/>
      <c r="H47" s="566" t="n"/>
      <c r="I47" s="566" t="n"/>
      <c r="J47" s="577" t="n"/>
      <c r="K47" s="577" t="n"/>
      <c r="L47" s="577" t="n"/>
      <c r="M47" s="577" t="n"/>
      <c r="N47" s="577" t="n"/>
      <c r="O47" s="577" t="n"/>
      <c r="P47" s="577" t="n"/>
      <c r="Q47" s="577" t="n"/>
      <c r="R47" s="577" t="n"/>
      <c r="S47" s="577" t="n"/>
      <c r="T47" s="577" t="n"/>
      <c r="U47" s="577" t="n"/>
      <c r="V47" s="577" t="n"/>
      <c r="W47" s="577" t="n"/>
      <c r="X47" s="577" t="n"/>
      <c r="Y47" s="577" t="n"/>
      <c r="Z47" s="577" t="n"/>
      <c r="AA47" s="577" t="n"/>
      <c r="AB47" s="577" t="n"/>
      <c r="AC47" s="577" t="n"/>
      <c r="AD47" s="577" t="n"/>
      <c r="AE47" s="577" t="n"/>
      <c r="AF47" s="577" t="n"/>
      <c r="AG47" s="577" t="n"/>
      <c r="AH47" s="577" t="n"/>
      <c r="AI47" s="577" t="n"/>
      <c r="AJ47" s="577" t="n"/>
      <c r="AK47" s="577" t="n"/>
      <c r="AL47" s="577" t="n"/>
      <c r="AM47" s="577" t="n"/>
      <c r="AN47" s="577" t="n"/>
      <c r="AO47" s="577" t="n"/>
      <c r="AP47" s="577" t="n"/>
      <c r="AQ47" s="577" t="n"/>
      <c r="AR47" s="577" t="n"/>
      <c r="AS47" s="577" t="n"/>
      <c r="AT47" s="577" t="n"/>
      <c r="AU47" s="577" t="n"/>
      <c r="AV47" s="577" t="n"/>
      <c r="AW47" s="577" t="n"/>
      <c r="AX47" s="577" t="n"/>
      <c r="AY47" s="577" t="n"/>
      <c r="AZ47" s="577" t="n"/>
      <c r="BA47" s="577" t="n"/>
      <c r="BB47" s="577" t="n"/>
      <c r="BC47" s="577" t="n"/>
      <c r="BD47" s="577" t="n"/>
      <c r="BE47" s="577" t="n"/>
      <c r="BF47" s="577" t="n"/>
      <c r="BG47" s="570" t="n"/>
      <c r="BH47" s="570" t="n"/>
      <c r="BI47" s="570" t="n"/>
    </row>
    <row r="48">
      <c r="A48" s="189" t="inlineStr">
        <is>
          <t>Total Units Sold</t>
        </is>
      </c>
      <c r="B48" s="577" t="n"/>
      <c r="C48" s="577" t="n"/>
      <c r="D48" s="577" t="n"/>
      <c r="E48" s="577" t="n"/>
      <c r="F48" s="577" t="n"/>
      <c r="G48" s="577" t="n"/>
      <c r="H48" s="577" t="n"/>
      <c r="I48" s="577" t="n"/>
      <c r="J48" s="577" t="n"/>
      <c r="K48" s="577" t="n"/>
      <c r="L48" s="577" t="n"/>
      <c r="M48" s="577" t="n"/>
      <c r="N48" s="577" t="n"/>
      <c r="O48" s="577" t="n"/>
      <c r="P48" s="577" t="n"/>
      <c r="Q48" s="577" t="n"/>
      <c r="R48" s="577" t="n"/>
      <c r="S48" s="577" t="n"/>
      <c r="T48" s="577" t="n"/>
      <c r="U48" s="577" t="n"/>
      <c r="V48" s="577" t="n"/>
      <c r="W48" s="577" t="n"/>
      <c r="X48" s="577" t="n"/>
      <c r="Y48" s="577" t="n"/>
      <c r="Z48" s="577" t="n"/>
      <c r="AA48" s="577" t="n"/>
      <c r="AB48" s="577" t="n"/>
      <c r="AC48" s="577" t="n"/>
      <c r="AD48" s="577" t="n"/>
      <c r="AE48" s="577" t="n"/>
      <c r="AF48" s="577" t="n"/>
      <c r="AG48" s="577" t="n"/>
      <c r="AH48" s="577" t="n"/>
      <c r="AI48" s="577" t="n"/>
      <c r="AJ48" s="577" t="n"/>
      <c r="AK48" s="577" t="n"/>
      <c r="AL48" s="577" t="n"/>
      <c r="AM48" s="577" t="n"/>
      <c r="AN48" s="577" t="n"/>
      <c r="AO48" s="577" t="n"/>
      <c r="AP48" s="577" t="n"/>
      <c r="AQ48" s="577" t="n"/>
      <c r="AR48" s="577" t="n"/>
      <c r="AS48" s="577" t="n"/>
      <c r="AT48" s="577" t="n"/>
      <c r="AU48" s="577" t="n"/>
      <c r="AV48" s="577" t="n"/>
      <c r="AW48" s="577" t="n"/>
      <c r="AX48" s="577" t="n"/>
      <c r="AY48" s="577" t="n"/>
      <c r="AZ48" s="577" t="n"/>
      <c r="BA48" s="577" t="n"/>
      <c r="BB48" s="577" t="n"/>
      <c r="BC48" s="577" t="n"/>
      <c r="BD48" s="577" t="n"/>
      <c r="BE48" s="577" t="n"/>
      <c r="BF48" s="577" t="n"/>
      <c r="BG48" s="577" t="n"/>
      <c r="BH48" s="577" t="n"/>
      <c r="BI48" s="577" t="n"/>
    </row>
    <row r="49">
      <c r="A49" s="430" t="inlineStr">
        <is>
          <t>FRANCE</t>
        </is>
      </c>
      <c r="B49" s="577" t="n"/>
      <c r="C49" s="577" t="n"/>
      <c r="D49" s="577" t="n"/>
      <c r="E49" s="577" t="n"/>
      <c r="F49" s="577" t="n"/>
      <c r="G49" s="577" t="n"/>
      <c r="H49" s="577" t="n"/>
      <c r="I49" s="577" t="n"/>
      <c r="J49" s="577" t="n"/>
      <c r="K49" s="577" t="n"/>
      <c r="L49" s="577" t="n"/>
      <c r="M49" s="577" t="n"/>
      <c r="N49" s="577" t="n"/>
      <c r="O49" s="577" t="n"/>
      <c r="P49" s="577" t="n"/>
      <c r="Q49" s="577" t="n"/>
      <c r="R49" s="577" t="n"/>
      <c r="S49" s="577" t="n"/>
      <c r="T49" s="577" t="n"/>
      <c r="U49" s="577" t="n"/>
      <c r="V49" s="577" t="n"/>
      <c r="W49" s="577" t="n"/>
      <c r="X49" s="577" t="n"/>
      <c r="Y49" s="577" t="n"/>
      <c r="Z49" s="577" t="n"/>
      <c r="AA49" s="577" t="n"/>
      <c r="AB49" s="577" t="n"/>
      <c r="AC49" s="577" t="n"/>
      <c r="AD49" s="577" t="n"/>
      <c r="AE49" s="577" t="n"/>
      <c r="AF49" s="577" t="n"/>
      <c r="AG49" s="577" t="n"/>
      <c r="AH49" s="577" t="n"/>
      <c r="AI49" s="577" t="n"/>
      <c r="AJ49" s="577" t="n"/>
      <c r="AK49" s="577" t="n"/>
      <c r="AL49" s="577" t="n"/>
      <c r="AM49" s="577" t="n"/>
      <c r="AN49" s="577" t="n"/>
      <c r="AO49" s="577" t="n"/>
      <c r="AP49" s="577" t="n"/>
      <c r="AQ49" s="577" t="n"/>
      <c r="AR49" s="577" t="n"/>
      <c r="AS49" s="577" t="n"/>
      <c r="AT49" s="577" t="n"/>
      <c r="AU49" s="577" t="n"/>
      <c r="AV49" s="577" t="n"/>
      <c r="AW49" s="577" t="n"/>
      <c r="AX49" s="577" t="n"/>
      <c r="AY49" s="577" t="n"/>
      <c r="AZ49" s="577" t="n"/>
      <c r="BA49" s="577" t="n"/>
      <c r="BB49" s="577" t="n"/>
      <c r="BC49" s="577" t="n"/>
      <c r="BD49" s="577" t="n"/>
      <c r="BE49" s="577" t="n"/>
      <c r="BF49" s="577" t="n"/>
      <c r="BG49" s="577" t="n"/>
      <c r="BH49" s="577" t="n"/>
      <c r="BI49" s="577" t="n"/>
    </row>
    <row r="50">
      <c r="A50" s="430" t="inlineStr">
        <is>
          <t>COUNTRIES 2</t>
        </is>
      </c>
      <c r="B50" s="577" t="n"/>
      <c r="C50" s="577" t="n"/>
      <c r="D50" s="577" t="n"/>
      <c r="E50" s="577" t="n"/>
      <c r="F50" s="577" t="n"/>
      <c r="G50" s="577" t="n"/>
      <c r="H50" s="577" t="n"/>
      <c r="I50" s="577" t="n"/>
      <c r="J50" s="577" t="n"/>
      <c r="K50" s="577" t="n"/>
      <c r="L50" s="577" t="n"/>
      <c r="M50" s="577" t="n"/>
      <c r="N50" s="577" t="n"/>
      <c r="O50" s="577" t="n"/>
      <c r="P50" s="577" t="n"/>
      <c r="Q50" s="577" t="n"/>
      <c r="R50" s="577" t="n"/>
      <c r="S50" s="577" t="n"/>
      <c r="T50" s="577" t="n"/>
      <c r="U50" s="577" t="n"/>
      <c r="V50" s="577" t="n"/>
      <c r="W50" s="577" t="n"/>
      <c r="X50" s="577" t="n"/>
      <c r="Y50" s="577" t="n"/>
      <c r="Z50" s="577" t="n"/>
      <c r="AA50" s="577" t="n"/>
      <c r="AB50" s="577" t="n"/>
      <c r="AC50" s="577" t="n"/>
      <c r="AD50" s="577" t="n"/>
      <c r="AE50" s="577" t="n"/>
      <c r="AF50" s="577" t="n"/>
      <c r="AG50" s="577" t="n"/>
      <c r="AH50" s="577" t="n"/>
      <c r="AI50" s="577" t="n"/>
      <c r="AJ50" s="577" t="n"/>
      <c r="AK50" s="577" t="n"/>
      <c r="AL50" s="577" t="n"/>
      <c r="AM50" s="577" t="n"/>
      <c r="AN50" s="577" t="n"/>
      <c r="AO50" s="577" t="n"/>
      <c r="AP50" s="577" t="n"/>
      <c r="AQ50" s="577" t="n"/>
      <c r="AR50" s="577" t="n"/>
      <c r="AS50" s="577" t="n"/>
      <c r="AT50" s="577" t="n"/>
      <c r="AU50" s="577" t="n"/>
      <c r="AV50" s="577" t="n"/>
      <c r="AW50" s="577" t="n"/>
      <c r="AX50" s="577" t="n"/>
      <c r="AY50" s="577" t="n"/>
      <c r="AZ50" s="577" t="n"/>
      <c r="BA50" s="577" t="n"/>
      <c r="BB50" s="577" t="n"/>
      <c r="BC50" s="577" t="n"/>
      <c r="BD50" s="577" t="n"/>
      <c r="BE50" s="577" t="n"/>
      <c r="BF50" s="577" t="n"/>
      <c r="BG50" s="577" t="n"/>
      <c r="BH50" s="577" t="n"/>
      <c r="BI50" s="577" t="n"/>
    </row>
    <row r="51">
      <c r="A51" s="430" t="inlineStr">
        <is>
          <t>COUNTRIES 3</t>
        </is>
      </c>
      <c r="B51" s="577" t="n"/>
      <c r="C51" s="577" t="n"/>
      <c r="D51" s="577" t="n"/>
      <c r="E51" s="577" t="n"/>
      <c r="F51" s="577" t="n"/>
      <c r="G51" s="577" t="n"/>
      <c r="H51" s="577" t="n"/>
      <c r="I51" s="577" t="n"/>
      <c r="J51" s="577" t="n"/>
      <c r="K51" s="577" t="n"/>
      <c r="L51" s="577" t="n"/>
      <c r="M51" s="577" t="n"/>
      <c r="N51" s="577" t="n"/>
      <c r="O51" s="577" t="n"/>
      <c r="P51" s="577" t="n"/>
      <c r="Q51" s="577" t="n"/>
      <c r="R51" s="577" t="n"/>
      <c r="S51" s="577" t="n"/>
      <c r="T51" s="577" t="n"/>
      <c r="U51" s="577" t="n"/>
      <c r="V51" s="577" t="n"/>
      <c r="W51" s="577" t="n"/>
      <c r="X51" s="577" t="n"/>
      <c r="Y51" s="577" t="n"/>
      <c r="Z51" s="577" t="n"/>
      <c r="AA51" s="577" t="n"/>
      <c r="AB51" s="577" t="n"/>
      <c r="AC51" s="577" t="n"/>
      <c r="AD51" s="577" t="n"/>
      <c r="AE51" s="577" t="n"/>
      <c r="AF51" s="577" t="n"/>
      <c r="AG51" s="577" t="n"/>
      <c r="AH51" s="577" t="n"/>
      <c r="AI51" s="577" t="n"/>
      <c r="AJ51" s="577" t="n"/>
      <c r="AK51" s="577" t="n"/>
      <c r="AL51" s="577" t="n"/>
      <c r="AM51" s="577" t="n"/>
      <c r="AN51" s="577" t="n"/>
      <c r="AO51" s="577" t="n"/>
      <c r="AP51" s="577" t="n"/>
      <c r="AQ51" s="577" t="n"/>
      <c r="AR51" s="577" t="n"/>
      <c r="AS51" s="577" t="n"/>
      <c r="AT51" s="577" t="n"/>
      <c r="AU51" s="577" t="n"/>
      <c r="AV51" s="577" t="n"/>
      <c r="AW51" s="577" t="n"/>
      <c r="AX51" s="577" t="n"/>
      <c r="AY51" s="577" t="n"/>
      <c r="AZ51" s="577" t="n"/>
      <c r="BA51" s="577" t="n"/>
      <c r="BB51" s="577" t="n"/>
      <c r="BC51" s="577" t="n"/>
      <c r="BD51" s="577" t="n"/>
      <c r="BE51" s="577" t="n"/>
      <c r="BF51" s="577" t="n"/>
      <c r="BG51" s="577" t="n"/>
      <c r="BH51" s="577" t="n"/>
      <c r="BI51" s="577" t="n"/>
    </row>
    <row r="52">
      <c r="A52" s="189" t="inlineStr">
        <is>
          <t xml:space="preserve">Revenue generated </t>
        </is>
      </c>
      <c r="B52" s="577" t="n"/>
      <c r="C52" s="577" t="n"/>
      <c r="D52" s="577" t="n"/>
      <c r="E52" s="577" t="n"/>
      <c r="F52" s="577" t="n"/>
      <c r="G52" s="577" t="n"/>
      <c r="H52" s="577" t="n"/>
      <c r="I52" s="577" t="n"/>
      <c r="J52" s="577" t="n"/>
      <c r="K52" s="577" t="n"/>
      <c r="L52" s="577" t="n"/>
      <c r="M52" s="577" t="n"/>
      <c r="N52" s="577" t="n"/>
      <c r="O52" s="577" t="n"/>
      <c r="P52" s="577" t="n"/>
      <c r="Q52" s="577" t="n"/>
      <c r="R52" s="577" t="n"/>
      <c r="S52" s="577" t="n"/>
      <c r="T52" s="577" t="n"/>
      <c r="U52" s="577" t="n"/>
      <c r="V52" s="577" t="n"/>
      <c r="W52" s="577" t="n"/>
      <c r="X52" s="577" t="n"/>
      <c r="Y52" s="577" t="n"/>
      <c r="Z52" s="577" t="n"/>
      <c r="AA52" s="577" t="n"/>
      <c r="AB52" s="577" t="n"/>
      <c r="AC52" s="577" t="n"/>
      <c r="AD52" s="577" t="n"/>
      <c r="AE52" s="577" t="n"/>
      <c r="AF52" s="577" t="n"/>
      <c r="AG52" s="577" t="n"/>
      <c r="AH52" s="577" t="n"/>
      <c r="AI52" s="577" t="n"/>
      <c r="AJ52" s="577" t="n"/>
      <c r="AK52" s="577" t="n"/>
      <c r="AL52" s="577" t="n"/>
      <c r="AM52" s="577" t="n"/>
      <c r="AN52" s="577" t="n"/>
      <c r="AO52" s="577" t="n"/>
      <c r="AP52" s="577" t="n"/>
      <c r="AQ52" s="577" t="n"/>
      <c r="AR52" s="577" t="n"/>
      <c r="AS52" s="577" t="n"/>
      <c r="AT52" s="577" t="n"/>
      <c r="AU52" s="577" t="n"/>
      <c r="AV52" s="577" t="n"/>
      <c r="AW52" s="577" t="n"/>
      <c r="AX52" s="577" t="n"/>
      <c r="AY52" s="577" t="n"/>
      <c r="AZ52" s="577" t="n"/>
      <c r="BA52" s="577" t="n"/>
      <c r="BB52" s="577" t="n"/>
      <c r="BC52" s="577" t="n"/>
      <c r="BD52" s="577" t="n"/>
      <c r="BE52" s="577" t="n"/>
      <c r="BF52" s="577" t="n"/>
      <c r="BG52" s="577" t="n"/>
      <c r="BH52" s="577" t="n"/>
      <c r="BI52" s="577" t="n"/>
    </row>
    <row r="53">
      <c r="A53" s="186" t="inlineStr">
        <is>
          <t>SERVICES</t>
        </is>
      </c>
      <c r="B53" s="566" t="n"/>
      <c r="C53" s="566" t="n"/>
      <c r="D53" s="566" t="n"/>
      <c r="E53" s="566" t="n"/>
      <c r="F53" s="566" t="n"/>
      <c r="G53" s="566" t="n"/>
      <c r="H53" s="566" t="n"/>
      <c r="I53" s="566" t="n"/>
      <c r="J53" s="566" t="n"/>
      <c r="K53" s="566" t="n"/>
      <c r="L53" s="566" t="n"/>
      <c r="M53" s="566" t="n"/>
      <c r="N53" s="567" t="n"/>
      <c r="O53" s="567" t="n"/>
      <c r="P53" s="567" t="n"/>
      <c r="Q53" s="567" t="n"/>
      <c r="R53" s="567" t="n"/>
      <c r="S53" s="567" t="n"/>
      <c r="T53" s="567" t="n"/>
      <c r="U53" s="567" t="n"/>
      <c r="V53" s="567" t="n"/>
      <c r="W53" s="567" t="n"/>
      <c r="X53" s="567" t="n"/>
      <c r="Y53" s="567" t="n"/>
      <c r="Z53" s="568" t="n"/>
      <c r="AA53" s="568" t="n"/>
      <c r="AB53" s="568" t="n"/>
      <c r="AC53" s="568" t="n"/>
      <c r="AD53" s="568" t="n"/>
      <c r="AE53" s="568" t="n"/>
      <c r="AF53" s="568" t="n"/>
      <c r="AG53" s="568" t="n"/>
      <c r="AH53" s="568" t="n"/>
      <c r="AI53" s="568" t="n"/>
      <c r="AJ53" s="568" t="n"/>
      <c r="AK53" s="568" t="n"/>
      <c r="AL53" s="569" t="n"/>
      <c r="AM53" s="569" t="n"/>
      <c r="AN53" s="569" t="n"/>
      <c r="AO53" s="569" t="n"/>
      <c r="AP53" s="569" t="n"/>
      <c r="AQ53" s="569" t="n"/>
      <c r="AR53" s="569" t="n"/>
      <c r="AS53" s="569" t="n"/>
      <c r="AT53" s="569" t="n"/>
      <c r="AU53" s="569" t="n"/>
      <c r="AV53" s="569" t="n"/>
      <c r="AW53" s="569" t="n"/>
      <c r="AX53" s="570" t="n"/>
      <c r="AY53" s="570" t="n"/>
      <c r="AZ53" s="570" t="n"/>
      <c r="BA53" s="570" t="n"/>
      <c r="BB53" s="570" t="n"/>
      <c r="BC53" s="570" t="n"/>
      <c r="BD53" s="570" t="n"/>
      <c r="BE53" s="570" t="n"/>
      <c r="BF53" s="570" t="n"/>
      <c r="BG53" s="570" t="n"/>
      <c r="BH53" s="570" t="n"/>
      <c r="BI53" s="570" t="n"/>
    </row>
    <row r="54" hidden="1" s="497">
      <c r="A54" s="58" t="inlineStr">
        <is>
          <t>Community</t>
        </is>
      </c>
      <c r="B54" s="556" t="n">
        <v>0</v>
      </c>
      <c r="C54" s="556" t="n">
        <v>0</v>
      </c>
      <c r="D54" s="556" t="n">
        <v>0</v>
      </c>
      <c r="E54" s="556" t="n">
        <v>0</v>
      </c>
      <c r="F54" s="556" t="n">
        <v>0</v>
      </c>
      <c r="G54" s="556" t="n">
        <v>0</v>
      </c>
      <c r="H54" s="556" t="n">
        <v>0</v>
      </c>
      <c r="I54" s="556" t="n">
        <v>0</v>
      </c>
      <c r="J54" s="556" t="n">
        <v>0</v>
      </c>
      <c r="K54" s="556" t="n">
        <v>0</v>
      </c>
      <c r="L54" s="556" t="n">
        <v>0</v>
      </c>
      <c r="M54" s="556" t="n">
        <v>0</v>
      </c>
      <c r="N54" s="557" t="n">
        <v>0</v>
      </c>
      <c r="O54" s="557" t="n">
        <v>0</v>
      </c>
      <c r="P54" s="557" t="n">
        <v>0</v>
      </c>
      <c r="Q54" s="557" t="n">
        <v>0</v>
      </c>
      <c r="R54" s="557" t="n">
        <v>0</v>
      </c>
      <c r="S54" s="557" t="n">
        <v>0</v>
      </c>
      <c r="T54" s="557" t="n">
        <v>0</v>
      </c>
      <c r="U54" s="557" t="n">
        <v>0</v>
      </c>
      <c r="V54" s="557" t="n">
        <v>0</v>
      </c>
      <c r="W54" s="557" t="n">
        <v>0</v>
      </c>
      <c r="X54" s="557" t="n">
        <v>0</v>
      </c>
      <c r="Y54" s="557" t="n">
        <v>0</v>
      </c>
      <c r="Z54" s="558" t="n">
        <v>0</v>
      </c>
      <c r="AA54" s="558" t="n">
        <v>0</v>
      </c>
      <c r="AB54" s="558" t="n">
        <v>0</v>
      </c>
      <c r="AC54" s="558" t="n">
        <v>0</v>
      </c>
      <c r="AD54" s="558" t="n">
        <v>0</v>
      </c>
      <c r="AE54" s="558" t="n">
        <v>0</v>
      </c>
      <c r="AF54" s="558" t="n">
        <v>0</v>
      </c>
      <c r="AG54" s="558" t="n">
        <v>0</v>
      </c>
      <c r="AH54" s="558" t="n">
        <v>0</v>
      </c>
      <c r="AI54" s="558" t="n">
        <v>0</v>
      </c>
      <c r="AJ54" s="558" t="n">
        <v>0</v>
      </c>
      <c r="AK54" s="558" t="n">
        <v>0</v>
      </c>
      <c r="AL54" s="559" t="n">
        <v>0</v>
      </c>
      <c r="AM54" s="559" t="n">
        <v>0</v>
      </c>
      <c r="AN54" s="559" t="n">
        <v>0</v>
      </c>
      <c r="AO54" s="559" t="n">
        <v>0</v>
      </c>
      <c r="AP54" s="559" t="n">
        <v>0</v>
      </c>
      <c r="AQ54" s="559" t="n">
        <v>0</v>
      </c>
      <c r="AR54" s="559" t="n">
        <v>0</v>
      </c>
      <c r="AS54" s="559" t="n">
        <v>0</v>
      </c>
      <c r="AT54" s="559" t="n">
        <v>0</v>
      </c>
      <c r="AU54" s="559" t="n">
        <v>0</v>
      </c>
      <c r="AV54" s="559" t="n">
        <v>0</v>
      </c>
      <c r="AW54" s="559" t="n">
        <v>0</v>
      </c>
      <c r="AX54" s="560" t="n">
        <v>0</v>
      </c>
      <c r="AY54" s="560" t="n">
        <v>0</v>
      </c>
      <c r="AZ54" s="560" t="n">
        <v>0</v>
      </c>
      <c r="BA54" s="560" t="n">
        <v>0</v>
      </c>
      <c r="BB54" s="560" t="n">
        <v>0</v>
      </c>
      <c r="BC54" s="560" t="n">
        <v>0</v>
      </c>
      <c r="BD54" s="560" t="n">
        <v>0</v>
      </c>
      <c r="BE54" s="560" t="n">
        <v>0</v>
      </c>
      <c r="BF54" s="560" t="n">
        <v>0</v>
      </c>
      <c r="BG54" s="560" t="n">
        <v>0</v>
      </c>
      <c r="BH54" s="560" t="n">
        <v>0</v>
      </c>
      <c r="BI54" s="560" t="n">
        <v>0</v>
      </c>
    </row>
    <row r="55" hidden="1" s="497">
      <c r="A55" s="58" t="inlineStr">
        <is>
          <t>Updatings Bike</t>
        </is>
      </c>
      <c r="B55" s="556" t="n">
        <v>0</v>
      </c>
      <c r="C55" s="556" t="n">
        <v>0</v>
      </c>
      <c r="D55" s="556" t="n">
        <v>0</v>
      </c>
      <c r="E55" s="556" t="n">
        <v>0</v>
      </c>
      <c r="F55" s="556" t="n">
        <v>0</v>
      </c>
      <c r="G55" s="556" t="n">
        <v>0</v>
      </c>
      <c r="H55" s="556" t="n">
        <v>0</v>
      </c>
      <c r="I55" s="556" t="n">
        <v>0</v>
      </c>
      <c r="J55" s="556" t="n">
        <v>0</v>
      </c>
      <c r="K55" s="556" t="n">
        <v>0</v>
      </c>
      <c r="L55" s="556" t="n">
        <v>0</v>
      </c>
      <c r="M55" s="556" t="n">
        <v>0</v>
      </c>
      <c r="N55" s="557" t="n">
        <v>0</v>
      </c>
      <c r="O55" s="557" t="n">
        <v>0</v>
      </c>
      <c r="P55" s="557" t="n">
        <v>0</v>
      </c>
      <c r="Q55" s="557" t="n">
        <v>0</v>
      </c>
      <c r="R55" s="557" t="n">
        <v>0</v>
      </c>
      <c r="S55" s="557" t="n">
        <v>0</v>
      </c>
      <c r="T55" s="557" t="n">
        <v>0</v>
      </c>
      <c r="U55" s="557" t="n">
        <v>0</v>
      </c>
      <c r="V55" s="557" t="n">
        <v>0</v>
      </c>
      <c r="W55" s="557" t="n">
        <v>0</v>
      </c>
      <c r="X55" s="557" t="n">
        <v>0</v>
      </c>
      <c r="Y55" s="557" t="n">
        <v>0</v>
      </c>
      <c r="Z55" s="558" t="n">
        <v>0</v>
      </c>
      <c r="AA55" s="558" t="n">
        <v>0</v>
      </c>
      <c r="AB55" s="558" t="n">
        <v>0</v>
      </c>
      <c r="AC55" s="558" t="n">
        <v>0</v>
      </c>
      <c r="AD55" s="558" t="n">
        <v>0</v>
      </c>
      <c r="AE55" s="558" t="n">
        <v>0</v>
      </c>
      <c r="AF55" s="558" t="n">
        <v>0</v>
      </c>
      <c r="AG55" s="558" t="n">
        <v>0</v>
      </c>
      <c r="AH55" s="558" t="n">
        <v>0</v>
      </c>
      <c r="AI55" s="558" t="n">
        <v>0</v>
      </c>
      <c r="AJ55" s="558" t="n">
        <v>0</v>
      </c>
      <c r="AK55" s="558" t="n">
        <v>0</v>
      </c>
      <c r="AL55" s="559" t="n">
        <v>0</v>
      </c>
      <c r="AM55" s="559" t="n">
        <v>0</v>
      </c>
      <c r="AN55" s="559" t="n">
        <v>0</v>
      </c>
      <c r="AO55" s="559" t="n">
        <v>0</v>
      </c>
      <c r="AP55" s="559" t="n">
        <v>0</v>
      </c>
      <c r="AQ55" s="559">
        <f>+Controls!E30*Controls!E31</f>
        <v/>
      </c>
      <c r="AR55" s="559" t="n">
        <v>0</v>
      </c>
      <c r="AS55" s="559" t="n">
        <v>0</v>
      </c>
      <c r="AT55" s="559" t="n">
        <v>0</v>
      </c>
      <c r="AU55" s="559" t="n">
        <v>0</v>
      </c>
      <c r="AV55" s="559" t="n">
        <v>0</v>
      </c>
      <c r="AW55" s="559" t="n">
        <v>0</v>
      </c>
      <c r="AX55" s="560" t="n">
        <v>0</v>
      </c>
      <c r="AY55" s="560" t="n">
        <v>0</v>
      </c>
      <c r="AZ55" s="560" t="n">
        <v>0</v>
      </c>
      <c r="BA55" s="560" t="n">
        <v>0</v>
      </c>
      <c r="BB55" s="560" t="n">
        <v>0</v>
      </c>
      <c r="BC55" s="560" t="n">
        <v>0</v>
      </c>
      <c r="BD55" s="560" t="n">
        <v>0</v>
      </c>
      <c r="BE55" s="560" t="n">
        <v>0</v>
      </c>
      <c r="BF55" s="560" t="n">
        <v>0</v>
      </c>
      <c r="BG55" s="560" t="n">
        <v>0</v>
      </c>
      <c r="BH55" s="560" t="n">
        <v>0</v>
      </c>
      <c r="BI55" s="560" t="n">
        <v>0</v>
      </c>
    </row>
    <row r="56">
      <c r="A56" s="58" t="inlineStr">
        <is>
          <t>Network and software customization</t>
        </is>
      </c>
      <c r="B56" s="556" t="n">
        <v>0</v>
      </c>
      <c r="C56" s="556" t="n">
        <v>0</v>
      </c>
      <c r="D56" s="556" t="n">
        <v>0</v>
      </c>
      <c r="E56" s="556" t="n">
        <v>0</v>
      </c>
      <c r="F56" s="556" t="n">
        <v>0</v>
      </c>
      <c r="G56" s="556" t="n">
        <v>0</v>
      </c>
      <c r="H56" s="556" t="n">
        <v>0</v>
      </c>
      <c r="I56" s="556" t="n">
        <v>0</v>
      </c>
      <c r="J56" s="556" t="n"/>
      <c r="K56" s="556" t="n"/>
      <c r="L56" s="556" t="n"/>
      <c r="M56" s="556" t="n"/>
      <c r="N56" s="557" t="n"/>
      <c r="O56" s="557" t="n"/>
      <c r="P56" s="557" t="n"/>
      <c r="Q56" s="557" t="n"/>
      <c r="R56" s="557" t="n"/>
      <c r="S56" s="557" t="n"/>
      <c r="T56" s="557" t="n"/>
      <c r="U56" s="557" t="n"/>
      <c r="V56" s="557" t="n"/>
      <c r="W56" s="557" t="n"/>
      <c r="X56" s="557" t="n"/>
      <c r="Y56" s="557" t="n"/>
      <c r="Z56" s="558" t="n"/>
      <c r="AA56" s="558" t="n"/>
      <c r="AB56" s="558" t="n"/>
      <c r="AC56" s="558" t="n"/>
      <c r="AD56" s="558" t="n"/>
      <c r="AE56" s="558" t="n"/>
      <c r="AF56" s="558" t="n"/>
      <c r="AG56" s="558" t="n"/>
      <c r="AH56" s="558" t="n"/>
      <c r="AI56" s="558" t="n"/>
      <c r="AJ56" s="558" t="n"/>
      <c r="AK56" s="558" t="n"/>
      <c r="AL56" s="559" t="n"/>
      <c r="AM56" s="559" t="n"/>
      <c r="AN56" s="559" t="n"/>
      <c r="AO56" s="559" t="n"/>
      <c r="AP56" s="559" t="n"/>
      <c r="AQ56" s="559" t="n"/>
      <c r="AR56" s="559" t="n"/>
      <c r="AS56" s="559" t="n"/>
      <c r="AT56" s="559" t="n"/>
      <c r="AU56" s="559" t="n"/>
      <c r="AV56" s="559" t="n"/>
      <c r="AW56" s="559" t="n"/>
      <c r="AX56" s="560" t="n"/>
      <c r="AY56" s="560" t="n"/>
      <c r="AZ56" s="560" t="n"/>
      <c r="BA56" s="560" t="n"/>
      <c r="BB56" s="560" t="n"/>
      <c r="BC56" s="560" t="n"/>
      <c r="BD56" s="560" t="n"/>
      <c r="BE56" s="560" t="n"/>
      <c r="BF56" s="560" t="n"/>
      <c r="BG56" s="560" t="n">
        <v>0</v>
      </c>
      <c r="BH56" s="560" t="n">
        <v>0</v>
      </c>
      <c r="BI56" s="560" t="n">
        <v>0</v>
      </c>
    </row>
    <row r="57">
      <c r="A57" s="189" t="inlineStr">
        <is>
          <t xml:space="preserve">Revenue generated </t>
        </is>
      </c>
      <c r="B57" s="556">
        <f>SUM(B54:B56)</f>
        <v/>
      </c>
      <c r="C57" s="556">
        <f>SUM(C54:C56)</f>
        <v/>
      </c>
      <c r="D57" s="556">
        <f>SUM(D54:D56)</f>
        <v/>
      </c>
      <c r="E57" s="556">
        <f>SUM(E54:E56)</f>
        <v/>
      </c>
      <c r="F57" s="556">
        <f>SUM(F54:F56)</f>
        <v/>
      </c>
      <c r="G57" s="556">
        <f>SUM(G54:G56)</f>
        <v/>
      </c>
      <c r="H57" s="556">
        <f>SUM(H54:H56)</f>
        <v/>
      </c>
      <c r="I57" s="556">
        <f>SUM(I54:I56)</f>
        <v/>
      </c>
      <c r="J57" s="556" t="n"/>
      <c r="K57" s="556" t="n"/>
      <c r="L57" s="556" t="n"/>
      <c r="M57" s="556" t="n"/>
      <c r="N57" s="557" t="n"/>
      <c r="O57" s="557" t="n"/>
      <c r="P57" s="557" t="n"/>
      <c r="Q57" s="557" t="n"/>
      <c r="R57" s="557" t="n"/>
      <c r="S57" s="557" t="n"/>
      <c r="T57" s="557" t="n"/>
      <c r="U57" s="557" t="n"/>
      <c r="V57" s="557" t="n"/>
      <c r="W57" s="557" t="n"/>
      <c r="X57" s="557" t="n"/>
      <c r="Y57" s="557" t="n"/>
      <c r="Z57" s="558" t="n"/>
      <c r="AA57" s="558" t="n"/>
      <c r="AB57" s="558" t="n"/>
      <c r="AC57" s="558" t="n"/>
      <c r="AD57" s="558" t="n"/>
      <c r="AE57" s="558" t="n"/>
      <c r="AF57" s="558" t="n"/>
      <c r="AG57" s="558" t="n"/>
      <c r="AH57" s="558" t="n"/>
      <c r="AI57" s="558" t="n"/>
      <c r="AJ57" s="558" t="n"/>
      <c r="AK57" s="558" t="n"/>
      <c r="AL57" s="559" t="n"/>
      <c r="AM57" s="559" t="n"/>
      <c r="AN57" s="559" t="n"/>
      <c r="AO57" s="559" t="n"/>
      <c r="AP57" s="559" t="n"/>
      <c r="AQ57" s="559" t="n"/>
      <c r="AR57" s="559" t="n"/>
      <c r="AS57" s="559" t="n"/>
      <c r="AT57" s="559" t="n"/>
      <c r="AU57" s="559" t="n"/>
      <c r="AV57" s="559" t="n"/>
      <c r="AW57" s="559" t="n"/>
      <c r="AX57" s="560" t="n"/>
      <c r="AY57" s="560" t="n"/>
      <c r="AZ57" s="560" t="n"/>
      <c r="BA57" s="560" t="n"/>
      <c r="BB57" s="560" t="n"/>
      <c r="BC57" s="560" t="n"/>
      <c r="BD57" s="560" t="n"/>
      <c r="BE57" s="560" t="n"/>
      <c r="BF57" s="560" t="n"/>
      <c r="BG57" s="560">
        <f>SUM(BG54:BG56)</f>
        <v/>
      </c>
      <c r="BH57" s="560">
        <f>SUM(BH54:BH56)</f>
        <v/>
      </c>
      <c r="BI57" s="560">
        <f>SUM(BI54:BI56)</f>
        <v/>
      </c>
    </row>
    <row r="58">
      <c r="A58" s="58" t="n"/>
      <c r="B58" s="544" t="n"/>
      <c r="C58" s="544" t="n"/>
      <c r="D58" s="544" t="n"/>
      <c r="E58" s="544" t="n"/>
      <c r="F58" s="544" t="n"/>
      <c r="G58" s="544" t="n"/>
      <c r="H58" s="544" t="n"/>
      <c r="I58" s="544" t="n"/>
      <c r="BG58" s="548" t="n"/>
      <c r="BH58" s="548" t="n"/>
      <c r="BI58" s="548" t="n"/>
    </row>
    <row r="59">
      <c r="A59" s="58" t="inlineStr">
        <is>
          <t>Distributor Margin</t>
        </is>
      </c>
      <c r="B59" s="544" t="n"/>
      <c r="C59" s="544" t="n"/>
      <c r="D59" s="544" t="n"/>
      <c r="E59" s="544" t="n"/>
      <c r="F59" s="544" t="n"/>
      <c r="G59" s="544" t="n"/>
      <c r="H59" s="544" t="n"/>
      <c r="I59" s="544" t="n"/>
      <c r="BG59" s="548" t="n"/>
      <c r="BH59" s="548" t="n"/>
      <c r="BI59" s="548" t="n"/>
    </row>
    <row r="60">
      <c r="A60" s="166" t="inlineStr">
        <is>
          <t>Total revenue from Spare Parts and Aftermarket Services</t>
        </is>
      </c>
      <c r="B60" s="544" t="n"/>
      <c r="C60" s="544" t="n"/>
      <c r="D60" s="544" t="n"/>
      <c r="E60" s="544" t="n"/>
      <c r="F60" s="544" t="n"/>
      <c r="G60" s="544" t="n"/>
      <c r="H60" s="544" t="n"/>
      <c r="I60" s="544" t="n"/>
      <c r="BG60" s="548" t="n"/>
      <c r="BH60" s="548" t="n"/>
      <c r="BI60" s="548" t="n"/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 codeName="Sheet5">
    <tabColor rgb="FF0070C0"/>
    <outlinePr summaryBelow="1" summaryRight="1"/>
    <pageSetUpPr/>
  </sheetPr>
  <dimension ref="A1:F70"/>
  <sheetViews>
    <sheetView showGridLines="0" zoomScale="144" zoomScaleNormal="150" workbookViewId="0">
      <pane xSplit="1" ySplit="5" topLeftCell="B50" activePane="bottomRight" state="frozen"/>
      <selection pane="topRight" activeCell="A2" sqref="A2"/>
      <selection pane="bottomLeft" activeCell="A2" sqref="A2"/>
      <selection pane="bottomRight" activeCell="B70" sqref="B70"/>
    </sheetView>
  </sheetViews>
  <sheetFormatPr baseColWidth="10" defaultColWidth="8.5" defaultRowHeight="12"/>
  <cols>
    <col width="52" bestFit="1" customWidth="1" style="1" min="1" max="1"/>
    <col width="8.83203125" bestFit="1" customWidth="1" style="512" min="2" max="2"/>
    <col width="8.5" customWidth="1" style="512" min="3" max="3"/>
    <col width="10.1640625" bestFit="1" customWidth="1" style="512" min="4" max="6"/>
    <col width="8.5" customWidth="1" style="512" min="7" max="16384"/>
  </cols>
  <sheetData>
    <row r="1" ht="26.25" customFormat="1" customHeight="1" s="106">
      <c r="A1" s="104" t="inlineStr">
        <is>
          <t>DVS</t>
        </is>
      </c>
    </row>
    <row r="2" ht="13" customFormat="1" customHeight="1" s="108">
      <c r="A2" s="117" t="inlineStr">
        <is>
          <t>Expense Assumptions Sheet</t>
        </is>
      </c>
    </row>
    <row r="3" ht="13" customFormat="1" customHeight="1" s="108">
      <c r="A3" s="109" t="inlineStr">
        <is>
          <t>Amounts in €</t>
        </is>
      </c>
    </row>
    <row r="4" ht="11" customFormat="1" customHeight="1" s="5"/>
    <row r="5" customFormat="1" s="108">
      <c r="A5" s="110" t="inlineStr">
        <is>
          <t>Assumptions for the Monthly Period</t>
        </is>
      </c>
    </row>
    <row r="6" customFormat="1" s="577">
      <c r="A6" s="3" t="n"/>
    </row>
    <row r="7" customFormat="1" s="577">
      <c r="A7" s="72" t="inlineStr">
        <is>
          <t>Cost Of Goods Sold (COGS)</t>
        </is>
      </c>
    </row>
    <row r="8" customFormat="1" s="577">
      <c r="A8" s="72" t="n"/>
      <c r="B8" s="463" t="inlineStr">
        <is>
          <t>Year 1</t>
        </is>
      </c>
      <c r="C8" s="463" t="inlineStr">
        <is>
          <t>Year 2</t>
        </is>
      </c>
      <c r="D8" s="463" t="inlineStr">
        <is>
          <t>Year 3</t>
        </is>
      </c>
      <c r="E8" s="463" t="inlineStr">
        <is>
          <t>Year 4</t>
        </is>
      </c>
      <c r="F8" s="463" t="inlineStr">
        <is>
          <t>Year 5</t>
        </is>
      </c>
    </row>
    <row r="9" hidden="1" customFormat="1" s="577">
      <c r="A9" s="58" t="inlineStr">
        <is>
          <t>Thermic Units Sold</t>
        </is>
      </c>
      <c r="B9" s="126" t="n">
        <v>2026</v>
      </c>
      <c r="C9" s="126">
        <f>+B9+1</f>
        <v/>
      </c>
      <c r="D9" s="126">
        <f>+C9+1</f>
        <v/>
      </c>
      <c r="E9" s="126">
        <f>+D9+1</f>
        <v/>
      </c>
      <c r="F9" s="126">
        <f>+E9+1</f>
        <v/>
      </c>
    </row>
    <row r="10" hidden="1" customFormat="1" s="577">
      <c r="A10" s="58" t="inlineStr">
        <is>
          <t>Thermic Unit Average Cost</t>
        </is>
      </c>
    </row>
    <row r="11" hidden="1" customFormat="1" s="577">
      <c r="A11" s="58" t="inlineStr">
        <is>
          <t>Distrib Costs</t>
        </is>
      </c>
    </row>
    <row r="12" hidden="1" customFormat="1" s="578">
      <c r="A12" s="166" t="inlineStr">
        <is>
          <t xml:space="preserve">Cost of sales for Thermic Units </t>
        </is>
      </c>
    </row>
    <row r="13" hidden="1" customFormat="1" s="577">
      <c r="A13" s="69" t="n"/>
    </row>
    <row r="14" hidden="1" customFormat="1" s="577">
      <c r="A14" s="58" t="inlineStr">
        <is>
          <t>Electric Units Sold</t>
        </is>
      </c>
    </row>
    <row r="15" hidden="1" customFormat="1" s="577">
      <c r="A15" s="58" t="inlineStr">
        <is>
          <t>Electric Unit Average Cost</t>
        </is>
      </c>
    </row>
    <row r="16" hidden="1" customFormat="1" s="577">
      <c r="A16" s="58" t="inlineStr">
        <is>
          <t>Distrib Costs</t>
        </is>
      </c>
    </row>
    <row r="17" hidden="1" customFormat="1" s="578">
      <c r="A17" s="166" t="inlineStr">
        <is>
          <t xml:space="preserve">Cost of sales for Electric Units </t>
        </is>
      </c>
    </row>
    <row r="18" hidden="1" customFormat="1" s="577">
      <c r="A18" s="69" t="n"/>
    </row>
    <row r="19" hidden="1" customFormat="1" s="577">
      <c r="A19" s="58" t="inlineStr">
        <is>
          <t>Cost of Sales for Spare Parts and Aftermarket Services as a % of sales</t>
        </is>
      </c>
    </row>
    <row r="20" hidden="1" customFormat="1" s="577">
      <c r="A20" s="58" t="inlineStr">
        <is>
          <t>Distrib Costs or royalties</t>
        </is>
      </c>
    </row>
    <row r="21" hidden="1" customFormat="1" s="579">
      <c r="A21" s="166" t="inlineStr">
        <is>
          <t>Cost of Sales for Spare Parts and Aftermarket Services</t>
        </is>
      </c>
    </row>
    <row r="22">
      <c r="A22" s="61" t="n"/>
    </row>
    <row r="23" customFormat="1" s="577">
      <c r="A23" s="462" t="inlineStr">
        <is>
          <t>PRODUCTS</t>
        </is>
      </c>
    </row>
    <row r="24">
      <c r="A24" s="189" t="inlineStr">
        <is>
          <t>Cost Of Rapid TEST</t>
        </is>
      </c>
      <c r="B24" s="580">
        <f>+Controls!B30*0.5</f>
        <v/>
      </c>
      <c r="C24" s="580">
        <f>+Controls!C30*0.5</f>
        <v/>
      </c>
      <c r="D24" s="580">
        <f>+Controls!D30*0.5</f>
        <v/>
      </c>
      <c r="E24" s="580">
        <f>+Controls!E30*0.5</f>
        <v/>
      </c>
      <c r="F24" s="580">
        <f>+Controls!F30*0.5</f>
        <v/>
      </c>
    </row>
    <row r="25">
      <c r="A25" s="189" t="inlineStr">
        <is>
          <t>cost of Array TEST</t>
        </is>
      </c>
      <c r="B25" s="580">
        <f>+Controls!B46*0.55</f>
        <v/>
      </c>
      <c r="C25" s="580">
        <f>+Controls!C46*0.55</f>
        <v/>
      </c>
      <c r="D25" s="580">
        <f>+Controls!D46*0.55</f>
        <v/>
      </c>
      <c r="E25" s="580">
        <f>+Controls!E46*0.55</f>
        <v/>
      </c>
      <c r="F25" s="580">
        <f>+Controls!F46*0.55</f>
        <v/>
      </c>
    </row>
    <row r="26">
      <c r="A26" s="189" t="inlineStr">
        <is>
          <t>Cost of Readers</t>
        </is>
      </c>
      <c r="B26" s="580">
        <f>+Controls!B46*0.5</f>
        <v/>
      </c>
      <c r="C26" s="580">
        <f>+Controls!C46*0.5</f>
        <v/>
      </c>
      <c r="D26" s="580">
        <f>+Controls!D46*0.5</f>
        <v/>
      </c>
      <c r="E26" s="580">
        <f>+Controls!E46*0.5</f>
        <v/>
      </c>
      <c r="F26" s="580">
        <f>+Controls!F46*0.5</f>
        <v/>
      </c>
    </row>
    <row r="27">
      <c r="A27" s="464" t="inlineStr">
        <is>
          <t xml:space="preserve">Cost of Sales </t>
        </is>
      </c>
      <c r="B27" s="581">
        <f>SUM(B24:B26)</f>
        <v/>
      </c>
      <c r="C27" s="581">
        <f>SUM(C24:C26)</f>
        <v/>
      </c>
      <c r="D27" s="581">
        <f>SUM(D24:D26)</f>
        <v/>
      </c>
      <c r="E27" s="581">
        <f>SUM(E24:E26)</f>
        <v/>
      </c>
      <c r="F27" s="581">
        <f>SUM(F24:F26)</f>
        <v/>
      </c>
    </row>
    <row r="28">
      <c r="A28" s="58" t="n"/>
    </row>
    <row r="29">
      <c r="A29" s="61" t="n"/>
    </row>
    <row r="30">
      <c r="A30" s="468" t="inlineStr">
        <is>
          <t>Operating Expenses (OPEX)</t>
        </is>
      </c>
    </row>
    <row r="31">
      <c r="A31" s="61" t="n"/>
    </row>
    <row r="32" ht="13" customHeight="1" s="497">
      <c r="A32" s="286" t="inlineStr">
        <is>
          <t>Car rental</t>
        </is>
      </c>
      <c r="B32" s="580">
        <f>+Controls!B64</f>
        <v/>
      </c>
      <c r="C32" s="580">
        <f>+Controls!C64</f>
        <v/>
      </c>
      <c r="D32" s="580">
        <f>+Controls!D64</f>
        <v/>
      </c>
      <c r="E32" s="580">
        <f>+Controls!E64</f>
        <v/>
      </c>
      <c r="F32" s="580">
        <f>+Controls!F64</f>
        <v/>
      </c>
    </row>
    <row r="33" ht="13" customHeight="1" s="497">
      <c r="A33" s="286" t="inlineStr">
        <is>
          <t>Commercial vehicle rentals</t>
        </is>
      </c>
      <c r="B33" s="580">
        <f>+Controls!B68</f>
        <v/>
      </c>
      <c r="C33" s="580">
        <f>+Controls!C68</f>
        <v/>
      </c>
      <c r="D33" s="580">
        <f>+Controls!D68</f>
        <v/>
      </c>
      <c r="E33" s="580">
        <f>+Controls!E68</f>
        <v/>
      </c>
      <c r="F33" s="580">
        <f>+Controls!F68</f>
        <v/>
      </c>
    </row>
    <row r="34" ht="13" customHeight="1" s="497">
      <c r="A34" s="286" t="inlineStr">
        <is>
          <t>Fuel</t>
        </is>
      </c>
      <c r="B34" s="580">
        <f>+Controls!B70</f>
        <v/>
      </c>
      <c r="C34" s="580">
        <f>+Controls!C70</f>
        <v/>
      </c>
      <c r="D34" s="580">
        <f>+Controls!D70</f>
        <v/>
      </c>
      <c r="E34" s="580">
        <f>+Controls!E70</f>
        <v/>
      </c>
      <c r="F34" s="580">
        <f>+Controls!F70</f>
        <v/>
      </c>
    </row>
    <row r="35" ht="13" customHeight="1" s="497">
      <c r="A35" s="286" t="inlineStr">
        <is>
          <t>Travel costs (parking, etc.)</t>
        </is>
      </c>
      <c r="B35" s="580">
        <f>+Controls!B76</f>
        <v/>
      </c>
      <c r="C35" s="580">
        <f>+Controls!C76</f>
        <v/>
      </c>
      <c r="D35" s="580">
        <f>+Controls!D76</f>
        <v/>
      </c>
      <c r="E35" s="580">
        <f>+Controls!E76</f>
        <v/>
      </c>
      <c r="F35" s="580">
        <f>+Controls!F76</f>
        <v/>
      </c>
    </row>
    <row r="36" ht="13" customHeight="1" s="497">
      <c r="A36" s="286" t="inlineStr">
        <is>
          <t>Car insurance (omnium)</t>
        </is>
      </c>
      <c r="B36" s="580">
        <f>+Controls!B80</f>
        <v/>
      </c>
      <c r="C36" s="580">
        <f>+Controls!C80</f>
        <v/>
      </c>
      <c r="D36" s="580">
        <f>+Controls!D80</f>
        <v/>
      </c>
      <c r="E36" s="580">
        <f>+Controls!E80</f>
        <v/>
      </c>
      <c r="F36" s="580">
        <f>+Controls!F80</f>
        <v/>
      </c>
    </row>
    <row r="37" ht="13" customHeight="1" s="497">
      <c r="A37" s="285" t="inlineStr">
        <is>
          <t>Events , Fairs , Missions</t>
        </is>
      </c>
      <c r="B37" s="580">
        <f>+Controls!B84</f>
        <v/>
      </c>
      <c r="C37" s="580">
        <f>+Controls!C84</f>
        <v/>
      </c>
      <c r="D37" s="580">
        <f>+Controls!D84</f>
        <v/>
      </c>
      <c r="E37" s="580">
        <f>+Controls!E84</f>
        <v/>
      </c>
      <c r="F37" s="580">
        <f>+Controls!F84</f>
        <v/>
      </c>
    </row>
    <row r="38" ht="13" customHeight="1" s="497">
      <c r="A38" s="286" t="inlineStr">
        <is>
          <t>Website</t>
        </is>
      </c>
      <c r="B38" s="580">
        <f>+Controls!B88</f>
        <v/>
      </c>
      <c r="C38" s="580">
        <f>+Controls!C88</f>
        <v/>
      </c>
      <c r="D38" s="580">
        <f>+Controls!D88</f>
        <v/>
      </c>
      <c r="E38" s="580">
        <f>+Controls!E88</f>
        <v/>
      </c>
      <c r="F38" s="580">
        <f>+Controls!F88</f>
        <v/>
      </c>
    </row>
    <row r="39" ht="13" customHeight="1" s="497">
      <c r="A39" s="286" t="inlineStr">
        <is>
          <t>Advertising / SPONSORSHIP</t>
        </is>
      </c>
      <c r="B39" s="580">
        <f>+Controls!B92</f>
        <v/>
      </c>
      <c r="C39" s="580">
        <f>+Controls!C92</f>
        <v/>
      </c>
      <c r="D39" s="580">
        <f>+Controls!D92</f>
        <v/>
      </c>
      <c r="E39" s="580">
        <f>+Controls!E92</f>
        <v/>
      </c>
      <c r="F39" s="580">
        <f>+Controls!F92</f>
        <v/>
      </c>
    </row>
    <row r="40" ht="13" customHeight="1" s="497">
      <c r="A40" s="466" t="inlineStr">
        <is>
          <t>Building rent</t>
        </is>
      </c>
      <c r="B40" s="580">
        <f>+Controls!B96</f>
        <v/>
      </c>
      <c r="C40" s="580">
        <f>+Controls!C96</f>
        <v/>
      </c>
      <c r="D40" s="580">
        <f>+Controls!D96</f>
        <v/>
      </c>
      <c r="E40" s="580">
        <f>+Controls!E96</f>
        <v/>
      </c>
      <c r="F40" s="580">
        <f>+Controls!F96</f>
        <v/>
      </c>
    </row>
    <row r="41" ht="13" customHeight="1" s="497">
      <c r="A41" s="285" t="inlineStr">
        <is>
          <t>Office General &amp; Admin</t>
        </is>
      </c>
      <c r="B41" s="580">
        <f>+Controls!B100</f>
        <v/>
      </c>
      <c r="C41" s="580">
        <f>+Controls!C100</f>
        <v/>
      </c>
      <c r="D41" s="580">
        <f>+Controls!D100</f>
        <v/>
      </c>
      <c r="E41" s="580">
        <f>+Controls!E100</f>
        <v/>
      </c>
      <c r="F41" s="580">
        <f>+Controls!F100</f>
        <v/>
      </c>
    </row>
    <row r="42" ht="13" customHeight="1" s="497">
      <c r="A42" s="285" t="inlineStr">
        <is>
          <t>Consulting fees 1 (JCH)</t>
        </is>
      </c>
      <c r="B42" s="580">
        <f>+Controls!B104</f>
        <v/>
      </c>
      <c r="C42" s="580">
        <f>+Controls!C104</f>
        <v/>
      </c>
      <c r="D42" s="580">
        <f>+Controls!D104</f>
        <v/>
      </c>
      <c r="E42" s="580">
        <f>+Controls!E104</f>
        <v/>
      </c>
      <c r="F42" s="580">
        <f>+Controls!F104</f>
        <v/>
      </c>
    </row>
    <row r="43" ht="13" customHeight="1" s="497">
      <c r="A43" s="285" t="inlineStr">
        <is>
          <t>Consulting fees 2 (AB)</t>
        </is>
      </c>
      <c r="B43" s="580">
        <f>+Controls!B108</f>
        <v/>
      </c>
      <c r="C43" s="580">
        <f>+Controls!C108</f>
        <v/>
      </c>
      <c r="D43" s="580">
        <f>+Controls!D108</f>
        <v/>
      </c>
      <c r="E43" s="580">
        <f>+Controls!E108</f>
        <v/>
      </c>
      <c r="F43" s="580">
        <f>+Controls!F108</f>
        <v/>
      </c>
    </row>
    <row r="44" ht="13" customHeight="1" s="497">
      <c r="A44" s="286" t="inlineStr">
        <is>
          <t>Accounting fees</t>
        </is>
      </c>
      <c r="B44" s="580">
        <f>+Controls!B112</f>
        <v/>
      </c>
      <c r="C44" s="580">
        <f>+Controls!C112</f>
        <v/>
      </c>
      <c r="D44" s="580">
        <f>+Controls!D112</f>
        <v/>
      </c>
      <c r="E44" s="580">
        <f>+Controls!E112</f>
        <v/>
      </c>
      <c r="F44" s="580">
        <f>+Controls!F112</f>
        <v/>
      </c>
    </row>
    <row r="45" ht="13" customHeight="1" s="497">
      <c r="A45" s="286" t="inlineStr">
        <is>
          <t>Lawyer fees</t>
        </is>
      </c>
      <c r="B45" s="580">
        <f>+Controls!B116</f>
        <v/>
      </c>
      <c r="C45" s="580">
        <f>+Controls!C116</f>
        <v/>
      </c>
      <c r="D45" s="580">
        <f>+Controls!D116</f>
        <v/>
      </c>
      <c r="E45" s="580">
        <f>+Controls!E116</f>
        <v/>
      </c>
      <c r="F45" s="580">
        <f>+Controls!F116</f>
        <v/>
      </c>
    </row>
    <row r="46" ht="13" customHeight="1" s="497">
      <c r="A46" s="285" t="inlineStr">
        <is>
          <t>Coordination chinese partners</t>
        </is>
      </c>
      <c r="B46" s="580">
        <f>+Controls!B120</f>
        <v/>
      </c>
      <c r="C46" s="580">
        <f>+Controls!C120</f>
        <v/>
      </c>
      <c r="D46" s="580">
        <f>+Controls!D120</f>
        <v/>
      </c>
      <c r="E46" s="580">
        <f>+Controls!E120</f>
        <v/>
      </c>
      <c r="F46" s="580">
        <f>+Controls!F120</f>
        <v/>
      </c>
    </row>
    <row r="47" ht="13" customHeight="1" s="497">
      <c r="A47" s="286" t="inlineStr">
        <is>
          <t>Professional contribution</t>
        </is>
      </c>
      <c r="B47" s="580">
        <f>+Controls!B124</f>
        <v/>
      </c>
      <c r="C47" s="580">
        <f>+Controls!C124</f>
        <v/>
      </c>
      <c r="D47" s="580">
        <f>+Controls!D124</f>
        <v/>
      </c>
      <c r="E47" s="580">
        <f>+Controls!E124</f>
        <v/>
      </c>
      <c r="F47" s="580">
        <f>+Controls!F124</f>
        <v/>
      </c>
    </row>
    <row r="48" ht="13" customHeight="1" s="497">
      <c r="A48" s="286" t="inlineStr">
        <is>
          <t>Overheads</t>
        </is>
      </c>
      <c r="B48" s="580" t="n">
        <v>0</v>
      </c>
      <c r="C48" s="580" t="n">
        <v>0</v>
      </c>
      <c r="D48" s="580" t="n">
        <v>0</v>
      </c>
      <c r="E48" s="580" t="n">
        <v>0</v>
      </c>
      <c r="F48" s="580" t="n">
        <v>0</v>
      </c>
    </row>
    <row r="49">
      <c r="A49" s="467" t="inlineStr">
        <is>
          <t>Total Operating Expenses</t>
        </is>
      </c>
      <c r="B49" s="581">
        <f>SUM(B32:B48)</f>
        <v/>
      </c>
      <c r="C49" s="581">
        <f>SUM(C32:C48)</f>
        <v/>
      </c>
      <c r="D49" s="581">
        <f>SUM(D32:D48)</f>
        <v/>
      </c>
      <c r="E49" s="581">
        <f>SUM(E32:E48)</f>
        <v/>
      </c>
      <c r="F49" s="581">
        <f>SUM(F32:F48)</f>
        <v/>
      </c>
    </row>
    <row r="50"/>
    <row r="51"/>
    <row r="52">
      <c r="A52" s="125" t="inlineStr">
        <is>
          <t>PAYROLL ASSUMPTIONS</t>
        </is>
      </c>
      <c r="B52" s="525" t="n"/>
      <c r="C52" s="519" t="n"/>
      <c r="D52" s="519" t="n"/>
      <c r="E52" s="519" t="n"/>
      <c r="F52" s="519" t="n"/>
    </row>
    <row r="53">
      <c r="A53" s="66" t="n"/>
      <c r="B53" s="525" t="n"/>
      <c r="C53" s="519" t="n"/>
      <c r="D53" s="519" t="n"/>
      <c r="E53" s="519" t="n"/>
      <c r="F53" s="519" t="n"/>
    </row>
    <row r="54">
      <c r="A54" s="66" t="inlineStr">
        <is>
          <t xml:space="preserve">Management Team </t>
        </is>
      </c>
      <c r="B54" s="56" t="n"/>
      <c r="C54" s="56" t="n"/>
      <c r="D54" s="56" t="n"/>
      <c r="E54" s="56" t="n"/>
      <c r="F54" s="56" t="n"/>
    </row>
    <row r="55">
      <c r="A55" s="56" t="inlineStr">
        <is>
          <t>Chief Technical Officer - CXO</t>
        </is>
      </c>
      <c r="B55" s="525" t="n">
        <v>0</v>
      </c>
      <c r="C55" s="519">
        <f>+Controls!B137*13*1.5</f>
        <v/>
      </c>
      <c r="D55" s="519">
        <f>+Controls!C137*13*1.5</f>
        <v/>
      </c>
      <c r="E55" s="519">
        <f>+Controls!D137*13*1.5</f>
        <v/>
      </c>
      <c r="F55" s="519">
        <f>+Controls!E137*13*1.5</f>
        <v/>
      </c>
    </row>
    <row r="56">
      <c r="A56" s="91" t="inlineStr">
        <is>
          <t>Board of Directors</t>
        </is>
      </c>
      <c r="B56" s="525" t="n">
        <v>0</v>
      </c>
      <c r="C56" s="525" t="n">
        <v>7000</v>
      </c>
      <c r="D56" s="519">
        <f>+C56*1.1</f>
        <v/>
      </c>
      <c r="E56" s="519">
        <f>+D56*1.1</f>
        <v/>
      </c>
      <c r="F56" s="519">
        <f>+E56*1.1</f>
        <v/>
      </c>
    </row>
    <row r="57">
      <c r="A57" s="66" t="inlineStr">
        <is>
          <t>Production Team</t>
        </is>
      </c>
      <c r="B57" s="525" t="n"/>
      <c r="C57" s="519" t="n"/>
      <c r="D57" s="519" t="n"/>
      <c r="E57" s="519" t="n"/>
      <c r="F57" s="519" t="n"/>
    </row>
    <row r="58">
      <c r="A58" s="67" t="inlineStr">
        <is>
          <t>Production and QC Technician</t>
        </is>
      </c>
      <c r="B58" s="519" t="n">
        <v>0</v>
      </c>
      <c r="C58" s="519">
        <f>+Controls!B141*13*1.5</f>
        <v/>
      </c>
      <c r="D58" s="519">
        <f>+Controls!C141*13*1.5</f>
        <v/>
      </c>
      <c r="E58" s="519">
        <f>+Controls!D141*13*1.5</f>
        <v/>
      </c>
      <c r="F58" s="519">
        <f>+Controls!E141*13*1.5</f>
        <v/>
      </c>
    </row>
    <row r="59">
      <c r="A59" s="56" t="inlineStr">
        <is>
          <t>QC Technician</t>
        </is>
      </c>
      <c r="B59" s="525" t="n">
        <v>0</v>
      </c>
      <c r="C59" s="519">
        <f>+Controls!B142*13*1.5</f>
        <v/>
      </c>
      <c r="D59" s="519">
        <f>+Controls!C142*13*1.5</f>
        <v/>
      </c>
      <c r="E59" s="519">
        <f>+Controls!D142*13*1.5</f>
        <v/>
      </c>
      <c r="F59" s="519">
        <f>+Controls!E142*13*1.5</f>
        <v/>
      </c>
    </row>
    <row r="60">
      <c r="A60" s="56" t="inlineStr">
        <is>
          <t xml:space="preserve">Quality Insurance </t>
        </is>
      </c>
      <c r="B60" s="525" t="n">
        <v>0</v>
      </c>
      <c r="C60" s="519">
        <f>+Controls!B143*13*1.5</f>
        <v/>
      </c>
      <c r="D60" s="519">
        <f>+Controls!C143*13*1.5</f>
        <v/>
      </c>
      <c r="E60" s="519">
        <f>+Controls!D143*13*1.5</f>
        <v/>
      </c>
      <c r="F60" s="519">
        <f>+Controls!E143*13*1.5</f>
        <v/>
      </c>
    </row>
    <row r="61">
      <c r="A61" s="56" t="inlineStr">
        <is>
          <t>Secretary Logistics/ordering etc</t>
        </is>
      </c>
      <c r="B61" s="526" t="n"/>
      <c r="C61" s="519">
        <f>+Controls!C144*12*1.5</f>
        <v/>
      </c>
      <c r="D61" s="519">
        <f>+Controls!D144*12*1.5</f>
        <v/>
      </c>
      <c r="E61" s="519">
        <f>+Controls!E144*12*1.5</f>
        <v/>
      </c>
      <c r="F61" s="519">
        <f>+Controls!F144*12*1.5</f>
        <v/>
      </c>
    </row>
    <row r="62">
      <c r="A62" s="54" t="inlineStr">
        <is>
          <t>Sales Team</t>
        </is>
      </c>
      <c r="B62" s="56" t="n"/>
      <c r="C62" s="56" t="n"/>
      <c r="D62" s="56" t="n"/>
      <c r="E62" s="56" t="n"/>
      <c r="F62" s="56" t="n"/>
    </row>
    <row r="63">
      <c r="A63" s="56" t="inlineStr">
        <is>
          <t>Sales Director (consultant partially paid by % on sales (50% of Revenu)</t>
        </is>
      </c>
      <c r="B63" s="525" t="n">
        <v>0</v>
      </c>
      <c r="C63" s="519">
        <f>+Controls!C147*12</f>
        <v/>
      </c>
      <c r="D63" s="519">
        <f>+Controls!D147*12</f>
        <v/>
      </c>
      <c r="E63" s="519">
        <f>+Controls!E147*12</f>
        <v/>
      </c>
      <c r="F63" s="519">
        <f>+Controls!F147*12</f>
        <v/>
      </c>
    </row>
    <row r="64">
      <c r="A64" s="56" t="inlineStr">
        <is>
          <t>Sales Director (consultant partially paid by % on sales (25% of Revenu)</t>
        </is>
      </c>
      <c r="B64" s="525" t="n">
        <v>0</v>
      </c>
      <c r="C64" s="519">
        <f>+Controls!C148*12</f>
        <v/>
      </c>
      <c r="D64" s="519">
        <f>+Controls!D148*12</f>
        <v/>
      </c>
      <c r="E64" s="519">
        <f>+Controls!E148*12</f>
        <v/>
      </c>
      <c r="F64" s="519">
        <f>+Controls!F148*12</f>
        <v/>
      </c>
    </row>
    <row r="65">
      <c r="A65" s="54" t="inlineStr">
        <is>
          <t xml:space="preserve">Marketing Team </t>
        </is>
      </c>
      <c r="B65" s="68" t="n"/>
      <c r="C65" s="68" t="n"/>
      <c r="D65" s="68" t="n"/>
      <c r="E65" s="68" t="n"/>
      <c r="F65" s="68" t="n"/>
    </row>
    <row r="66">
      <c r="A66" s="56" t="inlineStr">
        <is>
          <t>Marketing Manager</t>
        </is>
      </c>
      <c r="B66" s="68">
        <f>+Controls!B151*13*1.05</f>
        <v/>
      </c>
      <c r="C66" s="68">
        <f>+Controls!C151*13*1.05</f>
        <v/>
      </c>
      <c r="D66" s="68">
        <f>+Controls!D151*13*1.05</f>
        <v/>
      </c>
      <c r="E66" s="68">
        <f>+Controls!E151*13*1.05</f>
        <v/>
      </c>
      <c r="F66" s="68">
        <f>+Controls!F151*13*1.05</f>
        <v/>
      </c>
    </row>
    <row r="67">
      <c r="A67" s="76" t="inlineStr">
        <is>
          <t xml:space="preserve">Product Development Team </t>
        </is>
      </c>
      <c r="B67" s="68" t="n"/>
      <c r="C67" s="68" t="n"/>
      <c r="D67" s="68" t="n"/>
      <c r="E67" s="68" t="n"/>
      <c r="F67" s="68" t="n"/>
    </row>
    <row r="68">
      <c r="A68" s="67" t="inlineStr">
        <is>
          <t>IT Project Manager (consultant)</t>
        </is>
      </c>
      <c r="B68" s="525">
        <f>+Controls!B154*12</f>
        <v/>
      </c>
      <c r="C68" s="525">
        <f>+Controls!C154*12</f>
        <v/>
      </c>
      <c r="D68" s="525">
        <f>+Controls!D154*12</f>
        <v/>
      </c>
      <c r="E68" s="525">
        <f>+Controls!E154*12</f>
        <v/>
      </c>
      <c r="F68" s="525">
        <f>+Controls!F154*12</f>
        <v/>
      </c>
    </row>
    <row r="69">
      <c r="A69" s="68" t="n"/>
      <c r="B69" s="68" t="n"/>
      <c r="C69" s="68" t="n"/>
      <c r="D69" s="68" t="n"/>
      <c r="E69" s="68" t="n"/>
      <c r="F69" s="68" t="n"/>
    </row>
    <row r="70">
      <c r="B70" s="512">
        <f>+B68+B66+B64+B63+B60+B59+B58+B56+B55</f>
        <v/>
      </c>
      <c r="C70" s="512">
        <f>+C68+C66+C64+C63+C60+C59+C58+C56+C55</f>
        <v/>
      </c>
      <c r="D70" s="512">
        <f>+D68+D66+D64+D63+D60+D59+D58+D56+D55</f>
        <v/>
      </c>
      <c r="E70" s="512">
        <f>+E68+E66+E64+E63+E60+E59+E58+E56+E55</f>
        <v/>
      </c>
      <c r="F70" s="512">
        <f>+F68+F66+F64+F63+F60+F59+F58+F56+F55</f>
        <v/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rgb="FF0070C0"/>
    <outlinePr summaryBelow="1" summaryRight="1"/>
    <pageSetUpPr/>
  </sheetPr>
  <dimension ref="A1:W40"/>
  <sheetViews>
    <sheetView topLeftCell="A13" zoomScale="150" zoomScaleNormal="82" workbookViewId="0">
      <selection activeCell="B3" sqref="B3"/>
    </sheetView>
  </sheetViews>
  <sheetFormatPr baseColWidth="10" defaultColWidth="11.5" defaultRowHeight="13"/>
  <cols>
    <col width="24" bestFit="1" customWidth="1" style="497" min="2" max="2"/>
  </cols>
  <sheetData>
    <row r="1">
      <c r="A1" s="266" t="n"/>
      <c r="B1" s="266" t="n"/>
      <c r="C1" s="266" t="n"/>
      <c r="D1" s="266" t="n"/>
      <c r="E1" s="266" t="n"/>
      <c r="F1" s="266" t="n"/>
      <c r="G1" s="266" t="n"/>
      <c r="H1" s="266" t="n"/>
      <c r="I1" s="266" t="n"/>
      <c r="J1" s="266" t="n"/>
      <c r="K1" s="266" t="n"/>
      <c r="L1" s="266" t="n"/>
      <c r="M1" s="266" t="n"/>
      <c r="N1" s="266" t="n"/>
      <c r="O1" s="266" t="n"/>
      <c r="P1" s="266" t="n"/>
      <c r="Q1" s="266" t="n"/>
      <c r="R1" s="266" t="n"/>
      <c r="S1" s="266" t="n"/>
      <c r="T1" s="266" t="n"/>
      <c r="U1" s="266" t="n"/>
      <c r="V1" s="266" t="n"/>
      <c r="W1" s="266" t="n"/>
    </row>
    <row r="2">
      <c r="A2" s="266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6" t="n"/>
      <c r="L2" s="266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</row>
    <row r="3">
      <c r="A3" s="266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6" t="n"/>
      <c r="L3" s="266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</row>
    <row r="4">
      <c r="A4" s="266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6" t="n"/>
      <c r="L4" s="266" t="n"/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</row>
    <row r="5">
      <c r="A5" s="266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</row>
    <row r="6">
      <c r="A6" s="266" t="n"/>
      <c r="B6" s="266" t="n"/>
      <c r="C6" s="266" t="n"/>
      <c r="D6" s="266" t="n"/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</row>
    <row r="7">
      <c r="A7" s="266" t="n"/>
      <c r="B7" s="266" t="n"/>
      <c r="C7" s="266" t="n"/>
      <c r="D7" s="266" t="n"/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</row>
    <row r="8">
      <c r="A8" s="266" t="n"/>
      <c r="B8" s="266" t="n"/>
      <c r="C8" s="266" t="n"/>
      <c r="D8" s="267" t="inlineStr">
        <is>
          <t>1Q1</t>
        </is>
      </c>
      <c r="E8" s="268" t="inlineStr">
        <is>
          <t>1Q2</t>
        </is>
      </c>
      <c r="F8" s="268" t="inlineStr">
        <is>
          <t>1Q3</t>
        </is>
      </c>
      <c r="G8" s="268" t="inlineStr">
        <is>
          <t>1Q4</t>
        </is>
      </c>
      <c r="H8" s="269" t="inlineStr">
        <is>
          <t>2Q1</t>
        </is>
      </c>
      <c r="I8" s="269" t="inlineStr">
        <is>
          <t>2Q2</t>
        </is>
      </c>
      <c r="J8" s="269" t="inlineStr">
        <is>
          <t>2Q3</t>
        </is>
      </c>
      <c r="K8" s="269" t="inlineStr">
        <is>
          <t>2Q4</t>
        </is>
      </c>
      <c r="L8" s="270" t="inlineStr">
        <is>
          <t>3Q1</t>
        </is>
      </c>
      <c r="M8" s="270" t="inlineStr">
        <is>
          <t>3Q2</t>
        </is>
      </c>
      <c r="N8" s="270" t="inlineStr">
        <is>
          <t>3Q3</t>
        </is>
      </c>
      <c r="O8" s="270" t="inlineStr">
        <is>
          <t>3Q4</t>
        </is>
      </c>
      <c r="P8" s="271" t="inlineStr">
        <is>
          <t>4Q1</t>
        </is>
      </c>
      <c r="Q8" s="271" t="inlineStr">
        <is>
          <t>4Q2</t>
        </is>
      </c>
      <c r="R8" s="271" t="inlineStr">
        <is>
          <t>4Q3</t>
        </is>
      </c>
      <c r="S8" s="271" t="inlineStr">
        <is>
          <t>4Q4</t>
        </is>
      </c>
      <c r="T8" s="272" t="inlineStr">
        <is>
          <t>5Q1</t>
        </is>
      </c>
      <c r="U8" s="272" t="inlineStr">
        <is>
          <t>5Q2</t>
        </is>
      </c>
      <c r="V8" s="272" t="inlineStr">
        <is>
          <t>5Q3</t>
        </is>
      </c>
      <c r="W8" s="272" t="inlineStr">
        <is>
          <t>5Q4</t>
        </is>
      </c>
    </row>
    <row r="9" ht="14" customHeight="1" s="497">
      <c r="A9" s="266" t="n"/>
      <c r="B9" s="273" t="n"/>
      <c r="C9" s="274" t="n"/>
      <c r="D9" s="275" t="n"/>
      <c r="E9" s="275" t="n"/>
      <c r="F9" s="275" t="n"/>
      <c r="G9" s="275" t="n"/>
      <c r="H9" s="275" t="n"/>
      <c r="I9" s="275" t="n"/>
      <c r="J9" s="275" t="n"/>
      <c r="K9" s="275" t="n"/>
      <c r="L9" s="275" t="n"/>
      <c r="M9" s="275" t="n"/>
      <c r="N9" s="275" t="n"/>
      <c r="O9" s="275" t="n"/>
      <c r="P9" s="275" t="n"/>
      <c r="Q9" s="275" t="n"/>
      <c r="R9" s="275" t="n"/>
      <c r="S9" s="275" t="n"/>
      <c r="T9" s="275" t="n"/>
      <c r="U9" s="275" t="n"/>
      <c r="V9" s="275" t="n"/>
      <c r="W9" s="275" t="n"/>
    </row>
    <row r="10" ht="14" customHeight="1" s="497">
      <c r="A10" s="266" t="n"/>
      <c r="B10" s="276" t="n"/>
      <c r="C10" s="277" t="n"/>
      <c r="D10" s="275" t="n"/>
      <c r="E10" s="275" t="n"/>
      <c r="F10" s="275" t="n"/>
      <c r="G10" s="275" t="n"/>
      <c r="H10" s="275" t="n"/>
      <c r="I10" s="275" t="n"/>
      <c r="J10" s="275" t="n"/>
      <c r="K10" s="275" t="n"/>
      <c r="L10" s="275" t="n"/>
      <c r="M10" s="275" t="n"/>
      <c r="N10" s="275" t="n"/>
      <c r="O10" s="275" t="n"/>
      <c r="P10" s="275" t="n"/>
      <c r="Q10" s="275" t="n"/>
      <c r="R10" s="275" t="n"/>
      <c r="S10" s="275" t="n"/>
      <c r="T10" s="275" t="n"/>
      <c r="U10" s="275" t="n"/>
      <c r="V10" s="275" t="n"/>
      <c r="W10" s="275" t="n"/>
    </row>
    <row r="11" ht="14" customHeight="1" s="497">
      <c r="A11" s="266" t="n"/>
      <c r="B11" s="276" t="n"/>
      <c r="C11" s="277" t="n"/>
      <c r="D11" s="275" t="n"/>
      <c r="E11" s="275" t="n"/>
      <c r="F11" s="275" t="n"/>
      <c r="G11" s="275" t="n"/>
      <c r="H11" s="275" t="n"/>
      <c r="I11" s="275" t="n"/>
      <c r="J11" s="275" t="n"/>
      <c r="K11" s="275" t="n"/>
      <c r="L11" s="275" t="n"/>
      <c r="M11" s="275" t="n"/>
      <c r="N11" s="275" t="n"/>
      <c r="O11" s="275" t="n"/>
      <c r="P11" s="275" t="n"/>
      <c r="Q11" s="275" t="n"/>
      <c r="R11" s="275" t="n"/>
      <c r="S11" s="275" t="n"/>
      <c r="T11" s="275" t="n"/>
      <c r="U11" s="275" t="n"/>
      <c r="V11" s="275" t="n"/>
      <c r="W11" s="275" t="n"/>
    </row>
    <row r="12" ht="14" customHeight="1" s="497">
      <c r="A12" s="266" t="n"/>
      <c r="B12" s="276" t="n"/>
      <c r="C12" s="277" t="n"/>
      <c r="D12" s="275" t="n"/>
      <c r="E12" s="275" t="n"/>
      <c r="F12" s="275" t="n"/>
      <c r="G12" s="275" t="n"/>
      <c r="H12" s="275" t="n"/>
      <c r="I12" s="275" t="n"/>
      <c r="J12" s="275" t="n"/>
      <c r="K12" s="275" t="n"/>
      <c r="L12" s="275" t="n"/>
      <c r="M12" s="275" t="n"/>
      <c r="N12" s="275" t="n"/>
      <c r="O12" s="275" t="n"/>
      <c r="P12" s="275" t="n"/>
      <c r="Q12" s="275" t="n"/>
      <c r="R12" s="275" t="n"/>
      <c r="S12" s="275" t="n"/>
      <c r="T12" s="275" t="n"/>
      <c r="U12" s="275" t="n"/>
      <c r="V12" s="275" t="n"/>
      <c r="W12" s="275" t="n"/>
    </row>
    <row r="13" ht="14" customHeight="1" s="497">
      <c r="A13" s="266" t="n"/>
      <c r="B13" s="276" t="n"/>
      <c r="C13" s="277" t="n"/>
      <c r="D13" s="275" t="n"/>
      <c r="E13" s="275" t="n"/>
      <c r="F13" s="275" t="n"/>
      <c r="G13" s="275" t="n"/>
      <c r="H13" s="275" t="n"/>
      <c r="I13" s="275" t="n"/>
      <c r="J13" s="275" t="n"/>
      <c r="K13" s="275" t="n"/>
      <c r="L13" s="275" t="n"/>
      <c r="M13" s="275" t="n"/>
      <c r="N13" s="275" t="n"/>
      <c r="O13" s="275" t="n"/>
      <c r="P13" s="275" t="n"/>
      <c r="Q13" s="275" t="n"/>
      <c r="R13" s="275" t="n"/>
      <c r="S13" s="275" t="n"/>
      <c r="T13" s="275" t="n"/>
      <c r="U13" s="275" t="n"/>
      <c r="V13" s="275" t="n"/>
      <c r="W13" s="275" t="n"/>
    </row>
    <row r="14" ht="14" customHeight="1" s="497">
      <c r="A14" s="266" t="n"/>
      <c r="B14" s="276" t="n"/>
      <c r="C14" s="277" t="n"/>
      <c r="D14" s="275" t="n"/>
      <c r="E14" s="275" t="n"/>
      <c r="F14" s="275" t="n"/>
      <c r="G14" s="275" t="n"/>
      <c r="H14" s="275" t="n"/>
      <c r="I14" s="275" t="n"/>
      <c r="J14" s="275" t="n"/>
      <c r="K14" s="275" t="n"/>
      <c r="L14" s="275" t="n"/>
      <c r="M14" s="275" t="n"/>
      <c r="N14" s="275" t="n"/>
      <c r="O14" s="275" t="n"/>
      <c r="P14" s="275" t="n"/>
      <c r="Q14" s="275" t="n"/>
      <c r="R14" s="275" t="n"/>
      <c r="S14" s="275" t="n"/>
      <c r="T14" s="275" t="n"/>
      <c r="U14" s="275" t="n"/>
      <c r="V14" s="275" t="n"/>
      <c r="W14" s="275" t="n"/>
    </row>
    <row r="15" ht="14" customHeight="1" s="497">
      <c r="A15" s="266" t="n"/>
      <c r="B15" s="276" t="n"/>
      <c r="C15" s="277" t="n"/>
      <c r="D15" s="275" t="n"/>
      <c r="E15" s="275" t="n"/>
      <c r="F15" s="275" t="n"/>
      <c r="G15" s="275" t="n"/>
      <c r="H15" s="275" t="n"/>
      <c r="I15" s="275" t="n"/>
      <c r="J15" s="275" t="n"/>
      <c r="K15" s="275" t="n"/>
      <c r="L15" s="275" t="n"/>
      <c r="M15" s="275" t="n"/>
      <c r="N15" s="275" t="n"/>
      <c r="O15" s="275" t="n"/>
      <c r="P15" s="275" t="n"/>
      <c r="Q15" s="275" t="n"/>
      <c r="R15" s="275" t="n"/>
      <c r="S15" s="275" t="n"/>
      <c r="T15" s="275" t="n"/>
      <c r="U15" s="275" t="n"/>
      <c r="V15" s="275" t="n"/>
      <c r="W15" s="275" t="n"/>
    </row>
    <row r="16" ht="14" customHeight="1" s="497">
      <c r="A16" s="266" t="n"/>
      <c r="B16" s="276" t="n"/>
      <c r="C16" s="277" t="n"/>
      <c r="D16" s="275" t="n"/>
      <c r="E16" s="275" t="n"/>
      <c r="F16" s="275" t="n"/>
      <c r="G16" s="275" t="n"/>
      <c r="H16" s="275" t="n"/>
      <c r="I16" s="275" t="n"/>
      <c r="J16" s="275" t="n"/>
      <c r="K16" s="275" t="n"/>
      <c r="L16" s="275" t="n"/>
      <c r="M16" s="275" t="n"/>
      <c r="N16" s="275" t="n"/>
      <c r="O16" s="275" t="n"/>
      <c r="P16" s="275" t="n"/>
      <c r="Q16" s="275" t="n"/>
      <c r="R16" s="275" t="n"/>
      <c r="S16" s="275" t="n"/>
      <c r="T16" s="275" t="n"/>
      <c r="U16" s="275" t="n"/>
      <c r="V16" s="275" t="n"/>
      <c r="W16" s="275" t="n"/>
    </row>
    <row r="17" ht="14" customHeight="1" s="497">
      <c r="A17" s="266" t="n"/>
      <c r="B17" s="276" t="n"/>
      <c r="C17" s="277" t="n"/>
      <c r="D17" s="275" t="n"/>
      <c r="E17" s="275" t="n"/>
      <c r="F17" s="275" t="n"/>
      <c r="G17" s="275" t="n"/>
      <c r="H17" s="275" t="n"/>
      <c r="I17" s="275" t="n"/>
      <c r="J17" s="275" t="n"/>
      <c r="K17" s="275" t="n"/>
      <c r="L17" s="275" t="n"/>
      <c r="M17" s="275" t="n"/>
      <c r="N17" s="275" t="n"/>
      <c r="O17" s="275" t="n"/>
      <c r="P17" s="275" t="n"/>
      <c r="Q17" s="275" t="n"/>
      <c r="R17" s="275" t="n"/>
      <c r="S17" s="275" t="n"/>
      <c r="T17" s="275" t="n"/>
      <c r="U17" s="275" t="n"/>
      <c r="V17" s="275" t="n"/>
      <c r="W17" s="275" t="n"/>
    </row>
    <row r="18" ht="14" customHeight="1" s="497">
      <c r="A18" s="266" t="n"/>
      <c r="B18" s="278" t="n"/>
      <c r="C18" s="277" t="n"/>
      <c r="D18" s="275" t="n"/>
      <c r="E18" s="275" t="n"/>
      <c r="F18" s="275" t="n"/>
      <c r="G18" s="275" t="n"/>
      <c r="H18" s="275" t="n"/>
      <c r="I18" s="275" t="n"/>
      <c r="J18" s="275" t="n"/>
      <c r="K18" s="275" t="n"/>
      <c r="L18" s="275" t="n"/>
      <c r="M18" s="275" t="n"/>
      <c r="N18" s="275" t="n"/>
      <c r="O18" s="275" t="n"/>
      <c r="P18" s="275" t="n"/>
      <c r="Q18" s="275" t="n"/>
      <c r="R18" s="275" t="n"/>
      <c r="S18" s="275" t="n"/>
      <c r="T18" s="275" t="n"/>
      <c r="U18" s="275" t="n"/>
      <c r="V18" s="275" t="n"/>
      <c r="W18" s="275" t="n"/>
    </row>
    <row r="19" ht="14" customHeight="1" s="497">
      <c r="A19" s="266" t="n"/>
      <c r="B19" s="278" t="n"/>
      <c r="C19" s="277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n"/>
      <c r="Q19" s="275" t="n"/>
      <c r="R19" s="275" t="n"/>
      <c r="S19" s="275" t="n"/>
      <c r="T19" s="275" t="n"/>
      <c r="U19" s="275" t="n"/>
      <c r="V19" s="275" t="n"/>
      <c r="W19" s="275" t="n"/>
    </row>
    <row r="20" ht="14" customHeight="1" s="497">
      <c r="A20" s="266" t="n"/>
      <c r="B20" s="278" t="n"/>
      <c r="C20" s="277" t="n"/>
      <c r="D20" s="275" t="n"/>
      <c r="E20" s="275" t="n"/>
      <c r="F20" s="275" t="n"/>
      <c r="G20" s="275" t="n"/>
      <c r="H20" s="275" t="n"/>
      <c r="I20" s="275" t="n"/>
      <c r="J20" s="275" t="n"/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  <c r="T20" s="275" t="n"/>
      <c r="U20" s="275" t="n"/>
      <c r="V20" s="275" t="n"/>
      <c r="W20" s="275" t="n"/>
    </row>
    <row r="21" ht="14" customHeight="1" s="497">
      <c r="A21" s="266" t="n"/>
      <c r="B21" s="278" t="n"/>
      <c r="C21" s="277" t="n"/>
      <c r="D21" s="275" t="n"/>
      <c r="E21" s="275" t="n"/>
      <c r="F21" s="275" t="n"/>
      <c r="G21" s="275" t="n"/>
      <c r="H21" s="275" t="n"/>
      <c r="I21" s="275" t="n"/>
      <c r="J21" s="275" t="n"/>
      <c r="K21" s="275" t="n"/>
      <c r="L21" s="275" t="n"/>
      <c r="M21" s="275" t="n"/>
      <c r="N21" s="275" t="n"/>
      <c r="O21" s="275" t="n"/>
      <c r="P21" s="275" t="n"/>
      <c r="Q21" s="275" t="n"/>
      <c r="R21" s="275" t="n"/>
      <c r="S21" s="275" t="n"/>
      <c r="T21" s="275" t="n"/>
      <c r="U21" s="275" t="n"/>
      <c r="V21" s="275" t="n"/>
      <c r="W21" s="275" t="n"/>
    </row>
    <row r="22" ht="14" customHeight="1" s="497">
      <c r="A22" s="266" t="n"/>
      <c r="B22" s="278" t="n"/>
      <c r="C22" s="277" t="n"/>
      <c r="D22" s="275" t="n"/>
      <c r="E22" s="275" t="n"/>
      <c r="F22" s="275" t="n"/>
      <c r="G22" s="275" t="n"/>
      <c r="H22" s="275" t="n"/>
      <c r="I22" s="275" t="n"/>
      <c r="J22" s="275" t="n"/>
      <c r="K22" s="275" t="n"/>
      <c r="L22" s="275" t="n"/>
      <c r="M22" s="275" t="n"/>
      <c r="N22" s="275" t="n"/>
      <c r="O22" s="275" t="n"/>
      <c r="P22" s="275" t="n"/>
      <c r="Q22" s="275" t="n"/>
      <c r="R22" s="275" t="n"/>
      <c r="S22" s="275" t="n"/>
      <c r="T22" s="275" t="n"/>
      <c r="U22" s="275" t="n"/>
      <c r="V22" s="275" t="n"/>
      <c r="W22" s="275" t="n"/>
    </row>
    <row r="23" ht="14" customHeight="1" s="497">
      <c r="A23" s="266" t="n"/>
      <c r="B23" s="278" t="n"/>
      <c r="C23" s="277" t="n"/>
      <c r="D23" s="275" t="n"/>
      <c r="E23" s="275" t="n"/>
      <c r="F23" s="275" t="n"/>
      <c r="G23" s="275" t="n"/>
      <c r="H23" s="275" t="n"/>
      <c r="I23" s="275" t="n"/>
      <c r="J23" s="275" t="n"/>
      <c r="K23" s="275" t="n"/>
      <c r="L23" s="275" t="n"/>
      <c r="M23" s="275" t="n"/>
      <c r="N23" s="275" t="n"/>
      <c r="O23" s="275" t="n"/>
      <c r="P23" s="275" t="n"/>
      <c r="Q23" s="275" t="n"/>
      <c r="R23" s="275" t="n"/>
      <c r="S23" s="275" t="n"/>
      <c r="T23" s="275" t="n"/>
      <c r="U23" s="275" t="n"/>
      <c r="V23" s="275" t="n"/>
      <c r="W23" s="275" t="n"/>
    </row>
    <row r="24" ht="14" customHeight="1" s="497">
      <c r="A24" s="266" t="n"/>
      <c r="B24" s="278" t="n"/>
      <c r="C24" s="277" t="n"/>
      <c r="D24" s="275" t="n"/>
      <c r="E24" s="275" t="n"/>
      <c r="F24" s="275" t="n"/>
      <c r="G24" s="275" t="n"/>
      <c r="H24" s="275" t="n"/>
      <c r="I24" s="275" t="n"/>
      <c r="J24" s="275" t="n"/>
      <c r="K24" s="275" t="n"/>
      <c r="L24" s="275" t="n"/>
      <c r="M24" s="275" t="n"/>
      <c r="N24" s="275" t="n"/>
      <c r="O24" s="275" t="n"/>
      <c r="P24" s="275" t="n"/>
      <c r="Q24" s="275" t="n"/>
      <c r="R24" s="275" t="n"/>
      <c r="S24" s="275" t="n"/>
      <c r="T24" s="275" t="n"/>
      <c r="U24" s="275" t="n"/>
      <c r="V24" s="275" t="n"/>
      <c r="W24" s="275" t="n"/>
    </row>
    <row r="25" ht="14" customHeight="1" s="497">
      <c r="A25" s="266" t="n"/>
      <c r="B25" s="278" t="n"/>
      <c r="C25" s="277" t="n"/>
      <c r="D25" s="275" t="n"/>
      <c r="E25" s="275" t="n"/>
      <c r="F25" s="275" t="n"/>
      <c r="G25" s="275" t="n"/>
      <c r="H25" s="275" t="n"/>
      <c r="I25" s="275" t="n"/>
      <c r="J25" s="275" t="n"/>
      <c r="K25" s="275" t="n"/>
      <c r="L25" s="275" t="n"/>
      <c r="M25" s="275" t="n"/>
      <c r="N25" s="275" t="n"/>
      <c r="O25" s="275" t="n"/>
      <c r="P25" s="275" t="n"/>
      <c r="Q25" s="275" t="n"/>
      <c r="R25" s="275" t="n"/>
      <c r="S25" s="275" t="n"/>
      <c r="T25" s="275" t="n"/>
      <c r="U25" s="275" t="n"/>
      <c r="V25" s="275" t="n"/>
      <c r="W25" s="275" t="n"/>
    </row>
    <row r="26" ht="14" customHeight="1" s="497">
      <c r="A26" s="266" t="n"/>
      <c r="B26" s="278" t="n"/>
      <c r="C26" s="277" t="n"/>
      <c r="D26" s="275" t="n"/>
      <c r="E26" s="275" t="n"/>
      <c r="F26" s="275" t="n"/>
      <c r="G26" s="275" t="n"/>
      <c r="H26" s="275" t="n"/>
      <c r="I26" s="275" t="n"/>
      <c r="J26" s="275" t="n"/>
      <c r="K26" s="275" t="n"/>
      <c r="L26" s="275" t="n"/>
      <c r="M26" s="275" t="n"/>
      <c r="N26" s="275" t="n"/>
      <c r="O26" s="275" t="n"/>
      <c r="P26" s="275" t="n"/>
      <c r="Q26" s="275" t="n"/>
      <c r="R26" s="275" t="n"/>
      <c r="S26" s="275" t="n"/>
      <c r="T26" s="275" t="n"/>
      <c r="U26" s="275" t="n"/>
      <c r="V26" s="275" t="n"/>
      <c r="W26" s="275" t="n"/>
    </row>
    <row r="27" ht="14" customHeight="1" s="497">
      <c r="A27" s="266" t="n"/>
      <c r="B27" s="278" t="n"/>
      <c r="C27" s="277" t="n"/>
      <c r="D27" s="275" t="n"/>
      <c r="E27" s="275" t="n"/>
      <c r="F27" s="275" t="n"/>
      <c r="G27" s="275" t="n"/>
      <c r="H27" s="275" t="n"/>
      <c r="I27" s="275" t="n"/>
      <c r="J27" s="275" t="n"/>
      <c r="K27" s="275" t="n"/>
      <c r="L27" s="275" t="n"/>
      <c r="M27" s="275" t="n"/>
      <c r="N27" s="275" t="n"/>
      <c r="O27" s="275" t="n"/>
      <c r="P27" s="275" t="n"/>
      <c r="Q27" s="275" t="n"/>
      <c r="R27" s="275" t="n"/>
      <c r="S27" s="275" t="n"/>
      <c r="T27" s="275" t="n"/>
      <c r="U27" s="275" t="n"/>
      <c r="V27" s="275" t="n"/>
      <c r="W27" s="275" t="n"/>
    </row>
    <row r="28" ht="14" customHeight="1" s="497">
      <c r="A28" s="266" t="n"/>
      <c r="B28" s="279" t="n"/>
      <c r="C28" s="277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</row>
    <row r="29" ht="14" customHeight="1" s="497">
      <c r="A29" s="266" t="n"/>
      <c r="B29" s="279" t="n"/>
      <c r="C29" s="277" t="n"/>
      <c r="D29" s="275" t="n"/>
      <c r="E29" s="275" t="n"/>
      <c r="F29" s="275" t="n"/>
      <c r="G29" s="275" t="n"/>
      <c r="H29" s="275" t="n"/>
      <c r="I29" s="275" t="n"/>
      <c r="J29" s="275" t="n"/>
      <c r="K29" s="275" t="n"/>
      <c r="L29" s="275" t="n"/>
      <c r="M29" s="275" t="n"/>
      <c r="N29" s="275" t="n"/>
      <c r="O29" s="275" t="n"/>
      <c r="P29" s="275" t="n"/>
      <c r="Q29" s="275" t="n"/>
      <c r="R29" s="275" t="n"/>
      <c r="S29" s="275" t="n"/>
      <c r="T29" s="275" t="n"/>
      <c r="U29" s="275" t="n"/>
      <c r="V29" s="275" t="n"/>
      <c r="W29" s="275" t="n"/>
    </row>
    <row r="30" ht="14" customHeight="1" s="497">
      <c r="A30" s="266" t="n"/>
      <c r="B30" s="280" t="n"/>
      <c r="C30" s="277" t="n"/>
      <c r="D30" s="275" t="n"/>
      <c r="E30" s="275" t="n"/>
      <c r="F30" s="275" t="n"/>
      <c r="G30" s="275" t="n"/>
      <c r="H30" s="275" t="n"/>
      <c r="I30" s="275" t="n"/>
      <c r="J30" s="275" t="n"/>
      <c r="K30" s="275" t="n"/>
      <c r="L30" s="275" t="n"/>
      <c r="M30" s="275" t="n"/>
      <c r="N30" s="275" t="n"/>
      <c r="O30" s="275" t="n"/>
      <c r="P30" s="275" t="n"/>
      <c r="Q30" s="275" t="n"/>
      <c r="R30" s="275" t="n"/>
      <c r="S30" s="275" t="n"/>
      <c r="T30" s="275" t="n"/>
      <c r="U30" s="275" t="n"/>
      <c r="V30" s="275" t="n"/>
      <c r="W30" s="275" t="n"/>
    </row>
    <row r="31" ht="14" customHeight="1" s="497">
      <c r="A31" s="266" t="n"/>
      <c r="B31" s="280" t="n"/>
      <c r="C31" s="277" t="n"/>
      <c r="D31" s="275" t="n"/>
      <c r="E31" s="275" t="n"/>
      <c r="F31" s="275" t="n"/>
      <c r="G31" s="275" t="n"/>
      <c r="H31" s="275" t="n"/>
      <c r="I31" s="275" t="n"/>
      <c r="J31" s="275" t="n"/>
      <c r="K31" s="275" t="n"/>
      <c r="L31" s="275" t="n"/>
      <c r="M31" s="275" t="n"/>
      <c r="N31" s="275" t="n"/>
      <c r="O31" s="275" t="n"/>
      <c r="P31" s="275" t="n"/>
      <c r="Q31" s="275" t="n"/>
      <c r="R31" s="275" t="n"/>
      <c r="S31" s="275" t="n"/>
      <c r="T31" s="275" t="n"/>
      <c r="U31" s="275" t="n"/>
      <c r="V31" s="275" t="n"/>
      <c r="W31" s="275" t="n"/>
    </row>
    <row r="32" ht="14" customHeight="1" s="497">
      <c r="A32" s="266" t="n"/>
      <c r="B32" s="280" t="n"/>
      <c r="C32" s="277" t="n"/>
      <c r="D32" s="275" t="n"/>
      <c r="E32" s="275" t="n"/>
      <c r="F32" s="275" t="n"/>
      <c r="G32" s="275" t="n"/>
      <c r="H32" s="275" t="n"/>
      <c r="I32" s="275" t="n"/>
      <c r="J32" s="275" t="n"/>
      <c r="K32" s="275" t="n"/>
      <c r="L32" s="275" t="n"/>
      <c r="M32" s="275" t="n"/>
      <c r="N32" s="275" t="n"/>
      <c r="O32" s="275" t="n"/>
      <c r="P32" s="275" t="n"/>
      <c r="Q32" s="275" t="n"/>
      <c r="R32" s="275" t="n"/>
      <c r="S32" s="275" t="n"/>
      <c r="T32" s="275" t="n"/>
      <c r="U32" s="275" t="n"/>
      <c r="V32" s="275" t="n"/>
      <c r="W32" s="275" t="n"/>
    </row>
    <row r="33" ht="14" customHeight="1" s="497">
      <c r="A33" s="266" t="n"/>
      <c r="B33" s="280" t="n"/>
      <c r="C33" s="277" t="n"/>
      <c r="D33" s="275" t="n"/>
      <c r="E33" s="275" t="n"/>
      <c r="F33" s="275" t="n"/>
      <c r="G33" s="275" t="n"/>
      <c r="H33" s="275" t="n"/>
      <c r="I33" s="275" t="n"/>
      <c r="J33" s="275" t="n"/>
      <c r="K33" s="275" t="n"/>
      <c r="L33" s="275" t="n"/>
      <c r="M33" s="275" t="n"/>
      <c r="N33" s="275" t="n"/>
      <c r="O33" s="275" t="n"/>
      <c r="P33" s="275" t="n"/>
      <c r="Q33" s="275" t="n"/>
      <c r="R33" s="275" t="n"/>
      <c r="S33" s="275" t="n"/>
      <c r="T33" s="275" t="n"/>
      <c r="U33" s="275" t="n"/>
      <c r="V33" s="275" t="n"/>
      <c r="W33" s="275" t="n"/>
    </row>
    <row r="34" ht="14" customHeight="1" s="497">
      <c r="A34" s="266" t="n"/>
      <c r="B34" s="279" t="n"/>
      <c r="C34" s="277" t="n"/>
      <c r="D34" s="275" t="n"/>
      <c r="E34" s="275" t="n"/>
      <c r="F34" s="275" t="n"/>
      <c r="G34" s="275" t="n"/>
      <c r="H34" s="275" t="n"/>
      <c r="I34" s="275" t="n"/>
      <c r="J34" s="275" t="n"/>
      <c r="K34" s="275" t="n"/>
      <c r="L34" s="275" t="n"/>
      <c r="M34" s="275" t="n"/>
      <c r="N34" s="275" t="n"/>
      <c r="O34" s="275" t="n"/>
      <c r="P34" s="275" t="n"/>
      <c r="Q34" s="275" t="n"/>
      <c r="R34" s="275" t="n"/>
      <c r="S34" s="275" t="n"/>
      <c r="T34" s="275" t="n"/>
      <c r="U34" s="275" t="n"/>
      <c r="V34" s="275" t="n"/>
      <c r="W34" s="275" t="n"/>
    </row>
    <row r="35">
      <c r="A35" s="266" t="n"/>
      <c r="B35" s="281" t="inlineStr">
        <is>
          <t>N =</t>
        </is>
      </c>
      <c r="C35" s="275" t="n">
        <v>24</v>
      </c>
      <c r="D35" s="266" t="n"/>
      <c r="E35" s="266" t="n"/>
      <c r="F35" s="266" t="n"/>
      <c r="G35" s="266" t="n"/>
      <c r="H35" s="266" t="n"/>
      <c r="I35" s="266" t="n"/>
      <c r="J35" s="266" t="n"/>
      <c r="K35" s="266" t="n"/>
      <c r="L35" s="266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</row>
    <row r="36">
      <c r="A36" s="266" t="n"/>
      <c r="B36" s="266" t="n"/>
      <c r="C36" s="266" t="n"/>
      <c r="D36" s="266" t="n"/>
      <c r="E36" s="266" t="n"/>
      <c r="F36" s="266" t="n"/>
      <c r="G36" s="266" t="n"/>
      <c r="H36" s="266" t="n"/>
      <c r="I36" s="266" t="n"/>
      <c r="J36" s="266" t="n"/>
      <c r="K36" s="266" t="n"/>
      <c r="L36" s="266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</row>
    <row r="37">
      <c r="A37" s="266" t="n"/>
      <c r="B37" s="282" t="inlineStr">
        <is>
          <t>CIRCUIT MANAGER</t>
        </is>
      </c>
      <c r="C37" s="266" t="n"/>
      <c r="D37" s="266" t="n"/>
      <c r="E37" s="266" t="n"/>
      <c r="F37" s="266" t="n"/>
      <c r="G37" s="266" t="n"/>
      <c r="H37" s="266" t="n"/>
      <c r="I37" s="266" t="n"/>
      <c r="J37" s="266" t="n"/>
      <c r="K37" s="266" t="n"/>
      <c r="L37" s="266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</row>
    <row r="38">
      <c r="A38" s="266" t="n"/>
      <c r="B38" s="283" t="inlineStr">
        <is>
          <t>CIRCUIT OPERATOR</t>
        </is>
      </c>
      <c r="C38" s="266" t="n"/>
      <c r="D38" s="266" t="n"/>
      <c r="E38" s="266" t="n"/>
      <c r="F38" s="266" t="n"/>
      <c r="G38" s="266" t="n"/>
      <c r="H38" s="266" t="n"/>
      <c r="I38" s="266" t="n"/>
      <c r="J38" s="266" t="n"/>
      <c r="K38" s="266" t="n"/>
      <c r="L38" s="266" t="n"/>
      <c r="M38" s="266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</row>
    <row r="39">
      <c r="A39" s="266" t="n"/>
      <c r="B39" s="266" t="n"/>
      <c r="C39" s="266" t="n"/>
      <c r="D39" s="266" t="n"/>
      <c r="E39" s="266" t="n"/>
      <c r="F39" s="266" t="n"/>
      <c r="G39" s="266" t="n"/>
      <c r="H39" s="266" t="n"/>
      <c r="I39" s="266" t="n"/>
      <c r="J39" s="266" t="n"/>
      <c r="K39" s="266" t="n"/>
      <c r="L39" s="266" t="n"/>
      <c r="M39" s="266" t="n"/>
      <c r="N39" s="266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</row>
    <row r="40">
      <c r="A40" s="266" t="n"/>
      <c r="B40" s="284" t="inlineStr">
        <is>
          <t>Decision BOD</t>
        </is>
      </c>
      <c r="C40" s="266" t="n"/>
      <c r="D40" s="266" t="n"/>
      <c r="E40" s="266" t="n"/>
      <c r="F40" s="266" t="n"/>
      <c r="G40" s="266" t="n"/>
      <c r="H40" s="266" t="n"/>
      <c r="I40" s="266" t="n"/>
      <c r="J40" s="266" t="n"/>
      <c r="K40" s="266" t="n"/>
      <c r="L40" s="266" t="n"/>
      <c r="M40" s="266" t="n"/>
      <c r="N40" s="266" t="n"/>
      <c r="O40" s="266" t="n"/>
      <c r="P40" s="266" t="n"/>
      <c r="Q40" s="266" t="n"/>
      <c r="R40" s="266" t="n"/>
      <c r="S40" s="266" t="n"/>
      <c r="T40" s="266" t="n"/>
      <c r="U40" s="266" t="n"/>
      <c r="V40" s="266" t="n"/>
      <c r="W40" s="266" t="n"/>
    </row>
  </sheetData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tabColor rgb="FF0070C0"/>
    <outlinePr summaryBelow="1" summaryRight="1"/>
    <pageSetUpPr/>
  </sheetPr>
  <dimension ref="A1:A77"/>
  <sheetViews>
    <sheetView showGridLines="0" zoomScale="150" zoomScaleNormal="150" workbookViewId="0">
      <pane xSplit="1" ySplit="5" topLeftCell="B6" activePane="bottomRight" state="frozen"/>
      <selection pane="topRight" activeCell="A2" sqref="A2"/>
      <selection pane="bottomLeft" activeCell="A2" sqref="A2"/>
      <selection pane="bottomRight" activeCell="B87" sqref="B87"/>
    </sheetView>
  </sheetViews>
  <sheetFormatPr baseColWidth="10" defaultColWidth="8.83203125" defaultRowHeight="13"/>
  <cols>
    <col width="30" customWidth="1" style="26" min="1" max="1"/>
    <col width="8.83203125" customWidth="1" style="26" min="2" max="16384"/>
  </cols>
  <sheetData>
    <row r="1" ht="26.25" customFormat="1" customHeight="1" s="106">
      <c r="A1" s="104" t="inlineStr">
        <is>
          <t>DVS</t>
        </is>
      </c>
    </row>
    <row r="2" customFormat="1" s="108">
      <c r="A2" s="107" t="inlineStr">
        <is>
          <t>Payroll Sheet</t>
        </is>
      </c>
    </row>
    <row r="3" customFormat="1" s="108">
      <c r="A3" s="109" t="inlineStr">
        <is>
          <t>Amounts in €</t>
        </is>
      </c>
    </row>
    <row r="4" ht="11" customFormat="1" customHeight="1" s="5"/>
    <row r="5" ht="12" customFormat="1" customHeight="1" s="108">
      <c r="A5" s="110" t="inlineStr">
        <is>
          <t>Assumptions for the Monthly Period</t>
        </is>
      </c>
    </row>
    <row r="6" ht="12" customFormat="1" customHeight="1" s="15">
      <c r="A6" s="14" t="n"/>
    </row>
    <row r="7" ht="12" customFormat="1" customHeight="1" s="25">
      <c r="A7" s="130" t="inlineStr">
        <is>
          <t>Employment</t>
        </is>
      </c>
    </row>
    <row r="8" ht="12" customFormat="1" customHeight="1" s="3">
      <c r="A8" s="44" t="n"/>
    </row>
    <row r="9" ht="12" customFormat="1" customHeight="1" s="3">
      <c r="A9" s="66" t="n"/>
    </row>
    <row r="10" ht="12" customFormat="1" customHeight="1" s="3">
      <c r="A10" s="91" t="n"/>
    </row>
    <row r="11" ht="12" customFormat="1" customHeight="1" s="3">
      <c r="A11" s="91" t="n"/>
    </row>
    <row r="12" ht="12" customFormat="1" customHeight="1" s="3">
      <c r="A12" s="91" t="n"/>
    </row>
    <row r="13" ht="12" customFormat="1" customHeight="1" s="3">
      <c r="A13" s="91" t="n"/>
    </row>
    <row r="14" ht="12" customFormat="1" customHeight="1" s="3">
      <c r="A14" s="56" t="n"/>
    </row>
    <row r="15" ht="12" customFormat="1" customHeight="1" s="3">
      <c r="A15" s="91" t="n"/>
    </row>
    <row r="16" ht="12" customFormat="1" customHeight="1" s="3">
      <c r="A16" s="66" t="n"/>
    </row>
    <row r="17" ht="12" customFormat="1" customHeight="1" s="3">
      <c r="A17" s="67" t="n"/>
    </row>
    <row r="18" ht="12" customFormat="1" customHeight="1" s="3">
      <c r="A18" s="56" t="n"/>
    </row>
    <row r="19" ht="12" customFormat="1" customHeight="1" s="3">
      <c r="A19" s="56" t="n"/>
    </row>
    <row r="20" ht="12" customFormat="1" customHeight="1" s="3">
      <c r="A20" s="56" t="n"/>
    </row>
    <row r="21" ht="12" customFormat="1" customHeight="1" s="3">
      <c r="A21" s="56" t="n"/>
    </row>
    <row r="22" ht="12" customFormat="1" customHeight="1" s="3">
      <c r="A22" s="56" t="n"/>
    </row>
    <row r="23" ht="12" customFormat="1" customHeight="1" s="3">
      <c r="A23" s="56" t="n"/>
    </row>
    <row r="24" ht="12" customFormat="1" customHeight="1" s="3">
      <c r="A24" s="56" t="n"/>
    </row>
    <row r="25" ht="12" customFormat="1" customHeight="1" s="3">
      <c r="A25" s="54" t="n"/>
    </row>
    <row r="26" ht="12" customFormat="1" customHeight="1" s="3">
      <c r="A26" s="56" t="n"/>
    </row>
    <row r="27" ht="12" customFormat="1" customHeight="1" s="3">
      <c r="A27" s="56" t="n"/>
    </row>
    <row r="28" ht="12" customFormat="1" customHeight="1" s="3">
      <c r="A28" s="56" t="n"/>
    </row>
    <row r="29" ht="12" customFormat="1" customHeight="1" s="3">
      <c r="A29" s="67" t="n"/>
    </row>
    <row r="30" ht="12" customFormat="1" customHeight="1" s="3">
      <c r="A30" s="54" t="n"/>
    </row>
    <row r="31" ht="12" customFormat="1" customHeight="1" s="3">
      <c r="A31" s="56" t="n"/>
    </row>
    <row r="32" ht="12" customFormat="1" customHeight="1" s="3">
      <c r="A32" s="56" t="n"/>
    </row>
    <row r="33" ht="12" customFormat="1" customHeight="1" s="3">
      <c r="A33" s="56" t="n"/>
    </row>
    <row r="34" ht="12" customFormat="1" customHeight="1" s="3">
      <c r="A34" s="56" t="n"/>
    </row>
    <row r="35" ht="12" customFormat="1" customHeight="1" s="3">
      <c r="A35" s="56" t="n"/>
    </row>
    <row r="36" ht="12" customFormat="1" customHeight="1" s="3">
      <c r="A36" s="67" t="n"/>
    </row>
    <row r="37" ht="12" customFormat="1" customHeight="1" s="3">
      <c r="A37" s="76" t="n"/>
    </row>
    <row r="38" ht="12" customFormat="1" customHeight="1" s="3">
      <c r="A38" s="67" t="n"/>
    </row>
    <row r="39" ht="12" customFormat="1" customHeight="1" s="3">
      <c r="A39" s="67" t="n"/>
    </row>
    <row r="40" ht="12" customFormat="1" customHeight="1" s="3">
      <c r="A40" s="67" t="n"/>
    </row>
    <row r="41" ht="12" customFormat="1" customHeight="1" s="3">
      <c r="A41" s="487" t="n"/>
    </row>
    <row r="42" ht="12" customFormat="1" customHeight="1" s="3">
      <c r="A42" s="67" t="n"/>
    </row>
    <row r="43" ht="12" customFormat="1" customHeight="1" s="3"/>
    <row r="44" ht="12" customFormat="1" customHeight="1" s="3">
      <c r="A44" s="14" t="n"/>
    </row>
    <row r="45" ht="12" customFormat="1" customHeight="1" s="3">
      <c r="A45" s="66" t="n"/>
    </row>
    <row r="46" ht="12" customFormat="1" customHeight="1" s="3">
      <c r="A46" s="91" t="n"/>
    </row>
    <row r="47" ht="12" customFormat="1" customHeight="1" s="3">
      <c r="A47" s="91" t="n"/>
    </row>
    <row r="48" ht="12" customFormat="1" customHeight="1" s="3">
      <c r="A48" s="91" t="n"/>
    </row>
    <row r="49" ht="12" customFormat="1" customHeight="1" s="3">
      <c r="A49" s="91" t="n"/>
    </row>
    <row r="50" ht="12" customFormat="1" customHeight="1" s="3">
      <c r="A50" s="56" t="n"/>
    </row>
    <row r="51" ht="12" customFormat="1" customHeight="1" s="3">
      <c r="A51" s="91" t="n"/>
    </row>
    <row r="52" ht="12" customFormat="1" customHeight="1" s="3">
      <c r="A52" s="66" t="n"/>
    </row>
    <row r="53" ht="12" customFormat="1" customHeight="1" s="3">
      <c r="A53" s="67" t="n"/>
    </row>
    <row r="54" ht="12" customFormat="1" customHeight="1" s="3">
      <c r="A54" s="56" t="n"/>
    </row>
    <row r="55" ht="12" customFormat="1" customHeight="1" s="3">
      <c r="A55" s="56" t="n"/>
    </row>
    <row r="56" ht="12" customFormat="1" customHeight="1" s="3">
      <c r="A56" s="56" t="n"/>
    </row>
    <row r="57" ht="12" customFormat="1" customHeight="1" s="3">
      <c r="A57" s="56" t="n"/>
    </row>
    <row r="58" ht="12" customFormat="1" customHeight="1" s="3">
      <c r="A58" s="56" t="n"/>
    </row>
    <row r="59" ht="12" customFormat="1" customHeight="1" s="3">
      <c r="A59" s="56" t="n"/>
    </row>
    <row r="60" ht="12" customFormat="1" customHeight="1" s="3">
      <c r="A60" s="56" t="n"/>
    </row>
    <row r="61" ht="12" customFormat="1" customHeight="1" s="3">
      <c r="A61" s="54" t="n"/>
    </row>
    <row r="62" ht="12" customFormat="1" customHeight="1" s="3">
      <c r="A62" s="56" t="n"/>
    </row>
    <row r="63" ht="12" customFormat="1" customHeight="1" s="3">
      <c r="A63" s="56" t="n"/>
    </row>
    <row r="64" ht="12" customFormat="1" customHeight="1" s="3">
      <c r="A64" s="56" t="n"/>
    </row>
    <row r="65" ht="12" customFormat="1" customHeight="1" s="3">
      <c r="A65" s="67" t="n"/>
    </row>
    <row r="66" ht="12" customFormat="1" customHeight="1" s="3">
      <c r="A66" s="54" t="n"/>
    </row>
    <row r="67" ht="12" customFormat="1" customHeight="1" s="3">
      <c r="A67" s="56" t="n"/>
    </row>
    <row r="68" ht="12" customFormat="1" customHeight="1" s="3">
      <c r="A68" s="56" t="n"/>
    </row>
    <row r="69" ht="12" customFormat="1" customHeight="1" s="3">
      <c r="A69" s="56" t="n"/>
    </row>
    <row r="70" ht="12" customFormat="1" customHeight="1" s="3">
      <c r="A70" s="56" t="n"/>
    </row>
    <row r="71" ht="12" customFormat="1" customHeight="1" s="3">
      <c r="A71" s="56" t="n"/>
    </row>
    <row r="72" ht="12" customFormat="1" customHeight="1" s="3">
      <c r="A72" s="67" t="n"/>
    </row>
    <row r="73" ht="12" customFormat="1" customHeight="1" s="3">
      <c r="A73" s="76" t="n"/>
    </row>
    <row r="74" ht="12" customFormat="1" customHeight="1" s="3">
      <c r="A74" s="67" t="n"/>
    </row>
    <row r="75" ht="12" customFormat="1" customHeight="1" s="3">
      <c r="A75" s="67" t="n"/>
    </row>
    <row r="76" ht="12" customFormat="1" customHeight="1" s="3">
      <c r="A76" s="67" t="n"/>
    </row>
    <row r="77" customFormat="1" s="3" thickBot="1">
      <c r="A77" s="488" t="n"/>
    </row>
    <row r="78" customFormat="1" s="3" thickTop="1"/>
    <row r="79" ht="12" customFormat="1" customHeight="1" s="3"/>
    <row r="80" ht="12" customFormat="1" customHeight="1" s="3"/>
    <row r="81" ht="12" customFormat="1" customHeight="1" s="3"/>
    <row r="82" ht="12" customFormat="1" customHeight="1" s="3"/>
    <row r="83" ht="12" customFormat="1" customHeight="1" s="3"/>
    <row r="84" ht="12" customFormat="1" customHeight="1" s="3"/>
    <row r="85" ht="12" customFormat="1" customHeight="1" s="3"/>
    <row r="86" ht="12" customFormat="1" customHeight="1" s="3"/>
    <row r="87" ht="12" customFormat="1" customHeight="1" s="3"/>
    <row r="88" ht="12" customFormat="1" customHeight="1" s="3"/>
    <row r="89" ht="12" customFormat="1" customHeight="1" s="3"/>
    <row r="90" ht="12" customFormat="1" customHeight="1" s="3"/>
    <row r="91" ht="12" customFormat="1" customHeight="1" s="3"/>
    <row r="92" ht="12" customFormat="1" customHeight="1" s="3"/>
    <row r="93" ht="12" customFormat="1" customHeight="1" s="3"/>
    <row r="94" ht="12" customFormat="1" customHeight="1" s="3"/>
    <row r="95" ht="12" customFormat="1" customHeight="1" s="3"/>
    <row r="96" ht="12" customFormat="1" customHeight="1" s="3"/>
    <row r="97" ht="12" customFormat="1" customHeight="1" s="3"/>
    <row r="98" ht="12" customFormat="1" customHeight="1" s="3"/>
    <row r="99" ht="12" customFormat="1" customHeight="1" s="3"/>
    <row r="100" ht="12" customFormat="1" customHeight="1" s="3"/>
    <row r="101" ht="12" customFormat="1" customHeight="1" s="3"/>
    <row r="102" ht="12" customFormat="1" customHeight="1" s="3"/>
    <row r="103" ht="12" customFormat="1" customHeight="1" s="3"/>
    <row r="104" ht="12" customFormat="1" customHeight="1" s="3"/>
    <row r="105" ht="12" customFormat="1" customHeight="1" s="3"/>
    <row r="106" ht="12" customFormat="1" customHeight="1" s="3"/>
    <row r="107" ht="12" customFormat="1" customHeight="1" s="3"/>
    <row r="108" ht="12" customFormat="1" customHeight="1" s="3"/>
    <row r="109" ht="12" customFormat="1" customHeight="1" s="3"/>
    <row r="110" ht="12" customFormat="1" customHeight="1" s="3"/>
    <row r="111" ht="12" customFormat="1" customHeight="1" s="3"/>
    <row r="112" ht="12" customFormat="1" customHeight="1" s="3"/>
    <row r="113" ht="12" customFormat="1" customHeight="1" s="3"/>
    <row r="114" ht="12" customFormat="1" customHeight="1" s="3"/>
    <row r="115" ht="12" customFormat="1" customHeight="1" s="3"/>
    <row r="116" ht="12" customFormat="1" customHeight="1" s="3"/>
    <row r="117" ht="12" customFormat="1" customHeight="1" s="3"/>
    <row r="118" ht="12" customFormat="1" customHeight="1" s="3"/>
    <row r="119" ht="12" customFormat="1" customHeight="1" s="3"/>
    <row r="120" ht="12" customFormat="1" customHeight="1" s="3"/>
    <row r="121" ht="12" customFormat="1" customHeight="1" s="3"/>
    <row r="122" ht="12" customFormat="1" customHeight="1" s="3"/>
    <row r="123" ht="12" customFormat="1" customHeight="1" s="3"/>
    <row r="124" ht="12" customFormat="1" customHeight="1" s="3"/>
    <row r="125" ht="12" customFormat="1" customHeight="1" s="3"/>
    <row r="126" ht="12" customFormat="1" customHeight="1" s="3"/>
    <row r="127" ht="12" customFormat="1" customHeight="1" s="3"/>
    <row r="128" ht="12" customFormat="1" customHeight="1" s="3"/>
    <row r="129" ht="12" customFormat="1" customHeight="1" s="3"/>
    <row r="130" ht="12" customFormat="1" customHeight="1" s="3"/>
    <row r="131" ht="12" customFormat="1" customHeight="1" s="3"/>
    <row r="132" ht="12" customFormat="1" customHeight="1" s="3"/>
    <row r="133" ht="12" customFormat="1" customHeight="1" s="3"/>
    <row r="134" ht="12" customFormat="1" customHeight="1" s="3"/>
    <row r="135" ht="12" customFormat="1" customHeight="1" s="3"/>
    <row r="136" ht="12" customFormat="1" customHeight="1" s="3"/>
    <row r="137" ht="12" customFormat="1" customHeight="1" s="3"/>
    <row r="138" ht="12" customFormat="1" customHeight="1" s="3"/>
    <row r="139" ht="12" customFormat="1" customHeight="1" s="3"/>
    <row r="140" ht="12" customFormat="1" customHeight="1" s="3"/>
    <row r="141" ht="12" customFormat="1" customHeight="1" s="3"/>
    <row r="142" ht="12" customFormat="1" customHeight="1" s="3"/>
    <row r="143" ht="12" customFormat="1" customHeight="1" s="3"/>
    <row r="144" ht="12" customFormat="1" customHeight="1" s="3"/>
    <row r="145" ht="12" customFormat="1" customHeight="1" s="3"/>
    <row r="146" ht="12" customFormat="1" customHeight="1" s="3"/>
    <row r="147" ht="12" customFormat="1" customHeight="1" s="3"/>
    <row r="148" ht="12" customFormat="1" customHeight="1" s="3"/>
    <row r="149" ht="12" customFormat="1" customHeight="1" s="3"/>
    <row r="150" ht="12" customFormat="1" customHeight="1" s="3"/>
    <row r="151" ht="12" customFormat="1" customHeight="1" s="3"/>
    <row r="152" ht="12" customFormat="1" customHeight="1" s="3"/>
    <row r="153" ht="12" customFormat="1" customHeight="1" s="3"/>
    <row r="154" ht="12" customFormat="1" customHeight="1" s="3"/>
    <row r="155" ht="12" customFormat="1" customHeight="1" s="3"/>
    <row r="156" ht="12" customFormat="1" customHeight="1" s="3"/>
    <row r="157" ht="12" customFormat="1" customHeight="1" s="3"/>
    <row r="158" ht="12" customFormat="1" customHeight="1" s="3"/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rgb="FF0070C0"/>
    <outlinePr summaryBelow="1" summaryRight="1"/>
    <pageSetUpPr/>
  </sheetPr>
  <dimension ref="A1:B51"/>
  <sheetViews>
    <sheetView showGridLines="0" zoomScale="150" zoomScaleNormal="150" workbookViewId="0">
      <pane xSplit="1" ySplit="5" topLeftCell="B26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10" defaultColWidth="8.83203125" defaultRowHeight="13"/>
  <cols>
    <col width="35" bestFit="1" customWidth="1" style="4" min="1" max="1"/>
    <col width="8.83203125" customWidth="1" style="4" min="2" max="16384"/>
  </cols>
  <sheetData>
    <row r="1" ht="26.25" customFormat="1" customHeight="1" s="106">
      <c r="A1" s="104" t="inlineStr">
        <is>
          <t>Vetalyx</t>
        </is>
      </c>
    </row>
    <row r="2" customFormat="1" s="108">
      <c r="A2" s="107" t="inlineStr">
        <is>
          <t>Debt Schedule</t>
        </is>
      </c>
    </row>
    <row r="3" customFormat="1" s="108">
      <c r="A3" s="109" t="inlineStr">
        <is>
          <t>Amounts in €</t>
        </is>
      </c>
    </row>
    <row r="4" ht="11" customFormat="1" customHeight="1" s="5"/>
    <row r="5" ht="12" customFormat="1" customHeight="1" s="108">
      <c r="A5" s="110" t="inlineStr">
        <is>
          <t>Assumptions for the Monthly Period</t>
        </is>
      </c>
    </row>
    <row r="6"/>
    <row r="7">
      <c r="A7" s="4" t="inlineStr">
        <is>
          <t>Total Interest Payments</t>
        </is>
      </c>
    </row>
    <row r="8">
      <c r="A8" s="4" t="inlineStr">
        <is>
          <t>Total Principal Payments</t>
        </is>
      </c>
    </row>
    <row r="9">
      <c r="A9" s="162" t="inlineStr">
        <is>
          <t>Total Closing Balance</t>
        </is>
      </c>
    </row>
    <row r="10"/>
    <row r="11"/>
    <row r="12" ht="12" customFormat="1" customHeight="1" s="1">
      <c r="A12" s="176" t="inlineStr">
        <is>
          <t>Loan for Technical Stock</t>
        </is>
      </c>
    </row>
    <row r="13" ht="12" customFormat="1" customHeight="1" s="1">
      <c r="A13" s="177" t="inlineStr">
        <is>
          <t>Monthly Interest Rate</t>
        </is>
      </c>
    </row>
    <row r="14" ht="12" customFormat="1" customHeight="1" s="1">
      <c r="A14" s="177" t="inlineStr">
        <is>
          <t>Opening Balance at the start</t>
        </is>
      </c>
    </row>
    <row r="15" ht="12" customFormat="1" customHeight="1" s="1">
      <c r="A15" s="177" t="inlineStr">
        <is>
          <t>Future Value</t>
        </is>
      </c>
      <c r="B15" s="582" t="n"/>
    </row>
    <row r="16" ht="12" customFormat="1" customHeight="1" s="583">
      <c r="A16" s="177" t="inlineStr">
        <is>
          <t>Tenure (in Months)</t>
        </is>
      </c>
      <c r="B16" s="582" t="n"/>
    </row>
    <row r="17" ht="12" customFormat="1" customHeight="1" s="584">
      <c r="A17" s="179" t="inlineStr">
        <is>
          <t>PMT</t>
        </is>
      </c>
    </row>
    <row r="18" ht="12" customFormat="1" customHeight="1" s="584">
      <c r="A18" s="177" t="n"/>
    </row>
    <row r="19">
      <c r="A19" s="177" t="inlineStr">
        <is>
          <t>Opening Balance</t>
        </is>
      </c>
      <c r="B19" s="585" t="n"/>
    </row>
    <row r="20">
      <c r="A20" s="177" t="inlineStr">
        <is>
          <t>Payment</t>
        </is>
      </c>
    </row>
    <row r="21">
      <c r="A21" s="177" t="inlineStr">
        <is>
          <t>Interest Payment</t>
        </is>
      </c>
    </row>
    <row r="22">
      <c r="A22" s="177" t="inlineStr">
        <is>
          <t>Principal Payment</t>
        </is>
      </c>
    </row>
    <row r="23" ht="14" customHeight="1" s="497" thickBot="1">
      <c r="A23" s="181" t="inlineStr">
        <is>
          <t>Closing Balance</t>
        </is>
      </c>
    </row>
    <row r="24"/>
    <row r="25"/>
    <row r="26" ht="12" customFormat="1" customHeight="1" s="1">
      <c r="A26" s="176" t="inlineStr">
        <is>
          <t>Loan for Building Infrastructure 1</t>
        </is>
      </c>
    </row>
    <row r="27" ht="12" customFormat="1" customHeight="1" s="1">
      <c r="A27" s="177" t="inlineStr">
        <is>
          <t>Monthly Interest Rate</t>
        </is>
      </c>
    </row>
    <row r="28" ht="12" customFormat="1" customHeight="1" s="1">
      <c r="A28" s="177" t="inlineStr">
        <is>
          <t>Opening Balance at the start</t>
        </is>
      </c>
    </row>
    <row r="29" ht="12" customFormat="1" customHeight="1" s="1">
      <c r="A29" s="177" t="inlineStr">
        <is>
          <t>Future Value</t>
        </is>
      </c>
      <c r="B29" s="582" t="n"/>
    </row>
    <row r="30" ht="12" customFormat="1" customHeight="1" s="583">
      <c r="A30" s="177" t="inlineStr">
        <is>
          <t>Tenure (in Months)</t>
        </is>
      </c>
      <c r="B30" s="582" t="n"/>
    </row>
    <row r="31" ht="12" customFormat="1" customHeight="1" s="584">
      <c r="A31" s="179" t="inlineStr">
        <is>
          <t>PMT</t>
        </is>
      </c>
    </row>
    <row r="32" ht="12" customFormat="1" customHeight="1" s="584">
      <c r="A32" s="177" t="n"/>
    </row>
    <row r="33">
      <c r="A33" s="177" t="inlineStr">
        <is>
          <t>Opening Balance</t>
        </is>
      </c>
      <c r="B33" s="585" t="n"/>
    </row>
    <row r="34">
      <c r="A34" s="177" t="inlineStr">
        <is>
          <t>Payment</t>
        </is>
      </c>
    </row>
    <row r="35">
      <c r="A35" s="177" t="inlineStr">
        <is>
          <t>Interest Payment</t>
        </is>
      </c>
    </row>
    <row r="36">
      <c r="A36" s="177" t="inlineStr">
        <is>
          <t>Principal Payment</t>
        </is>
      </c>
    </row>
    <row r="37" ht="14" customHeight="1" s="497" thickBot="1">
      <c r="A37" s="181" t="inlineStr">
        <is>
          <t>Closing Balance</t>
        </is>
      </c>
    </row>
    <row r="38"/>
    <row r="39"/>
    <row r="40" ht="12" customFormat="1" customHeight="1" s="1">
      <c r="A40" s="176" t="inlineStr">
        <is>
          <t>Loan for Building Infrastructure 2</t>
        </is>
      </c>
    </row>
    <row r="41" ht="12" customFormat="1" customHeight="1" s="1">
      <c r="A41" s="177" t="inlineStr">
        <is>
          <t>Monthly Interest Rate</t>
        </is>
      </c>
    </row>
    <row r="42" ht="12" customFormat="1" customHeight="1" s="1">
      <c r="A42" s="177" t="inlineStr">
        <is>
          <t>Opening Balance at the start</t>
        </is>
      </c>
    </row>
    <row r="43" ht="12" customFormat="1" customHeight="1" s="1">
      <c r="A43" s="177" t="inlineStr">
        <is>
          <t>Future Value</t>
        </is>
      </c>
      <c r="B43" s="582" t="n"/>
    </row>
    <row r="44" ht="12" customFormat="1" customHeight="1" s="583">
      <c r="A44" s="177" t="inlineStr">
        <is>
          <t>Tenure (in Months)</t>
        </is>
      </c>
      <c r="B44" s="582" t="n"/>
    </row>
    <row r="45" ht="12" customFormat="1" customHeight="1" s="584">
      <c r="A45" s="179" t="inlineStr">
        <is>
          <t>PMT</t>
        </is>
      </c>
    </row>
    <row r="46" ht="12" customFormat="1" customHeight="1" s="584">
      <c r="A46" s="177" t="n"/>
    </row>
    <row r="47">
      <c r="A47" s="177" t="inlineStr">
        <is>
          <t>Opening Balance</t>
        </is>
      </c>
      <c r="B47" s="585" t="n"/>
    </row>
    <row r="48">
      <c r="A48" s="177" t="inlineStr">
        <is>
          <t>Payment</t>
        </is>
      </c>
    </row>
    <row r="49">
      <c r="A49" s="177" t="inlineStr">
        <is>
          <t>Interest Payment</t>
        </is>
      </c>
    </row>
    <row r="50">
      <c r="A50" s="177" t="inlineStr">
        <is>
          <t>Principal Payment</t>
        </is>
      </c>
    </row>
    <row r="51" ht="14" customHeight="1" s="497" thickBot="1">
      <c r="A51" s="181" t="inlineStr">
        <is>
          <t>Closing Balance</t>
        </is>
      </c>
    </row>
  </sheetData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tabColor rgb="FF0070C0"/>
    <outlinePr summaryBelow="1" summaryRight="1"/>
    <pageSetUpPr/>
  </sheetPr>
  <dimension ref="A1:BN94"/>
  <sheetViews>
    <sheetView showGridLines="0" zoomScale="150" zoomScaleNormal="150" workbookViewId="0">
      <pane xSplit="1" ySplit="5" topLeftCell="B6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10" defaultColWidth="8.83203125" defaultRowHeight="13"/>
  <cols>
    <col width="35" bestFit="1" customWidth="1" style="4" min="1" max="1"/>
    <col width="13" customWidth="1" style="26" min="2" max="61"/>
    <col width="8.83203125" customWidth="1" style="26" min="62" max="66"/>
    <col width="8.83203125" customWidth="1" style="4" min="67" max="16384"/>
  </cols>
  <sheetData>
    <row r="1" ht="26.25" customFormat="1" customHeight="1" s="106">
      <c r="A1" s="104" t="inlineStr">
        <is>
          <t>Vetalyx</t>
        </is>
      </c>
      <c r="B1" s="469" t="n"/>
      <c r="C1" s="470" t="n"/>
      <c r="D1" s="470" t="n"/>
      <c r="E1" s="470" t="n"/>
      <c r="F1" s="471" t="n"/>
      <c r="G1" s="469" t="n"/>
      <c r="H1" s="469" t="n"/>
      <c r="I1" s="469" t="n"/>
      <c r="J1" s="472" t="n"/>
      <c r="K1" s="472" t="n"/>
      <c r="L1" s="472" t="n"/>
      <c r="M1" s="472" t="n"/>
      <c r="N1" s="472" t="n"/>
      <c r="O1" s="472" t="n"/>
      <c r="P1" s="472" t="n"/>
      <c r="Q1" s="472" t="n"/>
      <c r="R1" s="472" t="n"/>
      <c r="S1" s="472" t="n"/>
      <c r="T1" s="472" t="n"/>
      <c r="U1" s="472" t="n"/>
      <c r="V1" s="472" t="n"/>
      <c r="W1" s="472" t="n"/>
      <c r="X1" s="472" t="n"/>
      <c r="Y1" s="472" t="n"/>
      <c r="Z1" s="472" t="n"/>
      <c r="AA1" s="472" t="n"/>
      <c r="AB1" s="472" t="n"/>
      <c r="AC1" s="472" t="n"/>
      <c r="AD1" s="472" t="n"/>
      <c r="AE1" s="472" t="n"/>
      <c r="AF1" s="472" t="n"/>
      <c r="AG1" s="472" t="n"/>
      <c r="AH1" s="472" t="n"/>
      <c r="AI1" s="472" t="n"/>
      <c r="AJ1" s="472" t="n"/>
      <c r="AK1" s="472" t="n"/>
      <c r="AL1" s="472" t="n"/>
      <c r="AM1" s="472" t="n"/>
      <c r="AN1" s="472" t="n"/>
      <c r="AO1" s="472" t="n"/>
      <c r="AP1" s="472" t="n"/>
      <c r="AQ1" s="472" t="n"/>
      <c r="AR1" s="472" t="n"/>
      <c r="AS1" s="472" t="n"/>
      <c r="AT1" s="472" t="n"/>
      <c r="AU1" s="472" t="n"/>
      <c r="AV1" s="472" t="n"/>
      <c r="AW1" s="472" t="n"/>
      <c r="AX1" s="472" t="n"/>
      <c r="AY1" s="472" t="n"/>
      <c r="AZ1" s="472" t="n"/>
      <c r="BA1" s="472" t="n"/>
      <c r="BB1" s="472" t="n"/>
      <c r="BC1" s="472" t="n"/>
      <c r="BD1" s="472" t="n"/>
      <c r="BE1" s="472" t="n"/>
      <c r="BF1" s="472" t="n"/>
      <c r="BG1" s="476" t="n"/>
      <c r="BH1" s="476" t="n"/>
      <c r="BI1" s="476" t="n"/>
      <c r="BJ1" s="476" t="n"/>
      <c r="BK1" s="476" t="n"/>
      <c r="BL1" s="476" t="n"/>
      <c r="BM1" s="476" t="n"/>
      <c r="BN1" s="476" t="n"/>
    </row>
    <row r="2" customFormat="1" s="108">
      <c r="A2" s="107" t="inlineStr">
        <is>
          <t>Fixed Assets Schedules Sheet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  <c r="AJ2" s="25" t="n"/>
      <c r="AK2" s="25" t="n"/>
      <c r="AL2" s="25" t="n"/>
      <c r="AM2" s="25" t="n"/>
      <c r="AN2" s="25" t="n"/>
      <c r="AO2" s="25" t="n"/>
      <c r="AP2" s="25" t="n"/>
      <c r="AQ2" s="25" t="n"/>
      <c r="AR2" s="25" t="n"/>
      <c r="AS2" s="25" t="n"/>
      <c r="AT2" s="25" t="n"/>
      <c r="AU2" s="25" t="n"/>
      <c r="AV2" s="25" t="n"/>
      <c r="AW2" s="25" t="n"/>
      <c r="AX2" s="25" t="n"/>
      <c r="AY2" s="25" t="n"/>
      <c r="AZ2" s="25" t="n"/>
      <c r="BA2" s="25" t="n"/>
      <c r="BB2" s="25" t="n"/>
      <c r="BC2" s="25" t="n"/>
      <c r="BD2" s="25" t="n"/>
      <c r="BE2" s="25" t="n"/>
      <c r="BF2" s="25" t="n"/>
      <c r="BG2" s="25" t="n"/>
      <c r="BH2" s="25" t="n"/>
      <c r="BI2" s="25" t="n"/>
      <c r="BJ2" s="25" t="n"/>
      <c r="BK2" s="25" t="n"/>
      <c r="BL2" s="25" t="n"/>
      <c r="BM2" s="25" t="n"/>
      <c r="BN2" s="25" t="n"/>
    </row>
    <row r="3" customFormat="1" s="108">
      <c r="A3" s="109" t="inlineStr">
        <is>
          <t>Amounts in €</t>
        </is>
      </c>
      <c r="B3" s="477" t="n"/>
      <c r="C3" s="477" t="n"/>
      <c r="D3" s="477" t="n"/>
      <c r="E3" s="477" t="n"/>
      <c r="F3" s="477" t="n"/>
      <c r="G3" s="477" t="n"/>
      <c r="H3" s="477" t="n"/>
      <c r="I3" s="477" t="n"/>
      <c r="J3" s="477" t="n"/>
      <c r="K3" s="477" t="n"/>
      <c r="L3" s="477" t="n"/>
      <c r="M3" s="477" t="n"/>
      <c r="N3" s="477" t="n"/>
      <c r="O3" s="477" t="n"/>
      <c r="P3" s="477" t="n"/>
      <c r="Q3" s="477" t="n"/>
      <c r="R3" s="477" t="n"/>
      <c r="S3" s="477" t="n"/>
      <c r="T3" s="477" t="n"/>
      <c r="U3" s="477" t="n"/>
      <c r="V3" s="477" t="n"/>
      <c r="W3" s="477" t="n"/>
      <c r="X3" s="477" t="n"/>
      <c r="Y3" s="477" t="n"/>
      <c r="Z3" s="477" t="n"/>
      <c r="AA3" s="477" t="n"/>
      <c r="AB3" s="477" t="n"/>
      <c r="AC3" s="477" t="n"/>
      <c r="AD3" s="477" t="n"/>
      <c r="AE3" s="477" t="n"/>
      <c r="AF3" s="477" t="n"/>
      <c r="AG3" s="477" t="n"/>
      <c r="AH3" s="477" t="n"/>
      <c r="AI3" s="477" t="n"/>
      <c r="AJ3" s="477" t="n"/>
      <c r="AK3" s="477" t="n"/>
      <c r="AL3" s="477" t="n"/>
      <c r="AM3" s="477" t="n"/>
      <c r="AN3" s="477" t="n"/>
      <c r="AO3" s="477" t="n"/>
      <c r="AP3" s="477" t="n"/>
      <c r="AQ3" s="477" t="n"/>
      <c r="AR3" s="477" t="n"/>
      <c r="AS3" s="477" t="n"/>
      <c r="AT3" s="477" t="n"/>
      <c r="AU3" s="477" t="n"/>
      <c r="AV3" s="477" t="n"/>
      <c r="AW3" s="477" t="n"/>
      <c r="AX3" s="477" t="n"/>
      <c r="AY3" s="477" t="n"/>
      <c r="AZ3" s="477" t="n"/>
      <c r="BA3" s="477" t="n"/>
      <c r="BB3" s="477" t="n"/>
      <c r="BC3" s="477" t="n"/>
      <c r="BD3" s="477" t="n"/>
      <c r="BE3" s="477" t="n"/>
      <c r="BF3" s="477" t="n"/>
      <c r="BG3" s="477" t="n"/>
      <c r="BH3" s="477" t="n"/>
      <c r="BI3" s="477" t="n"/>
      <c r="BJ3" s="25" t="n"/>
      <c r="BK3" s="25" t="n"/>
      <c r="BL3" s="25" t="n"/>
      <c r="BM3" s="25" t="n"/>
      <c r="BN3" s="25" t="n"/>
    </row>
    <row r="4" ht="11" customFormat="1" customHeight="1" s="5">
      <c r="B4" s="586" t="n"/>
      <c r="C4" s="586" t="n"/>
      <c r="D4" s="586" t="n"/>
      <c r="E4" s="586" t="n"/>
      <c r="F4" s="586" t="n"/>
      <c r="G4" s="586" t="n"/>
      <c r="H4" s="586" t="n"/>
      <c r="I4" s="586" t="n"/>
      <c r="J4" s="586" t="n"/>
      <c r="K4" s="586" t="n"/>
      <c r="L4" s="586" t="n"/>
      <c r="M4" s="586" t="n"/>
      <c r="N4" s="586" t="n"/>
      <c r="O4" s="586" t="n"/>
      <c r="P4" s="586" t="n"/>
      <c r="Q4" s="586" t="n"/>
      <c r="R4" s="586" t="n"/>
      <c r="S4" s="586" t="n"/>
      <c r="T4" s="586" t="n"/>
      <c r="U4" s="586" t="n"/>
      <c r="V4" s="586" t="n"/>
      <c r="W4" s="586" t="n"/>
      <c r="X4" s="586" t="n"/>
      <c r="Y4" s="586" t="n"/>
      <c r="Z4" s="586" t="n"/>
      <c r="AA4" s="586" t="n"/>
      <c r="AB4" s="586" t="n"/>
      <c r="AC4" s="586" t="n"/>
      <c r="AD4" s="586" t="n"/>
      <c r="AE4" s="586" t="n"/>
      <c r="AF4" s="586" t="n"/>
      <c r="AG4" s="586" t="n"/>
      <c r="AH4" s="586" t="n"/>
      <c r="AI4" s="586" t="n"/>
      <c r="AJ4" s="586" t="n"/>
      <c r="AK4" s="586" t="n"/>
      <c r="AL4" s="586" t="n"/>
      <c r="AM4" s="586" t="n"/>
      <c r="AN4" s="586" t="n"/>
      <c r="AO4" s="586" t="n"/>
      <c r="AP4" s="586" t="n"/>
      <c r="AQ4" s="586" t="n"/>
      <c r="AR4" s="586" t="n"/>
      <c r="AS4" s="586" t="n"/>
      <c r="AT4" s="586" t="n"/>
      <c r="AU4" s="586" t="n"/>
      <c r="AV4" s="586" t="n"/>
      <c r="AW4" s="586" t="n"/>
      <c r="AX4" s="586" t="n"/>
      <c r="AY4" s="586" t="n"/>
      <c r="AZ4" s="586" t="n"/>
      <c r="BA4" s="586" t="n"/>
      <c r="BB4" s="586" t="n"/>
      <c r="BC4" s="586" t="n"/>
      <c r="BD4" s="586" t="n"/>
      <c r="BE4" s="586" t="n"/>
      <c r="BF4" s="586" t="n"/>
      <c r="BG4" s="586" t="n"/>
      <c r="BH4" s="586" t="n"/>
      <c r="BI4" s="586" t="n"/>
      <c r="BJ4" s="479" t="n"/>
      <c r="BK4" s="479" t="n"/>
      <c r="BL4" s="479" t="n"/>
      <c r="BM4" s="479" t="n"/>
      <c r="BN4" s="479" t="n"/>
    </row>
    <row r="5" ht="12" customFormat="1" customHeight="1" s="108">
      <c r="A5" s="110" t="inlineStr">
        <is>
          <t>Assumptions for the Monthly Period</t>
        </is>
      </c>
      <c r="B5" s="480" t="n"/>
      <c r="C5" s="480" t="n"/>
      <c r="D5" s="480" t="n"/>
      <c r="E5" s="480" t="n"/>
      <c r="F5" s="480" t="n"/>
      <c r="G5" s="480" t="n"/>
      <c r="H5" s="480" t="n"/>
      <c r="I5" s="480" t="n"/>
      <c r="J5" s="480" t="n"/>
      <c r="K5" s="480" t="n"/>
      <c r="L5" s="480" t="n"/>
      <c r="M5" s="480" t="n"/>
      <c r="N5" s="480" t="n"/>
      <c r="O5" s="480" t="n"/>
      <c r="P5" s="480" t="n"/>
      <c r="Q5" s="480" t="n"/>
      <c r="R5" s="480" t="n"/>
      <c r="S5" s="480" t="n"/>
      <c r="T5" s="480" t="n"/>
      <c r="U5" s="480" t="n"/>
      <c r="V5" s="480" t="n"/>
      <c r="W5" s="480" t="n"/>
      <c r="X5" s="480" t="n"/>
      <c r="Y5" s="480" t="n"/>
      <c r="Z5" s="480" t="n"/>
      <c r="AA5" s="480" t="n"/>
      <c r="AB5" s="480" t="n"/>
      <c r="AC5" s="480" t="n"/>
      <c r="AD5" s="480" t="n"/>
      <c r="AE5" s="480" t="n"/>
      <c r="AF5" s="480" t="n"/>
      <c r="AG5" s="480" t="n"/>
      <c r="AH5" s="480" t="n"/>
      <c r="AI5" s="480" t="n"/>
      <c r="AJ5" s="480" t="n"/>
      <c r="AK5" s="480" t="n"/>
      <c r="AL5" s="480" t="n"/>
      <c r="AM5" s="480" t="n"/>
      <c r="AN5" s="480" t="n"/>
      <c r="AO5" s="480" t="n"/>
      <c r="AP5" s="480" t="n"/>
      <c r="AQ5" s="480" t="n"/>
      <c r="AR5" s="480" t="n"/>
      <c r="AS5" s="480" t="n"/>
      <c r="AT5" s="480" t="n"/>
      <c r="AU5" s="480" t="n"/>
      <c r="AV5" s="480" t="n"/>
      <c r="AW5" s="480" t="n"/>
      <c r="AX5" s="480" t="n"/>
      <c r="AY5" s="480" t="n"/>
      <c r="AZ5" s="480" t="n"/>
      <c r="BA5" s="480" t="n"/>
      <c r="BB5" s="480" t="n"/>
      <c r="BC5" s="480" t="n"/>
      <c r="BD5" s="480" t="n"/>
      <c r="BE5" s="480" t="n"/>
      <c r="BF5" s="480" t="n"/>
      <c r="BG5" s="480" t="n"/>
      <c r="BH5" s="480" t="n"/>
      <c r="BI5" s="480" t="n"/>
      <c r="BJ5" s="25" t="n"/>
      <c r="BK5" s="25" t="n"/>
      <c r="BL5" s="25" t="n"/>
      <c r="BM5" s="25" t="n"/>
      <c r="BN5" s="25" t="n"/>
    </row>
    <row r="6"/>
    <row r="7">
      <c r="A7" s="4" t="inlineStr">
        <is>
          <t>Total Opening Balance</t>
        </is>
      </c>
      <c r="B7" s="587" t="n"/>
      <c r="C7" s="587" t="n"/>
      <c r="D7" s="587" t="n"/>
      <c r="E7" s="587" t="n"/>
      <c r="F7" s="587" t="n"/>
      <c r="G7" s="587" t="n"/>
      <c r="H7" s="587" t="n"/>
      <c r="I7" s="587" t="n"/>
      <c r="J7" s="587" t="n"/>
      <c r="K7" s="587" t="n"/>
      <c r="L7" s="587" t="n"/>
      <c r="M7" s="587" t="n"/>
      <c r="N7" s="587" t="n"/>
      <c r="O7" s="587" t="n"/>
      <c r="P7" s="587" t="n"/>
      <c r="Q7" s="587" t="n"/>
      <c r="R7" s="587" t="n"/>
      <c r="S7" s="587" t="n"/>
      <c r="T7" s="587" t="n"/>
      <c r="U7" s="587" t="n"/>
      <c r="V7" s="587" t="n"/>
      <c r="W7" s="587" t="n"/>
      <c r="X7" s="587" t="n"/>
      <c r="Y7" s="587" t="n"/>
      <c r="Z7" s="587" t="n"/>
      <c r="AA7" s="587" t="n"/>
      <c r="AB7" s="587" t="n"/>
      <c r="AC7" s="587" t="n"/>
      <c r="AD7" s="587" t="n"/>
      <c r="AE7" s="587" t="n"/>
      <c r="AF7" s="587" t="n"/>
      <c r="AG7" s="587" t="n"/>
      <c r="AH7" s="587" t="n"/>
      <c r="AI7" s="587" t="n"/>
      <c r="AJ7" s="587" t="n"/>
      <c r="AK7" s="587" t="n"/>
      <c r="AL7" s="587" t="n"/>
      <c r="AM7" s="587" t="n"/>
      <c r="AN7" s="587" t="n"/>
      <c r="AO7" s="587" t="n"/>
      <c r="AP7" s="587" t="n"/>
      <c r="AQ7" s="587" t="n"/>
      <c r="AR7" s="587" t="n"/>
      <c r="AS7" s="587" t="n"/>
      <c r="AT7" s="587" t="n"/>
      <c r="AU7" s="587" t="n"/>
      <c r="AV7" s="587" t="n"/>
      <c r="AW7" s="587" t="n"/>
      <c r="AX7" s="587" t="n"/>
      <c r="AY7" s="587" t="n"/>
      <c r="AZ7" s="587" t="n"/>
      <c r="BA7" s="587" t="n"/>
      <c r="BB7" s="587" t="n"/>
      <c r="BC7" s="587" t="n"/>
      <c r="BD7" s="587" t="n"/>
      <c r="BE7" s="587" t="n"/>
      <c r="BF7" s="587" t="n"/>
      <c r="BG7" s="587" t="n"/>
      <c r="BH7" s="587" t="n"/>
      <c r="BI7" s="587" t="n"/>
    </row>
    <row r="8">
      <c r="A8" s="4" t="inlineStr">
        <is>
          <t>Total Fixed Asset Additions</t>
        </is>
      </c>
      <c r="B8" s="587" t="n"/>
      <c r="C8" s="587" t="n"/>
      <c r="D8" s="587" t="n"/>
      <c r="E8" s="587" t="n"/>
      <c r="F8" s="587" t="n"/>
      <c r="G8" s="587" t="n"/>
      <c r="H8" s="587" t="n"/>
      <c r="I8" s="587" t="n"/>
      <c r="J8" s="587" t="n"/>
      <c r="K8" s="587" t="n"/>
      <c r="L8" s="587" t="n"/>
      <c r="M8" s="587" t="n"/>
      <c r="N8" s="587" t="n"/>
      <c r="O8" s="587" t="n"/>
      <c r="P8" s="587" t="n"/>
      <c r="Q8" s="587" t="n"/>
      <c r="R8" s="587" t="n"/>
      <c r="S8" s="587" t="n"/>
      <c r="T8" s="587" t="n"/>
      <c r="U8" s="587" t="n"/>
      <c r="V8" s="587" t="n"/>
      <c r="W8" s="587" t="n"/>
      <c r="X8" s="587" t="n"/>
      <c r="Y8" s="587" t="n"/>
      <c r="Z8" s="587" t="n"/>
      <c r="AA8" s="587" t="n"/>
      <c r="AB8" s="587" t="n"/>
      <c r="AC8" s="587" t="n"/>
      <c r="AD8" s="587" t="n"/>
      <c r="AE8" s="587" t="n"/>
      <c r="AF8" s="587" t="n"/>
      <c r="AG8" s="587" t="n"/>
      <c r="AH8" s="587" t="n"/>
      <c r="AI8" s="587" t="n"/>
      <c r="AJ8" s="587" t="n"/>
      <c r="AK8" s="587" t="n"/>
      <c r="AL8" s="587" t="n"/>
      <c r="AM8" s="587" t="n"/>
      <c r="AN8" s="587" t="n"/>
      <c r="AO8" s="587" t="n"/>
      <c r="AP8" s="587" t="n"/>
      <c r="AQ8" s="587" t="n"/>
      <c r="AR8" s="587" t="n"/>
      <c r="AS8" s="587" t="n"/>
      <c r="AT8" s="587" t="n"/>
      <c r="AU8" s="587" t="n"/>
      <c r="AV8" s="587" t="n"/>
      <c r="AW8" s="587" t="n"/>
      <c r="AX8" s="587" t="n"/>
      <c r="AY8" s="587" t="n"/>
      <c r="AZ8" s="587" t="n"/>
      <c r="BA8" s="587" t="n"/>
      <c r="BB8" s="587" t="n"/>
      <c r="BC8" s="587" t="n"/>
      <c r="BD8" s="587" t="n"/>
      <c r="BE8" s="587" t="n"/>
      <c r="BF8" s="587" t="n"/>
      <c r="BG8" s="587" t="n"/>
      <c r="BH8" s="587" t="n"/>
      <c r="BI8" s="587" t="n"/>
    </row>
    <row r="9">
      <c r="A9" s="4" t="inlineStr">
        <is>
          <t>Total Depreciation</t>
        </is>
      </c>
      <c r="B9" s="587" t="n"/>
      <c r="C9" s="587" t="n"/>
      <c r="D9" s="587" t="n"/>
      <c r="E9" s="587" t="n"/>
      <c r="F9" s="587" t="n"/>
      <c r="G9" s="587" t="n"/>
      <c r="H9" s="587" t="n"/>
      <c r="I9" s="587" t="n"/>
      <c r="J9" s="587" t="n"/>
      <c r="K9" s="587" t="n"/>
      <c r="L9" s="587" t="n"/>
      <c r="M9" s="587" t="n"/>
      <c r="N9" s="587" t="n"/>
      <c r="O9" s="587" t="n"/>
      <c r="P9" s="587" t="n"/>
      <c r="Q9" s="587" t="n"/>
      <c r="R9" s="587" t="n"/>
      <c r="S9" s="587" t="n"/>
      <c r="T9" s="587" t="n"/>
      <c r="U9" s="587" t="n"/>
      <c r="V9" s="587" t="n"/>
      <c r="W9" s="587" t="n"/>
      <c r="X9" s="587" t="n"/>
      <c r="Y9" s="587" t="n"/>
      <c r="Z9" s="587" t="n"/>
      <c r="AA9" s="587" t="n"/>
      <c r="AB9" s="587" t="n"/>
      <c r="AC9" s="587" t="n"/>
      <c r="AD9" s="587" t="n"/>
      <c r="AE9" s="587" t="n"/>
      <c r="AF9" s="587" t="n"/>
      <c r="AG9" s="587" t="n"/>
      <c r="AH9" s="587" t="n"/>
      <c r="AI9" s="587" t="n"/>
      <c r="AJ9" s="587" t="n"/>
      <c r="AK9" s="587" t="n"/>
      <c r="AL9" s="587" t="n"/>
      <c r="AM9" s="587" t="n"/>
      <c r="AN9" s="587" t="n"/>
      <c r="AO9" s="587" t="n"/>
      <c r="AP9" s="587" t="n"/>
      <c r="AQ9" s="587" t="n"/>
      <c r="AR9" s="587" t="n"/>
      <c r="AS9" s="587" t="n"/>
      <c r="AT9" s="587" t="n"/>
      <c r="AU9" s="587" t="n"/>
      <c r="AV9" s="587" t="n"/>
      <c r="AW9" s="587" t="n"/>
      <c r="AX9" s="587" t="n"/>
      <c r="AY9" s="587" t="n"/>
      <c r="AZ9" s="587" t="n"/>
      <c r="BA9" s="587" t="n"/>
      <c r="BB9" s="587" t="n"/>
      <c r="BC9" s="587" t="n"/>
      <c r="BD9" s="587" t="n"/>
      <c r="BE9" s="587" t="n"/>
      <c r="BF9" s="587" t="n"/>
      <c r="BG9" s="587" t="n"/>
      <c r="BH9" s="587" t="n"/>
      <c r="BI9" s="587" t="n"/>
    </row>
    <row r="10">
      <c r="A10" s="162" t="inlineStr">
        <is>
          <t>Total Closing Balance</t>
        </is>
      </c>
      <c r="B10" s="587" t="n"/>
      <c r="C10" s="587" t="n"/>
      <c r="D10" s="587" t="n"/>
      <c r="E10" s="587" t="n"/>
      <c r="F10" s="587" t="n"/>
      <c r="G10" s="587" t="n"/>
      <c r="H10" s="587" t="n"/>
      <c r="I10" s="587" t="n"/>
      <c r="J10" s="587" t="n"/>
      <c r="K10" s="587" t="n"/>
      <c r="L10" s="587" t="n"/>
      <c r="M10" s="587" t="n"/>
      <c r="N10" s="587" t="n"/>
      <c r="O10" s="587" t="n"/>
      <c r="P10" s="587" t="n"/>
      <c r="Q10" s="587" t="n"/>
      <c r="R10" s="587" t="n"/>
      <c r="S10" s="587" t="n"/>
      <c r="T10" s="587" t="n"/>
      <c r="U10" s="587" t="n"/>
      <c r="V10" s="587" t="n"/>
      <c r="W10" s="587" t="n"/>
      <c r="X10" s="587" t="n"/>
      <c r="Y10" s="587" t="n"/>
      <c r="Z10" s="587" t="n"/>
      <c r="AA10" s="587" t="n"/>
      <c r="AB10" s="587" t="n"/>
      <c r="AC10" s="587" t="n"/>
      <c r="AD10" s="587" t="n"/>
      <c r="AE10" s="587" t="n"/>
      <c r="AF10" s="587" t="n"/>
      <c r="AG10" s="587" t="n"/>
      <c r="AH10" s="587" t="n"/>
      <c r="AI10" s="587" t="n"/>
      <c r="AJ10" s="587" t="n"/>
      <c r="AK10" s="587" t="n"/>
      <c r="AL10" s="587" t="n"/>
      <c r="AM10" s="587" t="n"/>
      <c r="AN10" s="587" t="n"/>
      <c r="AO10" s="587" t="n"/>
      <c r="AP10" s="587" t="n"/>
      <c r="AQ10" s="587" t="n"/>
      <c r="AR10" s="587" t="n"/>
      <c r="AS10" s="587" t="n"/>
      <c r="AT10" s="587" t="n"/>
      <c r="AU10" s="587" t="n"/>
      <c r="AV10" s="587" t="n"/>
      <c r="AW10" s="587" t="n"/>
      <c r="AX10" s="587" t="n"/>
      <c r="AY10" s="587" t="n"/>
      <c r="AZ10" s="587" t="n"/>
      <c r="BA10" s="587" t="n"/>
      <c r="BB10" s="587" t="n"/>
      <c r="BC10" s="587" t="n"/>
      <c r="BD10" s="587" t="n"/>
      <c r="BE10" s="587" t="n"/>
      <c r="BF10" s="587" t="n"/>
      <c r="BG10" s="587" t="n"/>
      <c r="BH10" s="587" t="n"/>
      <c r="BI10" s="587" t="n"/>
    </row>
    <row r="11">
      <c r="B11" s="588" t="n"/>
      <c r="C11" s="588" t="n"/>
      <c r="D11" s="588" t="n"/>
      <c r="E11" s="588" t="n"/>
      <c r="F11" s="588" t="n"/>
      <c r="G11" s="588" t="n"/>
      <c r="H11" s="588" t="n"/>
      <c r="I11" s="588" t="n"/>
      <c r="J11" s="588" t="n"/>
      <c r="K11" s="588" t="n"/>
      <c r="L11" s="588" t="n"/>
      <c r="M11" s="588" t="n"/>
      <c r="N11" s="588" t="n"/>
      <c r="O11" s="588" t="n"/>
      <c r="P11" s="588" t="n"/>
      <c r="Q11" s="588" t="n"/>
      <c r="R11" s="588" t="n"/>
      <c r="S11" s="588" t="n"/>
      <c r="T11" s="588" t="n"/>
      <c r="U11" s="588" t="n"/>
      <c r="V11" s="588" t="n"/>
      <c r="W11" s="588" t="n"/>
      <c r="X11" s="588" t="n"/>
      <c r="Y11" s="588" t="n"/>
      <c r="Z11" s="588" t="n"/>
      <c r="AA11" s="588" t="n"/>
      <c r="AB11" s="588" t="n"/>
      <c r="AC11" s="588" t="n"/>
      <c r="AD11" s="588" t="n"/>
      <c r="AE11" s="588" t="n"/>
      <c r="AF11" s="588" t="n"/>
      <c r="AG11" s="588" t="n"/>
      <c r="AH11" s="588" t="n"/>
      <c r="AI11" s="588" t="n"/>
      <c r="AJ11" s="588" t="n"/>
      <c r="AK11" s="588" t="n"/>
      <c r="AL11" s="588" t="n"/>
      <c r="AM11" s="588" t="n"/>
      <c r="AN11" s="588" t="n"/>
      <c r="AO11" s="588" t="n"/>
      <c r="AP11" s="588" t="n"/>
      <c r="AQ11" s="588" t="n"/>
      <c r="AR11" s="588" t="n"/>
      <c r="AS11" s="588" t="n"/>
      <c r="AT11" s="588" t="n"/>
      <c r="AU11" s="588" t="n"/>
      <c r="AV11" s="588" t="n"/>
      <c r="AW11" s="588" t="n"/>
      <c r="AX11" s="588" t="n"/>
      <c r="AY11" s="588" t="n"/>
      <c r="AZ11" s="588" t="n"/>
      <c r="BA11" s="588" t="n"/>
      <c r="BB11" s="588" t="n"/>
      <c r="BC11" s="588" t="n"/>
      <c r="BD11" s="588" t="n"/>
      <c r="BE11" s="588" t="n"/>
      <c r="BF11" s="588" t="n"/>
      <c r="BG11" s="588" t="n"/>
      <c r="BH11" s="588" t="n"/>
      <c r="BI11" s="588" t="n"/>
    </row>
    <row r="12">
      <c r="A12" s="42" t="inlineStr">
        <is>
          <t>Intangible Assets</t>
        </is>
      </c>
      <c r="B12" s="588" t="n"/>
      <c r="C12" s="588" t="n"/>
      <c r="D12" s="588" t="n"/>
      <c r="E12" s="588" t="n"/>
      <c r="F12" s="588" t="n"/>
      <c r="G12" s="588" t="n"/>
      <c r="H12" s="588" t="n"/>
      <c r="I12" s="588" t="n"/>
      <c r="J12" s="588" t="n"/>
      <c r="K12" s="588" t="n"/>
      <c r="L12" s="588" t="n"/>
      <c r="M12" s="588" t="n"/>
      <c r="N12" s="588" t="n"/>
      <c r="O12" s="588" t="n"/>
      <c r="P12" s="588" t="n"/>
      <c r="Q12" s="588" t="n"/>
      <c r="R12" s="588" t="n"/>
      <c r="S12" s="588" t="n"/>
      <c r="T12" s="588" t="n"/>
      <c r="U12" s="588" t="n"/>
      <c r="V12" s="588" t="n"/>
      <c r="W12" s="588" t="n"/>
      <c r="X12" s="588" t="n"/>
      <c r="Y12" s="588" t="n"/>
      <c r="Z12" s="588" t="n"/>
      <c r="AA12" s="588" t="n"/>
      <c r="AB12" s="588" t="n"/>
      <c r="AC12" s="588" t="n"/>
      <c r="AD12" s="588" t="n"/>
      <c r="AE12" s="588" t="n"/>
      <c r="AF12" s="588" t="n"/>
      <c r="AG12" s="588" t="n"/>
      <c r="AH12" s="588" t="n"/>
      <c r="AI12" s="588" t="n"/>
      <c r="AJ12" s="588" t="n"/>
      <c r="AK12" s="588" t="n"/>
      <c r="AL12" s="588" t="n"/>
      <c r="AM12" s="588" t="n"/>
      <c r="AN12" s="588" t="n"/>
      <c r="AO12" s="588" t="n"/>
      <c r="AP12" s="588" t="n"/>
      <c r="AQ12" s="588" t="n"/>
      <c r="AR12" s="588" t="n"/>
      <c r="AS12" s="588" t="n"/>
      <c r="AT12" s="588" t="n"/>
      <c r="AU12" s="588" t="n"/>
      <c r="AV12" s="588" t="n"/>
      <c r="AW12" s="588" t="n"/>
      <c r="AX12" s="588" t="n"/>
      <c r="AY12" s="588" t="n"/>
      <c r="AZ12" s="588" t="n"/>
      <c r="BA12" s="588" t="n"/>
      <c r="BB12" s="588" t="n"/>
      <c r="BC12" s="588" t="n"/>
      <c r="BD12" s="588" t="n"/>
      <c r="BE12" s="588" t="n"/>
      <c r="BF12" s="588" t="n"/>
      <c r="BG12" s="588" t="n"/>
      <c r="BH12" s="588" t="n"/>
      <c r="BI12" s="588" t="n"/>
    </row>
    <row r="13">
      <c r="B13" s="588" t="n"/>
      <c r="C13" s="588" t="n"/>
      <c r="D13" s="588" t="n"/>
      <c r="E13" s="588" t="n"/>
      <c r="F13" s="588" t="n"/>
      <c r="G13" s="588" t="n"/>
      <c r="H13" s="588" t="n"/>
      <c r="I13" s="588" t="n"/>
      <c r="J13" s="588" t="n"/>
      <c r="K13" s="588" t="n"/>
      <c r="L13" s="588" t="n"/>
      <c r="M13" s="588" t="n"/>
      <c r="N13" s="588" t="n"/>
      <c r="O13" s="588" t="n"/>
      <c r="P13" s="588" t="n"/>
      <c r="Q13" s="588" t="n"/>
      <c r="R13" s="588" t="n"/>
      <c r="S13" s="588" t="n"/>
      <c r="T13" s="588" t="n"/>
      <c r="U13" s="588" t="n"/>
      <c r="V13" s="588" t="n"/>
      <c r="W13" s="588" t="n"/>
      <c r="X13" s="588" t="n"/>
      <c r="Y13" s="588" t="n"/>
      <c r="Z13" s="588" t="n"/>
      <c r="AA13" s="588" t="n"/>
      <c r="AB13" s="588" t="n"/>
      <c r="AC13" s="588" t="n"/>
      <c r="AD13" s="588" t="n"/>
      <c r="AE13" s="588" t="n"/>
      <c r="AF13" s="588" t="n"/>
      <c r="AG13" s="588" t="n"/>
      <c r="AH13" s="588" t="n"/>
      <c r="AI13" s="588" t="n"/>
      <c r="AJ13" s="588" t="n"/>
      <c r="AK13" s="588" t="n"/>
      <c r="AL13" s="588" t="n"/>
      <c r="AM13" s="588" t="n"/>
      <c r="AN13" s="588" t="n"/>
      <c r="AO13" s="588" t="n"/>
      <c r="AP13" s="588" t="n"/>
      <c r="AQ13" s="588" t="n"/>
      <c r="AR13" s="588" t="n"/>
      <c r="AS13" s="588" t="n"/>
      <c r="AT13" s="588" t="n"/>
      <c r="AU13" s="588" t="n"/>
      <c r="AV13" s="588" t="n"/>
      <c r="AW13" s="588" t="n"/>
      <c r="AX13" s="588" t="n"/>
      <c r="AY13" s="588" t="n"/>
      <c r="AZ13" s="588" t="n"/>
      <c r="BA13" s="588" t="n"/>
      <c r="BB13" s="588" t="n"/>
      <c r="BC13" s="588" t="n"/>
      <c r="BD13" s="588" t="n"/>
      <c r="BE13" s="588" t="n"/>
      <c r="BF13" s="588" t="n"/>
      <c r="BG13" s="588" t="n"/>
      <c r="BH13" s="588" t="n"/>
      <c r="BI13" s="588" t="n"/>
    </row>
    <row r="14" ht="12" customFormat="1" customHeight="1" s="1">
      <c r="A14" s="131" t="inlineStr">
        <is>
          <t>Licence Technology (Prodution, R&amp;D and Netwroks)</t>
        </is>
      </c>
      <c r="B14" s="577" t="n"/>
      <c r="C14" s="577" t="n"/>
      <c r="D14" s="577" t="n"/>
      <c r="E14" s="589" t="n"/>
      <c r="F14" s="589" t="n"/>
      <c r="G14" s="589" t="n"/>
      <c r="H14" s="589" t="n"/>
      <c r="I14" s="589" t="n"/>
      <c r="J14" s="589" t="n"/>
      <c r="K14" s="589" t="n"/>
      <c r="L14" s="589" t="n"/>
      <c r="M14" s="589" t="n"/>
      <c r="N14" s="589" t="n"/>
      <c r="O14" s="589" t="n"/>
      <c r="P14" s="589" t="n"/>
      <c r="Q14" s="589" t="n"/>
      <c r="R14" s="589" t="n"/>
      <c r="S14" s="589" t="n"/>
      <c r="T14" s="589" t="n"/>
      <c r="U14" s="589" t="n"/>
      <c r="V14" s="589" t="n"/>
      <c r="W14" s="589" t="n"/>
      <c r="X14" s="589" t="n"/>
      <c r="Y14" s="589" t="n"/>
      <c r="Z14" s="589" t="n"/>
      <c r="AA14" s="589" t="n"/>
      <c r="AB14" s="589" t="n"/>
      <c r="AC14" s="589" t="n"/>
      <c r="AD14" s="589" t="n"/>
      <c r="AE14" s="589" t="n"/>
      <c r="AF14" s="589" t="n"/>
      <c r="AG14" s="589" t="n"/>
      <c r="AH14" s="589" t="n"/>
      <c r="AI14" s="589" t="n"/>
      <c r="AJ14" s="589" t="n"/>
      <c r="AK14" s="589" t="n"/>
      <c r="AL14" s="589" t="n"/>
      <c r="AM14" s="589" t="n"/>
      <c r="AN14" s="589" t="n"/>
      <c r="AO14" s="589" t="n"/>
      <c r="AP14" s="589" t="n"/>
      <c r="AQ14" s="589" t="n"/>
      <c r="AR14" s="589" t="n"/>
      <c r="AS14" s="589" t="n"/>
      <c r="AT14" s="589" t="n"/>
      <c r="AU14" s="589" t="n"/>
      <c r="AV14" s="589" t="n"/>
      <c r="AW14" s="589" t="n"/>
      <c r="AX14" s="589" t="n"/>
      <c r="AY14" s="589" t="n"/>
      <c r="AZ14" s="589" t="n"/>
      <c r="BA14" s="589" t="n"/>
      <c r="BB14" s="589" t="n"/>
      <c r="BC14" s="589" t="n"/>
      <c r="BD14" s="589" t="n"/>
      <c r="BE14" s="589" t="n"/>
      <c r="BF14" s="589" t="n"/>
      <c r="BG14" s="589" t="n"/>
      <c r="BH14" s="589" t="n"/>
      <c r="BI14" s="589" t="n"/>
      <c r="BJ14" s="3" t="n"/>
      <c r="BK14" s="3" t="n"/>
      <c r="BL14" s="3" t="n"/>
      <c r="BM14" s="3" t="n"/>
      <c r="BN14" s="3" t="n"/>
    </row>
    <row r="15" ht="12" customFormat="1" customHeight="1" s="1">
      <c r="A15" s="12" t="inlineStr">
        <is>
          <t>Monthly Depreciation</t>
        </is>
      </c>
      <c r="B15" s="473" t="n"/>
      <c r="C15" s="577" t="n"/>
      <c r="D15" s="577" t="n"/>
      <c r="E15" s="577" t="n"/>
      <c r="F15" s="577" t="n"/>
      <c r="G15" s="577" t="n"/>
      <c r="H15" s="577" t="n"/>
      <c r="I15" s="577" t="n"/>
      <c r="J15" s="577" t="n"/>
      <c r="K15" s="577" t="n"/>
      <c r="L15" s="577" t="n"/>
      <c r="M15" s="577" t="n"/>
      <c r="N15" s="577" t="n"/>
      <c r="O15" s="577" t="n"/>
      <c r="P15" s="577" t="n"/>
      <c r="Q15" s="577" t="n"/>
      <c r="R15" s="577" t="n"/>
      <c r="S15" s="577" t="n"/>
      <c r="T15" s="577" t="n"/>
      <c r="U15" s="577" t="n"/>
      <c r="V15" s="577" t="n"/>
      <c r="W15" s="577" t="n"/>
      <c r="X15" s="577" t="n"/>
      <c r="Y15" s="577" t="n"/>
      <c r="Z15" s="577" t="n"/>
      <c r="AA15" s="577" t="n"/>
      <c r="AB15" s="577" t="n"/>
      <c r="AC15" s="577" t="n"/>
      <c r="AD15" s="577" t="n"/>
      <c r="AE15" s="577" t="n"/>
      <c r="AF15" s="577" t="n"/>
      <c r="AG15" s="577" t="n"/>
      <c r="AH15" s="577" t="n"/>
      <c r="AI15" s="577" t="n"/>
      <c r="AJ15" s="577" t="n"/>
      <c r="AK15" s="577" t="n"/>
      <c r="AL15" s="577" t="n"/>
      <c r="AM15" s="577" t="n"/>
      <c r="AN15" s="577" t="n"/>
      <c r="AO15" s="577" t="n"/>
      <c r="AP15" s="577" t="n"/>
      <c r="AQ15" s="577" t="n"/>
      <c r="AR15" s="577" t="n"/>
      <c r="AS15" s="577" t="n"/>
      <c r="AT15" s="577" t="n"/>
      <c r="AU15" s="577" t="n"/>
      <c r="AV15" s="577" t="n"/>
      <c r="AW15" s="577" t="n"/>
      <c r="AX15" s="577" t="n"/>
      <c r="AY15" s="577" t="n"/>
      <c r="AZ15" s="577" t="n"/>
      <c r="BA15" s="577" t="n"/>
      <c r="BB15" s="577" t="n"/>
      <c r="BC15" s="577" t="n"/>
      <c r="BD15" s="577" t="n"/>
      <c r="BE15" s="577" t="n"/>
      <c r="BF15" s="577" t="n"/>
      <c r="BG15" s="577" t="n"/>
      <c r="BH15" s="577" t="n"/>
      <c r="BI15" s="577" t="n"/>
      <c r="BJ15" s="3" t="n"/>
      <c r="BK15" s="3" t="n"/>
      <c r="BL15" s="3" t="n"/>
      <c r="BM15" s="3" t="n"/>
      <c r="BN15" s="3" t="n"/>
    </row>
    <row r="16" ht="12" customFormat="1" customHeight="1" s="1">
      <c r="A16" s="12" t="n"/>
      <c r="B16" s="587" t="n"/>
      <c r="C16" s="577" t="n"/>
      <c r="D16" s="577" t="n"/>
      <c r="E16" s="577" t="n"/>
      <c r="F16" s="577" t="n"/>
      <c r="G16" s="577" t="n"/>
      <c r="H16" s="577" t="n"/>
      <c r="I16" s="577" t="n"/>
      <c r="J16" s="577" t="n"/>
      <c r="K16" s="577" t="n"/>
      <c r="L16" s="577" t="n"/>
      <c r="M16" s="577" t="n"/>
      <c r="N16" s="577" t="n"/>
      <c r="O16" s="577" t="n"/>
      <c r="P16" s="577" t="n"/>
      <c r="Q16" s="577" t="n"/>
      <c r="R16" s="577" t="n"/>
      <c r="S16" s="577" t="n"/>
      <c r="T16" s="577" t="n"/>
      <c r="U16" s="577" t="n"/>
      <c r="V16" s="577" t="n"/>
      <c r="W16" s="577" t="n"/>
      <c r="X16" s="577" t="n"/>
      <c r="Y16" s="577" t="n"/>
      <c r="Z16" s="577" t="n"/>
      <c r="AA16" s="577" t="n"/>
      <c r="AB16" s="577" t="n"/>
      <c r="AC16" s="577" t="n"/>
      <c r="AD16" s="577" t="n"/>
      <c r="AE16" s="577" t="n"/>
      <c r="AF16" s="577" t="n"/>
      <c r="AG16" s="577" t="n"/>
      <c r="AH16" s="577" t="n"/>
      <c r="AI16" s="577" t="n"/>
      <c r="AJ16" s="577" t="n"/>
      <c r="AK16" s="577" t="n"/>
      <c r="AL16" s="577" t="n"/>
      <c r="AM16" s="577" t="n"/>
      <c r="AN16" s="577" t="n"/>
      <c r="AO16" s="577" t="n"/>
      <c r="AP16" s="577" t="n"/>
      <c r="AQ16" s="577" t="n"/>
      <c r="AR16" s="577" t="n"/>
      <c r="AS16" s="577" t="n"/>
      <c r="AT16" s="577" t="n"/>
      <c r="AU16" s="577" t="n"/>
      <c r="AV16" s="577" t="n"/>
      <c r="AW16" s="577" t="n"/>
      <c r="AX16" s="577" t="n"/>
      <c r="AY16" s="577" t="n"/>
      <c r="AZ16" s="577" t="n"/>
      <c r="BA16" s="577" t="n"/>
      <c r="BB16" s="577" t="n"/>
      <c r="BC16" s="577" t="n"/>
      <c r="BD16" s="577" t="n"/>
      <c r="BE16" s="577" t="n"/>
      <c r="BF16" s="577" t="n"/>
      <c r="BG16" s="577" t="n"/>
      <c r="BH16" s="577" t="n"/>
      <c r="BI16" s="577" t="n"/>
      <c r="BJ16" s="3" t="n"/>
      <c r="BK16" s="3" t="n"/>
      <c r="BL16" s="3" t="n"/>
      <c r="BM16" s="3" t="n"/>
      <c r="BN16" s="3" t="n"/>
    </row>
    <row r="17" ht="12" customFormat="1" customHeight="1" s="1">
      <c r="A17" s="22" t="inlineStr">
        <is>
          <t>Opening Balance</t>
        </is>
      </c>
      <c r="B17" s="590" t="n"/>
      <c r="C17" s="591" t="n"/>
      <c r="D17" s="591" t="n"/>
      <c r="E17" s="591" t="n"/>
      <c r="F17" s="591" t="n"/>
      <c r="G17" s="591" t="n"/>
      <c r="H17" s="591" t="n"/>
      <c r="I17" s="591" t="n"/>
      <c r="J17" s="591" t="n"/>
      <c r="K17" s="591" t="n"/>
      <c r="L17" s="591" t="n"/>
      <c r="M17" s="591" t="n"/>
      <c r="N17" s="591" t="n"/>
      <c r="O17" s="591" t="n"/>
      <c r="P17" s="591" t="n"/>
      <c r="Q17" s="591" t="n"/>
      <c r="R17" s="591" t="n"/>
      <c r="S17" s="591" t="n"/>
      <c r="T17" s="591" t="n"/>
      <c r="U17" s="591" t="n"/>
      <c r="V17" s="591" t="n"/>
      <c r="W17" s="591" t="n"/>
      <c r="X17" s="591" t="n"/>
      <c r="Y17" s="591" t="n"/>
      <c r="Z17" s="591" t="n"/>
      <c r="AA17" s="591" t="n"/>
      <c r="AB17" s="591" t="n"/>
      <c r="AC17" s="591" t="n"/>
      <c r="AD17" s="591" t="n"/>
      <c r="AE17" s="591" t="n"/>
      <c r="AF17" s="591" t="n"/>
      <c r="AG17" s="591" t="n"/>
      <c r="AH17" s="591" t="n"/>
      <c r="AI17" s="591" t="n"/>
      <c r="AJ17" s="591" t="n"/>
      <c r="AK17" s="591" t="n"/>
      <c r="AL17" s="591" t="n"/>
      <c r="AM17" s="591" t="n"/>
      <c r="AN17" s="591" t="n"/>
      <c r="AO17" s="591" t="n"/>
      <c r="AP17" s="591" t="n"/>
      <c r="AQ17" s="591" t="n"/>
      <c r="AR17" s="591" t="n"/>
      <c r="AS17" s="591" t="n"/>
      <c r="AT17" s="591" t="n"/>
      <c r="AU17" s="591" t="n"/>
      <c r="AV17" s="591" t="n"/>
      <c r="AW17" s="591" t="n"/>
      <c r="AX17" s="591" t="n"/>
      <c r="AY17" s="591" t="n"/>
      <c r="AZ17" s="591" t="n"/>
      <c r="BA17" s="591" t="n"/>
      <c r="BB17" s="591" t="n"/>
      <c r="BC17" s="591" t="n"/>
      <c r="BD17" s="591" t="n"/>
      <c r="BE17" s="591" t="n"/>
      <c r="BF17" s="591" t="n"/>
      <c r="BG17" s="591" t="n"/>
      <c r="BH17" s="591" t="n"/>
      <c r="BI17" s="591" t="n"/>
      <c r="BJ17" s="592" t="n"/>
      <c r="BK17" s="592" t="n"/>
      <c r="BL17" s="592" t="n"/>
      <c r="BM17" s="592" t="n"/>
      <c r="BN17" s="592" t="n"/>
    </row>
    <row r="18" ht="12" customFormat="1" customHeight="1" s="583">
      <c r="A18" s="12" t="inlineStr">
        <is>
          <t xml:space="preserve">Additions </t>
        </is>
      </c>
      <c r="B18" s="590" t="n"/>
      <c r="C18" s="590" t="n"/>
      <c r="D18" s="590" t="n"/>
      <c r="E18" s="590" t="n"/>
      <c r="F18" s="590" t="n"/>
      <c r="G18" s="590" t="n"/>
      <c r="H18" s="590" t="n"/>
      <c r="I18" s="590" t="n"/>
      <c r="J18" s="590" t="n"/>
      <c r="K18" s="590" t="n"/>
      <c r="L18" s="590" t="n"/>
      <c r="M18" s="590" t="n"/>
      <c r="N18" s="590" t="n"/>
      <c r="O18" s="590" t="n"/>
      <c r="P18" s="590" t="n"/>
      <c r="Q18" s="590" t="n"/>
      <c r="R18" s="590" t="n"/>
      <c r="S18" s="590" t="n"/>
      <c r="T18" s="590" t="n"/>
      <c r="U18" s="590" t="n"/>
      <c r="V18" s="590" t="n"/>
      <c r="W18" s="590" t="n"/>
      <c r="X18" s="590" t="n"/>
      <c r="Y18" s="590" t="n"/>
      <c r="Z18" s="590" t="n"/>
      <c r="AA18" s="590" t="n"/>
      <c r="AB18" s="590" t="n"/>
      <c r="AC18" s="590" t="n"/>
      <c r="AD18" s="590" t="n"/>
      <c r="AE18" s="590" t="n"/>
      <c r="AF18" s="590" t="n"/>
      <c r="AG18" s="590" t="n"/>
      <c r="AH18" s="590" t="n"/>
      <c r="AI18" s="590" t="n"/>
      <c r="AJ18" s="590" t="n"/>
      <c r="AK18" s="590" t="n"/>
      <c r="AL18" s="590" t="n"/>
      <c r="AM18" s="590" t="n"/>
      <c r="AN18" s="590" t="n"/>
      <c r="AO18" s="590" t="n"/>
      <c r="AP18" s="590" t="n"/>
      <c r="AQ18" s="590" t="n"/>
      <c r="AR18" s="590" t="n"/>
      <c r="AS18" s="590" t="n"/>
      <c r="AT18" s="590" t="n"/>
      <c r="AU18" s="590" t="n"/>
      <c r="AV18" s="590" t="n"/>
      <c r="AW18" s="590" t="n"/>
      <c r="AX18" s="590" t="n"/>
      <c r="AY18" s="590" t="n"/>
      <c r="AZ18" s="590" t="n"/>
      <c r="BA18" s="590" t="n"/>
      <c r="BB18" s="590" t="n"/>
      <c r="BC18" s="590" t="n"/>
      <c r="BD18" s="590" t="n"/>
      <c r="BE18" s="590" t="n"/>
      <c r="BF18" s="590" t="n"/>
      <c r="BG18" s="590" t="n"/>
      <c r="BH18" s="590" t="n"/>
      <c r="BI18" s="590" t="n"/>
      <c r="BJ18" s="592" t="n"/>
      <c r="BK18" s="592" t="n"/>
      <c r="BL18" s="592" t="n"/>
      <c r="BM18" s="592" t="n"/>
      <c r="BN18" s="592" t="n"/>
    </row>
    <row r="19" ht="12" customFormat="1" customHeight="1" s="1">
      <c r="A19" s="12" t="inlineStr">
        <is>
          <t xml:space="preserve">Depreciation </t>
        </is>
      </c>
      <c r="B19" s="587" t="n"/>
      <c r="C19" s="587" t="n"/>
      <c r="D19" s="587" t="n"/>
      <c r="E19" s="587" t="n"/>
      <c r="F19" s="587" t="n"/>
      <c r="G19" s="587" t="n"/>
      <c r="H19" s="587" t="n"/>
      <c r="I19" s="587" t="n"/>
      <c r="J19" s="587" t="n"/>
      <c r="K19" s="587" t="n"/>
      <c r="L19" s="587" t="n"/>
      <c r="M19" s="587" t="n"/>
      <c r="N19" s="587" t="n"/>
      <c r="O19" s="587" t="n"/>
      <c r="P19" s="587" t="n"/>
      <c r="Q19" s="587" t="n"/>
      <c r="R19" s="587" t="n"/>
      <c r="S19" s="587" t="n"/>
      <c r="T19" s="587" t="n"/>
      <c r="U19" s="587" t="n"/>
      <c r="V19" s="587" t="n"/>
      <c r="W19" s="587" t="n"/>
      <c r="X19" s="587" t="n"/>
      <c r="Y19" s="587" t="n"/>
      <c r="Z19" s="587" t="n"/>
      <c r="AA19" s="587" t="n"/>
      <c r="AB19" s="587" t="n"/>
      <c r="AC19" s="587" t="n"/>
      <c r="AD19" s="587" t="n"/>
      <c r="AE19" s="587" t="n"/>
      <c r="AF19" s="587" t="n"/>
      <c r="AG19" s="587" t="n"/>
      <c r="AH19" s="587" t="n"/>
      <c r="AI19" s="587" t="n"/>
      <c r="AJ19" s="587" t="n"/>
      <c r="AK19" s="587" t="n"/>
      <c r="AL19" s="587" t="n"/>
      <c r="AM19" s="587" t="n"/>
      <c r="AN19" s="587" t="n"/>
      <c r="AO19" s="587" t="n"/>
      <c r="AP19" s="587" t="n"/>
      <c r="AQ19" s="587" t="n"/>
      <c r="AR19" s="587" t="n"/>
      <c r="AS19" s="587" t="n"/>
      <c r="AT19" s="587" t="n"/>
      <c r="AU19" s="587" t="n"/>
      <c r="AV19" s="587" t="n"/>
      <c r="AW19" s="587" t="n"/>
      <c r="AX19" s="587" t="n"/>
      <c r="AY19" s="587" t="n"/>
      <c r="AZ19" s="587" t="n"/>
      <c r="BA19" s="587" t="n"/>
      <c r="BB19" s="587" t="n"/>
      <c r="BC19" s="587" t="n"/>
      <c r="BD19" s="587" t="n"/>
      <c r="BE19" s="587" t="n"/>
      <c r="BF19" s="587" t="n"/>
      <c r="BG19" s="587" t="n"/>
      <c r="BH19" s="587" t="n"/>
      <c r="BI19" s="587" t="n"/>
      <c r="BJ19" s="592" t="n"/>
      <c r="BK19" s="592" t="n"/>
      <c r="BL19" s="592" t="n"/>
      <c r="BM19" s="592" t="n"/>
      <c r="BN19" s="592" t="n"/>
    </row>
    <row r="20" ht="12" customFormat="1" customHeight="1" s="20">
      <c r="A20" s="24" t="inlineStr">
        <is>
          <t>Closing Balance</t>
        </is>
      </c>
      <c r="B20" s="593" t="n"/>
      <c r="C20" s="593" t="n"/>
      <c r="D20" s="593" t="n"/>
      <c r="E20" s="593" t="n"/>
      <c r="F20" s="593" t="n"/>
      <c r="G20" s="593" t="n"/>
      <c r="H20" s="593" t="n"/>
      <c r="I20" s="593" t="n"/>
      <c r="J20" s="593" t="n"/>
      <c r="K20" s="593" t="n"/>
      <c r="L20" s="593" t="n"/>
      <c r="M20" s="593" t="n"/>
      <c r="N20" s="593" t="n"/>
      <c r="O20" s="593" t="n"/>
      <c r="P20" s="593" t="n"/>
      <c r="Q20" s="593" t="n"/>
      <c r="R20" s="593" t="n"/>
      <c r="S20" s="593" t="n"/>
      <c r="T20" s="593" t="n"/>
      <c r="U20" s="593" t="n"/>
      <c r="V20" s="593" t="n"/>
      <c r="W20" s="593" t="n"/>
      <c r="X20" s="593" t="n"/>
      <c r="Y20" s="593" t="n"/>
      <c r="Z20" s="593" t="n"/>
      <c r="AA20" s="593" t="n"/>
      <c r="AB20" s="593" t="n"/>
      <c r="AC20" s="593" t="n"/>
      <c r="AD20" s="593" t="n"/>
      <c r="AE20" s="593" t="n"/>
      <c r="AF20" s="593" t="n"/>
      <c r="AG20" s="593" t="n"/>
      <c r="AH20" s="593" t="n"/>
      <c r="AI20" s="593" t="n"/>
      <c r="AJ20" s="593" t="n"/>
      <c r="AK20" s="593" t="n"/>
      <c r="AL20" s="593" t="n"/>
      <c r="AM20" s="593" t="n"/>
      <c r="AN20" s="593" t="n"/>
      <c r="AO20" s="593" t="n"/>
      <c r="AP20" s="593" t="n"/>
      <c r="AQ20" s="593" t="n"/>
      <c r="AR20" s="593" t="n"/>
      <c r="AS20" s="593" t="n"/>
      <c r="AT20" s="593" t="n"/>
      <c r="AU20" s="593" t="n"/>
      <c r="AV20" s="593" t="n"/>
      <c r="AW20" s="593" t="n"/>
      <c r="AX20" s="593" t="n"/>
      <c r="AY20" s="593" t="n"/>
      <c r="AZ20" s="593" t="n"/>
      <c r="BA20" s="593" t="n"/>
      <c r="BB20" s="593" t="n"/>
      <c r="BC20" s="593" t="n"/>
      <c r="BD20" s="593" t="n"/>
      <c r="BE20" s="593" t="n"/>
      <c r="BF20" s="593" t="n"/>
      <c r="BG20" s="593" t="n"/>
      <c r="BH20" s="593" t="n"/>
      <c r="BI20" s="593" t="n"/>
      <c r="BJ20" s="594" t="n"/>
      <c r="BK20" s="594" t="n"/>
      <c r="BL20" s="594" t="n"/>
      <c r="BM20" s="594" t="n"/>
      <c r="BN20" s="594" t="n"/>
    </row>
    <row r="21">
      <c r="B21" s="588" t="n"/>
      <c r="C21" s="588" t="n"/>
      <c r="D21" s="588" t="n"/>
      <c r="E21" s="588" t="n"/>
      <c r="F21" s="588" t="n"/>
      <c r="G21" s="588" t="n"/>
      <c r="H21" s="588" t="n"/>
      <c r="I21" s="588" t="n"/>
      <c r="J21" s="588" t="n"/>
      <c r="K21" s="588" t="n"/>
      <c r="L21" s="588" t="n"/>
      <c r="M21" s="588" t="n"/>
      <c r="N21" s="588" t="n"/>
      <c r="O21" s="588" t="n"/>
      <c r="P21" s="588" t="n"/>
      <c r="Q21" s="588" t="n"/>
      <c r="R21" s="588" t="n"/>
      <c r="S21" s="588" t="n"/>
      <c r="T21" s="588" t="n"/>
      <c r="U21" s="588" t="n"/>
      <c r="V21" s="588" t="n"/>
      <c r="W21" s="588" t="n"/>
      <c r="X21" s="588" t="n"/>
      <c r="Y21" s="588" t="n"/>
      <c r="Z21" s="588" t="n"/>
      <c r="AA21" s="588" t="n"/>
      <c r="AB21" s="588" t="n"/>
      <c r="AC21" s="588" t="n"/>
      <c r="AD21" s="588" t="n"/>
      <c r="AE21" s="588" t="n"/>
      <c r="AF21" s="588" t="n"/>
      <c r="AG21" s="588" t="n"/>
      <c r="AH21" s="588" t="n"/>
      <c r="AI21" s="588" t="n"/>
      <c r="AJ21" s="588" t="n"/>
      <c r="AK21" s="588" t="n"/>
      <c r="AL21" s="588" t="n"/>
      <c r="AM21" s="588" t="n"/>
      <c r="AN21" s="588" t="n"/>
      <c r="AO21" s="588" t="n"/>
      <c r="AP21" s="588" t="n"/>
      <c r="AQ21" s="588" t="n"/>
      <c r="AR21" s="588" t="n"/>
      <c r="AS21" s="588" t="n"/>
      <c r="AT21" s="588" t="n"/>
      <c r="AU21" s="588" t="n"/>
      <c r="AV21" s="588" t="n"/>
      <c r="AW21" s="588" t="n"/>
      <c r="AX21" s="588" t="n"/>
      <c r="AY21" s="588" t="n"/>
      <c r="AZ21" s="588" t="n"/>
      <c r="BA21" s="588" t="n"/>
      <c r="BB21" s="588" t="n"/>
      <c r="BC21" s="588" t="n"/>
      <c r="BD21" s="588" t="n"/>
      <c r="BE21" s="588" t="n"/>
      <c r="BF21" s="588" t="n"/>
      <c r="BG21" s="588" t="n"/>
      <c r="BH21" s="588" t="n"/>
      <c r="BI21" s="588" t="n"/>
      <c r="BJ21" s="595" t="n"/>
      <c r="BK21" s="595" t="n"/>
      <c r="BL21" s="595" t="n"/>
      <c r="BM21" s="595" t="n"/>
      <c r="BN21" s="595" t="n"/>
    </row>
    <row r="22" ht="12" customFormat="1" customHeight="1" s="1">
      <c r="A22" s="131" t="inlineStr">
        <is>
          <t>Set up Costs and Commercial Licence</t>
        </is>
      </c>
      <c r="B22" s="577" t="n"/>
      <c r="C22" s="577" t="n"/>
      <c r="D22" s="577" t="n"/>
      <c r="E22" s="589" t="n"/>
      <c r="F22" s="589" t="n"/>
      <c r="G22" s="589" t="n"/>
      <c r="H22" s="589" t="n"/>
      <c r="I22" s="589" t="n"/>
      <c r="J22" s="589" t="n"/>
      <c r="K22" s="589" t="n"/>
      <c r="L22" s="589" t="n"/>
      <c r="M22" s="589" t="n"/>
      <c r="N22" s="589" t="n"/>
      <c r="O22" s="589" t="n"/>
      <c r="P22" s="589" t="n"/>
      <c r="Q22" s="589" t="n"/>
      <c r="R22" s="589" t="n"/>
      <c r="S22" s="589" t="n"/>
      <c r="T22" s="589" t="n"/>
      <c r="U22" s="589" t="n"/>
      <c r="V22" s="589" t="n"/>
      <c r="W22" s="589" t="n"/>
      <c r="X22" s="589" t="n"/>
      <c r="Y22" s="589" t="n"/>
      <c r="Z22" s="589" t="n"/>
      <c r="AA22" s="589" t="n"/>
      <c r="AB22" s="589" t="n"/>
      <c r="AC22" s="589" t="n"/>
      <c r="AD22" s="589" t="n"/>
      <c r="AE22" s="589" t="n"/>
      <c r="AF22" s="589" t="n"/>
      <c r="AG22" s="589" t="n"/>
      <c r="AH22" s="589" t="n"/>
      <c r="AI22" s="589" t="n"/>
      <c r="AJ22" s="589" t="n"/>
      <c r="AK22" s="589" t="n"/>
      <c r="AL22" s="589" t="n"/>
      <c r="AM22" s="589" t="n"/>
      <c r="AN22" s="589" t="n"/>
      <c r="AO22" s="589" t="n"/>
      <c r="AP22" s="589" t="n"/>
      <c r="AQ22" s="589" t="n"/>
      <c r="AR22" s="589" t="n"/>
      <c r="AS22" s="589" t="n"/>
      <c r="AT22" s="589" t="n"/>
      <c r="AU22" s="589" t="n"/>
      <c r="AV22" s="589" t="n"/>
      <c r="AW22" s="589" t="n"/>
      <c r="AX22" s="589" t="n"/>
      <c r="AY22" s="589" t="n"/>
      <c r="AZ22" s="589" t="n"/>
      <c r="BA22" s="589" t="n"/>
      <c r="BB22" s="589" t="n"/>
      <c r="BC22" s="589" t="n"/>
      <c r="BD22" s="589" t="n"/>
      <c r="BE22" s="589" t="n"/>
      <c r="BF22" s="589" t="n"/>
      <c r="BG22" s="589" t="n"/>
      <c r="BH22" s="589" t="n"/>
      <c r="BI22" s="589" t="n"/>
      <c r="BJ22" s="3" t="n"/>
      <c r="BK22" s="3" t="n"/>
      <c r="BL22" s="3" t="n"/>
      <c r="BM22" s="3" t="n"/>
      <c r="BN22" s="3" t="n"/>
    </row>
    <row r="23" ht="12" customFormat="1" customHeight="1" s="1">
      <c r="A23" s="12" t="inlineStr">
        <is>
          <t>Monthly Depreciation</t>
        </is>
      </c>
      <c r="B23" s="473" t="n"/>
      <c r="C23" s="577" t="n"/>
      <c r="D23" s="577" t="n"/>
      <c r="E23" s="577" t="n"/>
      <c r="F23" s="577" t="n"/>
      <c r="G23" s="577" t="n"/>
      <c r="H23" s="577" t="n"/>
      <c r="I23" s="577" t="n"/>
      <c r="J23" s="577" t="n"/>
      <c r="K23" s="577" t="n"/>
      <c r="L23" s="577" t="n"/>
      <c r="M23" s="577" t="n"/>
      <c r="N23" s="577" t="n"/>
      <c r="O23" s="577" t="n"/>
      <c r="P23" s="577" t="n"/>
      <c r="Q23" s="577" t="n"/>
      <c r="R23" s="577" t="n"/>
      <c r="S23" s="577" t="n"/>
      <c r="T23" s="577" t="n"/>
      <c r="U23" s="577" t="n"/>
      <c r="V23" s="577" t="n"/>
      <c r="W23" s="577" t="n"/>
      <c r="X23" s="577" t="n"/>
      <c r="Y23" s="577" t="n"/>
      <c r="Z23" s="577" t="n"/>
      <c r="AA23" s="577" t="n"/>
      <c r="AB23" s="577" t="n"/>
      <c r="AC23" s="577" t="n"/>
      <c r="AD23" s="577" t="n"/>
      <c r="AE23" s="577" t="n"/>
      <c r="AF23" s="577" t="n"/>
      <c r="AG23" s="577" t="n"/>
      <c r="AH23" s="577" t="n"/>
      <c r="AI23" s="577" t="n"/>
      <c r="AJ23" s="577" t="n"/>
      <c r="AK23" s="577" t="n"/>
      <c r="AL23" s="577" t="n"/>
      <c r="AM23" s="577" t="n"/>
      <c r="AN23" s="577" t="n"/>
      <c r="AO23" s="577" t="n"/>
      <c r="AP23" s="577" t="n"/>
      <c r="AQ23" s="577" t="n"/>
      <c r="AR23" s="577" t="n"/>
      <c r="AS23" s="577" t="n"/>
      <c r="AT23" s="577" t="n"/>
      <c r="AU23" s="577" t="n"/>
      <c r="AV23" s="577" t="n"/>
      <c r="AW23" s="577" t="n"/>
      <c r="AX23" s="577" t="n"/>
      <c r="AY23" s="577" t="n"/>
      <c r="AZ23" s="577" t="n"/>
      <c r="BA23" s="577" t="n"/>
      <c r="BB23" s="577" t="n"/>
      <c r="BC23" s="577" t="n"/>
      <c r="BD23" s="577" t="n"/>
      <c r="BE23" s="577" t="n"/>
      <c r="BF23" s="577" t="n"/>
      <c r="BG23" s="577" t="n"/>
      <c r="BH23" s="577" t="n"/>
      <c r="BI23" s="577" t="n"/>
      <c r="BJ23" s="3" t="n"/>
      <c r="BK23" s="3" t="n"/>
      <c r="BL23" s="3" t="n"/>
      <c r="BM23" s="3" t="n"/>
      <c r="BN23" s="3" t="n"/>
    </row>
    <row r="24" ht="12" customFormat="1" customHeight="1" s="1">
      <c r="A24" s="12" t="n"/>
      <c r="B24" s="587" t="n"/>
      <c r="C24" s="577" t="n"/>
      <c r="D24" s="577" t="n"/>
      <c r="E24" s="577" t="n"/>
      <c r="F24" s="577" t="n"/>
      <c r="G24" s="577" t="n"/>
      <c r="H24" s="577" t="n"/>
      <c r="I24" s="577" t="n"/>
      <c r="J24" s="577" t="n"/>
      <c r="K24" s="577" t="n"/>
      <c r="L24" s="577" t="n"/>
      <c r="M24" s="577" t="n"/>
      <c r="N24" s="577" t="n"/>
      <c r="O24" s="577" t="n"/>
      <c r="P24" s="577" t="n"/>
      <c r="Q24" s="577" t="n"/>
      <c r="R24" s="577" t="n"/>
      <c r="S24" s="577" t="n"/>
      <c r="T24" s="577" t="n"/>
      <c r="U24" s="577" t="n"/>
      <c r="V24" s="577" t="n"/>
      <c r="W24" s="577" t="n"/>
      <c r="X24" s="577" t="n"/>
      <c r="Y24" s="577" t="n"/>
      <c r="Z24" s="577" t="n"/>
      <c r="AA24" s="577" t="n"/>
      <c r="AB24" s="577" t="n"/>
      <c r="AC24" s="577" t="n"/>
      <c r="AD24" s="577" t="n"/>
      <c r="AE24" s="577" t="n"/>
      <c r="AF24" s="577" t="n"/>
      <c r="AG24" s="577" t="n"/>
      <c r="AH24" s="577" t="n"/>
      <c r="AI24" s="577" t="n"/>
      <c r="AJ24" s="577" t="n"/>
      <c r="AK24" s="577" t="n"/>
      <c r="AL24" s="577" t="n"/>
      <c r="AM24" s="577" t="n"/>
      <c r="AN24" s="577" t="n"/>
      <c r="AO24" s="577" t="n"/>
      <c r="AP24" s="577" t="n"/>
      <c r="AQ24" s="577" t="n"/>
      <c r="AR24" s="577" t="n"/>
      <c r="AS24" s="577" t="n"/>
      <c r="AT24" s="577" t="n"/>
      <c r="AU24" s="577" t="n"/>
      <c r="AV24" s="577" t="n"/>
      <c r="AW24" s="577" t="n"/>
      <c r="AX24" s="577" t="n"/>
      <c r="AY24" s="577" t="n"/>
      <c r="AZ24" s="577" t="n"/>
      <c r="BA24" s="577" t="n"/>
      <c r="BB24" s="577" t="n"/>
      <c r="BC24" s="577" t="n"/>
      <c r="BD24" s="577" t="n"/>
      <c r="BE24" s="577" t="n"/>
      <c r="BF24" s="577" t="n"/>
      <c r="BG24" s="577" t="n"/>
      <c r="BH24" s="577" t="n"/>
      <c r="BI24" s="577" t="n"/>
      <c r="BJ24" s="3" t="n"/>
      <c r="BK24" s="3" t="n"/>
      <c r="BL24" s="3" t="n"/>
      <c r="BM24" s="3" t="n"/>
      <c r="BN24" s="3" t="n"/>
    </row>
    <row r="25" ht="12" customFormat="1" customHeight="1" s="1">
      <c r="A25" s="22" t="inlineStr">
        <is>
          <t>Opening Balance</t>
        </is>
      </c>
      <c r="B25" s="590" t="n"/>
      <c r="C25" s="591" t="n"/>
      <c r="D25" s="591" t="n"/>
      <c r="E25" s="591" t="n"/>
      <c r="F25" s="591" t="n"/>
      <c r="G25" s="591" t="n"/>
      <c r="H25" s="591" t="n"/>
      <c r="I25" s="591" t="n"/>
      <c r="J25" s="591" t="n"/>
      <c r="K25" s="591" t="n"/>
      <c r="L25" s="591" t="n"/>
      <c r="M25" s="591" t="n"/>
      <c r="N25" s="591" t="n"/>
      <c r="O25" s="591" t="n"/>
      <c r="P25" s="591" t="n"/>
      <c r="Q25" s="591" t="n"/>
      <c r="R25" s="591" t="n"/>
      <c r="S25" s="591" t="n"/>
      <c r="T25" s="591" t="n"/>
      <c r="U25" s="591" t="n"/>
      <c r="V25" s="591" t="n"/>
      <c r="W25" s="591" t="n"/>
      <c r="X25" s="591" t="n"/>
      <c r="Y25" s="591" t="n"/>
      <c r="Z25" s="591" t="n"/>
      <c r="AA25" s="591" t="n"/>
      <c r="AB25" s="591" t="n"/>
      <c r="AC25" s="591" t="n"/>
      <c r="AD25" s="591" t="n"/>
      <c r="AE25" s="591" t="n"/>
      <c r="AF25" s="591" t="n"/>
      <c r="AG25" s="591" t="n"/>
      <c r="AH25" s="591" t="n"/>
      <c r="AI25" s="591" t="n"/>
      <c r="AJ25" s="591" t="n"/>
      <c r="AK25" s="591" t="n"/>
      <c r="AL25" s="591" t="n"/>
      <c r="AM25" s="591" t="n"/>
      <c r="AN25" s="591" t="n"/>
      <c r="AO25" s="591" t="n"/>
      <c r="AP25" s="591" t="n"/>
      <c r="AQ25" s="591" t="n"/>
      <c r="AR25" s="591" t="n"/>
      <c r="AS25" s="591" t="n"/>
      <c r="AT25" s="591" t="n"/>
      <c r="AU25" s="591" t="n"/>
      <c r="AV25" s="591" t="n"/>
      <c r="AW25" s="591" t="n"/>
      <c r="AX25" s="591" t="n"/>
      <c r="AY25" s="591" t="n"/>
      <c r="AZ25" s="591" t="n"/>
      <c r="BA25" s="591" t="n"/>
      <c r="BB25" s="591" t="n"/>
      <c r="BC25" s="591" t="n"/>
      <c r="BD25" s="591" t="n"/>
      <c r="BE25" s="591" t="n"/>
      <c r="BF25" s="591" t="n"/>
      <c r="BG25" s="591" t="n"/>
      <c r="BH25" s="591" t="n"/>
      <c r="BI25" s="591" t="n"/>
      <c r="BJ25" s="592" t="n"/>
      <c r="BK25" s="592" t="n"/>
      <c r="BL25" s="592" t="n"/>
      <c r="BM25" s="592" t="n"/>
      <c r="BN25" s="592" t="n"/>
    </row>
    <row r="26" ht="12" customFormat="1" customHeight="1" s="583">
      <c r="A26" s="12" t="inlineStr">
        <is>
          <t xml:space="preserve">Additions </t>
        </is>
      </c>
      <c r="B26" s="590" t="n"/>
      <c r="C26" s="590" t="n"/>
      <c r="D26" s="590" t="n"/>
      <c r="E26" s="590" t="n"/>
      <c r="F26" s="590" t="n"/>
      <c r="G26" s="590" t="n"/>
      <c r="H26" s="590" t="n"/>
      <c r="I26" s="590" t="n"/>
      <c r="J26" s="590" t="n"/>
      <c r="K26" s="590" t="n"/>
      <c r="L26" s="590" t="n"/>
      <c r="M26" s="590" t="n"/>
      <c r="N26" s="590" t="n"/>
      <c r="O26" s="590" t="n"/>
      <c r="P26" s="590" t="n"/>
      <c r="Q26" s="590" t="n"/>
      <c r="R26" s="590" t="n"/>
      <c r="S26" s="590" t="n"/>
      <c r="T26" s="590" t="n"/>
      <c r="U26" s="590" t="n"/>
      <c r="V26" s="590" t="n"/>
      <c r="W26" s="590" t="n"/>
      <c r="X26" s="590" t="n"/>
      <c r="Y26" s="590" t="n"/>
      <c r="Z26" s="590" t="n"/>
      <c r="AA26" s="590" t="n"/>
      <c r="AB26" s="590" t="n"/>
      <c r="AC26" s="590" t="n"/>
      <c r="AD26" s="590" t="n"/>
      <c r="AE26" s="590" t="n"/>
      <c r="AF26" s="590" t="n"/>
      <c r="AG26" s="590" t="n"/>
      <c r="AH26" s="590" t="n"/>
      <c r="AI26" s="590" t="n"/>
      <c r="AJ26" s="590" t="n"/>
      <c r="AK26" s="590" t="n"/>
      <c r="AL26" s="590" t="n"/>
      <c r="AM26" s="590" t="n"/>
      <c r="AN26" s="590" t="n"/>
      <c r="AO26" s="590" t="n"/>
      <c r="AP26" s="590" t="n"/>
      <c r="AQ26" s="590" t="n"/>
      <c r="AR26" s="590" t="n"/>
      <c r="AS26" s="590" t="n"/>
      <c r="AT26" s="590" t="n"/>
      <c r="AU26" s="590" t="n"/>
      <c r="AV26" s="590" t="n"/>
      <c r="AW26" s="590" t="n"/>
      <c r="AX26" s="590" t="n"/>
      <c r="AY26" s="590" t="n"/>
      <c r="AZ26" s="590" t="n"/>
      <c r="BA26" s="590" t="n"/>
      <c r="BB26" s="590" t="n"/>
      <c r="BC26" s="590" t="n"/>
      <c r="BD26" s="590" t="n"/>
      <c r="BE26" s="590" t="n"/>
      <c r="BF26" s="590" t="n"/>
      <c r="BG26" s="590" t="n"/>
      <c r="BH26" s="590" t="n"/>
      <c r="BI26" s="590" t="n"/>
      <c r="BJ26" s="592" t="n"/>
      <c r="BK26" s="592" t="n"/>
      <c r="BL26" s="592" t="n"/>
      <c r="BM26" s="592" t="n"/>
      <c r="BN26" s="592" t="n"/>
    </row>
    <row r="27" ht="12" customFormat="1" customHeight="1" s="1">
      <c r="A27" s="12" t="inlineStr">
        <is>
          <t xml:space="preserve">Depreciation </t>
        </is>
      </c>
      <c r="B27" s="587" t="n"/>
      <c r="C27" s="587" t="n"/>
      <c r="D27" s="587" t="n"/>
      <c r="E27" s="587" t="n"/>
      <c r="F27" s="587" t="n"/>
      <c r="G27" s="587" t="n"/>
      <c r="H27" s="587" t="n"/>
      <c r="I27" s="587" t="n"/>
      <c r="J27" s="587" t="n"/>
      <c r="K27" s="587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587" t="n"/>
      <c r="AD27" s="587" t="n"/>
      <c r="AE27" s="587" t="n"/>
      <c r="AF27" s="587" t="n"/>
      <c r="AG27" s="587" t="n"/>
      <c r="AH27" s="587" t="n"/>
      <c r="AI27" s="587" t="n"/>
      <c r="AJ27" s="587" t="n"/>
      <c r="AK27" s="587" t="n"/>
      <c r="AL27" s="587" t="n"/>
      <c r="AM27" s="587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7" t="n"/>
      <c r="BE27" s="587" t="n"/>
      <c r="BF27" s="587" t="n"/>
      <c r="BG27" s="587" t="n"/>
      <c r="BH27" s="587" t="n"/>
      <c r="BI27" s="587" t="n"/>
      <c r="BJ27" s="592" t="n"/>
      <c r="BK27" s="592" t="n"/>
      <c r="BL27" s="592" t="n"/>
      <c r="BM27" s="592" t="n"/>
      <c r="BN27" s="592" t="n"/>
    </row>
    <row r="28" ht="12" customFormat="1" customHeight="1" s="20">
      <c r="A28" s="24" t="inlineStr">
        <is>
          <t>Closing Balance</t>
        </is>
      </c>
      <c r="B28" s="593" t="n"/>
      <c r="C28" s="593" t="n"/>
      <c r="D28" s="593" t="n"/>
      <c r="E28" s="593" t="n"/>
      <c r="F28" s="593" t="n"/>
      <c r="G28" s="593" t="n"/>
      <c r="H28" s="593" t="n"/>
      <c r="I28" s="593" t="n"/>
      <c r="J28" s="593" t="n"/>
      <c r="K28" s="593" t="n"/>
      <c r="L28" s="593" t="n"/>
      <c r="M28" s="593" t="n"/>
      <c r="N28" s="593" t="n"/>
      <c r="O28" s="593" t="n"/>
      <c r="P28" s="593" t="n"/>
      <c r="Q28" s="593" t="n"/>
      <c r="R28" s="593" t="n"/>
      <c r="S28" s="593" t="n"/>
      <c r="T28" s="593" t="n"/>
      <c r="U28" s="593" t="n"/>
      <c r="V28" s="593" t="n"/>
      <c r="W28" s="593" t="n"/>
      <c r="X28" s="593" t="n"/>
      <c r="Y28" s="593" t="n"/>
      <c r="Z28" s="593" t="n"/>
      <c r="AA28" s="593" t="n"/>
      <c r="AB28" s="593" t="n"/>
      <c r="AC28" s="593" t="n"/>
      <c r="AD28" s="593" t="n"/>
      <c r="AE28" s="593" t="n"/>
      <c r="AF28" s="593" t="n"/>
      <c r="AG28" s="593" t="n"/>
      <c r="AH28" s="593" t="n"/>
      <c r="AI28" s="593" t="n"/>
      <c r="AJ28" s="593" t="n"/>
      <c r="AK28" s="593" t="n"/>
      <c r="AL28" s="593" t="n"/>
      <c r="AM28" s="593" t="n"/>
      <c r="AN28" s="593" t="n"/>
      <c r="AO28" s="593" t="n"/>
      <c r="AP28" s="593" t="n"/>
      <c r="AQ28" s="593" t="n"/>
      <c r="AR28" s="593" t="n"/>
      <c r="AS28" s="593" t="n"/>
      <c r="AT28" s="593" t="n"/>
      <c r="AU28" s="593" t="n"/>
      <c r="AV28" s="593" t="n"/>
      <c r="AW28" s="593" t="n"/>
      <c r="AX28" s="593" t="n"/>
      <c r="AY28" s="593" t="n"/>
      <c r="AZ28" s="593" t="n"/>
      <c r="BA28" s="593" t="n"/>
      <c r="BB28" s="593" t="n"/>
      <c r="BC28" s="593" t="n"/>
      <c r="BD28" s="593" t="n"/>
      <c r="BE28" s="593" t="n"/>
      <c r="BF28" s="593" t="n"/>
      <c r="BG28" s="593" t="n"/>
      <c r="BH28" s="593" t="n"/>
      <c r="BI28" s="593" t="n"/>
      <c r="BJ28" s="594" t="n"/>
      <c r="BK28" s="594" t="n"/>
      <c r="BL28" s="594" t="n"/>
      <c r="BM28" s="594" t="n"/>
      <c r="BN28" s="594" t="n"/>
    </row>
    <row r="29">
      <c r="B29" s="588" t="n"/>
      <c r="C29" s="588" t="n"/>
      <c r="D29" s="588" t="n"/>
      <c r="E29" s="588" t="n"/>
      <c r="F29" s="588" t="n"/>
      <c r="G29" s="588" t="n"/>
      <c r="H29" s="588" t="n"/>
      <c r="I29" s="588" t="n"/>
      <c r="J29" s="588" t="n"/>
      <c r="K29" s="588" t="n"/>
      <c r="L29" s="588" t="n"/>
      <c r="M29" s="588" t="n"/>
      <c r="N29" s="588" t="n"/>
      <c r="O29" s="588" t="n"/>
      <c r="P29" s="588" t="n"/>
      <c r="Q29" s="588" t="n"/>
      <c r="R29" s="588" t="n"/>
      <c r="S29" s="588" t="n"/>
      <c r="T29" s="588" t="n"/>
      <c r="U29" s="588" t="n"/>
      <c r="V29" s="588" t="n"/>
      <c r="W29" s="588" t="n"/>
      <c r="X29" s="588" t="n"/>
      <c r="Y29" s="588" t="n"/>
      <c r="Z29" s="588" t="n"/>
      <c r="AA29" s="588" t="n"/>
      <c r="AB29" s="588" t="n"/>
      <c r="AC29" s="588" t="n"/>
      <c r="AD29" s="588" t="n"/>
      <c r="AE29" s="588" t="n"/>
      <c r="AF29" s="588" t="n"/>
      <c r="AG29" s="588" t="n"/>
      <c r="AH29" s="588" t="n"/>
      <c r="AI29" s="588" t="n"/>
      <c r="AJ29" s="588" t="n"/>
      <c r="AK29" s="588" t="n"/>
      <c r="AL29" s="588" t="n"/>
      <c r="AM29" s="588" t="n"/>
      <c r="AN29" s="588" t="n"/>
      <c r="AO29" s="588" t="n"/>
      <c r="AP29" s="588" t="n"/>
      <c r="AQ29" s="588" t="n"/>
      <c r="AR29" s="588" t="n"/>
      <c r="AS29" s="588" t="n"/>
      <c r="AT29" s="588" t="n"/>
      <c r="AU29" s="588" t="n"/>
      <c r="AV29" s="588" t="n"/>
      <c r="AW29" s="588" t="n"/>
      <c r="AX29" s="588" t="n"/>
      <c r="AY29" s="588" t="n"/>
      <c r="AZ29" s="588" t="n"/>
      <c r="BA29" s="588" t="n"/>
      <c r="BB29" s="588" t="n"/>
      <c r="BC29" s="588" t="n"/>
      <c r="BD29" s="588" t="n"/>
      <c r="BE29" s="588" t="n"/>
      <c r="BF29" s="588" t="n"/>
      <c r="BG29" s="588" t="n"/>
      <c r="BH29" s="588" t="n"/>
      <c r="BI29" s="588" t="n"/>
      <c r="BJ29" s="595" t="n"/>
      <c r="BK29" s="595" t="n"/>
      <c r="BL29" s="595" t="n"/>
      <c r="BM29" s="595" t="n"/>
      <c r="BN29" s="595" t="n"/>
    </row>
    <row r="30" ht="12" customFormat="1" customHeight="1" s="1">
      <c r="A30" s="131" t="inlineStr">
        <is>
          <t>Dorna Partnership</t>
        </is>
      </c>
      <c r="B30" s="577" t="n"/>
      <c r="C30" s="577" t="n"/>
      <c r="D30" s="577" t="n"/>
      <c r="E30" s="589" t="n"/>
      <c r="F30" s="589" t="n"/>
      <c r="G30" s="589" t="n"/>
      <c r="H30" s="589" t="n"/>
      <c r="I30" s="589" t="n"/>
      <c r="J30" s="589" t="n"/>
      <c r="K30" s="589" t="n"/>
      <c r="L30" s="589" t="n"/>
      <c r="M30" s="589" t="n"/>
      <c r="N30" s="589" t="n"/>
      <c r="O30" s="589" t="n"/>
      <c r="P30" s="589" t="n"/>
      <c r="Q30" s="589" t="n"/>
      <c r="R30" s="589" t="n"/>
      <c r="S30" s="589" t="n"/>
      <c r="T30" s="589" t="n"/>
      <c r="U30" s="589" t="n"/>
      <c r="V30" s="589" t="n"/>
      <c r="W30" s="589" t="n"/>
      <c r="X30" s="589" t="n"/>
      <c r="Y30" s="589" t="n"/>
      <c r="Z30" s="589" t="n"/>
      <c r="AA30" s="589" t="n"/>
      <c r="AB30" s="589" t="n"/>
      <c r="AC30" s="589" t="n"/>
      <c r="AD30" s="589" t="n"/>
      <c r="AE30" s="589" t="n"/>
      <c r="AF30" s="589" t="n"/>
      <c r="AG30" s="589" t="n"/>
      <c r="AH30" s="589" t="n"/>
      <c r="AI30" s="589" t="n"/>
      <c r="AJ30" s="589" t="n"/>
      <c r="AK30" s="589" t="n"/>
      <c r="AL30" s="589" t="n"/>
      <c r="AM30" s="589" t="n"/>
      <c r="AN30" s="589" t="n"/>
      <c r="AO30" s="589" t="n"/>
      <c r="AP30" s="589" t="n"/>
      <c r="AQ30" s="589" t="n"/>
      <c r="AR30" s="589" t="n"/>
      <c r="AS30" s="589" t="n"/>
      <c r="AT30" s="589" t="n"/>
      <c r="AU30" s="589" t="n"/>
      <c r="AV30" s="589" t="n"/>
      <c r="AW30" s="589" t="n"/>
      <c r="AX30" s="589" t="n"/>
      <c r="AY30" s="589" t="n"/>
      <c r="AZ30" s="589" t="n"/>
      <c r="BA30" s="589" t="n"/>
      <c r="BB30" s="589" t="n"/>
      <c r="BC30" s="589" t="n"/>
      <c r="BD30" s="589" t="n"/>
      <c r="BE30" s="589" t="n"/>
      <c r="BF30" s="589" t="n"/>
      <c r="BG30" s="589" t="n"/>
      <c r="BH30" s="589" t="n"/>
      <c r="BI30" s="589" t="n"/>
      <c r="BJ30" s="3" t="n"/>
      <c r="BK30" s="3" t="n"/>
      <c r="BL30" s="3" t="n"/>
      <c r="BM30" s="3" t="n"/>
      <c r="BN30" s="3" t="n"/>
    </row>
    <row r="31" ht="12" customFormat="1" customHeight="1" s="1">
      <c r="A31" s="12" t="inlineStr">
        <is>
          <t>Monthly Depreciation</t>
        </is>
      </c>
      <c r="B31" s="473" t="n"/>
      <c r="C31" s="577" t="n"/>
      <c r="D31" s="577" t="n"/>
      <c r="E31" s="577" t="n"/>
      <c r="F31" s="577" t="n"/>
      <c r="G31" s="577" t="n"/>
      <c r="H31" s="577" t="n"/>
      <c r="I31" s="577" t="n"/>
      <c r="J31" s="577" t="n"/>
      <c r="K31" s="577" t="n"/>
      <c r="L31" s="577" t="n"/>
      <c r="M31" s="577" t="n"/>
      <c r="N31" s="577" t="n"/>
      <c r="O31" s="577" t="n"/>
      <c r="P31" s="577" t="n"/>
      <c r="Q31" s="577" t="n"/>
      <c r="R31" s="577" t="n"/>
      <c r="S31" s="577" t="n"/>
      <c r="T31" s="577" t="n"/>
      <c r="U31" s="577" t="n"/>
      <c r="V31" s="577" t="n"/>
      <c r="W31" s="577" t="n"/>
      <c r="X31" s="577" t="n"/>
      <c r="Y31" s="577" t="n"/>
      <c r="Z31" s="577" t="n"/>
      <c r="AA31" s="577" t="n"/>
      <c r="AB31" s="577" t="n"/>
      <c r="AC31" s="577" t="n"/>
      <c r="AD31" s="577" t="n"/>
      <c r="AE31" s="577" t="n"/>
      <c r="AF31" s="577" t="n"/>
      <c r="AG31" s="577" t="n"/>
      <c r="AH31" s="577" t="n"/>
      <c r="AI31" s="577" t="n"/>
      <c r="AJ31" s="577" t="n"/>
      <c r="AK31" s="577" t="n"/>
      <c r="AL31" s="577" t="n"/>
      <c r="AM31" s="577" t="n"/>
      <c r="AN31" s="577" t="n"/>
      <c r="AO31" s="577" t="n"/>
      <c r="AP31" s="577" t="n"/>
      <c r="AQ31" s="577" t="n"/>
      <c r="AR31" s="577" t="n"/>
      <c r="AS31" s="577" t="n"/>
      <c r="AT31" s="577" t="n"/>
      <c r="AU31" s="577" t="n"/>
      <c r="AV31" s="577" t="n"/>
      <c r="AW31" s="577" t="n"/>
      <c r="AX31" s="577" t="n"/>
      <c r="AY31" s="577" t="n"/>
      <c r="AZ31" s="577" t="n"/>
      <c r="BA31" s="577" t="n"/>
      <c r="BB31" s="577" t="n"/>
      <c r="BC31" s="577" t="n"/>
      <c r="BD31" s="577" t="n"/>
      <c r="BE31" s="577" t="n"/>
      <c r="BF31" s="577" t="n"/>
      <c r="BG31" s="577" t="n"/>
      <c r="BH31" s="577" t="n"/>
      <c r="BI31" s="577" t="n"/>
      <c r="BJ31" s="3" t="n"/>
      <c r="BK31" s="3" t="n"/>
      <c r="BL31" s="3" t="n"/>
      <c r="BM31" s="3" t="n"/>
      <c r="BN31" s="3" t="n"/>
    </row>
    <row r="32" ht="12" customFormat="1" customHeight="1" s="1">
      <c r="A32" s="12" t="n"/>
      <c r="B32" s="587" t="n"/>
      <c r="C32" s="577" t="n"/>
      <c r="D32" s="577" t="n"/>
      <c r="E32" s="577" t="n"/>
      <c r="F32" s="577" t="n"/>
      <c r="G32" s="577" t="n"/>
      <c r="H32" s="577" t="n"/>
      <c r="I32" s="577" t="n"/>
      <c r="J32" s="577" t="n"/>
      <c r="K32" s="577" t="n"/>
      <c r="L32" s="577" t="n"/>
      <c r="M32" s="577" t="n"/>
      <c r="N32" s="577" t="n"/>
      <c r="O32" s="577" t="n"/>
      <c r="P32" s="577" t="n"/>
      <c r="Q32" s="577" t="n"/>
      <c r="R32" s="577" t="n"/>
      <c r="S32" s="577" t="n"/>
      <c r="T32" s="577" t="n"/>
      <c r="U32" s="577" t="n"/>
      <c r="V32" s="577" t="n"/>
      <c r="W32" s="577" t="n"/>
      <c r="X32" s="577" t="n"/>
      <c r="Y32" s="577" t="n"/>
      <c r="Z32" s="577" t="n"/>
      <c r="AA32" s="577" t="n"/>
      <c r="AB32" s="577" t="n"/>
      <c r="AC32" s="577" t="n"/>
      <c r="AD32" s="577" t="n"/>
      <c r="AE32" s="577" t="n"/>
      <c r="AF32" s="577" t="n"/>
      <c r="AG32" s="577" t="n"/>
      <c r="AH32" s="577" t="n"/>
      <c r="AI32" s="577" t="n"/>
      <c r="AJ32" s="577" t="n"/>
      <c r="AK32" s="577" t="n"/>
      <c r="AL32" s="577" t="n"/>
      <c r="AM32" s="577" t="n"/>
      <c r="AN32" s="577" t="n"/>
      <c r="AO32" s="577" t="n"/>
      <c r="AP32" s="577" t="n"/>
      <c r="AQ32" s="577" t="n"/>
      <c r="AR32" s="577" t="n"/>
      <c r="AS32" s="577" t="n"/>
      <c r="AT32" s="577" t="n"/>
      <c r="AU32" s="577" t="n"/>
      <c r="AV32" s="577" t="n"/>
      <c r="AW32" s="577" t="n"/>
      <c r="AX32" s="577" t="n"/>
      <c r="AY32" s="577" t="n"/>
      <c r="AZ32" s="577" t="n"/>
      <c r="BA32" s="577" t="n"/>
      <c r="BB32" s="577" t="n"/>
      <c r="BC32" s="577" t="n"/>
      <c r="BD32" s="577" t="n"/>
      <c r="BE32" s="577" t="n"/>
      <c r="BF32" s="577" t="n"/>
      <c r="BG32" s="577" t="n"/>
      <c r="BH32" s="577" t="n"/>
      <c r="BI32" s="577" t="n"/>
      <c r="BJ32" s="3" t="n"/>
      <c r="BK32" s="3" t="n"/>
      <c r="BL32" s="3" t="n"/>
      <c r="BM32" s="3" t="n"/>
      <c r="BN32" s="3" t="n"/>
    </row>
    <row r="33" ht="12" customFormat="1" customHeight="1" s="1">
      <c r="A33" s="22" t="inlineStr">
        <is>
          <t>Opening Balance</t>
        </is>
      </c>
      <c r="B33" s="590" t="n"/>
      <c r="C33" s="591" t="n"/>
      <c r="D33" s="591" t="n"/>
      <c r="E33" s="591" t="n"/>
      <c r="F33" s="591" t="n"/>
      <c r="G33" s="591" t="n"/>
      <c r="H33" s="591" t="n"/>
      <c r="I33" s="591" t="n"/>
      <c r="J33" s="591" t="n"/>
      <c r="K33" s="591" t="n"/>
      <c r="L33" s="591" t="n"/>
      <c r="M33" s="591" t="n"/>
      <c r="N33" s="591" t="n"/>
      <c r="O33" s="591" t="n"/>
      <c r="P33" s="591" t="n"/>
      <c r="Q33" s="591" t="n"/>
      <c r="R33" s="591" t="n"/>
      <c r="S33" s="591" t="n"/>
      <c r="T33" s="591" t="n"/>
      <c r="U33" s="591" t="n"/>
      <c r="V33" s="591" t="n"/>
      <c r="W33" s="591" t="n"/>
      <c r="X33" s="591" t="n"/>
      <c r="Y33" s="591" t="n"/>
      <c r="Z33" s="591" t="n"/>
      <c r="AA33" s="591" t="n"/>
      <c r="AB33" s="591" t="n"/>
      <c r="AC33" s="591" t="n"/>
      <c r="AD33" s="591" t="n"/>
      <c r="AE33" s="591" t="n"/>
      <c r="AF33" s="591" t="n"/>
      <c r="AG33" s="591" t="n"/>
      <c r="AH33" s="591" t="n"/>
      <c r="AI33" s="591" t="n"/>
      <c r="AJ33" s="591" t="n"/>
      <c r="AK33" s="591" t="n"/>
      <c r="AL33" s="591" t="n"/>
      <c r="AM33" s="591" t="n"/>
      <c r="AN33" s="591" t="n"/>
      <c r="AO33" s="591" t="n"/>
      <c r="AP33" s="591" t="n"/>
      <c r="AQ33" s="591" t="n"/>
      <c r="AR33" s="591" t="n"/>
      <c r="AS33" s="591" t="n"/>
      <c r="AT33" s="591" t="n"/>
      <c r="AU33" s="591" t="n"/>
      <c r="AV33" s="591" t="n"/>
      <c r="AW33" s="591" t="n"/>
      <c r="AX33" s="591" t="n"/>
      <c r="AY33" s="591" t="n"/>
      <c r="AZ33" s="591" t="n"/>
      <c r="BA33" s="591" t="n"/>
      <c r="BB33" s="591" t="n"/>
      <c r="BC33" s="591" t="n"/>
      <c r="BD33" s="591" t="n"/>
      <c r="BE33" s="591" t="n"/>
      <c r="BF33" s="591" t="n"/>
      <c r="BG33" s="591" t="n"/>
      <c r="BH33" s="591" t="n"/>
      <c r="BI33" s="591" t="n"/>
      <c r="BJ33" s="592" t="n"/>
      <c r="BK33" s="592" t="n"/>
      <c r="BL33" s="592" t="n"/>
      <c r="BM33" s="592" t="n"/>
      <c r="BN33" s="592" t="n"/>
    </row>
    <row r="34" ht="12" customFormat="1" customHeight="1" s="583">
      <c r="A34" s="12" t="inlineStr">
        <is>
          <t xml:space="preserve">Additions </t>
        </is>
      </c>
      <c r="B34" s="590" t="n"/>
      <c r="C34" s="590" t="n"/>
      <c r="D34" s="590" t="n"/>
      <c r="E34" s="590" t="n"/>
      <c r="F34" s="590" t="n"/>
      <c r="G34" s="590" t="n"/>
      <c r="H34" s="590" t="n"/>
      <c r="I34" s="590" t="n"/>
      <c r="J34" s="590" t="n"/>
      <c r="K34" s="590" t="n"/>
      <c r="L34" s="590" t="n"/>
      <c r="M34" s="590" t="n"/>
      <c r="N34" s="590" t="n"/>
      <c r="O34" s="590" t="n"/>
      <c r="P34" s="590" t="n"/>
      <c r="Q34" s="590" t="n"/>
      <c r="R34" s="590" t="n"/>
      <c r="S34" s="590" t="n"/>
      <c r="T34" s="590" t="n"/>
      <c r="U34" s="590" t="n"/>
      <c r="V34" s="590" t="n"/>
      <c r="W34" s="590" t="n"/>
      <c r="X34" s="590" t="n"/>
      <c r="Y34" s="590" t="n"/>
      <c r="Z34" s="590" t="n"/>
      <c r="AA34" s="590" t="n"/>
      <c r="AB34" s="590" t="n"/>
      <c r="AC34" s="590" t="n"/>
      <c r="AD34" s="590" t="n"/>
      <c r="AE34" s="590" t="n"/>
      <c r="AF34" s="590" t="n"/>
      <c r="AG34" s="590" t="n"/>
      <c r="AH34" s="590" t="n"/>
      <c r="AI34" s="590" t="n"/>
      <c r="AJ34" s="590" t="n"/>
      <c r="AK34" s="590" t="n"/>
      <c r="AL34" s="590" t="n"/>
      <c r="AM34" s="590" t="n"/>
      <c r="AN34" s="590" t="n"/>
      <c r="AO34" s="590" t="n"/>
      <c r="AP34" s="590" t="n"/>
      <c r="AQ34" s="590" t="n"/>
      <c r="AR34" s="590" t="n"/>
      <c r="AS34" s="590" t="n"/>
      <c r="AT34" s="590" t="n"/>
      <c r="AU34" s="590" t="n"/>
      <c r="AV34" s="590" t="n"/>
      <c r="AW34" s="590" t="n"/>
      <c r="AX34" s="590" t="n"/>
      <c r="AY34" s="590" t="n"/>
      <c r="AZ34" s="590" t="n"/>
      <c r="BA34" s="590" t="n"/>
      <c r="BB34" s="590" t="n"/>
      <c r="BC34" s="590" t="n"/>
      <c r="BD34" s="590" t="n"/>
      <c r="BE34" s="590" t="n"/>
      <c r="BF34" s="590" t="n"/>
      <c r="BG34" s="590" t="n"/>
      <c r="BH34" s="590" t="n"/>
      <c r="BI34" s="590" t="n"/>
      <c r="BJ34" s="592" t="n"/>
      <c r="BK34" s="592" t="n"/>
      <c r="BL34" s="592" t="n"/>
      <c r="BM34" s="592" t="n"/>
      <c r="BN34" s="592" t="n"/>
    </row>
    <row r="35" ht="12" customFormat="1" customHeight="1" s="1">
      <c r="A35" s="12" t="inlineStr">
        <is>
          <t xml:space="preserve">Depreciation </t>
        </is>
      </c>
      <c r="B35" s="587" t="n"/>
      <c r="C35" s="587" t="n"/>
      <c r="D35" s="587" t="n"/>
      <c r="E35" s="587" t="n"/>
      <c r="F35" s="587" t="n"/>
      <c r="G35" s="587" t="n"/>
      <c r="H35" s="587" t="n"/>
      <c r="I35" s="587" t="n"/>
      <c r="J35" s="587" t="n"/>
      <c r="K35" s="587" t="n"/>
      <c r="L35" s="587" t="n"/>
      <c r="M35" s="587" t="n"/>
      <c r="N35" s="587" t="n"/>
      <c r="O35" s="587" t="n"/>
      <c r="P35" s="587" t="n"/>
      <c r="Q35" s="587" t="n"/>
      <c r="R35" s="587" t="n"/>
      <c r="S35" s="587" t="n"/>
      <c r="T35" s="587" t="n"/>
      <c r="U35" s="587" t="n"/>
      <c r="V35" s="587" t="n"/>
      <c r="W35" s="587" t="n"/>
      <c r="X35" s="587" t="n"/>
      <c r="Y35" s="587" t="n"/>
      <c r="Z35" s="587" t="n"/>
      <c r="AA35" s="587" t="n"/>
      <c r="AB35" s="587" t="n"/>
      <c r="AC35" s="587" t="n"/>
      <c r="AD35" s="587" t="n"/>
      <c r="AE35" s="587" t="n"/>
      <c r="AF35" s="587" t="n"/>
      <c r="AG35" s="587" t="n"/>
      <c r="AH35" s="587" t="n"/>
      <c r="AI35" s="587" t="n"/>
      <c r="AJ35" s="587" t="n"/>
      <c r="AK35" s="587" t="n"/>
      <c r="AL35" s="587" t="n"/>
      <c r="AM35" s="587" t="n"/>
      <c r="AN35" s="587" t="n"/>
      <c r="AO35" s="587" t="n"/>
      <c r="AP35" s="587" t="n"/>
      <c r="AQ35" s="587" t="n"/>
      <c r="AR35" s="587" t="n"/>
      <c r="AS35" s="587" t="n"/>
      <c r="AT35" s="587" t="n"/>
      <c r="AU35" s="587" t="n"/>
      <c r="AV35" s="587" t="n"/>
      <c r="AW35" s="587" t="n"/>
      <c r="AX35" s="587" t="n"/>
      <c r="AY35" s="587" t="n"/>
      <c r="AZ35" s="587" t="n"/>
      <c r="BA35" s="587" t="n"/>
      <c r="BB35" s="587" t="n"/>
      <c r="BC35" s="587" t="n"/>
      <c r="BD35" s="587" t="n"/>
      <c r="BE35" s="587" t="n"/>
      <c r="BF35" s="587" t="n"/>
      <c r="BG35" s="587" t="n"/>
      <c r="BH35" s="587" t="n"/>
      <c r="BI35" s="587" t="n"/>
      <c r="BJ35" s="592" t="n"/>
      <c r="BK35" s="592" t="n"/>
      <c r="BL35" s="592" t="n"/>
      <c r="BM35" s="592" t="n"/>
      <c r="BN35" s="592" t="n"/>
    </row>
    <row r="36" ht="12" customFormat="1" customHeight="1" s="20">
      <c r="A36" s="24" t="inlineStr">
        <is>
          <t>Closing Balance</t>
        </is>
      </c>
      <c r="B36" s="593" t="n"/>
      <c r="C36" s="593" t="n"/>
      <c r="D36" s="593" t="n"/>
      <c r="E36" s="593" t="n"/>
      <c r="F36" s="593" t="n"/>
      <c r="G36" s="593" t="n"/>
      <c r="H36" s="593" t="n"/>
      <c r="I36" s="593" t="n"/>
      <c r="J36" s="593" t="n"/>
      <c r="K36" s="593" t="n"/>
      <c r="L36" s="593" t="n"/>
      <c r="M36" s="593" t="n"/>
      <c r="N36" s="593" t="n"/>
      <c r="O36" s="593" t="n"/>
      <c r="P36" s="593" t="n"/>
      <c r="Q36" s="593" t="n"/>
      <c r="R36" s="593" t="n"/>
      <c r="S36" s="593" t="n"/>
      <c r="T36" s="593" t="n"/>
      <c r="U36" s="593" t="n"/>
      <c r="V36" s="593" t="n"/>
      <c r="W36" s="593" t="n"/>
      <c r="X36" s="593" t="n"/>
      <c r="Y36" s="593" t="n"/>
      <c r="Z36" s="593" t="n"/>
      <c r="AA36" s="593" t="n"/>
      <c r="AB36" s="593" t="n"/>
      <c r="AC36" s="593" t="n"/>
      <c r="AD36" s="593" t="n"/>
      <c r="AE36" s="593" t="n"/>
      <c r="AF36" s="593" t="n"/>
      <c r="AG36" s="593" t="n"/>
      <c r="AH36" s="593" t="n"/>
      <c r="AI36" s="593" t="n"/>
      <c r="AJ36" s="593" t="n"/>
      <c r="AK36" s="593" t="n"/>
      <c r="AL36" s="593" t="n"/>
      <c r="AM36" s="593" t="n"/>
      <c r="AN36" s="593" t="n"/>
      <c r="AO36" s="593" t="n"/>
      <c r="AP36" s="593" t="n"/>
      <c r="AQ36" s="593" t="n"/>
      <c r="AR36" s="593" t="n"/>
      <c r="AS36" s="593" t="n"/>
      <c r="AT36" s="593" t="n"/>
      <c r="AU36" s="593" t="n"/>
      <c r="AV36" s="593" t="n"/>
      <c r="AW36" s="593" t="n"/>
      <c r="AX36" s="593" t="n"/>
      <c r="AY36" s="593" t="n"/>
      <c r="AZ36" s="593" t="n"/>
      <c r="BA36" s="593" t="n"/>
      <c r="BB36" s="593" t="n"/>
      <c r="BC36" s="593" t="n"/>
      <c r="BD36" s="593" t="n"/>
      <c r="BE36" s="593" t="n"/>
      <c r="BF36" s="593" t="n"/>
      <c r="BG36" s="593" t="n"/>
      <c r="BH36" s="593" t="n"/>
      <c r="BI36" s="593" t="n"/>
      <c r="BJ36" s="594" t="n"/>
      <c r="BK36" s="594" t="n"/>
      <c r="BL36" s="594" t="n"/>
      <c r="BM36" s="594" t="n"/>
      <c r="BN36" s="594" t="n"/>
    </row>
    <row r="37">
      <c r="B37" s="588" t="n"/>
      <c r="C37" s="588" t="n"/>
      <c r="D37" s="588" t="n"/>
      <c r="E37" s="588" t="n"/>
      <c r="F37" s="588" t="n"/>
      <c r="G37" s="588" t="n"/>
      <c r="H37" s="588" t="n"/>
      <c r="I37" s="588" t="n"/>
      <c r="J37" s="588" t="n"/>
      <c r="K37" s="588" t="n"/>
      <c r="L37" s="588" t="n"/>
      <c r="M37" s="588" t="n"/>
      <c r="N37" s="588" t="n"/>
      <c r="O37" s="588" t="n"/>
      <c r="P37" s="588" t="n"/>
      <c r="Q37" s="588" t="n"/>
      <c r="R37" s="588" t="n"/>
      <c r="S37" s="588" t="n"/>
      <c r="T37" s="588" t="n"/>
      <c r="U37" s="588" t="n"/>
      <c r="V37" s="588" t="n"/>
      <c r="W37" s="588" t="n"/>
      <c r="X37" s="588" t="n"/>
      <c r="Y37" s="588" t="n"/>
      <c r="Z37" s="588" t="n"/>
      <c r="AA37" s="588" t="n"/>
      <c r="AB37" s="588" t="n"/>
      <c r="AC37" s="588" t="n"/>
      <c r="AD37" s="588" t="n"/>
      <c r="AE37" s="588" t="n"/>
      <c r="AF37" s="588" t="n"/>
      <c r="AG37" s="588" t="n"/>
      <c r="AH37" s="588" t="n"/>
      <c r="AI37" s="588" t="n"/>
      <c r="AJ37" s="588" t="n"/>
      <c r="AK37" s="588" t="n"/>
      <c r="AL37" s="588" t="n"/>
      <c r="AM37" s="588" t="n"/>
      <c r="AN37" s="588" t="n"/>
      <c r="AO37" s="588" t="n"/>
      <c r="AP37" s="588" t="n"/>
      <c r="AQ37" s="588" t="n"/>
      <c r="AR37" s="588" t="n"/>
      <c r="AS37" s="588" t="n"/>
      <c r="AT37" s="588" t="n"/>
      <c r="AU37" s="588" t="n"/>
      <c r="AV37" s="588" t="n"/>
      <c r="AW37" s="588" t="n"/>
      <c r="AX37" s="588" t="n"/>
      <c r="AY37" s="588" t="n"/>
      <c r="AZ37" s="588" t="n"/>
      <c r="BA37" s="588" t="n"/>
      <c r="BB37" s="588" t="n"/>
      <c r="BC37" s="588" t="n"/>
      <c r="BD37" s="588" t="n"/>
      <c r="BE37" s="588" t="n"/>
      <c r="BF37" s="588" t="n"/>
      <c r="BG37" s="588" t="n"/>
      <c r="BH37" s="588" t="n"/>
      <c r="BI37" s="588" t="n"/>
      <c r="BJ37" s="595" t="n"/>
      <c r="BK37" s="595" t="n"/>
      <c r="BL37" s="595" t="n"/>
      <c r="BM37" s="595" t="n"/>
      <c r="BN37" s="595" t="n"/>
    </row>
    <row r="38">
      <c r="A38" s="42" t="inlineStr">
        <is>
          <t>Tangible Assets</t>
        </is>
      </c>
      <c r="B38" s="588" t="n"/>
      <c r="C38" s="588" t="n"/>
      <c r="D38" s="588" t="n"/>
      <c r="E38" s="588" t="n"/>
      <c r="F38" s="588" t="n"/>
      <c r="G38" s="588" t="n"/>
      <c r="H38" s="588" t="n"/>
      <c r="I38" s="588" t="n"/>
      <c r="J38" s="588" t="n"/>
      <c r="K38" s="588" t="n"/>
      <c r="L38" s="588" t="n"/>
      <c r="M38" s="588" t="n"/>
      <c r="N38" s="588" t="n"/>
      <c r="O38" s="588" t="n"/>
      <c r="P38" s="588" t="n"/>
      <c r="Q38" s="588" t="n"/>
      <c r="R38" s="588" t="n"/>
      <c r="S38" s="588" t="n"/>
      <c r="T38" s="588" t="n"/>
      <c r="U38" s="588" t="n"/>
      <c r="V38" s="588" t="n"/>
      <c r="W38" s="588" t="n"/>
      <c r="X38" s="588" t="n"/>
      <c r="Y38" s="588" t="n"/>
      <c r="Z38" s="588" t="n"/>
      <c r="AA38" s="588" t="n"/>
      <c r="AB38" s="588" t="n"/>
      <c r="AC38" s="588" t="n"/>
      <c r="AD38" s="588" t="n"/>
      <c r="AE38" s="588" t="n"/>
      <c r="AF38" s="588" t="n"/>
      <c r="AG38" s="588" t="n"/>
      <c r="AH38" s="588" t="n"/>
      <c r="AI38" s="588" t="n"/>
      <c r="AJ38" s="588" t="n"/>
      <c r="AK38" s="588" t="n"/>
      <c r="AL38" s="588" t="n"/>
      <c r="AM38" s="588" t="n"/>
      <c r="AN38" s="588" t="n"/>
      <c r="AO38" s="588" t="n"/>
      <c r="AP38" s="588" t="n"/>
      <c r="AQ38" s="588" t="n"/>
      <c r="AR38" s="588" t="n"/>
      <c r="AS38" s="588" t="n"/>
      <c r="AT38" s="588" t="n"/>
      <c r="AU38" s="588" t="n"/>
      <c r="AV38" s="588" t="n"/>
      <c r="AW38" s="588" t="n"/>
      <c r="AX38" s="588" t="n"/>
      <c r="AY38" s="588" t="n"/>
      <c r="AZ38" s="588" t="n"/>
      <c r="BA38" s="588" t="n"/>
      <c r="BB38" s="588" t="n"/>
      <c r="BC38" s="588" t="n"/>
      <c r="BD38" s="588" t="n"/>
      <c r="BE38" s="588" t="n"/>
      <c r="BF38" s="588" t="n"/>
      <c r="BG38" s="588" t="n"/>
      <c r="BH38" s="588" t="n"/>
      <c r="BI38" s="588" t="n"/>
      <c r="BJ38" s="595" t="n"/>
      <c r="BK38" s="595" t="n"/>
      <c r="BL38" s="595" t="n"/>
      <c r="BM38" s="595" t="n"/>
      <c r="BN38" s="595" t="n"/>
    </row>
    <row r="39">
      <c r="B39" s="588" t="n"/>
      <c r="C39" s="588" t="n"/>
      <c r="D39" s="588" t="n"/>
      <c r="E39" s="588" t="n"/>
      <c r="F39" s="588" t="n"/>
      <c r="G39" s="588" t="n"/>
      <c r="H39" s="588" t="n"/>
      <c r="I39" s="588" t="n"/>
      <c r="J39" s="588" t="n"/>
      <c r="K39" s="588" t="n"/>
      <c r="L39" s="588" t="n"/>
      <c r="M39" s="588" t="n"/>
      <c r="N39" s="588" t="n"/>
      <c r="O39" s="588" t="n"/>
      <c r="P39" s="588" t="n"/>
      <c r="Q39" s="588" t="n"/>
      <c r="R39" s="588" t="n"/>
      <c r="S39" s="588" t="n"/>
      <c r="T39" s="588" t="n"/>
      <c r="U39" s="588" t="n"/>
      <c r="V39" s="588" t="n"/>
      <c r="W39" s="588" t="n"/>
      <c r="X39" s="588" t="n"/>
      <c r="Y39" s="588" t="n"/>
      <c r="Z39" s="588" t="n"/>
      <c r="AA39" s="588" t="n"/>
      <c r="AB39" s="588" t="n"/>
      <c r="AC39" s="588" t="n"/>
      <c r="AD39" s="588" t="n"/>
      <c r="AE39" s="588" t="n"/>
      <c r="AF39" s="588" t="n"/>
      <c r="AG39" s="588" t="n"/>
      <c r="AH39" s="588" t="n"/>
      <c r="AI39" s="588" t="n"/>
      <c r="AJ39" s="588" t="n"/>
      <c r="AK39" s="588" t="n"/>
      <c r="AL39" s="588" t="n"/>
      <c r="AM39" s="588" t="n"/>
      <c r="AN39" s="588" t="n"/>
      <c r="AO39" s="588" t="n"/>
      <c r="AP39" s="588" t="n"/>
      <c r="AQ39" s="588" t="n"/>
      <c r="AR39" s="588" t="n"/>
      <c r="AS39" s="588" t="n"/>
      <c r="AT39" s="588" t="n"/>
      <c r="AU39" s="588" t="n"/>
      <c r="AV39" s="588" t="n"/>
      <c r="AW39" s="588" t="n"/>
      <c r="AX39" s="588" t="n"/>
      <c r="AY39" s="588" t="n"/>
      <c r="AZ39" s="588" t="n"/>
      <c r="BA39" s="588" t="n"/>
      <c r="BB39" s="588" t="n"/>
      <c r="BC39" s="588" t="n"/>
      <c r="BD39" s="588" t="n"/>
      <c r="BE39" s="588" t="n"/>
      <c r="BF39" s="588" t="n"/>
      <c r="BG39" s="588" t="n"/>
      <c r="BH39" s="588" t="n"/>
      <c r="BI39" s="588" t="n"/>
      <c r="BJ39" s="595" t="n"/>
      <c r="BK39" s="595" t="n"/>
      <c r="BL39" s="595" t="n"/>
      <c r="BM39" s="595" t="n"/>
      <c r="BN39" s="595" t="n"/>
    </row>
    <row r="40" ht="12" customFormat="1" customHeight="1" s="1">
      <c r="A40" s="131" t="inlineStr">
        <is>
          <t>Local Facilities</t>
        </is>
      </c>
      <c r="B40" s="577" t="n"/>
      <c r="C40" s="577" t="n"/>
      <c r="D40" s="577" t="n"/>
      <c r="E40" s="589" t="n"/>
      <c r="F40" s="589" t="n"/>
      <c r="G40" s="589" t="n"/>
      <c r="H40" s="589" t="n"/>
      <c r="I40" s="589" t="n"/>
      <c r="J40" s="589" t="n"/>
      <c r="K40" s="589" t="n"/>
      <c r="L40" s="589" t="n"/>
      <c r="M40" s="589" t="n"/>
      <c r="N40" s="589" t="n"/>
      <c r="O40" s="589" t="n"/>
      <c r="P40" s="589" t="n"/>
      <c r="Q40" s="589" t="n"/>
      <c r="R40" s="589" t="n"/>
      <c r="S40" s="589" t="n"/>
      <c r="T40" s="589" t="n"/>
      <c r="U40" s="589" t="n"/>
      <c r="V40" s="589" t="n"/>
      <c r="W40" s="589" t="n"/>
      <c r="X40" s="589" t="n"/>
      <c r="Y40" s="589" t="n"/>
      <c r="Z40" s="589" t="n"/>
      <c r="AA40" s="589" t="n"/>
      <c r="AB40" s="589" t="n"/>
      <c r="AC40" s="589" t="n"/>
      <c r="AD40" s="589" t="n"/>
      <c r="AE40" s="589" t="n"/>
      <c r="AF40" s="589" t="n"/>
      <c r="AG40" s="589" t="n"/>
      <c r="AH40" s="589" t="n"/>
      <c r="AI40" s="589" t="n"/>
      <c r="AJ40" s="589" t="n"/>
      <c r="AK40" s="589" t="n"/>
      <c r="AL40" s="589" t="n"/>
      <c r="AM40" s="589" t="n"/>
      <c r="AN40" s="589" t="n"/>
      <c r="AO40" s="589" t="n"/>
      <c r="AP40" s="589" t="n"/>
      <c r="AQ40" s="589" t="n"/>
      <c r="AR40" s="589" t="n"/>
      <c r="AS40" s="589" t="n"/>
      <c r="AT40" s="589" t="n"/>
      <c r="AU40" s="589" t="n"/>
      <c r="AV40" s="589" t="n"/>
      <c r="AW40" s="589" t="n"/>
      <c r="AX40" s="589" t="n"/>
      <c r="AY40" s="589" t="n"/>
      <c r="AZ40" s="589" t="n"/>
      <c r="BA40" s="589" t="n"/>
      <c r="BB40" s="589" t="n"/>
      <c r="BC40" s="589" t="n"/>
      <c r="BD40" s="589" t="n"/>
      <c r="BE40" s="589" t="n"/>
      <c r="BF40" s="589" t="n"/>
      <c r="BG40" s="589" t="n"/>
      <c r="BH40" s="589" t="n"/>
      <c r="BI40" s="589" t="n"/>
      <c r="BJ40" s="3" t="n"/>
      <c r="BK40" s="3" t="n"/>
      <c r="BL40" s="3" t="n"/>
      <c r="BM40" s="3" t="n"/>
      <c r="BN40" s="3" t="n"/>
    </row>
    <row r="41" ht="12" customFormat="1" customHeight="1" s="1">
      <c r="A41" s="12" t="inlineStr">
        <is>
          <t>Monthly Depreciation</t>
        </is>
      </c>
      <c r="B41" s="473" t="n"/>
      <c r="C41" s="577" t="n"/>
      <c r="D41" s="577" t="n"/>
      <c r="E41" s="577" t="n"/>
      <c r="F41" s="577" t="n"/>
      <c r="G41" s="577" t="n"/>
      <c r="H41" s="577" t="n"/>
      <c r="I41" s="577" t="n"/>
      <c r="J41" s="577" t="n"/>
      <c r="K41" s="577" t="n"/>
      <c r="L41" s="577" t="n"/>
      <c r="M41" s="577" t="n"/>
      <c r="N41" s="577" t="n"/>
      <c r="O41" s="577" t="n"/>
      <c r="P41" s="577" t="n"/>
      <c r="Q41" s="577" t="n"/>
      <c r="R41" s="577" t="n"/>
      <c r="S41" s="577" t="n"/>
      <c r="T41" s="577" t="n"/>
      <c r="U41" s="577" t="n"/>
      <c r="V41" s="577" t="n"/>
      <c r="W41" s="577" t="n"/>
      <c r="X41" s="577" t="n"/>
      <c r="Y41" s="577" t="n"/>
      <c r="Z41" s="577" t="n"/>
      <c r="AA41" s="577" t="n"/>
      <c r="AB41" s="577" t="n"/>
      <c r="AC41" s="577" t="n"/>
      <c r="AD41" s="577" t="n"/>
      <c r="AE41" s="577" t="n"/>
      <c r="AF41" s="577" t="n"/>
      <c r="AG41" s="577" t="n"/>
      <c r="AH41" s="577" t="n"/>
      <c r="AI41" s="577" t="n"/>
      <c r="AJ41" s="577" t="n"/>
      <c r="AK41" s="577" t="n"/>
      <c r="AL41" s="577" t="n"/>
      <c r="AM41" s="577" t="n"/>
      <c r="AN41" s="577" t="n"/>
      <c r="AO41" s="577" t="n"/>
      <c r="AP41" s="577" t="n"/>
      <c r="AQ41" s="577" t="n"/>
      <c r="AR41" s="577" t="n"/>
      <c r="AS41" s="577" t="n"/>
      <c r="AT41" s="577" t="n"/>
      <c r="AU41" s="577" t="n"/>
      <c r="AV41" s="577" t="n"/>
      <c r="AW41" s="577" t="n"/>
      <c r="AX41" s="577" t="n"/>
      <c r="AY41" s="577" t="n"/>
      <c r="AZ41" s="577" t="n"/>
      <c r="BA41" s="577" t="n"/>
      <c r="BB41" s="577" t="n"/>
      <c r="BC41" s="577" t="n"/>
      <c r="BD41" s="577" t="n"/>
      <c r="BE41" s="577" t="n"/>
      <c r="BF41" s="577" t="n"/>
      <c r="BG41" s="577" t="n"/>
      <c r="BH41" s="577" t="n"/>
      <c r="BI41" s="577" t="n"/>
      <c r="BJ41" s="3" t="n"/>
      <c r="BK41" s="3" t="n"/>
      <c r="BL41" s="3" t="n"/>
      <c r="BM41" s="3" t="n"/>
      <c r="BN41" s="3" t="n"/>
    </row>
    <row r="42" ht="12" customFormat="1" customHeight="1" s="1">
      <c r="A42" s="12" t="n"/>
      <c r="B42" s="587" t="n"/>
      <c r="C42" s="577" t="n"/>
      <c r="D42" s="577" t="n"/>
      <c r="E42" s="577" t="n"/>
      <c r="F42" s="577" t="n"/>
      <c r="G42" s="577" t="n"/>
      <c r="H42" s="577" t="n"/>
      <c r="I42" s="577" t="n"/>
      <c r="J42" s="577" t="n"/>
      <c r="K42" s="577" t="n"/>
      <c r="L42" s="577" t="n"/>
      <c r="M42" s="577" t="n"/>
      <c r="N42" s="577" t="n"/>
      <c r="O42" s="577" t="n"/>
      <c r="P42" s="577" t="n"/>
      <c r="Q42" s="577" t="n"/>
      <c r="R42" s="577" t="n"/>
      <c r="S42" s="577" t="n"/>
      <c r="T42" s="577" t="n"/>
      <c r="U42" s="577" t="n"/>
      <c r="V42" s="577" t="n"/>
      <c r="W42" s="577" t="n"/>
      <c r="X42" s="577" t="n"/>
      <c r="Y42" s="577" t="n"/>
      <c r="Z42" s="577" t="n"/>
      <c r="AA42" s="577" t="n"/>
      <c r="AB42" s="577" t="n"/>
      <c r="AC42" s="577" t="n"/>
      <c r="AD42" s="577" t="n"/>
      <c r="AE42" s="577" t="n"/>
      <c r="AF42" s="577" t="n"/>
      <c r="AG42" s="577" t="n"/>
      <c r="AH42" s="577" t="n"/>
      <c r="AI42" s="577" t="n"/>
      <c r="AJ42" s="577" t="n"/>
      <c r="AK42" s="577" t="n"/>
      <c r="AL42" s="577" t="n"/>
      <c r="AM42" s="577" t="n"/>
      <c r="AN42" s="577" t="n"/>
      <c r="AO42" s="577" t="n"/>
      <c r="AP42" s="577" t="n"/>
      <c r="AQ42" s="577" t="n"/>
      <c r="AR42" s="577" t="n"/>
      <c r="AS42" s="577" t="n"/>
      <c r="AT42" s="577" t="n"/>
      <c r="AU42" s="577" t="n"/>
      <c r="AV42" s="577" t="n"/>
      <c r="AW42" s="577" t="n"/>
      <c r="AX42" s="577" t="n"/>
      <c r="AY42" s="577" t="n"/>
      <c r="AZ42" s="577" t="n"/>
      <c r="BA42" s="577" t="n"/>
      <c r="BB42" s="577" t="n"/>
      <c r="BC42" s="577" t="n"/>
      <c r="BD42" s="577" t="n"/>
      <c r="BE42" s="577" t="n"/>
      <c r="BF42" s="577" t="n"/>
      <c r="BG42" s="577" t="n"/>
      <c r="BH42" s="577" t="n"/>
      <c r="BI42" s="577" t="n"/>
      <c r="BJ42" s="3" t="n"/>
      <c r="BK42" s="3" t="n"/>
      <c r="BL42" s="3" t="n"/>
      <c r="BM42" s="3" t="n"/>
      <c r="BN42" s="3" t="n"/>
    </row>
    <row r="43" ht="12" customFormat="1" customHeight="1" s="1">
      <c r="A43" s="22" t="inlineStr">
        <is>
          <t>Opening Balance</t>
        </is>
      </c>
      <c r="B43" s="590" t="n"/>
      <c r="C43" s="591" t="n"/>
      <c r="D43" s="591" t="n"/>
      <c r="E43" s="591" t="n"/>
      <c r="F43" s="591" t="n"/>
      <c r="G43" s="591" t="n"/>
      <c r="H43" s="591" t="n"/>
      <c r="I43" s="591" t="n"/>
      <c r="J43" s="591" t="n"/>
      <c r="K43" s="591" t="n"/>
      <c r="L43" s="591" t="n"/>
      <c r="M43" s="591" t="n"/>
      <c r="N43" s="591" t="n"/>
      <c r="O43" s="591" t="n"/>
      <c r="P43" s="591" t="n"/>
      <c r="Q43" s="591" t="n"/>
      <c r="R43" s="591" t="n"/>
      <c r="S43" s="591" t="n"/>
      <c r="T43" s="591" t="n"/>
      <c r="U43" s="591" t="n"/>
      <c r="V43" s="591" t="n"/>
      <c r="W43" s="591" t="n"/>
      <c r="X43" s="591" t="n"/>
      <c r="Y43" s="591" t="n"/>
      <c r="Z43" s="591" t="n"/>
      <c r="AA43" s="591" t="n"/>
      <c r="AB43" s="591" t="n"/>
      <c r="AC43" s="591" t="n"/>
      <c r="AD43" s="591" t="n"/>
      <c r="AE43" s="591" t="n"/>
      <c r="AF43" s="591" t="n"/>
      <c r="AG43" s="591" t="n"/>
      <c r="AH43" s="591" t="n"/>
      <c r="AI43" s="591" t="n"/>
      <c r="AJ43" s="591" t="n"/>
      <c r="AK43" s="591" t="n"/>
      <c r="AL43" s="591" t="n"/>
      <c r="AM43" s="591" t="n"/>
      <c r="AN43" s="591" t="n"/>
      <c r="AO43" s="591" t="n"/>
      <c r="AP43" s="591" t="n"/>
      <c r="AQ43" s="591" t="n"/>
      <c r="AR43" s="591" t="n"/>
      <c r="AS43" s="591" t="n"/>
      <c r="AT43" s="591" t="n"/>
      <c r="AU43" s="591" t="n"/>
      <c r="AV43" s="591" t="n"/>
      <c r="AW43" s="591" t="n"/>
      <c r="AX43" s="591" t="n"/>
      <c r="AY43" s="591" t="n"/>
      <c r="AZ43" s="591" t="n"/>
      <c r="BA43" s="591" t="n"/>
      <c r="BB43" s="591" t="n"/>
      <c r="BC43" s="591" t="n"/>
      <c r="BD43" s="591" t="n"/>
      <c r="BE43" s="591" t="n"/>
      <c r="BF43" s="591" t="n"/>
      <c r="BG43" s="591" t="n"/>
      <c r="BH43" s="591" t="n"/>
      <c r="BI43" s="591" t="n"/>
      <c r="BJ43" s="592" t="n"/>
      <c r="BK43" s="592" t="n"/>
      <c r="BL43" s="592" t="n"/>
      <c r="BM43" s="592" t="n"/>
      <c r="BN43" s="592" t="n"/>
    </row>
    <row r="44" ht="12" customFormat="1" customHeight="1" s="583">
      <c r="A44" s="12" t="inlineStr">
        <is>
          <t xml:space="preserve">Additions </t>
        </is>
      </c>
      <c r="B44" s="590" t="n"/>
      <c r="C44" s="590" t="n"/>
      <c r="D44" s="590" t="n"/>
      <c r="E44" s="590" t="n"/>
      <c r="F44" s="590" t="n"/>
      <c r="G44" s="590" t="n"/>
      <c r="H44" s="590" t="n"/>
      <c r="I44" s="590" t="n"/>
      <c r="J44" s="590" t="n"/>
      <c r="K44" s="590" t="n"/>
      <c r="L44" s="590" t="n"/>
      <c r="M44" s="590" t="n"/>
      <c r="N44" s="590" t="n"/>
      <c r="O44" s="590" t="n"/>
      <c r="P44" s="590" t="n"/>
      <c r="Q44" s="590" t="n"/>
      <c r="R44" s="590" t="n"/>
      <c r="S44" s="590" t="n"/>
      <c r="T44" s="590" t="n"/>
      <c r="U44" s="590" t="n"/>
      <c r="V44" s="590" t="n"/>
      <c r="W44" s="590" t="n"/>
      <c r="X44" s="590" t="n"/>
      <c r="Y44" s="590" t="n"/>
      <c r="Z44" s="590" t="n"/>
      <c r="AA44" s="590" t="n"/>
      <c r="AB44" s="590" t="n"/>
      <c r="AC44" s="590" t="n"/>
      <c r="AD44" s="590" t="n"/>
      <c r="AE44" s="590" t="n"/>
      <c r="AF44" s="590" t="n"/>
      <c r="AG44" s="590" t="n"/>
      <c r="AH44" s="590" t="n"/>
      <c r="AI44" s="590" t="n"/>
      <c r="AJ44" s="590" t="n"/>
      <c r="AK44" s="590" t="n"/>
      <c r="AL44" s="590" t="n"/>
      <c r="AM44" s="590" t="n"/>
      <c r="AN44" s="590" t="n"/>
      <c r="AO44" s="590" t="n"/>
      <c r="AP44" s="590" t="n"/>
      <c r="AQ44" s="590" t="n"/>
      <c r="AR44" s="590" t="n"/>
      <c r="AS44" s="590" t="n"/>
      <c r="AT44" s="590" t="n"/>
      <c r="AU44" s="590" t="n"/>
      <c r="AV44" s="590" t="n"/>
      <c r="AW44" s="590" t="n"/>
      <c r="AX44" s="590" t="n"/>
      <c r="AY44" s="590" t="n"/>
      <c r="AZ44" s="590" t="n"/>
      <c r="BA44" s="590" t="n"/>
      <c r="BB44" s="590" t="n"/>
      <c r="BC44" s="590" t="n"/>
      <c r="BD44" s="590" t="n"/>
      <c r="BE44" s="590" t="n"/>
      <c r="BF44" s="590" t="n"/>
      <c r="BG44" s="590" t="n"/>
      <c r="BH44" s="590" t="n"/>
      <c r="BI44" s="590" t="n"/>
      <c r="BJ44" s="592" t="n"/>
      <c r="BK44" s="592" t="n"/>
      <c r="BL44" s="592" t="n"/>
      <c r="BM44" s="592" t="n"/>
      <c r="BN44" s="592" t="n"/>
    </row>
    <row r="45" ht="12" customFormat="1" customHeight="1" s="1">
      <c r="A45" s="12" t="inlineStr">
        <is>
          <t xml:space="preserve">Depreciation </t>
        </is>
      </c>
      <c r="B45" s="587" t="n"/>
      <c r="C45" s="587" t="n"/>
      <c r="D45" s="587" t="n"/>
      <c r="E45" s="587" t="n"/>
      <c r="F45" s="587" t="n"/>
      <c r="G45" s="587" t="n"/>
      <c r="H45" s="587" t="n"/>
      <c r="I45" s="587" t="n"/>
      <c r="J45" s="587" t="n"/>
      <c r="K45" s="587" t="n"/>
      <c r="L45" s="587" t="n"/>
      <c r="M45" s="587" t="n"/>
      <c r="N45" s="587" t="n"/>
      <c r="O45" s="587" t="n"/>
      <c r="P45" s="587" t="n"/>
      <c r="Q45" s="587" t="n"/>
      <c r="R45" s="587" t="n"/>
      <c r="S45" s="587" t="n"/>
      <c r="T45" s="587" t="n"/>
      <c r="U45" s="587" t="n"/>
      <c r="V45" s="587" t="n"/>
      <c r="W45" s="587" t="n"/>
      <c r="X45" s="587" t="n"/>
      <c r="Y45" s="587" t="n"/>
      <c r="Z45" s="587" t="n"/>
      <c r="AA45" s="587" t="n"/>
      <c r="AB45" s="587" t="n"/>
      <c r="AC45" s="587" t="n"/>
      <c r="AD45" s="587" t="n"/>
      <c r="AE45" s="587" t="n"/>
      <c r="AF45" s="587" t="n"/>
      <c r="AG45" s="587" t="n"/>
      <c r="AH45" s="587" t="n"/>
      <c r="AI45" s="587" t="n"/>
      <c r="AJ45" s="587" t="n"/>
      <c r="AK45" s="587" t="n"/>
      <c r="AL45" s="587" t="n"/>
      <c r="AM45" s="587" t="n"/>
      <c r="AN45" s="587" t="n"/>
      <c r="AO45" s="587" t="n"/>
      <c r="AP45" s="587" t="n"/>
      <c r="AQ45" s="587" t="n"/>
      <c r="AR45" s="587" t="n"/>
      <c r="AS45" s="587" t="n"/>
      <c r="AT45" s="587" t="n"/>
      <c r="AU45" s="587" t="n"/>
      <c r="AV45" s="587" t="n"/>
      <c r="AW45" s="587" t="n"/>
      <c r="AX45" s="587" t="n"/>
      <c r="AY45" s="587" t="n"/>
      <c r="AZ45" s="587" t="n"/>
      <c r="BA45" s="587" t="n"/>
      <c r="BB45" s="587" t="n"/>
      <c r="BC45" s="587" t="n"/>
      <c r="BD45" s="587" t="n"/>
      <c r="BE45" s="587" t="n"/>
      <c r="BF45" s="587" t="n"/>
      <c r="BG45" s="587" t="n"/>
      <c r="BH45" s="587" t="n"/>
      <c r="BI45" s="587" t="n"/>
      <c r="BJ45" s="592" t="n"/>
      <c r="BK45" s="592" t="n"/>
      <c r="BL45" s="592" t="n"/>
      <c r="BM45" s="592" t="n"/>
      <c r="BN45" s="592" t="n"/>
    </row>
    <row r="46" ht="12" customFormat="1" customHeight="1" s="20">
      <c r="A46" s="24" t="inlineStr">
        <is>
          <t>Closing Balance</t>
        </is>
      </c>
      <c r="B46" s="593" t="n"/>
      <c r="C46" s="593" t="n"/>
      <c r="D46" s="593" t="n"/>
      <c r="E46" s="593" t="n"/>
      <c r="F46" s="593" t="n"/>
      <c r="G46" s="593" t="n"/>
      <c r="H46" s="593" t="n"/>
      <c r="I46" s="593" t="n"/>
      <c r="J46" s="593" t="n"/>
      <c r="K46" s="593" t="n"/>
      <c r="L46" s="593" t="n"/>
      <c r="M46" s="593" t="n"/>
      <c r="N46" s="593" t="n"/>
      <c r="O46" s="593" t="n"/>
      <c r="P46" s="593" t="n"/>
      <c r="Q46" s="593" t="n"/>
      <c r="R46" s="593" t="n"/>
      <c r="S46" s="593" t="n"/>
      <c r="T46" s="593" t="n"/>
      <c r="U46" s="593" t="n"/>
      <c r="V46" s="593" t="n"/>
      <c r="W46" s="593" t="n"/>
      <c r="X46" s="593" t="n"/>
      <c r="Y46" s="593" t="n"/>
      <c r="Z46" s="593" t="n"/>
      <c r="AA46" s="593" t="n"/>
      <c r="AB46" s="593" t="n"/>
      <c r="AC46" s="593" t="n"/>
      <c r="AD46" s="593" t="n"/>
      <c r="AE46" s="593" t="n"/>
      <c r="AF46" s="593" t="n"/>
      <c r="AG46" s="593" t="n"/>
      <c r="AH46" s="593" t="n"/>
      <c r="AI46" s="593" t="n"/>
      <c r="AJ46" s="593" t="n"/>
      <c r="AK46" s="593" t="n"/>
      <c r="AL46" s="593" t="n"/>
      <c r="AM46" s="593" t="n"/>
      <c r="AN46" s="593" t="n"/>
      <c r="AO46" s="593" t="n"/>
      <c r="AP46" s="593" t="n"/>
      <c r="AQ46" s="593" t="n"/>
      <c r="AR46" s="593" t="n"/>
      <c r="AS46" s="593" t="n"/>
      <c r="AT46" s="593" t="n"/>
      <c r="AU46" s="593" t="n"/>
      <c r="AV46" s="593" t="n"/>
      <c r="AW46" s="593" t="n"/>
      <c r="AX46" s="593" t="n"/>
      <c r="AY46" s="593" t="n"/>
      <c r="AZ46" s="593" t="n"/>
      <c r="BA46" s="593" t="n"/>
      <c r="BB46" s="593" t="n"/>
      <c r="BC46" s="593" t="n"/>
      <c r="BD46" s="593" t="n"/>
      <c r="BE46" s="593" t="n"/>
      <c r="BF46" s="593" t="n"/>
      <c r="BG46" s="593" t="n"/>
      <c r="BH46" s="593" t="n"/>
      <c r="BI46" s="593" t="n"/>
      <c r="BJ46" s="594" t="n"/>
      <c r="BK46" s="594" t="n"/>
      <c r="BL46" s="594" t="n"/>
      <c r="BM46" s="594" t="n"/>
      <c r="BN46" s="594" t="n"/>
    </row>
    <row r="47">
      <c r="B47" s="588" t="n"/>
      <c r="C47" s="588" t="n"/>
      <c r="D47" s="588" t="n"/>
      <c r="E47" s="588" t="n"/>
      <c r="F47" s="588" t="n"/>
      <c r="G47" s="588" t="n"/>
      <c r="H47" s="588" t="n"/>
      <c r="I47" s="588" t="n"/>
      <c r="J47" s="588" t="n"/>
      <c r="K47" s="588" t="n"/>
      <c r="L47" s="588" t="n"/>
      <c r="M47" s="588" t="n"/>
      <c r="N47" s="588" t="n"/>
      <c r="O47" s="588" t="n"/>
      <c r="P47" s="588" t="n"/>
      <c r="Q47" s="588" t="n"/>
      <c r="R47" s="588" t="n"/>
      <c r="S47" s="588" t="n"/>
      <c r="T47" s="588" t="n"/>
      <c r="U47" s="588" t="n"/>
      <c r="V47" s="588" t="n"/>
      <c r="W47" s="588" t="n"/>
      <c r="X47" s="588" t="n"/>
      <c r="Y47" s="588" t="n"/>
      <c r="Z47" s="588" t="n"/>
      <c r="AA47" s="588" t="n"/>
      <c r="AB47" s="588" t="n"/>
      <c r="AC47" s="588" t="n"/>
      <c r="AD47" s="588" t="n"/>
      <c r="AE47" s="588" t="n"/>
      <c r="AF47" s="588" t="n"/>
      <c r="AG47" s="588" t="n"/>
      <c r="AH47" s="588" t="n"/>
      <c r="AI47" s="588" t="n"/>
      <c r="AJ47" s="588" t="n"/>
      <c r="AK47" s="588" t="n"/>
      <c r="AL47" s="588" t="n"/>
      <c r="AM47" s="588" t="n"/>
      <c r="AN47" s="588" t="n"/>
      <c r="AO47" s="588" t="n"/>
      <c r="AP47" s="588" t="n"/>
      <c r="AQ47" s="588" t="n"/>
      <c r="AR47" s="588" t="n"/>
      <c r="AS47" s="588" t="n"/>
      <c r="AT47" s="588" t="n"/>
      <c r="AU47" s="588" t="n"/>
      <c r="AV47" s="588" t="n"/>
      <c r="AW47" s="588" t="n"/>
      <c r="AX47" s="588" t="n"/>
      <c r="AY47" s="588" t="n"/>
      <c r="AZ47" s="588" t="n"/>
      <c r="BA47" s="588" t="n"/>
      <c r="BB47" s="588" t="n"/>
      <c r="BC47" s="588" t="n"/>
      <c r="BD47" s="588" t="n"/>
      <c r="BE47" s="588" t="n"/>
      <c r="BF47" s="588" t="n"/>
      <c r="BG47" s="588" t="n"/>
      <c r="BH47" s="588" t="n"/>
      <c r="BI47" s="588" t="n"/>
    </row>
    <row r="48" ht="12" customFormat="1" customHeight="1" s="1">
      <c r="A48" s="131" t="inlineStr">
        <is>
          <t>Assembly Unit</t>
        </is>
      </c>
      <c r="B48" s="577" t="n"/>
      <c r="C48" s="577" t="n"/>
      <c r="D48" s="577" t="n"/>
      <c r="E48" s="589" t="n"/>
      <c r="F48" s="589" t="n"/>
      <c r="G48" s="589" t="n"/>
      <c r="H48" s="589" t="n"/>
      <c r="I48" s="589" t="n"/>
      <c r="J48" s="589" t="n"/>
      <c r="K48" s="589" t="n"/>
      <c r="L48" s="589" t="n"/>
      <c r="M48" s="589" t="n"/>
      <c r="N48" s="589" t="n"/>
      <c r="O48" s="589" t="n"/>
      <c r="P48" s="589" t="n"/>
      <c r="Q48" s="589" t="n"/>
      <c r="R48" s="589" t="n"/>
      <c r="S48" s="589" t="n"/>
      <c r="T48" s="589" t="n"/>
      <c r="U48" s="589" t="n"/>
      <c r="V48" s="589" t="n"/>
      <c r="W48" s="589" t="n"/>
      <c r="X48" s="589" t="n"/>
      <c r="Y48" s="589" t="n"/>
      <c r="Z48" s="589" t="n"/>
      <c r="AA48" s="589" t="n"/>
      <c r="AB48" s="589" t="n"/>
      <c r="AC48" s="589" t="n"/>
      <c r="AD48" s="589" t="n"/>
      <c r="AE48" s="589" t="n"/>
      <c r="AF48" s="589" t="n"/>
      <c r="AG48" s="589" t="n"/>
      <c r="AH48" s="589" t="n"/>
      <c r="AI48" s="589" t="n"/>
      <c r="AJ48" s="589" t="n"/>
      <c r="AK48" s="589" t="n"/>
      <c r="AL48" s="589" t="n"/>
      <c r="AM48" s="589" t="n"/>
      <c r="AN48" s="589" t="n"/>
      <c r="AO48" s="589" t="n"/>
      <c r="AP48" s="589" t="n"/>
      <c r="AQ48" s="589" t="n"/>
      <c r="AR48" s="589" t="n"/>
      <c r="AS48" s="589" t="n"/>
      <c r="AT48" s="589" t="n"/>
      <c r="AU48" s="589" t="n"/>
      <c r="AV48" s="589" t="n"/>
      <c r="AW48" s="589" t="n"/>
      <c r="AX48" s="589" t="n"/>
      <c r="AY48" s="589" t="n"/>
      <c r="AZ48" s="589" t="n"/>
      <c r="BA48" s="589" t="n"/>
      <c r="BB48" s="589" t="n"/>
      <c r="BC48" s="589" t="n"/>
      <c r="BD48" s="589" t="n"/>
      <c r="BE48" s="589" t="n"/>
      <c r="BF48" s="589" t="n"/>
      <c r="BG48" s="589" t="n"/>
      <c r="BH48" s="589" t="n"/>
      <c r="BI48" s="589" t="n"/>
      <c r="BJ48" s="3" t="n"/>
      <c r="BK48" s="3" t="n"/>
      <c r="BL48" s="3" t="n"/>
      <c r="BM48" s="3" t="n"/>
      <c r="BN48" s="3" t="n"/>
    </row>
    <row r="49" ht="12" customFormat="1" customHeight="1" s="1">
      <c r="A49" s="12" t="inlineStr">
        <is>
          <t>Monthly Depreciation</t>
        </is>
      </c>
      <c r="B49" s="473" t="n"/>
      <c r="C49" s="577" t="n"/>
      <c r="D49" s="577" t="n"/>
      <c r="E49" s="577" t="n"/>
      <c r="F49" s="577" t="n"/>
      <c r="G49" s="577" t="n"/>
      <c r="H49" s="577" t="n"/>
      <c r="I49" s="577" t="n"/>
      <c r="J49" s="577" t="n"/>
      <c r="K49" s="577" t="n"/>
      <c r="L49" s="577" t="n"/>
      <c r="M49" s="577" t="n"/>
      <c r="N49" s="577" t="n"/>
      <c r="O49" s="577" t="n"/>
      <c r="P49" s="577" t="n"/>
      <c r="Q49" s="577" t="n"/>
      <c r="R49" s="577" t="n"/>
      <c r="S49" s="577" t="n"/>
      <c r="T49" s="577" t="n"/>
      <c r="U49" s="577" t="n"/>
      <c r="V49" s="577" t="n"/>
      <c r="W49" s="577" t="n"/>
      <c r="X49" s="577" t="n"/>
      <c r="Y49" s="577" t="n"/>
      <c r="Z49" s="577" t="n"/>
      <c r="AA49" s="577" t="n"/>
      <c r="AB49" s="577" t="n"/>
      <c r="AC49" s="577" t="n"/>
      <c r="AD49" s="577" t="n"/>
      <c r="AE49" s="577" t="n"/>
      <c r="AF49" s="577" t="n"/>
      <c r="AG49" s="577" t="n"/>
      <c r="AH49" s="577" t="n"/>
      <c r="AI49" s="577" t="n"/>
      <c r="AJ49" s="577" t="n"/>
      <c r="AK49" s="577" t="n"/>
      <c r="AL49" s="577" t="n"/>
      <c r="AM49" s="577" t="n"/>
      <c r="AN49" s="577" t="n"/>
      <c r="AO49" s="577" t="n"/>
      <c r="AP49" s="577" t="n"/>
      <c r="AQ49" s="577" t="n"/>
      <c r="AR49" s="577" t="n"/>
      <c r="AS49" s="577" t="n"/>
      <c r="AT49" s="577" t="n"/>
      <c r="AU49" s="577" t="n"/>
      <c r="AV49" s="577" t="n"/>
      <c r="AW49" s="577" t="n"/>
      <c r="AX49" s="577" t="n"/>
      <c r="AY49" s="577" t="n"/>
      <c r="AZ49" s="577" t="n"/>
      <c r="BA49" s="577" t="n"/>
      <c r="BB49" s="577" t="n"/>
      <c r="BC49" s="577" t="n"/>
      <c r="BD49" s="577" t="n"/>
      <c r="BE49" s="577" t="n"/>
      <c r="BF49" s="577" t="n"/>
      <c r="BG49" s="577" t="n"/>
      <c r="BH49" s="577" t="n"/>
      <c r="BI49" s="577" t="n"/>
      <c r="BJ49" s="3" t="n"/>
      <c r="BK49" s="3" t="n"/>
      <c r="BL49" s="3" t="n"/>
      <c r="BM49" s="3" t="n"/>
      <c r="BN49" s="3" t="n"/>
    </row>
    <row r="50" ht="12" customFormat="1" customHeight="1" s="1">
      <c r="A50" s="12" t="n"/>
      <c r="B50" s="587" t="n"/>
      <c r="C50" s="577" t="n"/>
      <c r="D50" s="577" t="n"/>
      <c r="E50" s="577" t="n"/>
      <c r="F50" s="577" t="n"/>
      <c r="G50" s="577" t="n"/>
      <c r="H50" s="577" t="n"/>
      <c r="I50" s="577" t="n"/>
      <c r="J50" s="577" t="n"/>
      <c r="K50" s="577" t="n"/>
      <c r="L50" s="577" t="n"/>
      <c r="M50" s="577" t="n"/>
      <c r="N50" s="577" t="n"/>
      <c r="O50" s="577" t="n"/>
      <c r="P50" s="577" t="n"/>
      <c r="Q50" s="577" t="n"/>
      <c r="R50" s="577" t="n"/>
      <c r="S50" s="577" t="n"/>
      <c r="T50" s="577" t="n"/>
      <c r="U50" s="577" t="n"/>
      <c r="V50" s="577" t="n"/>
      <c r="W50" s="577" t="n"/>
      <c r="X50" s="577" t="n"/>
      <c r="Y50" s="577" t="n"/>
      <c r="Z50" s="577" t="n"/>
      <c r="AA50" s="577" t="n"/>
      <c r="AB50" s="577" t="n"/>
      <c r="AC50" s="577" t="n"/>
      <c r="AD50" s="577" t="n"/>
      <c r="AE50" s="577" t="n"/>
      <c r="AF50" s="577" t="n"/>
      <c r="AG50" s="577" t="n"/>
      <c r="AH50" s="577" t="n"/>
      <c r="AI50" s="577" t="n"/>
      <c r="AJ50" s="577" t="n"/>
      <c r="AK50" s="577" t="n"/>
      <c r="AL50" s="577" t="n"/>
      <c r="AM50" s="577" t="n"/>
      <c r="AN50" s="577" t="n"/>
      <c r="AO50" s="577" t="n"/>
      <c r="AP50" s="577" t="n"/>
      <c r="AQ50" s="577" t="n"/>
      <c r="AR50" s="577" t="n"/>
      <c r="AS50" s="577" t="n"/>
      <c r="AT50" s="577" t="n"/>
      <c r="AU50" s="577" t="n"/>
      <c r="AV50" s="577" t="n"/>
      <c r="AW50" s="577" t="n"/>
      <c r="AX50" s="577" t="n"/>
      <c r="AY50" s="577" t="n"/>
      <c r="AZ50" s="577" t="n"/>
      <c r="BA50" s="577" t="n"/>
      <c r="BB50" s="577" t="n"/>
      <c r="BC50" s="577" t="n"/>
      <c r="BD50" s="577" t="n"/>
      <c r="BE50" s="577" t="n"/>
      <c r="BF50" s="577" t="n"/>
      <c r="BG50" s="577" t="n"/>
      <c r="BH50" s="577" t="n"/>
      <c r="BI50" s="577" t="n"/>
      <c r="BJ50" s="3" t="n"/>
      <c r="BK50" s="3" t="n"/>
      <c r="BL50" s="3" t="n"/>
      <c r="BM50" s="3" t="n"/>
      <c r="BN50" s="3" t="n"/>
    </row>
    <row r="51" ht="12" customFormat="1" customHeight="1" s="1">
      <c r="A51" s="22" t="inlineStr">
        <is>
          <t>Opening Balance</t>
        </is>
      </c>
      <c r="B51" s="590" t="n"/>
      <c r="C51" s="591" t="n"/>
      <c r="D51" s="591" t="n"/>
      <c r="E51" s="591" t="n"/>
      <c r="F51" s="591" t="n"/>
      <c r="G51" s="591" t="n"/>
      <c r="H51" s="591" t="n"/>
      <c r="I51" s="591" t="n"/>
      <c r="J51" s="591" t="n"/>
      <c r="K51" s="591" t="n"/>
      <c r="L51" s="591" t="n"/>
      <c r="M51" s="591" t="n"/>
      <c r="N51" s="591" t="n"/>
      <c r="O51" s="591" t="n"/>
      <c r="P51" s="591" t="n"/>
      <c r="Q51" s="591" t="n"/>
      <c r="R51" s="591" t="n"/>
      <c r="S51" s="591" t="n"/>
      <c r="T51" s="591" t="n"/>
      <c r="U51" s="591" t="n"/>
      <c r="V51" s="591" t="n"/>
      <c r="W51" s="591" t="n"/>
      <c r="X51" s="591" t="n"/>
      <c r="Y51" s="591" t="n"/>
      <c r="Z51" s="591" t="n"/>
      <c r="AA51" s="591" t="n"/>
      <c r="AB51" s="591" t="n"/>
      <c r="AC51" s="591" t="n"/>
      <c r="AD51" s="591" t="n"/>
      <c r="AE51" s="591" t="n"/>
      <c r="AF51" s="591" t="n"/>
      <c r="AG51" s="591" t="n"/>
      <c r="AH51" s="591" t="n"/>
      <c r="AI51" s="591" t="n"/>
      <c r="AJ51" s="591" t="n"/>
      <c r="AK51" s="591" t="n"/>
      <c r="AL51" s="591" t="n"/>
      <c r="AM51" s="591" t="n"/>
      <c r="AN51" s="591" t="n"/>
      <c r="AO51" s="591" t="n"/>
      <c r="AP51" s="591" t="n"/>
      <c r="AQ51" s="591" t="n"/>
      <c r="AR51" s="591" t="n"/>
      <c r="AS51" s="591" t="n"/>
      <c r="AT51" s="591" t="n"/>
      <c r="AU51" s="591" t="n"/>
      <c r="AV51" s="591" t="n"/>
      <c r="AW51" s="591" t="n"/>
      <c r="AX51" s="591" t="n"/>
      <c r="AY51" s="591" t="n"/>
      <c r="AZ51" s="591" t="n"/>
      <c r="BA51" s="591" t="n"/>
      <c r="BB51" s="591" t="n"/>
      <c r="BC51" s="591" t="n"/>
      <c r="BD51" s="591" t="n"/>
      <c r="BE51" s="591" t="n"/>
      <c r="BF51" s="591" t="n"/>
      <c r="BG51" s="591" t="n"/>
      <c r="BH51" s="591" t="n"/>
      <c r="BI51" s="591" t="n"/>
      <c r="BJ51" s="592" t="n"/>
      <c r="BK51" s="592" t="n"/>
      <c r="BL51" s="592" t="n"/>
      <c r="BM51" s="592" t="n"/>
      <c r="BN51" s="592" t="n"/>
    </row>
    <row r="52" ht="12" customFormat="1" customHeight="1" s="583">
      <c r="A52" s="12" t="inlineStr">
        <is>
          <t xml:space="preserve">Additions </t>
        </is>
      </c>
      <c r="B52" s="590" t="n"/>
      <c r="C52" s="590" t="n"/>
      <c r="D52" s="590" t="n"/>
      <c r="E52" s="590" t="n"/>
      <c r="F52" s="590" t="n"/>
      <c r="G52" s="590" t="n"/>
      <c r="H52" s="590" t="n"/>
      <c r="I52" s="590" t="n"/>
      <c r="J52" s="590" t="n"/>
      <c r="K52" s="590" t="n"/>
      <c r="L52" s="590" t="n"/>
      <c r="M52" s="590" t="n"/>
      <c r="N52" s="590" t="n"/>
      <c r="O52" s="590" t="n"/>
      <c r="P52" s="590" t="n"/>
      <c r="Q52" s="590" t="n"/>
      <c r="R52" s="590" t="n"/>
      <c r="S52" s="590" t="n"/>
      <c r="T52" s="590" t="n"/>
      <c r="U52" s="590" t="n"/>
      <c r="V52" s="590" t="n"/>
      <c r="W52" s="590" t="n"/>
      <c r="X52" s="590" t="n"/>
      <c r="Y52" s="590" t="n"/>
      <c r="Z52" s="590" t="n"/>
      <c r="AA52" s="590" t="n"/>
      <c r="AB52" s="590" t="n"/>
      <c r="AC52" s="590" t="n"/>
      <c r="AD52" s="590" t="n"/>
      <c r="AE52" s="590" t="n"/>
      <c r="AF52" s="590" t="n"/>
      <c r="AG52" s="590" t="n"/>
      <c r="AH52" s="590" t="n"/>
      <c r="AI52" s="590" t="n"/>
      <c r="AJ52" s="590" t="n"/>
      <c r="AK52" s="590" t="n"/>
      <c r="AL52" s="590" t="n"/>
      <c r="AM52" s="590" t="n"/>
      <c r="AN52" s="590" t="n"/>
      <c r="AO52" s="590" t="n"/>
      <c r="AP52" s="590" t="n"/>
      <c r="AQ52" s="590" t="n"/>
      <c r="AR52" s="590" t="n"/>
      <c r="AS52" s="590" t="n"/>
      <c r="AT52" s="590" t="n"/>
      <c r="AU52" s="590" t="n"/>
      <c r="AV52" s="590" t="n"/>
      <c r="AW52" s="590" t="n"/>
      <c r="AX52" s="590" t="n"/>
      <c r="AY52" s="590" t="n"/>
      <c r="AZ52" s="590" t="n"/>
      <c r="BA52" s="590" t="n"/>
      <c r="BB52" s="590" t="n"/>
      <c r="BC52" s="590" t="n"/>
      <c r="BD52" s="590" t="n"/>
      <c r="BE52" s="590" t="n"/>
      <c r="BF52" s="590" t="n"/>
      <c r="BG52" s="590" t="n"/>
      <c r="BH52" s="590" t="n"/>
      <c r="BI52" s="590" t="n"/>
      <c r="BJ52" s="592" t="n"/>
      <c r="BK52" s="592" t="n"/>
      <c r="BL52" s="592" t="n"/>
      <c r="BM52" s="592" t="n"/>
      <c r="BN52" s="592" t="n"/>
    </row>
    <row r="53" ht="12" customFormat="1" customHeight="1" s="1">
      <c r="A53" s="12" t="inlineStr">
        <is>
          <t xml:space="preserve">Depreciation </t>
        </is>
      </c>
      <c r="B53" s="587" t="n"/>
      <c r="C53" s="587" t="n"/>
      <c r="D53" s="587" t="n"/>
      <c r="E53" s="587" t="n"/>
      <c r="F53" s="587" t="n"/>
      <c r="G53" s="587" t="n"/>
      <c r="H53" s="587" t="n"/>
      <c r="I53" s="587" t="n"/>
      <c r="J53" s="587" t="n"/>
      <c r="K53" s="587" t="n"/>
      <c r="L53" s="587" t="n"/>
      <c r="M53" s="587" t="n"/>
      <c r="N53" s="587" t="n"/>
      <c r="O53" s="587" t="n"/>
      <c r="P53" s="587" t="n"/>
      <c r="Q53" s="587" t="n"/>
      <c r="R53" s="587" t="n"/>
      <c r="S53" s="587" t="n"/>
      <c r="T53" s="587" t="n"/>
      <c r="U53" s="587" t="n"/>
      <c r="V53" s="587" t="n"/>
      <c r="W53" s="587" t="n"/>
      <c r="X53" s="587" t="n"/>
      <c r="Y53" s="587" t="n"/>
      <c r="Z53" s="587" t="n"/>
      <c r="AA53" s="587" t="n"/>
      <c r="AB53" s="587" t="n"/>
      <c r="AC53" s="587" t="n"/>
      <c r="AD53" s="587" t="n"/>
      <c r="AE53" s="587" t="n"/>
      <c r="AF53" s="587" t="n"/>
      <c r="AG53" s="587" t="n"/>
      <c r="AH53" s="587" t="n"/>
      <c r="AI53" s="587" t="n"/>
      <c r="AJ53" s="587" t="n"/>
      <c r="AK53" s="587" t="n"/>
      <c r="AL53" s="587" t="n"/>
      <c r="AM53" s="587" t="n"/>
      <c r="AN53" s="587" t="n"/>
      <c r="AO53" s="587" t="n"/>
      <c r="AP53" s="587" t="n"/>
      <c r="AQ53" s="587" t="n"/>
      <c r="AR53" s="587" t="n"/>
      <c r="AS53" s="587" t="n"/>
      <c r="AT53" s="587" t="n"/>
      <c r="AU53" s="587" t="n"/>
      <c r="AV53" s="587" t="n"/>
      <c r="AW53" s="587" t="n"/>
      <c r="AX53" s="587" t="n"/>
      <c r="AY53" s="587" t="n"/>
      <c r="AZ53" s="587" t="n"/>
      <c r="BA53" s="587" t="n"/>
      <c r="BB53" s="587" t="n"/>
      <c r="BC53" s="587" t="n"/>
      <c r="BD53" s="587" t="n"/>
      <c r="BE53" s="587" t="n"/>
      <c r="BF53" s="587" t="n"/>
      <c r="BG53" s="587" t="n"/>
      <c r="BH53" s="587" t="n"/>
      <c r="BI53" s="587" t="n"/>
      <c r="BJ53" s="592" t="n"/>
      <c r="BK53" s="592" t="n"/>
      <c r="BL53" s="592" t="n"/>
      <c r="BM53" s="592" t="n"/>
      <c r="BN53" s="592" t="n"/>
    </row>
    <row r="54" ht="12" customFormat="1" customHeight="1" s="20">
      <c r="A54" s="24" t="inlineStr">
        <is>
          <t>Closing Balance</t>
        </is>
      </c>
      <c r="B54" s="593" t="n"/>
      <c r="C54" s="593" t="n"/>
      <c r="D54" s="593" t="n"/>
      <c r="E54" s="593" t="n"/>
      <c r="F54" s="593" t="n"/>
      <c r="G54" s="593" t="n"/>
      <c r="H54" s="593" t="n"/>
      <c r="I54" s="593" t="n"/>
      <c r="J54" s="593" t="n"/>
      <c r="K54" s="593" t="n"/>
      <c r="L54" s="593" t="n"/>
      <c r="M54" s="593" t="n"/>
      <c r="N54" s="593" t="n"/>
      <c r="O54" s="593" t="n"/>
      <c r="P54" s="593" t="n"/>
      <c r="Q54" s="593" t="n"/>
      <c r="R54" s="593" t="n"/>
      <c r="S54" s="593" t="n"/>
      <c r="T54" s="593" t="n"/>
      <c r="U54" s="593" t="n"/>
      <c r="V54" s="593" t="n"/>
      <c r="W54" s="593" t="n"/>
      <c r="X54" s="593" t="n"/>
      <c r="Y54" s="593" t="n"/>
      <c r="Z54" s="593" t="n"/>
      <c r="AA54" s="593" t="n"/>
      <c r="AB54" s="593" t="n"/>
      <c r="AC54" s="593" t="n"/>
      <c r="AD54" s="593" t="n"/>
      <c r="AE54" s="593" t="n"/>
      <c r="AF54" s="593" t="n"/>
      <c r="AG54" s="593" t="n"/>
      <c r="AH54" s="593" t="n"/>
      <c r="AI54" s="593" t="n"/>
      <c r="AJ54" s="593" t="n"/>
      <c r="AK54" s="593" t="n"/>
      <c r="AL54" s="593" t="n"/>
      <c r="AM54" s="593" t="n"/>
      <c r="AN54" s="593" t="n"/>
      <c r="AO54" s="593" t="n"/>
      <c r="AP54" s="593" t="n"/>
      <c r="AQ54" s="593" t="n"/>
      <c r="AR54" s="593" t="n"/>
      <c r="AS54" s="593" t="n"/>
      <c r="AT54" s="593" t="n"/>
      <c r="AU54" s="593" t="n"/>
      <c r="AV54" s="593" t="n"/>
      <c r="AW54" s="593" t="n"/>
      <c r="AX54" s="593" t="n"/>
      <c r="AY54" s="593" t="n"/>
      <c r="AZ54" s="593" t="n"/>
      <c r="BA54" s="593" t="n"/>
      <c r="BB54" s="593" t="n"/>
      <c r="BC54" s="593" t="n"/>
      <c r="BD54" s="593" t="n"/>
      <c r="BE54" s="593" t="n"/>
      <c r="BF54" s="593" t="n"/>
      <c r="BG54" s="593" t="n"/>
      <c r="BH54" s="593" t="n"/>
      <c r="BI54" s="593" t="n"/>
      <c r="BJ54" s="594" t="n"/>
      <c r="BK54" s="594" t="n"/>
      <c r="BL54" s="594" t="n"/>
      <c r="BM54" s="594" t="n"/>
      <c r="BN54" s="594" t="n"/>
    </row>
    <row r="55">
      <c r="B55" s="588" t="n"/>
      <c r="C55" s="588" t="n"/>
      <c r="D55" s="588" t="n"/>
      <c r="E55" s="588" t="n"/>
      <c r="F55" s="588" t="n"/>
      <c r="G55" s="588" t="n"/>
      <c r="H55" s="588" t="n"/>
      <c r="I55" s="588" t="n"/>
      <c r="J55" s="588" t="n"/>
      <c r="K55" s="588" t="n"/>
      <c r="L55" s="588" t="n"/>
      <c r="M55" s="588" t="n"/>
      <c r="N55" s="588" t="n"/>
      <c r="O55" s="588" t="n"/>
      <c r="P55" s="588" t="n"/>
      <c r="Q55" s="588" t="n"/>
      <c r="R55" s="588" t="n"/>
      <c r="S55" s="588" t="n"/>
      <c r="T55" s="588" t="n"/>
      <c r="U55" s="588" t="n"/>
      <c r="V55" s="588" t="n"/>
      <c r="W55" s="588" t="n"/>
      <c r="X55" s="588" t="n"/>
      <c r="Y55" s="588" t="n"/>
      <c r="Z55" s="588" t="n"/>
      <c r="AA55" s="588" t="n"/>
      <c r="AB55" s="588" t="n"/>
      <c r="AC55" s="588" t="n"/>
      <c r="AD55" s="588" t="n"/>
      <c r="AE55" s="588" t="n"/>
      <c r="AF55" s="588" t="n"/>
      <c r="AG55" s="588" t="n"/>
      <c r="AH55" s="588" t="n"/>
      <c r="AI55" s="588" t="n"/>
      <c r="AJ55" s="588" t="n"/>
      <c r="AK55" s="588" t="n"/>
      <c r="AL55" s="588" t="n"/>
      <c r="AM55" s="588" t="n"/>
      <c r="AN55" s="588" t="n"/>
      <c r="AO55" s="588" t="n"/>
      <c r="AP55" s="588" t="n"/>
      <c r="AQ55" s="588" t="n"/>
      <c r="AR55" s="588" t="n"/>
      <c r="AS55" s="588" t="n"/>
      <c r="AT55" s="588" t="n"/>
      <c r="AU55" s="588" t="n"/>
      <c r="AV55" s="588" t="n"/>
      <c r="AW55" s="588" t="n"/>
      <c r="AX55" s="588" t="n"/>
      <c r="AY55" s="588" t="n"/>
      <c r="AZ55" s="588" t="n"/>
      <c r="BA55" s="588" t="n"/>
      <c r="BB55" s="588" t="n"/>
      <c r="BC55" s="588" t="n"/>
      <c r="BD55" s="588" t="n"/>
      <c r="BE55" s="588" t="n"/>
      <c r="BF55" s="588" t="n"/>
      <c r="BG55" s="588" t="n"/>
      <c r="BH55" s="588" t="n"/>
      <c r="BI55" s="588" t="n"/>
    </row>
    <row r="56" ht="12" customFormat="1" customHeight="1" s="1">
      <c r="A56" s="131" t="inlineStr">
        <is>
          <t>Mechanical Equipment</t>
        </is>
      </c>
      <c r="B56" s="577" t="n"/>
      <c r="C56" s="577" t="n"/>
      <c r="D56" s="577" t="n"/>
      <c r="E56" s="589" t="n"/>
      <c r="F56" s="589" t="n"/>
      <c r="G56" s="589" t="n"/>
      <c r="H56" s="589" t="n"/>
      <c r="I56" s="589" t="n"/>
      <c r="J56" s="589" t="n"/>
      <c r="K56" s="589" t="n"/>
      <c r="L56" s="589" t="n"/>
      <c r="M56" s="589" t="n"/>
      <c r="N56" s="589" t="n"/>
      <c r="O56" s="589" t="n"/>
      <c r="P56" s="589" t="n"/>
      <c r="Q56" s="589" t="n"/>
      <c r="R56" s="589" t="n"/>
      <c r="S56" s="589" t="n"/>
      <c r="T56" s="589" t="n"/>
      <c r="U56" s="589" t="n"/>
      <c r="V56" s="589" t="n"/>
      <c r="W56" s="589" t="n"/>
      <c r="X56" s="589" t="n"/>
      <c r="Y56" s="589" t="n"/>
      <c r="Z56" s="589" t="n"/>
      <c r="AA56" s="589" t="n"/>
      <c r="AB56" s="589" t="n"/>
      <c r="AC56" s="589" t="n"/>
      <c r="AD56" s="589" t="n"/>
      <c r="AE56" s="589" t="n"/>
      <c r="AF56" s="589" t="n"/>
      <c r="AG56" s="589" t="n"/>
      <c r="AH56" s="589" t="n"/>
      <c r="AI56" s="589" t="n"/>
      <c r="AJ56" s="589" t="n"/>
      <c r="AK56" s="589" t="n"/>
      <c r="AL56" s="589" t="n"/>
      <c r="AM56" s="589" t="n"/>
      <c r="AN56" s="589" t="n"/>
      <c r="AO56" s="589" t="n"/>
      <c r="AP56" s="589" t="n"/>
      <c r="AQ56" s="589" t="n"/>
      <c r="AR56" s="589" t="n"/>
      <c r="AS56" s="589" t="n"/>
      <c r="AT56" s="589" t="n"/>
      <c r="AU56" s="589" t="n"/>
      <c r="AV56" s="589" t="n"/>
      <c r="AW56" s="589" t="n"/>
      <c r="AX56" s="589" t="n"/>
      <c r="AY56" s="589" t="n"/>
      <c r="AZ56" s="589" t="n"/>
      <c r="BA56" s="589" t="n"/>
      <c r="BB56" s="589" t="n"/>
      <c r="BC56" s="589" t="n"/>
      <c r="BD56" s="589" t="n"/>
      <c r="BE56" s="589" t="n"/>
      <c r="BF56" s="589" t="n"/>
      <c r="BG56" s="589" t="n"/>
      <c r="BH56" s="589" t="n"/>
      <c r="BI56" s="589" t="n"/>
      <c r="BJ56" s="3" t="n"/>
      <c r="BK56" s="3" t="n"/>
      <c r="BL56" s="3" t="n"/>
      <c r="BM56" s="3" t="n"/>
      <c r="BN56" s="3" t="n"/>
    </row>
    <row r="57" ht="12" customFormat="1" customHeight="1" s="1">
      <c r="A57" s="12" t="inlineStr">
        <is>
          <t>Monthly Depreciation</t>
        </is>
      </c>
      <c r="B57" s="473" t="n"/>
      <c r="C57" s="577" t="n"/>
      <c r="D57" s="577" t="n"/>
      <c r="E57" s="577" t="n"/>
      <c r="F57" s="577" t="n"/>
      <c r="G57" s="577" t="n"/>
      <c r="H57" s="577" t="n"/>
      <c r="I57" s="577" t="n"/>
      <c r="J57" s="577" t="n"/>
      <c r="K57" s="577" t="n"/>
      <c r="L57" s="577" t="n"/>
      <c r="M57" s="577" t="n"/>
      <c r="N57" s="577" t="n"/>
      <c r="O57" s="577" t="n"/>
      <c r="P57" s="577" t="n"/>
      <c r="Q57" s="577" t="n"/>
      <c r="R57" s="577" t="n"/>
      <c r="S57" s="577" t="n"/>
      <c r="T57" s="577" t="n"/>
      <c r="U57" s="577" t="n"/>
      <c r="V57" s="577" t="n"/>
      <c r="W57" s="577" t="n"/>
      <c r="X57" s="577" t="n"/>
      <c r="Y57" s="577" t="n"/>
      <c r="Z57" s="577" t="n"/>
      <c r="AA57" s="577" t="n"/>
      <c r="AB57" s="577" t="n"/>
      <c r="AC57" s="577" t="n"/>
      <c r="AD57" s="577" t="n"/>
      <c r="AE57" s="577" t="n"/>
      <c r="AF57" s="577" t="n"/>
      <c r="AG57" s="577" t="n"/>
      <c r="AH57" s="577" t="n"/>
      <c r="AI57" s="577" t="n"/>
      <c r="AJ57" s="577" t="n"/>
      <c r="AK57" s="577" t="n"/>
      <c r="AL57" s="577" t="n"/>
      <c r="AM57" s="577" t="n"/>
      <c r="AN57" s="577" t="n"/>
      <c r="AO57" s="577" t="n"/>
      <c r="AP57" s="577" t="n"/>
      <c r="AQ57" s="577" t="n"/>
      <c r="AR57" s="577" t="n"/>
      <c r="AS57" s="577" t="n"/>
      <c r="AT57" s="577" t="n"/>
      <c r="AU57" s="577" t="n"/>
      <c r="AV57" s="577" t="n"/>
      <c r="AW57" s="577" t="n"/>
      <c r="AX57" s="577" t="n"/>
      <c r="AY57" s="577" t="n"/>
      <c r="AZ57" s="577" t="n"/>
      <c r="BA57" s="577" t="n"/>
      <c r="BB57" s="577" t="n"/>
      <c r="BC57" s="577" t="n"/>
      <c r="BD57" s="577" t="n"/>
      <c r="BE57" s="577" t="n"/>
      <c r="BF57" s="577" t="n"/>
      <c r="BG57" s="577" t="n"/>
      <c r="BH57" s="577" t="n"/>
      <c r="BI57" s="577" t="n"/>
      <c r="BJ57" s="3" t="n"/>
      <c r="BK57" s="3" t="n"/>
      <c r="BL57" s="3" t="n"/>
      <c r="BM57" s="3" t="n"/>
      <c r="BN57" s="3" t="n"/>
    </row>
    <row r="58" ht="12" customFormat="1" customHeight="1" s="1">
      <c r="A58" s="12" t="n"/>
      <c r="B58" s="587" t="n"/>
      <c r="C58" s="577" t="n"/>
      <c r="D58" s="577" t="n"/>
      <c r="E58" s="577" t="n"/>
      <c r="F58" s="577" t="n"/>
      <c r="G58" s="577" t="n"/>
      <c r="H58" s="577" t="n"/>
      <c r="I58" s="577" t="n"/>
      <c r="J58" s="577" t="n"/>
      <c r="K58" s="577" t="n"/>
      <c r="L58" s="577" t="n"/>
      <c r="M58" s="577" t="n"/>
      <c r="N58" s="577" t="n"/>
      <c r="O58" s="577" t="n"/>
      <c r="P58" s="577" t="n"/>
      <c r="Q58" s="577" t="n"/>
      <c r="R58" s="577" t="n"/>
      <c r="S58" s="577" t="n"/>
      <c r="T58" s="577" t="n"/>
      <c r="U58" s="577" t="n"/>
      <c r="V58" s="577" t="n"/>
      <c r="W58" s="577" t="n"/>
      <c r="X58" s="577" t="n"/>
      <c r="Y58" s="577" t="n"/>
      <c r="Z58" s="577" t="n"/>
      <c r="AA58" s="577" t="n"/>
      <c r="AB58" s="577" t="n"/>
      <c r="AC58" s="577" t="n"/>
      <c r="AD58" s="577" t="n"/>
      <c r="AE58" s="577" t="n"/>
      <c r="AF58" s="577" t="n"/>
      <c r="AG58" s="577" t="n"/>
      <c r="AH58" s="577" t="n"/>
      <c r="AI58" s="577" t="n"/>
      <c r="AJ58" s="577" t="n"/>
      <c r="AK58" s="577" t="n"/>
      <c r="AL58" s="577" t="n"/>
      <c r="AM58" s="577" t="n"/>
      <c r="AN58" s="577" t="n"/>
      <c r="AO58" s="577" t="n"/>
      <c r="AP58" s="577" t="n"/>
      <c r="AQ58" s="577" t="n"/>
      <c r="AR58" s="577" t="n"/>
      <c r="AS58" s="577" t="n"/>
      <c r="AT58" s="577" t="n"/>
      <c r="AU58" s="577" t="n"/>
      <c r="AV58" s="577" t="n"/>
      <c r="AW58" s="577" t="n"/>
      <c r="AX58" s="577" t="n"/>
      <c r="AY58" s="577" t="n"/>
      <c r="AZ58" s="577" t="n"/>
      <c r="BA58" s="577" t="n"/>
      <c r="BB58" s="577" t="n"/>
      <c r="BC58" s="577" t="n"/>
      <c r="BD58" s="577" t="n"/>
      <c r="BE58" s="577" t="n"/>
      <c r="BF58" s="577" t="n"/>
      <c r="BG58" s="577" t="n"/>
      <c r="BH58" s="577" t="n"/>
      <c r="BI58" s="577" t="n"/>
      <c r="BJ58" s="3" t="n"/>
      <c r="BK58" s="3" t="n"/>
      <c r="BL58" s="3" t="n"/>
      <c r="BM58" s="3" t="n"/>
      <c r="BN58" s="3" t="n"/>
    </row>
    <row r="59" ht="12" customFormat="1" customHeight="1" s="1">
      <c r="A59" s="22" t="inlineStr">
        <is>
          <t>Opening Balance</t>
        </is>
      </c>
      <c r="B59" s="590" t="n"/>
      <c r="C59" s="591" t="n"/>
      <c r="D59" s="591" t="n"/>
      <c r="E59" s="591" t="n"/>
      <c r="F59" s="591" t="n"/>
      <c r="G59" s="591" t="n"/>
      <c r="H59" s="591" t="n"/>
      <c r="I59" s="591" t="n"/>
      <c r="J59" s="591" t="n"/>
      <c r="K59" s="591" t="n"/>
      <c r="L59" s="591" t="n"/>
      <c r="M59" s="591" t="n"/>
      <c r="N59" s="591" t="n"/>
      <c r="O59" s="591" t="n"/>
      <c r="P59" s="591" t="n"/>
      <c r="Q59" s="591" t="n"/>
      <c r="R59" s="591" t="n"/>
      <c r="S59" s="591" t="n"/>
      <c r="T59" s="591" t="n"/>
      <c r="U59" s="591" t="n"/>
      <c r="V59" s="591" t="n"/>
      <c r="W59" s="591" t="n"/>
      <c r="X59" s="591" t="n"/>
      <c r="Y59" s="591" t="n"/>
      <c r="Z59" s="591" t="n"/>
      <c r="AA59" s="591" t="n"/>
      <c r="AB59" s="591" t="n"/>
      <c r="AC59" s="591" t="n"/>
      <c r="AD59" s="591" t="n"/>
      <c r="AE59" s="591" t="n"/>
      <c r="AF59" s="591" t="n"/>
      <c r="AG59" s="591" t="n"/>
      <c r="AH59" s="591" t="n"/>
      <c r="AI59" s="591" t="n"/>
      <c r="AJ59" s="591" t="n"/>
      <c r="AK59" s="591" t="n"/>
      <c r="AL59" s="591" t="n"/>
      <c r="AM59" s="591" t="n"/>
      <c r="AN59" s="591" t="n"/>
      <c r="AO59" s="591" t="n"/>
      <c r="AP59" s="591" t="n"/>
      <c r="AQ59" s="591" t="n"/>
      <c r="AR59" s="591" t="n"/>
      <c r="AS59" s="591" t="n"/>
      <c r="AT59" s="591" t="n"/>
      <c r="AU59" s="591" t="n"/>
      <c r="AV59" s="591" t="n"/>
      <c r="AW59" s="591" t="n"/>
      <c r="AX59" s="591" t="n"/>
      <c r="AY59" s="591" t="n"/>
      <c r="AZ59" s="591" t="n"/>
      <c r="BA59" s="591" t="n"/>
      <c r="BB59" s="591" t="n"/>
      <c r="BC59" s="591" t="n"/>
      <c r="BD59" s="591" t="n"/>
      <c r="BE59" s="591" t="n"/>
      <c r="BF59" s="591" t="n"/>
      <c r="BG59" s="591" t="n"/>
      <c r="BH59" s="591" t="n"/>
      <c r="BI59" s="591" t="n"/>
      <c r="BJ59" s="592" t="n"/>
      <c r="BK59" s="592" t="n"/>
      <c r="BL59" s="592" t="n"/>
      <c r="BM59" s="592" t="n"/>
      <c r="BN59" s="592" t="n"/>
    </row>
    <row r="60" ht="12" customFormat="1" customHeight="1" s="583">
      <c r="A60" s="12" t="inlineStr">
        <is>
          <t xml:space="preserve">Additions </t>
        </is>
      </c>
      <c r="B60" s="590" t="n"/>
      <c r="C60" s="590" t="n"/>
      <c r="D60" s="590" t="n"/>
      <c r="E60" s="590" t="n"/>
      <c r="F60" s="590" t="n"/>
      <c r="G60" s="590" t="n"/>
      <c r="H60" s="590" t="n"/>
      <c r="I60" s="590" t="n"/>
      <c r="J60" s="590" t="n"/>
      <c r="K60" s="590" t="n"/>
      <c r="L60" s="590" t="n"/>
      <c r="M60" s="590" t="n"/>
      <c r="N60" s="590" t="n"/>
      <c r="O60" s="590" t="n"/>
      <c r="P60" s="590" t="n"/>
      <c r="Q60" s="590" t="n"/>
      <c r="R60" s="590" t="n"/>
      <c r="S60" s="590" t="n"/>
      <c r="T60" s="590" t="n"/>
      <c r="U60" s="590" t="n"/>
      <c r="V60" s="590" t="n"/>
      <c r="W60" s="590" t="n"/>
      <c r="X60" s="590" t="n"/>
      <c r="Y60" s="590" t="n"/>
      <c r="Z60" s="590" t="n"/>
      <c r="AA60" s="590" t="n"/>
      <c r="AB60" s="590" t="n"/>
      <c r="AC60" s="590" t="n"/>
      <c r="AD60" s="590" t="n"/>
      <c r="AE60" s="590" t="n"/>
      <c r="AF60" s="590" t="n"/>
      <c r="AG60" s="590" t="n"/>
      <c r="AH60" s="590" t="n"/>
      <c r="AI60" s="590" t="n"/>
      <c r="AJ60" s="590" t="n"/>
      <c r="AK60" s="590" t="n"/>
      <c r="AL60" s="590" t="n"/>
      <c r="AM60" s="590" t="n"/>
      <c r="AN60" s="590" t="n"/>
      <c r="AO60" s="590" t="n"/>
      <c r="AP60" s="590" t="n"/>
      <c r="AQ60" s="590" t="n"/>
      <c r="AR60" s="590" t="n"/>
      <c r="AS60" s="590" t="n"/>
      <c r="AT60" s="590" t="n"/>
      <c r="AU60" s="590" t="n"/>
      <c r="AV60" s="590" t="n"/>
      <c r="AW60" s="590" t="n"/>
      <c r="AX60" s="590" t="n"/>
      <c r="AY60" s="590" t="n"/>
      <c r="AZ60" s="590" t="n"/>
      <c r="BA60" s="590" t="n"/>
      <c r="BB60" s="590" t="n"/>
      <c r="BC60" s="590" t="n"/>
      <c r="BD60" s="590" t="n"/>
      <c r="BE60" s="590" t="n"/>
      <c r="BF60" s="590" t="n"/>
      <c r="BG60" s="590" t="n"/>
      <c r="BH60" s="590" t="n"/>
      <c r="BI60" s="590" t="n"/>
      <c r="BJ60" s="592" t="n"/>
      <c r="BK60" s="592" t="n"/>
      <c r="BL60" s="592" t="n"/>
      <c r="BM60" s="592" t="n"/>
      <c r="BN60" s="592" t="n"/>
    </row>
    <row r="61" ht="12" customFormat="1" customHeight="1" s="1">
      <c r="A61" s="12" t="inlineStr">
        <is>
          <t xml:space="preserve">Depreciation </t>
        </is>
      </c>
      <c r="B61" s="587" t="n"/>
      <c r="C61" s="587" t="n"/>
      <c r="D61" s="587" t="n"/>
      <c r="E61" s="587" t="n"/>
      <c r="F61" s="587" t="n"/>
      <c r="G61" s="587" t="n"/>
      <c r="H61" s="587" t="n"/>
      <c r="I61" s="587" t="n"/>
      <c r="J61" s="587" t="n"/>
      <c r="K61" s="587" t="n"/>
      <c r="L61" s="587" t="n"/>
      <c r="M61" s="587" t="n"/>
      <c r="N61" s="587" t="n"/>
      <c r="O61" s="587" t="n"/>
      <c r="P61" s="587" t="n"/>
      <c r="Q61" s="587" t="n"/>
      <c r="R61" s="587" t="n"/>
      <c r="S61" s="587" t="n"/>
      <c r="T61" s="587" t="n"/>
      <c r="U61" s="587" t="n"/>
      <c r="V61" s="587" t="n"/>
      <c r="W61" s="587" t="n"/>
      <c r="X61" s="587" t="n"/>
      <c r="Y61" s="587" t="n"/>
      <c r="Z61" s="587" t="n"/>
      <c r="AA61" s="587" t="n"/>
      <c r="AB61" s="587" t="n"/>
      <c r="AC61" s="587" t="n"/>
      <c r="AD61" s="587" t="n"/>
      <c r="AE61" s="587" t="n"/>
      <c r="AF61" s="587" t="n"/>
      <c r="AG61" s="587" t="n"/>
      <c r="AH61" s="587" t="n"/>
      <c r="AI61" s="587" t="n"/>
      <c r="AJ61" s="587" t="n"/>
      <c r="AK61" s="587" t="n"/>
      <c r="AL61" s="587" t="n"/>
      <c r="AM61" s="587" t="n"/>
      <c r="AN61" s="587" t="n"/>
      <c r="AO61" s="587" t="n"/>
      <c r="AP61" s="587" t="n"/>
      <c r="AQ61" s="587" t="n"/>
      <c r="AR61" s="587" t="n"/>
      <c r="AS61" s="587" t="n"/>
      <c r="AT61" s="587" t="n"/>
      <c r="AU61" s="587" t="n"/>
      <c r="AV61" s="587" t="n"/>
      <c r="AW61" s="587" t="n"/>
      <c r="AX61" s="587" t="n"/>
      <c r="AY61" s="587" t="n"/>
      <c r="AZ61" s="587" t="n"/>
      <c r="BA61" s="587" t="n"/>
      <c r="BB61" s="587" t="n"/>
      <c r="BC61" s="587" t="n"/>
      <c r="BD61" s="587" t="n"/>
      <c r="BE61" s="587" t="n"/>
      <c r="BF61" s="587" t="n"/>
      <c r="BG61" s="587" t="n"/>
      <c r="BH61" s="587" t="n"/>
      <c r="BI61" s="587" t="n"/>
      <c r="BJ61" s="592" t="n"/>
      <c r="BK61" s="592" t="n"/>
      <c r="BL61" s="592" t="n"/>
      <c r="BM61" s="592" t="n"/>
      <c r="BN61" s="592" t="n"/>
    </row>
    <row r="62" ht="12" customFormat="1" customHeight="1" s="20">
      <c r="A62" s="24" t="inlineStr">
        <is>
          <t>Closing Balance</t>
        </is>
      </c>
      <c r="B62" s="593" t="n"/>
      <c r="C62" s="593" t="n"/>
      <c r="D62" s="593" t="n"/>
      <c r="E62" s="593" t="n"/>
      <c r="F62" s="593" t="n"/>
      <c r="G62" s="593" t="n"/>
      <c r="H62" s="593" t="n"/>
      <c r="I62" s="593" t="n"/>
      <c r="J62" s="593" t="n"/>
      <c r="K62" s="593" t="n"/>
      <c r="L62" s="593" t="n"/>
      <c r="M62" s="593" t="n"/>
      <c r="N62" s="593" t="n"/>
      <c r="O62" s="593" t="n"/>
      <c r="P62" s="593" t="n"/>
      <c r="Q62" s="593" t="n"/>
      <c r="R62" s="593" t="n"/>
      <c r="S62" s="593" t="n"/>
      <c r="T62" s="593" t="n"/>
      <c r="U62" s="593" t="n"/>
      <c r="V62" s="593" t="n"/>
      <c r="W62" s="593" t="n"/>
      <c r="X62" s="593" t="n"/>
      <c r="Y62" s="593" t="n"/>
      <c r="Z62" s="593" t="n"/>
      <c r="AA62" s="593" t="n"/>
      <c r="AB62" s="593" t="n"/>
      <c r="AC62" s="593" t="n"/>
      <c r="AD62" s="593" t="n"/>
      <c r="AE62" s="593" t="n"/>
      <c r="AF62" s="593" t="n"/>
      <c r="AG62" s="593" t="n"/>
      <c r="AH62" s="593" t="n"/>
      <c r="AI62" s="593" t="n"/>
      <c r="AJ62" s="593" t="n"/>
      <c r="AK62" s="593" t="n"/>
      <c r="AL62" s="593" t="n"/>
      <c r="AM62" s="593" t="n"/>
      <c r="AN62" s="593" t="n"/>
      <c r="AO62" s="593" t="n"/>
      <c r="AP62" s="593" t="n"/>
      <c r="AQ62" s="593" t="n"/>
      <c r="AR62" s="593" t="n"/>
      <c r="AS62" s="593" t="n"/>
      <c r="AT62" s="593" t="n"/>
      <c r="AU62" s="593" t="n"/>
      <c r="AV62" s="593" t="n"/>
      <c r="AW62" s="593" t="n"/>
      <c r="AX62" s="593" t="n"/>
      <c r="AY62" s="593" t="n"/>
      <c r="AZ62" s="593" t="n"/>
      <c r="BA62" s="593" t="n"/>
      <c r="BB62" s="593" t="n"/>
      <c r="BC62" s="593" t="n"/>
      <c r="BD62" s="593" t="n"/>
      <c r="BE62" s="593" t="n"/>
      <c r="BF62" s="593" t="n"/>
      <c r="BG62" s="593" t="n"/>
      <c r="BH62" s="593" t="n"/>
      <c r="BI62" s="593" t="n"/>
      <c r="BJ62" s="594" t="n"/>
      <c r="BK62" s="594" t="n"/>
      <c r="BL62" s="594" t="n"/>
      <c r="BM62" s="594" t="n"/>
      <c r="BN62" s="594" t="n"/>
    </row>
    <row r="63">
      <c r="B63" s="588" t="n"/>
      <c r="C63" s="588" t="n"/>
      <c r="D63" s="588" t="n"/>
      <c r="E63" s="588" t="n"/>
      <c r="F63" s="588" t="n"/>
      <c r="G63" s="588" t="n"/>
      <c r="H63" s="588" t="n"/>
      <c r="I63" s="588" t="n"/>
      <c r="J63" s="588" t="n"/>
      <c r="K63" s="588" t="n"/>
      <c r="L63" s="588" t="n"/>
      <c r="M63" s="588" t="n"/>
      <c r="N63" s="588" t="n"/>
      <c r="O63" s="588" t="n"/>
      <c r="P63" s="588" t="n"/>
      <c r="Q63" s="588" t="n"/>
      <c r="R63" s="588" t="n"/>
      <c r="S63" s="588" t="n"/>
      <c r="T63" s="588" t="n"/>
      <c r="U63" s="588" t="n"/>
      <c r="V63" s="588" t="n"/>
      <c r="W63" s="588" t="n"/>
      <c r="X63" s="588" t="n"/>
      <c r="Y63" s="588" t="n"/>
      <c r="Z63" s="588" t="n"/>
      <c r="AA63" s="588" t="n"/>
      <c r="AB63" s="588" t="n"/>
      <c r="AC63" s="588" t="n"/>
      <c r="AD63" s="588" t="n"/>
      <c r="AE63" s="588" t="n"/>
      <c r="AF63" s="588" t="n"/>
      <c r="AG63" s="588" t="n"/>
      <c r="AH63" s="588" t="n"/>
      <c r="AI63" s="588" t="n"/>
      <c r="AJ63" s="588" t="n"/>
      <c r="AK63" s="588" t="n"/>
      <c r="AL63" s="588" t="n"/>
      <c r="AM63" s="588" t="n"/>
      <c r="AN63" s="588" t="n"/>
      <c r="AO63" s="588" t="n"/>
      <c r="AP63" s="588" t="n"/>
      <c r="AQ63" s="588" t="n"/>
      <c r="AR63" s="588" t="n"/>
      <c r="AS63" s="588" t="n"/>
      <c r="AT63" s="588" t="n"/>
      <c r="AU63" s="588" t="n"/>
      <c r="AV63" s="588" t="n"/>
      <c r="AW63" s="588" t="n"/>
      <c r="AX63" s="588" t="n"/>
      <c r="AY63" s="588" t="n"/>
      <c r="AZ63" s="588" t="n"/>
      <c r="BA63" s="588" t="n"/>
      <c r="BB63" s="588" t="n"/>
      <c r="BC63" s="588" t="n"/>
      <c r="BD63" s="588" t="n"/>
      <c r="BE63" s="588" t="n"/>
      <c r="BF63" s="588" t="n"/>
      <c r="BG63" s="588" t="n"/>
      <c r="BH63" s="588" t="n"/>
      <c r="BI63" s="588" t="n"/>
    </row>
    <row r="64" ht="12" customFormat="1" customHeight="1" s="1">
      <c r="A64" s="131" t="inlineStr">
        <is>
          <t>Electronic Equipment</t>
        </is>
      </c>
      <c r="B64" s="577" t="n"/>
      <c r="C64" s="577" t="n"/>
      <c r="D64" s="577" t="n"/>
      <c r="E64" s="589" t="n"/>
      <c r="F64" s="589" t="n"/>
      <c r="G64" s="589" t="n"/>
      <c r="H64" s="589" t="n"/>
      <c r="I64" s="589" t="n"/>
      <c r="J64" s="589" t="n"/>
      <c r="K64" s="589" t="n"/>
      <c r="L64" s="589" t="n"/>
      <c r="M64" s="589" t="n"/>
      <c r="N64" s="589" t="n"/>
      <c r="O64" s="589" t="n"/>
      <c r="P64" s="589" t="n"/>
      <c r="Q64" s="589" t="n"/>
      <c r="R64" s="589" t="n"/>
      <c r="S64" s="589" t="n"/>
      <c r="T64" s="589" t="n"/>
      <c r="U64" s="589" t="n"/>
      <c r="V64" s="589" t="n"/>
      <c r="W64" s="589" t="n"/>
      <c r="X64" s="589" t="n"/>
      <c r="Y64" s="589" t="n"/>
      <c r="Z64" s="589" t="n"/>
      <c r="AA64" s="589" t="n"/>
      <c r="AB64" s="589" t="n"/>
      <c r="AC64" s="589" t="n"/>
      <c r="AD64" s="589" t="n"/>
      <c r="AE64" s="589" t="n"/>
      <c r="AF64" s="589" t="n"/>
      <c r="AG64" s="589" t="n"/>
      <c r="AH64" s="589" t="n"/>
      <c r="AI64" s="589" t="n"/>
      <c r="AJ64" s="589" t="n"/>
      <c r="AK64" s="589" t="n"/>
      <c r="AL64" s="589" t="n"/>
      <c r="AM64" s="589" t="n"/>
      <c r="AN64" s="589" t="n"/>
      <c r="AO64" s="589" t="n"/>
      <c r="AP64" s="589" t="n"/>
      <c r="AQ64" s="589" t="n"/>
      <c r="AR64" s="589" t="n"/>
      <c r="AS64" s="589" t="n"/>
      <c r="AT64" s="589" t="n"/>
      <c r="AU64" s="589" t="n"/>
      <c r="AV64" s="589" t="n"/>
      <c r="AW64" s="589" t="n"/>
      <c r="AX64" s="589" t="n"/>
      <c r="AY64" s="589" t="n"/>
      <c r="AZ64" s="589" t="n"/>
      <c r="BA64" s="589" t="n"/>
      <c r="BB64" s="589" t="n"/>
      <c r="BC64" s="589" t="n"/>
      <c r="BD64" s="589" t="n"/>
      <c r="BE64" s="589" t="n"/>
      <c r="BF64" s="589" t="n"/>
      <c r="BG64" s="589" t="n"/>
      <c r="BH64" s="589" t="n"/>
      <c r="BI64" s="589" t="n"/>
      <c r="BJ64" s="3" t="n"/>
      <c r="BK64" s="3" t="n"/>
      <c r="BL64" s="3" t="n"/>
      <c r="BM64" s="3" t="n"/>
      <c r="BN64" s="3" t="n"/>
    </row>
    <row r="65" ht="12" customFormat="1" customHeight="1" s="1">
      <c r="A65" s="12" t="inlineStr">
        <is>
          <t>Monthly Depreciation</t>
        </is>
      </c>
      <c r="B65" s="473" t="n"/>
      <c r="C65" s="577" t="n"/>
      <c r="D65" s="577" t="n"/>
      <c r="E65" s="577" t="n"/>
      <c r="F65" s="577" t="n"/>
      <c r="G65" s="577" t="n"/>
      <c r="H65" s="577" t="n"/>
      <c r="I65" s="577" t="n"/>
      <c r="J65" s="577" t="n"/>
      <c r="K65" s="577" t="n"/>
      <c r="L65" s="577" t="n"/>
      <c r="M65" s="577" t="n"/>
      <c r="N65" s="577" t="n"/>
      <c r="O65" s="577" t="n"/>
      <c r="P65" s="577" t="n"/>
      <c r="Q65" s="577" t="n"/>
      <c r="R65" s="577" t="n"/>
      <c r="S65" s="577" t="n"/>
      <c r="T65" s="577" t="n"/>
      <c r="U65" s="577" t="n"/>
      <c r="V65" s="577" t="n"/>
      <c r="W65" s="577" t="n"/>
      <c r="X65" s="577" t="n"/>
      <c r="Y65" s="577" t="n"/>
      <c r="Z65" s="577" t="n"/>
      <c r="AA65" s="577" t="n"/>
      <c r="AB65" s="577" t="n"/>
      <c r="AC65" s="577" t="n"/>
      <c r="AD65" s="577" t="n"/>
      <c r="AE65" s="577" t="n"/>
      <c r="AF65" s="577" t="n"/>
      <c r="AG65" s="577" t="n"/>
      <c r="AH65" s="577" t="n"/>
      <c r="AI65" s="577" t="n"/>
      <c r="AJ65" s="577" t="n"/>
      <c r="AK65" s="577" t="n"/>
      <c r="AL65" s="577" t="n"/>
      <c r="AM65" s="577" t="n"/>
      <c r="AN65" s="577" t="n"/>
      <c r="AO65" s="577" t="n"/>
      <c r="AP65" s="577" t="n"/>
      <c r="AQ65" s="577" t="n"/>
      <c r="AR65" s="577" t="n"/>
      <c r="AS65" s="577" t="n"/>
      <c r="AT65" s="577" t="n"/>
      <c r="AU65" s="577" t="n"/>
      <c r="AV65" s="577" t="n"/>
      <c r="AW65" s="577" t="n"/>
      <c r="AX65" s="577" t="n"/>
      <c r="AY65" s="577" t="n"/>
      <c r="AZ65" s="577" t="n"/>
      <c r="BA65" s="577" t="n"/>
      <c r="BB65" s="577" t="n"/>
      <c r="BC65" s="577" t="n"/>
      <c r="BD65" s="577" t="n"/>
      <c r="BE65" s="577" t="n"/>
      <c r="BF65" s="577" t="n"/>
      <c r="BG65" s="577" t="n"/>
      <c r="BH65" s="577" t="n"/>
      <c r="BI65" s="577" t="n"/>
      <c r="BJ65" s="3" t="n"/>
      <c r="BK65" s="3" t="n"/>
      <c r="BL65" s="3" t="n"/>
      <c r="BM65" s="3" t="n"/>
      <c r="BN65" s="3" t="n"/>
    </row>
    <row r="66" ht="12" customFormat="1" customHeight="1" s="1">
      <c r="A66" s="12" t="n"/>
      <c r="B66" s="587" t="n"/>
      <c r="C66" s="577" t="n"/>
      <c r="D66" s="577" t="n"/>
      <c r="E66" s="577" t="n"/>
      <c r="F66" s="577" t="n"/>
      <c r="G66" s="577" t="n"/>
      <c r="H66" s="577" t="n"/>
      <c r="I66" s="577" t="n"/>
      <c r="J66" s="577" t="n"/>
      <c r="K66" s="577" t="n"/>
      <c r="L66" s="577" t="n"/>
      <c r="M66" s="577" t="n"/>
      <c r="N66" s="577" t="n"/>
      <c r="O66" s="577" t="n"/>
      <c r="P66" s="577" t="n"/>
      <c r="Q66" s="577" t="n"/>
      <c r="R66" s="577" t="n"/>
      <c r="S66" s="577" t="n"/>
      <c r="T66" s="577" t="n"/>
      <c r="U66" s="577" t="n"/>
      <c r="V66" s="577" t="n"/>
      <c r="W66" s="577" t="n"/>
      <c r="X66" s="577" t="n"/>
      <c r="Y66" s="577" t="n"/>
      <c r="Z66" s="577" t="n"/>
      <c r="AA66" s="577" t="n"/>
      <c r="AB66" s="577" t="n"/>
      <c r="AC66" s="577" t="n"/>
      <c r="AD66" s="577" t="n"/>
      <c r="AE66" s="577" t="n"/>
      <c r="AF66" s="577" t="n"/>
      <c r="AG66" s="577" t="n"/>
      <c r="AH66" s="577" t="n"/>
      <c r="AI66" s="577" t="n"/>
      <c r="AJ66" s="577" t="n"/>
      <c r="AK66" s="577" t="n"/>
      <c r="AL66" s="577" t="n"/>
      <c r="AM66" s="577" t="n"/>
      <c r="AN66" s="577" t="n"/>
      <c r="AO66" s="577" t="n"/>
      <c r="AP66" s="577" t="n"/>
      <c r="AQ66" s="577" t="n"/>
      <c r="AR66" s="577" t="n"/>
      <c r="AS66" s="577" t="n"/>
      <c r="AT66" s="577" t="n"/>
      <c r="AU66" s="577" t="n"/>
      <c r="AV66" s="577" t="n"/>
      <c r="AW66" s="577" t="n"/>
      <c r="AX66" s="577" t="n"/>
      <c r="AY66" s="577" t="n"/>
      <c r="AZ66" s="577" t="n"/>
      <c r="BA66" s="577" t="n"/>
      <c r="BB66" s="577" t="n"/>
      <c r="BC66" s="577" t="n"/>
      <c r="BD66" s="577" t="n"/>
      <c r="BE66" s="577" t="n"/>
      <c r="BF66" s="577" t="n"/>
      <c r="BG66" s="577" t="n"/>
      <c r="BH66" s="577" t="n"/>
      <c r="BI66" s="577" t="n"/>
      <c r="BJ66" s="3" t="n"/>
      <c r="BK66" s="3" t="n"/>
      <c r="BL66" s="3" t="n"/>
      <c r="BM66" s="3" t="n"/>
      <c r="BN66" s="3" t="n"/>
    </row>
    <row r="67" ht="12" customFormat="1" customHeight="1" s="1">
      <c r="A67" s="22" t="inlineStr">
        <is>
          <t>Opening Balance</t>
        </is>
      </c>
      <c r="B67" s="590" t="n"/>
      <c r="C67" s="591" t="n"/>
      <c r="D67" s="591" t="n"/>
      <c r="E67" s="591" t="n"/>
      <c r="F67" s="591" t="n"/>
      <c r="G67" s="591" t="n"/>
      <c r="H67" s="591" t="n"/>
      <c r="I67" s="591" t="n"/>
      <c r="J67" s="591" t="n"/>
      <c r="K67" s="591" t="n"/>
      <c r="L67" s="591" t="n"/>
      <c r="M67" s="591" t="n"/>
      <c r="N67" s="591" t="n"/>
      <c r="O67" s="591" t="n"/>
      <c r="P67" s="591" t="n"/>
      <c r="Q67" s="591" t="n"/>
      <c r="R67" s="591" t="n"/>
      <c r="S67" s="591" t="n"/>
      <c r="T67" s="591" t="n"/>
      <c r="U67" s="591" t="n"/>
      <c r="V67" s="591" t="n"/>
      <c r="W67" s="591" t="n"/>
      <c r="X67" s="591" t="n"/>
      <c r="Y67" s="591" t="n"/>
      <c r="Z67" s="591" t="n"/>
      <c r="AA67" s="591" t="n"/>
      <c r="AB67" s="591" t="n"/>
      <c r="AC67" s="591" t="n"/>
      <c r="AD67" s="591" t="n"/>
      <c r="AE67" s="591" t="n"/>
      <c r="AF67" s="591" t="n"/>
      <c r="AG67" s="591" t="n"/>
      <c r="AH67" s="591" t="n"/>
      <c r="AI67" s="591" t="n"/>
      <c r="AJ67" s="591" t="n"/>
      <c r="AK67" s="591" t="n"/>
      <c r="AL67" s="591" t="n"/>
      <c r="AM67" s="591" t="n"/>
      <c r="AN67" s="591" t="n"/>
      <c r="AO67" s="591" t="n"/>
      <c r="AP67" s="591" t="n"/>
      <c r="AQ67" s="591" t="n"/>
      <c r="AR67" s="591" t="n"/>
      <c r="AS67" s="591" t="n"/>
      <c r="AT67" s="591" t="n"/>
      <c r="AU67" s="591" t="n"/>
      <c r="AV67" s="591" t="n"/>
      <c r="AW67" s="591" t="n"/>
      <c r="AX67" s="591" t="n"/>
      <c r="AY67" s="591" t="n"/>
      <c r="AZ67" s="591" t="n"/>
      <c r="BA67" s="591" t="n"/>
      <c r="BB67" s="591" t="n"/>
      <c r="BC67" s="591" t="n"/>
      <c r="BD67" s="591" t="n"/>
      <c r="BE67" s="591" t="n"/>
      <c r="BF67" s="591" t="n"/>
      <c r="BG67" s="591" t="n"/>
      <c r="BH67" s="591" t="n"/>
      <c r="BI67" s="591" t="n"/>
      <c r="BJ67" s="592" t="n"/>
      <c r="BK67" s="592" t="n"/>
      <c r="BL67" s="592" t="n"/>
      <c r="BM67" s="592" t="n"/>
      <c r="BN67" s="592" t="n"/>
    </row>
    <row r="68" ht="12" customFormat="1" customHeight="1" s="583">
      <c r="A68" s="12" t="inlineStr">
        <is>
          <t xml:space="preserve">Additions </t>
        </is>
      </c>
      <c r="B68" s="590" t="n"/>
      <c r="C68" s="590" t="n"/>
      <c r="D68" s="590" t="n"/>
      <c r="E68" s="590" t="n"/>
      <c r="F68" s="590" t="n"/>
      <c r="G68" s="590" t="n"/>
      <c r="H68" s="590" t="n"/>
      <c r="I68" s="590" t="n"/>
      <c r="J68" s="590" t="n"/>
      <c r="K68" s="590" t="n"/>
      <c r="L68" s="590" t="n"/>
      <c r="M68" s="590" t="n"/>
      <c r="N68" s="590" t="n"/>
      <c r="O68" s="590" t="n"/>
      <c r="P68" s="590" t="n"/>
      <c r="Q68" s="590" t="n"/>
      <c r="R68" s="590" t="n"/>
      <c r="S68" s="590" t="n"/>
      <c r="T68" s="590" t="n"/>
      <c r="U68" s="590" t="n"/>
      <c r="V68" s="590" t="n"/>
      <c r="W68" s="590" t="n"/>
      <c r="X68" s="590" t="n"/>
      <c r="Y68" s="590" t="n"/>
      <c r="Z68" s="590" t="n"/>
      <c r="AA68" s="590" t="n"/>
      <c r="AB68" s="590" t="n"/>
      <c r="AC68" s="590" t="n"/>
      <c r="AD68" s="590" t="n"/>
      <c r="AE68" s="590" t="n"/>
      <c r="AF68" s="590" t="n"/>
      <c r="AG68" s="590" t="n"/>
      <c r="AH68" s="590" t="n"/>
      <c r="AI68" s="590" t="n"/>
      <c r="AJ68" s="590" t="n"/>
      <c r="AK68" s="590" t="n"/>
      <c r="AL68" s="590" t="n"/>
      <c r="AM68" s="590" t="n"/>
      <c r="AN68" s="590" t="n"/>
      <c r="AO68" s="590" t="n"/>
      <c r="AP68" s="590" t="n"/>
      <c r="AQ68" s="590" t="n"/>
      <c r="AR68" s="590" t="n"/>
      <c r="AS68" s="590" t="n"/>
      <c r="AT68" s="590" t="n"/>
      <c r="AU68" s="590" t="n"/>
      <c r="AV68" s="590" t="n"/>
      <c r="AW68" s="590" t="n"/>
      <c r="AX68" s="590" t="n"/>
      <c r="AY68" s="590" t="n"/>
      <c r="AZ68" s="590" t="n"/>
      <c r="BA68" s="590" t="n"/>
      <c r="BB68" s="590" t="n"/>
      <c r="BC68" s="590" t="n"/>
      <c r="BD68" s="590" t="n"/>
      <c r="BE68" s="590" t="n"/>
      <c r="BF68" s="590" t="n"/>
      <c r="BG68" s="590" t="n"/>
      <c r="BH68" s="590" t="n"/>
      <c r="BI68" s="590" t="n"/>
      <c r="BJ68" s="592" t="n"/>
      <c r="BK68" s="592" t="n"/>
      <c r="BL68" s="592" t="n"/>
      <c r="BM68" s="592" t="n"/>
      <c r="BN68" s="592" t="n"/>
    </row>
    <row r="69" ht="12" customFormat="1" customHeight="1" s="1">
      <c r="A69" s="12" t="inlineStr">
        <is>
          <t xml:space="preserve">Depreciation </t>
        </is>
      </c>
      <c r="B69" s="587" t="n"/>
      <c r="C69" s="587" t="n"/>
      <c r="D69" s="587" t="n"/>
      <c r="E69" s="587" t="n"/>
      <c r="F69" s="587" t="n"/>
      <c r="G69" s="587" t="n"/>
      <c r="H69" s="587" t="n"/>
      <c r="I69" s="587" t="n"/>
      <c r="J69" s="587" t="n"/>
      <c r="K69" s="587" t="n"/>
      <c r="L69" s="587" t="n"/>
      <c r="M69" s="587" t="n"/>
      <c r="N69" s="587" t="n"/>
      <c r="O69" s="587" t="n"/>
      <c r="P69" s="587" t="n"/>
      <c r="Q69" s="587" t="n"/>
      <c r="R69" s="587" t="n"/>
      <c r="S69" s="587" t="n"/>
      <c r="T69" s="587" t="n"/>
      <c r="U69" s="587" t="n"/>
      <c r="V69" s="587" t="n"/>
      <c r="W69" s="587" t="n"/>
      <c r="X69" s="587" t="n"/>
      <c r="Y69" s="587" t="n"/>
      <c r="Z69" s="587" t="n"/>
      <c r="AA69" s="587" t="n"/>
      <c r="AB69" s="587" t="n"/>
      <c r="AC69" s="587" t="n"/>
      <c r="AD69" s="587" t="n"/>
      <c r="AE69" s="587" t="n"/>
      <c r="AF69" s="587" t="n"/>
      <c r="AG69" s="587" t="n"/>
      <c r="AH69" s="587" t="n"/>
      <c r="AI69" s="587" t="n"/>
      <c r="AJ69" s="587" t="n"/>
      <c r="AK69" s="587" t="n"/>
      <c r="AL69" s="587" t="n"/>
      <c r="AM69" s="587" t="n"/>
      <c r="AN69" s="587" t="n"/>
      <c r="AO69" s="587" t="n"/>
      <c r="AP69" s="587" t="n"/>
      <c r="AQ69" s="587" t="n"/>
      <c r="AR69" s="587" t="n"/>
      <c r="AS69" s="587" t="n"/>
      <c r="AT69" s="587" t="n"/>
      <c r="AU69" s="587" t="n"/>
      <c r="AV69" s="587" t="n"/>
      <c r="AW69" s="587" t="n"/>
      <c r="AX69" s="587" t="n"/>
      <c r="AY69" s="587" t="n"/>
      <c r="AZ69" s="587" t="n"/>
      <c r="BA69" s="587" t="n"/>
      <c r="BB69" s="587" t="n"/>
      <c r="BC69" s="587" t="n"/>
      <c r="BD69" s="587" t="n"/>
      <c r="BE69" s="587" t="n"/>
      <c r="BF69" s="587" t="n"/>
      <c r="BG69" s="587" t="n"/>
      <c r="BH69" s="587" t="n"/>
      <c r="BI69" s="587" t="n"/>
      <c r="BJ69" s="592" t="n"/>
      <c r="BK69" s="592" t="n"/>
      <c r="BL69" s="592" t="n"/>
      <c r="BM69" s="592" t="n"/>
      <c r="BN69" s="592" t="n"/>
    </row>
    <row r="70" ht="12" customFormat="1" customHeight="1" s="20">
      <c r="A70" s="24" t="inlineStr">
        <is>
          <t>Closing Balance</t>
        </is>
      </c>
      <c r="B70" s="593" t="n"/>
      <c r="C70" s="593" t="n"/>
      <c r="D70" s="593" t="n"/>
      <c r="E70" s="593" t="n"/>
      <c r="F70" s="593" t="n"/>
      <c r="G70" s="593" t="n"/>
      <c r="H70" s="593" t="n"/>
      <c r="I70" s="593" t="n"/>
      <c r="J70" s="593" t="n"/>
      <c r="K70" s="593" t="n"/>
      <c r="L70" s="593" t="n"/>
      <c r="M70" s="593" t="n"/>
      <c r="N70" s="593" t="n"/>
      <c r="O70" s="593" t="n"/>
      <c r="P70" s="593" t="n"/>
      <c r="Q70" s="593" t="n"/>
      <c r="R70" s="593" t="n"/>
      <c r="S70" s="593" t="n"/>
      <c r="T70" s="593" t="n"/>
      <c r="U70" s="593" t="n"/>
      <c r="V70" s="593" t="n"/>
      <c r="W70" s="593" t="n"/>
      <c r="X70" s="593" t="n"/>
      <c r="Y70" s="593" t="n"/>
      <c r="Z70" s="593" t="n"/>
      <c r="AA70" s="593" t="n"/>
      <c r="AB70" s="593" t="n"/>
      <c r="AC70" s="593" t="n"/>
      <c r="AD70" s="593" t="n"/>
      <c r="AE70" s="593" t="n"/>
      <c r="AF70" s="593" t="n"/>
      <c r="AG70" s="593" t="n"/>
      <c r="AH70" s="593" t="n"/>
      <c r="AI70" s="593" t="n"/>
      <c r="AJ70" s="593" t="n"/>
      <c r="AK70" s="593" t="n"/>
      <c r="AL70" s="593" t="n"/>
      <c r="AM70" s="593" t="n"/>
      <c r="AN70" s="593" t="n"/>
      <c r="AO70" s="593" t="n"/>
      <c r="AP70" s="593" t="n"/>
      <c r="AQ70" s="593" t="n"/>
      <c r="AR70" s="593" t="n"/>
      <c r="AS70" s="593" t="n"/>
      <c r="AT70" s="593" t="n"/>
      <c r="AU70" s="593" t="n"/>
      <c r="AV70" s="593" t="n"/>
      <c r="AW70" s="593" t="n"/>
      <c r="AX70" s="593" t="n"/>
      <c r="AY70" s="593" t="n"/>
      <c r="AZ70" s="593" t="n"/>
      <c r="BA70" s="593" t="n"/>
      <c r="BB70" s="593" t="n"/>
      <c r="BC70" s="593" t="n"/>
      <c r="BD70" s="593" t="n"/>
      <c r="BE70" s="593" t="n"/>
      <c r="BF70" s="593" t="n"/>
      <c r="BG70" s="593" t="n"/>
      <c r="BH70" s="593" t="n"/>
      <c r="BI70" s="593" t="n"/>
      <c r="BJ70" s="594" t="n"/>
      <c r="BK70" s="594" t="n"/>
      <c r="BL70" s="594" t="n"/>
      <c r="BM70" s="594" t="n"/>
      <c r="BN70" s="594" t="n"/>
    </row>
    <row r="71">
      <c r="B71" s="588" t="n"/>
      <c r="C71" s="588" t="n"/>
      <c r="D71" s="588" t="n"/>
      <c r="E71" s="588" t="n"/>
      <c r="F71" s="588" t="n"/>
      <c r="G71" s="588" t="n"/>
      <c r="H71" s="588" t="n"/>
      <c r="I71" s="588" t="n"/>
      <c r="J71" s="588" t="n"/>
      <c r="K71" s="588" t="n"/>
      <c r="L71" s="588" t="n"/>
      <c r="M71" s="588" t="n"/>
      <c r="N71" s="588" t="n"/>
      <c r="O71" s="588" t="n"/>
      <c r="P71" s="588" t="n"/>
      <c r="Q71" s="588" t="n"/>
      <c r="R71" s="588" t="n"/>
      <c r="S71" s="588" t="n"/>
      <c r="T71" s="588" t="n"/>
      <c r="U71" s="588" t="n"/>
      <c r="V71" s="588" t="n"/>
      <c r="W71" s="588" t="n"/>
      <c r="X71" s="588" t="n"/>
      <c r="Y71" s="588" t="n"/>
      <c r="Z71" s="588" t="n"/>
      <c r="AA71" s="588" t="n"/>
      <c r="AB71" s="588" t="n"/>
      <c r="AC71" s="588" t="n"/>
      <c r="AD71" s="588" t="n"/>
      <c r="AE71" s="588" t="n"/>
      <c r="AF71" s="588" t="n"/>
      <c r="AG71" s="588" t="n"/>
      <c r="AH71" s="588" t="n"/>
      <c r="AI71" s="588" t="n"/>
      <c r="AJ71" s="588" t="n"/>
      <c r="AK71" s="588" t="n"/>
      <c r="AL71" s="588" t="n"/>
      <c r="AM71" s="588" t="n"/>
      <c r="AN71" s="588" t="n"/>
      <c r="AO71" s="588" t="n"/>
      <c r="AP71" s="588" t="n"/>
      <c r="AQ71" s="588" t="n"/>
      <c r="AR71" s="588" t="n"/>
      <c r="AS71" s="588" t="n"/>
      <c r="AT71" s="588" t="n"/>
      <c r="AU71" s="588" t="n"/>
      <c r="AV71" s="588" t="n"/>
      <c r="AW71" s="588" t="n"/>
      <c r="AX71" s="588" t="n"/>
      <c r="AY71" s="588" t="n"/>
      <c r="AZ71" s="588" t="n"/>
      <c r="BA71" s="588" t="n"/>
      <c r="BB71" s="588" t="n"/>
      <c r="BC71" s="588" t="n"/>
      <c r="BD71" s="588" t="n"/>
      <c r="BE71" s="588" t="n"/>
      <c r="BF71" s="588" t="n"/>
      <c r="BG71" s="588" t="n"/>
      <c r="BH71" s="588" t="n"/>
      <c r="BI71" s="588" t="n"/>
    </row>
    <row r="72" ht="12" customFormat="1" customHeight="1" s="1">
      <c r="A72" s="131" t="inlineStr">
        <is>
          <t>Computer Hardware</t>
        </is>
      </c>
      <c r="B72" s="577" t="n"/>
      <c r="C72" s="577" t="n"/>
      <c r="D72" s="577" t="n"/>
      <c r="E72" s="589" t="n"/>
      <c r="F72" s="589" t="n"/>
      <c r="G72" s="589" t="n"/>
      <c r="H72" s="589" t="n"/>
      <c r="I72" s="589" t="n"/>
      <c r="J72" s="589" t="n"/>
      <c r="K72" s="589" t="n"/>
      <c r="L72" s="589" t="n"/>
      <c r="M72" s="589" t="n"/>
      <c r="N72" s="589" t="n"/>
      <c r="O72" s="589" t="n"/>
      <c r="P72" s="589" t="n"/>
      <c r="Q72" s="589" t="n"/>
      <c r="R72" s="589" t="n"/>
      <c r="S72" s="589" t="n"/>
      <c r="T72" s="589" t="n"/>
      <c r="U72" s="589" t="n"/>
      <c r="V72" s="589" t="n"/>
      <c r="W72" s="589" t="n"/>
      <c r="X72" s="589" t="n"/>
      <c r="Y72" s="589" t="n"/>
      <c r="Z72" s="589" t="n"/>
      <c r="AA72" s="589" t="n"/>
      <c r="AB72" s="589" t="n"/>
      <c r="AC72" s="589" t="n"/>
      <c r="AD72" s="589" t="n"/>
      <c r="AE72" s="589" t="n"/>
      <c r="AF72" s="589" t="n"/>
      <c r="AG72" s="589" t="n"/>
      <c r="AH72" s="589" t="n"/>
      <c r="AI72" s="589" t="n"/>
      <c r="AJ72" s="589" t="n"/>
      <c r="AK72" s="589" t="n"/>
      <c r="AL72" s="589" t="n"/>
      <c r="AM72" s="589" t="n"/>
      <c r="AN72" s="589" t="n"/>
      <c r="AO72" s="589" t="n"/>
      <c r="AP72" s="589" t="n"/>
      <c r="AQ72" s="589" t="n"/>
      <c r="AR72" s="589" t="n"/>
      <c r="AS72" s="589" t="n"/>
      <c r="AT72" s="589" t="n"/>
      <c r="AU72" s="589" t="n"/>
      <c r="AV72" s="589" t="n"/>
      <c r="AW72" s="589" t="n"/>
      <c r="AX72" s="589" t="n"/>
      <c r="AY72" s="589" t="n"/>
      <c r="AZ72" s="589" t="n"/>
      <c r="BA72" s="589" t="n"/>
      <c r="BB72" s="589" t="n"/>
      <c r="BC72" s="589" t="n"/>
      <c r="BD72" s="589" t="n"/>
      <c r="BE72" s="589" t="n"/>
      <c r="BF72" s="589" t="n"/>
      <c r="BG72" s="589" t="n"/>
      <c r="BH72" s="589" t="n"/>
      <c r="BI72" s="589" t="n"/>
      <c r="BJ72" s="3" t="n"/>
      <c r="BK72" s="3" t="n"/>
      <c r="BL72" s="3" t="n"/>
      <c r="BM72" s="3" t="n"/>
      <c r="BN72" s="3" t="n"/>
    </row>
    <row r="73" ht="12" customFormat="1" customHeight="1" s="1">
      <c r="A73" s="12" t="inlineStr">
        <is>
          <t>Monthly Depreciation</t>
        </is>
      </c>
      <c r="B73" s="473" t="n"/>
      <c r="C73" s="577" t="n"/>
      <c r="D73" s="577" t="n"/>
      <c r="E73" s="577" t="n"/>
      <c r="F73" s="577" t="n"/>
      <c r="G73" s="577" t="n"/>
      <c r="H73" s="577" t="n"/>
      <c r="I73" s="577" t="n"/>
      <c r="J73" s="577" t="n"/>
      <c r="K73" s="577" t="n"/>
      <c r="L73" s="577" t="n"/>
      <c r="M73" s="577" t="n"/>
      <c r="N73" s="577" t="n"/>
      <c r="O73" s="577" t="n"/>
      <c r="P73" s="577" t="n"/>
      <c r="Q73" s="577" t="n"/>
      <c r="R73" s="577" t="n"/>
      <c r="S73" s="577" t="n"/>
      <c r="T73" s="577" t="n"/>
      <c r="U73" s="577" t="n"/>
      <c r="V73" s="577" t="n"/>
      <c r="W73" s="577" t="n"/>
      <c r="X73" s="577" t="n"/>
      <c r="Y73" s="577" t="n"/>
      <c r="Z73" s="577" t="n"/>
      <c r="AA73" s="577" t="n"/>
      <c r="AB73" s="577" t="n"/>
      <c r="AC73" s="577" t="n"/>
      <c r="AD73" s="577" t="n"/>
      <c r="AE73" s="577" t="n"/>
      <c r="AF73" s="577" t="n"/>
      <c r="AG73" s="577" t="n"/>
      <c r="AH73" s="577" t="n"/>
      <c r="AI73" s="577" t="n"/>
      <c r="AJ73" s="577" t="n"/>
      <c r="AK73" s="577" t="n"/>
      <c r="AL73" s="577" t="n"/>
      <c r="AM73" s="577" t="n"/>
      <c r="AN73" s="577" t="n"/>
      <c r="AO73" s="577" t="n"/>
      <c r="AP73" s="577" t="n"/>
      <c r="AQ73" s="577" t="n"/>
      <c r="AR73" s="577" t="n"/>
      <c r="AS73" s="577" t="n"/>
      <c r="AT73" s="577" t="n"/>
      <c r="AU73" s="577" t="n"/>
      <c r="AV73" s="577" t="n"/>
      <c r="AW73" s="577" t="n"/>
      <c r="AX73" s="577" t="n"/>
      <c r="AY73" s="577" t="n"/>
      <c r="AZ73" s="577" t="n"/>
      <c r="BA73" s="577" t="n"/>
      <c r="BB73" s="577" t="n"/>
      <c r="BC73" s="577" t="n"/>
      <c r="BD73" s="577" t="n"/>
      <c r="BE73" s="577" t="n"/>
      <c r="BF73" s="577" t="n"/>
      <c r="BG73" s="577" t="n"/>
      <c r="BH73" s="577" t="n"/>
      <c r="BI73" s="577" t="n"/>
      <c r="BJ73" s="3" t="n"/>
      <c r="BK73" s="3" t="n"/>
      <c r="BL73" s="3" t="n"/>
      <c r="BM73" s="3" t="n"/>
      <c r="BN73" s="3" t="n"/>
    </row>
    <row r="74" ht="12" customFormat="1" customHeight="1" s="1">
      <c r="A74" s="12" t="n"/>
      <c r="B74" s="587" t="n"/>
      <c r="C74" s="577" t="n"/>
      <c r="D74" s="577" t="n"/>
      <c r="E74" s="577" t="n"/>
      <c r="F74" s="577" t="n"/>
      <c r="G74" s="577" t="n"/>
      <c r="H74" s="577" t="n"/>
      <c r="I74" s="577" t="n"/>
      <c r="J74" s="577" t="n"/>
      <c r="K74" s="577" t="n"/>
      <c r="L74" s="577" t="n"/>
      <c r="M74" s="577" t="n"/>
      <c r="N74" s="577" t="n"/>
      <c r="O74" s="577" t="n"/>
      <c r="P74" s="577" t="n"/>
      <c r="Q74" s="577" t="n"/>
      <c r="R74" s="577" t="n"/>
      <c r="S74" s="577" t="n"/>
      <c r="T74" s="577" t="n"/>
      <c r="U74" s="577" t="n"/>
      <c r="V74" s="577" t="n"/>
      <c r="W74" s="577" t="n"/>
      <c r="X74" s="577" t="n"/>
      <c r="Y74" s="577" t="n"/>
      <c r="Z74" s="577" t="n"/>
      <c r="AA74" s="577" t="n"/>
      <c r="AB74" s="577" t="n"/>
      <c r="AC74" s="577" t="n"/>
      <c r="AD74" s="577" t="n"/>
      <c r="AE74" s="577" t="n"/>
      <c r="AF74" s="577" t="n"/>
      <c r="AG74" s="577" t="n"/>
      <c r="AH74" s="577" t="n"/>
      <c r="AI74" s="577" t="n"/>
      <c r="AJ74" s="577" t="n"/>
      <c r="AK74" s="577" t="n"/>
      <c r="AL74" s="577" t="n"/>
      <c r="AM74" s="577" t="n"/>
      <c r="AN74" s="577" t="n"/>
      <c r="AO74" s="577" t="n"/>
      <c r="AP74" s="577" t="n"/>
      <c r="AQ74" s="577" t="n"/>
      <c r="AR74" s="577" t="n"/>
      <c r="AS74" s="577" t="n"/>
      <c r="AT74" s="577" t="n"/>
      <c r="AU74" s="577" t="n"/>
      <c r="AV74" s="577" t="n"/>
      <c r="AW74" s="577" t="n"/>
      <c r="AX74" s="577" t="n"/>
      <c r="AY74" s="577" t="n"/>
      <c r="AZ74" s="577" t="n"/>
      <c r="BA74" s="577" t="n"/>
      <c r="BB74" s="577" t="n"/>
      <c r="BC74" s="577" t="n"/>
      <c r="BD74" s="577" t="n"/>
      <c r="BE74" s="577" t="n"/>
      <c r="BF74" s="577" t="n"/>
      <c r="BG74" s="577" t="n"/>
      <c r="BH74" s="577" t="n"/>
      <c r="BI74" s="577" t="n"/>
      <c r="BJ74" s="3" t="n"/>
      <c r="BK74" s="3" t="n"/>
      <c r="BL74" s="3" t="n"/>
      <c r="BM74" s="3" t="n"/>
      <c r="BN74" s="3" t="n"/>
    </row>
    <row r="75" ht="12" customFormat="1" customHeight="1" s="1">
      <c r="A75" s="22" t="inlineStr">
        <is>
          <t>Opening Balance</t>
        </is>
      </c>
      <c r="B75" s="590" t="n"/>
      <c r="C75" s="591" t="n"/>
      <c r="D75" s="591" t="n"/>
      <c r="E75" s="591" t="n"/>
      <c r="F75" s="591" t="n"/>
      <c r="G75" s="591" t="n"/>
      <c r="H75" s="591" t="n"/>
      <c r="I75" s="591" t="n"/>
      <c r="J75" s="591" t="n"/>
      <c r="K75" s="591" t="n"/>
      <c r="L75" s="591" t="n"/>
      <c r="M75" s="591" t="n"/>
      <c r="N75" s="591" t="n"/>
      <c r="O75" s="591" t="n"/>
      <c r="P75" s="591" t="n"/>
      <c r="Q75" s="591" t="n"/>
      <c r="R75" s="591" t="n"/>
      <c r="S75" s="591" t="n"/>
      <c r="T75" s="591" t="n"/>
      <c r="U75" s="591" t="n"/>
      <c r="V75" s="591" t="n"/>
      <c r="W75" s="591" t="n"/>
      <c r="X75" s="591" t="n"/>
      <c r="Y75" s="591" t="n"/>
      <c r="Z75" s="591" t="n"/>
      <c r="AA75" s="591" t="n"/>
      <c r="AB75" s="591" t="n"/>
      <c r="AC75" s="591" t="n"/>
      <c r="AD75" s="591" t="n"/>
      <c r="AE75" s="591" t="n"/>
      <c r="AF75" s="591" t="n"/>
      <c r="AG75" s="591" t="n"/>
      <c r="AH75" s="591" t="n"/>
      <c r="AI75" s="591" t="n"/>
      <c r="AJ75" s="591" t="n"/>
      <c r="AK75" s="591" t="n"/>
      <c r="AL75" s="591" t="n"/>
      <c r="AM75" s="591" t="n"/>
      <c r="AN75" s="591" t="n"/>
      <c r="AO75" s="591" t="n"/>
      <c r="AP75" s="591" t="n"/>
      <c r="AQ75" s="591" t="n"/>
      <c r="AR75" s="591" t="n"/>
      <c r="AS75" s="591" t="n"/>
      <c r="AT75" s="591" t="n"/>
      <c r="AU75" s="591" t="n"/>
      <c r="AV75" s="591" t="n"/>
      <c r="AW75" s="591" t="n"/>
      <c r="AX75" s="591" t="n"/>
      <c r="AY75" s="591" t="n"/>
      <c r="AZ75" s="591" t="n"/>
      <c r="BA75" s="591" t="n"/>
      <c r="BB75" s="591" t="n"/>
      <c r="BC75" s="591" t="n"/>
      <c r="BD75" s="591" t="n"/>
      <c r="BE75" s="591" t="n"/>
      <c r="BF75" s="591" t="n"/>
      <c r="BG75" s="591" t="n"/>
      <c r="BH75" s="591" t="n"/>
      <c r="BI75" s="591" t="n"/>
      <c r="BJ75" s="592" t="n"/>
      <c r="BK75" s="592" t="n"/>
      <c r="BL75" s="592" t="n"/>
      <c r="BM75" s="592" t="n"/>
      <c r="BN75" s="592" t="n"/>
    </row>
    <row r="76" ht="12" customFormat="1" customHeight="1" s="583">
      <c r="A76" s="12" t="inlineStr">
        <is>
          <t xml:space="preserve">Additions </t>
        </is>
      </c>
      <c r="B76" s="590" t="n"/>
      <c r="C76" s="590" t="n"/>
      <c r="D76" s="590" t="n"/>
      <c r="E76" s="590" t="n"/>
      <c r="F76" s="590" t="n"/>
      <c r="G76" s="590" t="n"/>
      <c r="H76" s="590" t="n"/>
      <c r="I76" s="590" t="n"/>
      <c r="J76" s="590" t="n"/>
      <c r="K76" s="590" t="n"/>
      <c r="L76" s="590" t="n"/>
      <c r="M76" s="590" t="n"/>
      <c r="N76" s="590" t="n"/>
      <c r="O76" s="590" t="n"/>
      <c r="P76" s="590" t="n"/>
      <c r="Q76" s="590" t="n"/>
      <c r="R76" s="590" t="n"/>
      <c r="S76" s="590" t="n"/>
      <c r="T76" s="590" t="n"/>
      <c r="U76" s="590" t="n"/>
      <c r="V76" s="590" t="n"/>
      <c r="W76" s="590" t="n"/>
      <c r="X76" s="590" t="n"/>
      <c r="Y76" s="590" t="n"/>
      <c r="Z76" s="590" t="n"/>
      <c r="AA76" s="590" t="n"/>
      <c r="AB76" s="590" t="n"/>
      <c r="AC76" s="590" t="n"/>
      <c r="AD76" s="590" t="n"/>
      <c r="AE76" s="590" t="n"/>
      <c r="AF76" s="590" t="n"/>
      <c r="AG76" s="590" t="n"/>
      <c r="AH76" s="590" t="n"/>
      <c r="AI76" s="590" t="n"/>
      <c r="AJ76" s="590" t="n"/>
      <c r="AK76" s="590" t="n"/>
      <c r="AL76" s="590" t="n"/>
      <c r="AM76" s="590" t="n"/>
      <c r="AN76" s="590" t="n"/>
      <c r="AO76" s="590" t="n"/>
      <c r="AP76" s="590" t="n"/>
      <c r="AQ76" s="590" t="n"/>
      <c r="AR76" s="590" t="n"/>
      <c r="AS76" s="590" t="n"/>
      <c r="AT76" s="590" t="n"/>
      <c r="AU76" s="590" t="n"/>
      <c r="AV76" s="590" t="n"/>
      <c r="AW76" s="590" t="n"/>
      <c r="AX76" s="590" t="n"/>
      <c r="AY76" s="590" t="n"/>
      <c r="AZ76" s="590" t="n"/>
      <c r="BA76" s="590" t="n"/>
      <c r="BB76" s="590" t="n"/>
      <c r="BC76" s="590" t="n"/>
      <c r="BD76" s="590" t="n"/>
      <c r="BE76" s="590" t="n"/>
      <c r="BF76" s="590" t="n"/>
      <c r="BG76" s="590" t="n"/>
      <c r="BH76" s="590" t="n"/>
      <c r="BI76" s="590" t="n"/>
      <c r="BJ76" s="592" t="n"/>
      <c r="BK76" s="592" t="n"/>
      <c r="BL76" s="592" t="n"/>
      <c r="BM76" s="592" t="n"/>
      <c r="BN76" s="592" t="n"/>
    </row>
    <row r="77" ht="12" customFormat="1" customHeight="1" s="1">
      <c r="A77" s="12" t="inlineStr">
        <is>
          <t xml:space="preserve">Depreciation </t>
        </is>
      </c>
      <c r="B77" s="587" t="n"/>
      <c r="C77" s="587" t="n"/>
      <c r="D77" s="587" t="n"/>
      <c r="E77" s="587" t="n"/>
      <c r="F77" s="587" t="n"/>
      <c r="G77" s="587" t="n"/>
      <c r="H77" s="587" t="n"/>
      <c r="I77" s="587" t="n"/>
      <c r="J77" s="587" t="n"/>
      <c r="K77" s="587" t="n"/>
      <c r="L77" s="587" t="n"/>
      <c r="M77" s="587" t="n"/>
      <c r="N77" s="587" t="n"/>
      <c r="O77" s="587" t="n"/>
      <c r="P77" s="587" t="n"/>
      <c r="Q77" s="587" t="n"/>
      <c r="R77" s="587" t="n"/>
      <c r="S77" s="587" t="n"/>
      <c r="T77" s="587" t="n"/>
      <c r="U77" s="587" t="n"/>
      <c r="V77" s="587" t="n"/>
      <c r="W77" s="587" t="n"/>
      <c r="X77" s="587" t="n"/>
      <c r="Y77" s="587" t="n"/>
      <c r="Z77" s="587" t="n"/>
      <c r="AA77" s="587" t="n"/>
      <c r="AB77" s="587" t="n"/>
      <c r="AC77" s="587" t="n"/>
      <c r="AD77" s="587" t="n"/>
      <c r="AE77" s="587" t="n"/>
      <c r="AF77" s="587" t="n"/>
      <c r="AG77" s="587" t="n"/>
      <c r="AH77" s="587" t="n"/>
      <c r="AI77" s="587" t="n"/>
      <c r="AJ77" s="587" t="n"/>
      <c r="AK77" s="587" t="n"/>
      <c r="AL77" s="587" t="n"/>
      <c r="AM77" s="587" t="n"/>
      <c r="AN77" s="587" t="n"/>
      <c r="AO77" s="587" t="n"/>
      <c r="AP77" s="587" t="n"/>
      <c r="AQ77" s="587" t="n"/>
      <c r="AR77" s="587" t="n"/>
      <c r="AS77" s="587" t="n"/>
      <c r="AT77" s="587" t="n"/>
      <c r="AU77" s="587" t="n"/>
      <c r="AV77" s="587" t="n"/>
      <c r="AW77" s="587" t="n"/>
      <c r="AX77" s="587" t="n"/>
      <c r="AY77" s="587" t="n"/>
      <c r="AZ77" s="587" t="n"/>
      <c r="BA77" s="587" t="n"/>
      <c r="BB77" s="587" t="n"/>
      <c r="BC77" s="587" t="n"/>
      <c r="BD77" s="587" t="n"/>
      <c r="BE77" s="587" t="n"/>
      <c r="BF77" s="587" t="n"/>
      <c r="BG77" s="587" t="n"/>
      <c r="BH77" s="587" t="n"/>
      <c r="BI77" s="587" t="n"/>
      <c r="BJ77" s="592" t="n"/>
      <c r="BK77" s="592" t="n"/>
      <c r="BL77" s="592" t="n"/>
      <c r="BM77" s="592" t="n"/>
      <c r="BN77" s="592" t="n"/>
    </row>
    <row r="78" ht="12" customFormat="1" customHeight="1" s="20">
      <c r="A78" s="24" t="inlineStr">
        <is>
          <t>Closing Balance</t>
        </is>
      </c>
      <c r="B78" s="593" t="n"/>
      <c r="C78" s="593" t="n"/>
      <c r="D78" s="593" t="n"/>
      <c r="E78" s="593" t="n"/>
      <c r="F78" s="593" t="n"/>
      <c r="G78" s="593" t="n"/>
      <c r="H78" s="593" t="n"/>
      <c r="I78" s="593" t="n"/>
      <c r="J78" s="593" t="n"/>
      <c r="K78" s="593" t="n"/>
      <c r="L78" s="593" t="n"/>
      <c r="M78" s="593" t="n"/>
      <c r="N78" s="593" t="n"/>
      <c r="O78" s="593" t="n"/>
      <c r="P78" s="593" t="n"/>
      <c r="Q78" s="593" t="n"/>
      <c r="R78" s="593" t="n"/>
      <c r="S78" s="593" t="n"/>
      <c r="T78" s="593" t="n"/>
      <c r="U78" s="593" t="n"/>
      <c r="V78" s="593" t="n"/>
      <c r="W78" s="593" t="n"/>
      <c r="X78" s="593" t="n"/>
      <c r="Y78" s="593" t="n"/>
      <c r="Z78" s="593" t="n"/>
      <c r="AA78" s="593" t="n"/>
      <c r="AB78" s="593" t="n"/>
      <c r="AC78" s="593" t="n"/>
      <c r="AD78" s="593" t="n"/>
      <c r="AE78" s="593" t="n"/>
      <c r="AF78" s="593" t="n"/>
      <c r="AG78" s="593" t="n"/>
      <c r="AH78" s="593" t="n"/>
      <c r="AI78" s="593" t="n"/>
      <c r="AJ78" s="593" t="n"/>
      <c r="AK78" s="593" t="n"/>
      <c r="AL78" s="593" t="n"/>
      <c r="AM78" s="593" t="n"/>
      <c r="AN78" s="593" t="n"/>
      <c r="AO78" s="593" t="n"/>
      <c r="AP78" s="593" t="n"/>
      <c r="AQ78" s="593" t="n"/>
      <c r="AR78" s="593" t="n"/>
      <c r="AS78" s="593" t="n"/>
      <c r="AT78" s="593" t="n"/>
      <c r="AU78" s="593" t="n"/>
      <c r="AV78" s="593" t="n"/>
      <c r="AW78" s="593" t="n"/>
      <c r="AX78" s="593" t="n"/>
      <c r="AY78" s="593" t="n"/>
      <c r="AZ78" s="593" t="n"/>
      <c r="BA78" s="593" t="n"/>
      <c r="BB78" s="593" t="n"/>
      <c r="BC78" s="593" t="n"/>
      <c r="BD78" s="593" t="n"/>
      <c r="BE78" s="593" t="n"/>
      <c r="BF78" s="593" t="n"/>
      <c r="BG78" s="593" t="n"/>
      <c r="BH78" s="593" t="n"/>
      <c r="BI78" s="593" t="n"/>
      <c r="BJ78" s="594" t="n"/>
      <c r="BK78" s="594" t="n"/>
      <c r="BL78" s="594" t="n"/>
      <c r="BM78" s="594" t="n"/>
      <c r="BN78" s="594" t="n"/>
    </row>
    <row r="79">
      <c r="B79" s="588" t="n"/>
      <c r="C79" s="588" t="n"/>
      <c r="D79" s="588" t="n"/>
      <c r="E79" s="588" t="n"/>
      <c r="F79" s="588" t="n"/>
      <c r="G79" s="588" t="n"/>
      <c r="H79" s="588" t="n"/>
      <c r="I79" s="588" t="n"/>
      <c r="J79" s="588" t="n"/>
      <c r="K79" s="588" t="n"/>
      <c r="L79" s="588" t="n"/>
      <c r="M79" s="588" t="n"/>
      <c r="N79" s="588" t="n"/>
      <c r="O79" s="588" t="n"/>
      <c r="P79" s="588" t="n"/>
      <c r="Q79" s="588" t="n"/>
      <c r="R79" s="588" t="n"/>
      <c r="S79" s="588" t="n"/>
      <c r="T79" s="588" t="n"/>
      <c r="U79" s="588" t="n"/>
      <c r="V79" s="588" t="n"/>
      <c r="W79" s="588" t="n"/>
      <c r="X79" s="588" t="n"/>
      <c r="Y79" s="588" t="n"/>
      <c r="Z79" s="588" t="n"/>
      <c r="AA79" s="588" t="n"/>
      <c r="AB79" s="588" t="n"/>
      <c r="AC79" s="588" t="n"/>
      <c r="AD79" s="588" t="n"/>
      <c r="AE79" s="588" t="n"/>
      <c r="AF79" s="588" t="n"/>
      <c r="AG79" s="588" t="n"/>
      <c r="AH79" s="588" t="n"/>
      <c r="AI79" s="588" t="n"/>
      <c r="AJ79" s="588" t="n"/>
      <c r="AK79" s="588" t="n"/>
      <c r="AL79" s="588" t="n"/>
      <c r="AM79" s="588" t="n"/>
      <c r="AN79" s="588" t="n"/>
      <c r="AO79" s="588" t="n"/>
      <c r="AP79" s="588" t="n"/>
      <c r="AQ79" s="588" t="n"/>
      <c r="AR79" s="588" t="n"/>
      <c r="AS79" s="588" t="n"/>
      <c r="AT79" s="588" t="n"/>
      <c r="AU79" s="588" t="n"/>
      <c r="AV79" s="588" t="n"/>
      <c r="AW79" s="588" t="n"/>
      <c r="AX79" s="588" t="n"/>
      <c r="AY79" s="588" t="n"/>
      <c r="AZ79" s="588" t="n"/>
      <c r="BA79" s="588" t="n"/>
      <c r="BB79" s="588" t="n"/>
      <c r="BC79" s="588" t="n"/>
      <c r="BD79" s="588" t="n"/>
      <c r="BE79" s="588" t="n"/>
      <c r="BF79" s="588" t="n"/>
      <c r="BG79" s="588" t="n"/>
      <c r="BH79" s="588" t="n"/>
      <c r="BI79" s="588" t="n"/>
    </row>
    <row r="80" ht="12" customFormat="1" customHeight="1" s="1">
      <c r="A80" s="131" t="inlineStr">
        <is>
          <t>Infrastructure</t>
        </is>
      </c>
      <c r="B80" s="577" t="n"/>
      <c r="C80" s="577" t="n"/>
      <c r="D80" s="577" t="n"/>
      <c r="E80" s="589" t="n"/>
      <c r="F80" s="589" t="n"/>
      <c r="G80" s="589" t="n"/>
      <c r="H80" s="589" t="n"/>
      <c r="I80" s="589" t="n"/>
      <c r="J80" s="589" t="n"/>
      <c r="K80" s="589" t="n"/>
      <c r="L80" s="589" t="n"/>
      <c r="M80" s="589" t="n"/>
      <c r="N80" s="589" t="n"/>
      <c r="O80" s="589" t="n"/>
      <c r="P80" s="589" t="n"/>
      <c r="Q80" s="589" t="n"/>
      <c r="R80" s="589" t="n"/>
      <c r="S80" s="589" t="n"/>
      <c r="T80" s="589" t="n"/>
      <c r="U80" s="589" t="n"/>
      <c r="V80" s="589" t="n"/>
      <c r="W80" s="589" t="n"/>
      <c r="X80" s="589" t="n"/>
      <c r="Y80" s="589" t="n"/>
      <c r="Z80" s="589" t="n"/>
      <c r="AA80" s="589" t="n"/>
      <c r="AB80" s="589" t="n"/>
      <c r="AC80" s="589" t="n"/>
      <c r="AD80" s="589" t="n"/>
      <c r="AE80" s="589" t="n"/>
      <c r="AF80" s="589" t="n"/>
      <c r="AG80" s="589" t="n"/>
      <c r="AH80" s="589" t="n"/>
      <c r="AI80" s="589" t="n"/>
      <c r="AJ80" s="589" t="n"/>
      <c r="AK80" s="589" t="n"/>
      <c r="AL80" s="589" t="n"/>
      <c r="AM80" s="589" t="n"/>
      <c r="AN80" s="589" t="n"/>
      <c r="AO80" s="589" t="n"/>
      <c r="AP80" s="589" t="n"/>
      <c r="AQ80" s="589" t="n"/>
      <c r="AR80" s="589" t="n"/>
      <c r="AS80" s="589" t="n"/>
      <c r="AT80" s="589" t="n"/>
      <c r="AU80" s="589" t="n"/>
      <c r="AV80" s="589" t="n"/>
      <c r="AW80" s="589" t="n"/>
      <c r="AX80" s="589" t="n"/>
      <c r="AY80" s="589" t="n"/>
      <c r="AZ80" s="589" t="n"/>
      <c r="BA80" s="589" t="n"/>
      <c r="BB80" s="589" t="n"/>
      <c r="BC80" s="589" t="n"/>
      <c r="BD80" s="589" t="n"/>
      <c r="BE80" s="589" t="n"/>
      <c r="BF80" s="589" t="n"/>
      <c r="BG80" s="589" t="n"/>
      <c r="BH80" s="589" t="n"/>
      <c r="BI80" s="589" t="n"/>
      <c r="BJ80" s="3" t="n"/>
      <c r="BK80" s="3" t="n"/>
      <c r="BL80" s="3" t="n"/>
      <c r="BM80" s="3" t="n"/>
      <c r="BN80" s="3" t="n"/>
    </row>
    <row r="81" ht="12" customFormat="1" customHeight="1" s="1">
      <c r="A81" s="12" t="inlineStr">
        <is>
          <t>Monthly Depreciation</t>
        </is>
      </c>
      <c r="B81" s="473" t="n"/>
      <c r="C81" s="577" t="n"/>
      <c r="D81" s="577" t="n"/>
      <c r="E81" s="577" t="n"/>
      <c r="F81" s="577" t="n"/>
      <c r="G81" s="577" t="n"/>
      <c r="H81" s="577" t="n"/>
      <c r="I81" s="577" t="n"/>
      <c r="J81" s="577" t="n"/>
      <c r="K81" s="577" t="n"/>
      <c r="L81" s="577" t="n"/>
      <c r="M81" s="577" t="n"/>
      <c r="N81" s="577" t="n"/>
      <c r="O81" s="577" t="n"/>
      <c r="P81" s="577" t="n"/>
      <c r="Q81" s="577" t="n"/>
      <c r="R81" s="577" t="n"/>
      <c r="S81" s="577" t="n"/>
      <c r="T81" s="577" t="n"/>
      <c r="U81" s="577" t="n"/>
      <c r="V81" s="577" t="n"/>
      <c r="W81" s="577" t="n"/>
      <c r="X81" s="577" t="n"/>
      <c r="Y81" s="577" t="n"/>
      <c r="Z81" s="577" t="n"/>
      <c r="AA81" s="577" t="n"/>
      <c r="AB81" s="577" t="n"/>
      <c r="AC81" s="577" t="n"/>
      <c r="AD81" s="577" t="n"/>
      <c r="AE81" s="577" t="n"/>
      <c r="AF81" s="577" t="n"/>
      <c r="AG81" s="577" t="n"/>
      <c r="AH81" s="577" t="n"/>
      <c r="AI81" s="577" t="n"/>
      <c r="AJ81" s="577" t="n"/>
      <c r="AK81" s="577" t="n"/>
      <c r="AL81" s="577" t="n"/>
      <c r="AM81" s="577" t="n"/>
      <c r="AN81" s="577" t="n"/>
      <c r="AO81" s="577" t="n"/>
      <c r="AP81" s="577" t="n"/>
      <c r="AQ81" s="577" t="n"/>
      <c r="AR81" s="577" t="n"/>
      <c r="AS81" s="577" t="n"/>
      <c r="AT81" s="577" t="n"/>
      <c r="AU81" s="577" t="n"/>
      <c r="AV81" s="577" t="n"/>
      <c r="AW81" s="577" t="n"/>
      <c r="AX81" s="577" t="n"/>
      <c r="AY81" s="577" t="n"/>
      <c r="AZ81" s="577" t="n"/>
      <c r="BA81" s="577" t="n"/>
      <c r="BB81" s="577" t="n"/>
      <c r="BC81" s="577" t="n"/>
      <c r="BD81" s="577" t="n"/>
      <c r="BE81" s="577" t="n"/>
      <c r="BF81" s="577" t="n"/>
      <c r="BG81" s="577" t="n"/>
      <c r="BH81" s="577" t="n"/>
      <c r="BI81" s="577" t="n"/>
      <c r="BJ81" s="3" t="n"/>
      <c r="BK81" s="3" t="n"/>
      <c r="BL81" s="3" t="n"/>
      <c r="BM81" s="3" t="n"/>
      <c r="BN81" s="3" t="n"/>
    </row>
    <row r="82" ht="12" customFormat="1" customHeight="1" s="1">
      <c r="A82" s="12" t="n"/>
      <c r="B82" s="587" t="n"/>
      <c r="C82" s="577" t="n"/>
      <c r="D82" s="577" t="n"/>
      <c r="E82" s="577" t="n"/>
      <c r="F82" s="577" t="n"/>
      <c r="G82" s="577" t="n"/>
      <c r="H82" s="577" t="n"/>
      <c r="I82" s="577" t="n"/>
      <c r="J82" s="577" t="n"/>
      <c r="K82" s="577" t="n"/>
      <c r="L82" s="577" t="n"/>
      <c r="M82" s="577" t="n"/>
      <c r="N82" s="577" t="n"/>
      <c r="O82" s="577" t="n"/>
      <c r="P82" s="577" t="n"/>
      <c r="Q82" s="577" t="n"/>
      <c r="R82" s="577" t="n"/>
      <c r="S82" s="577" t="n"/>
      <c r="T82" s="577" t="n"/>
      <c r="U82" s="577" t="n"/>
      <c r="V82" s="577" t="n"/>
      <c r="W82" s="577" t="n"/>
      <c r="X82" s="577" t="n"/>
      <c r="Y82" s="577" t="n"/>
      <c r="Z82" s="577" t="n"/>
      <c r="AA82" s="577" t="n"/>
      <c r="AB82" s="577" t="n"/>
      <c r="AC82" s="577" t="n"/>
      <c r="AD82" s="577" t="n"/>
      <c r="AE82" s="577" t="n"/>
      <c r="AF82" s="577" t="n"/>
      <c r="AG82" s="577" t="n"/>
      <c r="AH82" s="577" t="n"/>
      <c r="AI82" s="577" t="n"/>
      <c r="AJ82" s="577" t="n"/>
      <c r="AK82" s="577" t="n"/>
      <c r="AL82" s="577" t="n"/>
      <c r="AM82" s="577" t="n"/>
      <c r="AN82" s="577" t="n"/>
      <c r="AO82" s="577" t="n"/>
      <c r="AP82" s="577" t="n"/>
      <c r="AQ82" s="577" t="n"/>
      <c r="AR82" s="577" t="n"/>
      <c r="AS82" s="577" t="n"/>
      <c r="AT82" s="577" t="n"/>
      <c r="AU82" s="577" t="n"/>
      <c r="AV82" s="577" t="n"/>
      <c r="AW82" s="577" t="n"/>
      <c r="AX82" s="577" t="n"/>
      <c r="AY82" s="577" t="n"/>
      <c r="AZ82" s="577" t="n"/>
      <c r="BA82" s="577" t="n"/>
      <c r="BB82" s="577" t="n"/>
      <c r="BC82" s="577" t="n"/>
      <c r="BD82" s="577" t="n"/>
      <c r="BE82" s="577" t="n"/>
      <c r="BF82" s="577" t="n"/>
      <c r="BG82" s="577" t="n"/>
      <c r="BH82" s="577" t="n"/>
      <c r="BI82" s="577" t="n"/>
      <c r="BJ82" s="3" t="n"/>
      <c r="BK82" s="3" t="n"/>
      <c r="BL82" s="3" t="n"/>
      <c r="BM82" s="3" t="n"/>
      <c r="BN82" s="3" t="n"/>
    </row>
    <row r="83" ht="12" customFormat="1" customHeight="1" s="1">
      <c r="A83" s="22" t="inlineStr">
        <is>
          <t>Opening Balance</t>
        </is>
      </c>
      <c r="B83" s="590" t="n"/>
      <c r="C83" s="591" t="n"/>
      <c r="D83" s="591" t="n"/>
      <c r="E83" s="591" t="n"/>
      <c r="F83" s="591" t="n"/>
      <c r="G83" s="591" t="n"/>
      <c r="H83" s="591" t="n"/>
      <c r="I83" s="591" t="n"/>
      <c r="J83" s="591" t="n"/>
      <c r="K83" s="591" t="n"/>
      <c r="L83" s="591" t="n"/>
      <c r="M83" s="591" t="n"/>
      <c r="N83" s="591" t="n"/>
      <c r="O83" s="591" t="n"/>
      <c r="P83" s="591" t="n"/>
      <c r="Q83" s="591" t="n"/>
      <c r="R83" s="591" t="n"/>
      <c r="S83" s="591" t="n"/>
      <c r="T83" s="591" t="n"/>
      <c r="U83" s="591" t="n"/>
      <c r="V83" s="591" t="n"/>
      <c r="W83" s="591" t="n"/>
      <c r="X83" s="591" t="n"/>
      <c r="Y83" s="591" t="n"/>
      <c r="Z83" s="591" t="n"/>
      <c r="AA83" s="591" t="n"/>
      <c r="AB83" s="591" t="n"/>
      <c r="AC83" s="591" t="n"/>
      <c r="AD83" s="591" t="n"/>
      <c r="AE83" s="591" t="n"/>
      <c r="AF83" s="591" t="n"/>
      <c r="AG83" s="591" t="n"/>
      <c r="AH83" s="591" t="n"/>
      <c r="AI83" s="591" t="n"/>
      <c r="AJ83" s="591" t="n"/>
      <c r="AK83" s="591" t="n"/>
      <c r="AL83" s="591" t="n"/>
      <c r="AM83" s="591" t="n"/>
      <c r="AN83" s="591" t="n"/>
      <c r="AO83" s="591" t="n"/>
      <c r="AP83" s="591" t="n"/>
      <c r="AQ83" s="591" t="n"/>
      <c r="AR83" s="591" t="n"/>
      <c r="AS83" s="591" t="n"/>
      <c r="AT83" s="591" t="n"/>
      <c r="AU83" s="591" t="n"/>
      <c r="AV83" s="591" t="n"/>
      <c r="AW83" s="591" t="n"/>
      <c r="AX83" s="591" t="n"/>
      <c r="AY83" s="591" t="n"/>
      <c r="AZ83" s="591" t="n"/>
      <c r="BA83" s="591" t="n"/>
      <c r="BB83" s="591" t="n"/>
      <c r="BC83" s="591" t="n"/>
      <c r="BD83" s="591" t="n"/>
      <c r="BE83" s="591" t="n"/>
      <c r="BF83" s="591" t="n"/>
      <c r="BG83" s="591" t="n"/>
      <c r="BH83" s="591" t="n"/>
      <c r="BI83" s="591" t="n"/>
      <c r="BJ83" s="592" t="n"/>
      <c r="BK83" s="592" t="n"/>
      <c r="BL83" s="592" t="n"/>
      <c r="BM83" s="592" t="n"/>
      <c r="BN83" s="592" t="n"/>
    </row>
    <row r="84" ht="12" customFormat="1" customHeight="1" s="583">
      <c r="A84" s="12" t="inlineStr">
        <is>
          <t xml:space="preserve">Additions </t>
        </is>
      </c>
      <c r="B84" s="590" t="n"/>
      <c r="C84" s="590" t="n"/>
      <c r="D84" s="590" t="n"/>
      <c r="E84" s="590" t="n"/>
      <c r="F84" s="590" t="n"/>
      <c r="G84" s="590" t="n"/>
      <c r="H84" s="590" t="n"/>
      <c r="I84" s="590" t="n"/>
      <c r="J84" s="590" t="n"/>
      <c r="K84" s="590" t="n"/>
      <c r="L84" s="590" t="n"/>
      <c r="M84" s="590" t="n"/>
      <c r="N84" s="590" t="n"/>
      <c r="O84" s="590" t="n"/>
      <c r="P84" s="590" t="n"/>
      <c r="Q84" s="590" t="n"/>
      <c r="R84" s="590" t="n"/>
      <c r="S84" s="590" t="n"/>
      <c r="T84" s="590" t="n"/>
      <c r="U84" s="590" t="n"/>
      <c r="V84" s="590" t="n"/>
      <c r="W84" s="590" t="n"/>
      <c r="X84" s="590" t="n"/>
      <c r="Y84" s="590" t="n"/>
      <c r="Z84" s="590" t="n"/>
      <c r="AA84" s="590" t="n"/>
      <c r="AB84" s="590" t="n"/>
      <c r="AC84" s="590" t="n"/>
      <c r="AD84" s="590" t="n"/>
      <c r="AE84" s="590" t="n"/>
      <c r="AF84" s="590" t="n"/>
      <c r="AG84" s="590" t="n"/>
      <c r="AH84" s="590" t="n"/>
      <c r="AI84" s="590" t="n"/>
      <c r="AJ84" s="590" t="n"/>
      <c r="AK84" s="590" t="n"/>
      <c r="AL84" s="590" t="n"/>
      <c r="AM84" s="590" t="n"/>
      <c r="AN84" s="590" t="n"/>
      <c r="AO84" s="590" t="n"/>
      <c r="AP84" s="590" t="n"/>
      <c r="AQ84" s="590" t="n"/>
      <c r="AR84" s="590" t="n"/>
      <c r="AS84" s="590" t="n"/>
      <c r="AT84" s="590" t="n"/>
      <c r="AU84" s="590" t="n"/>
      <c r="AV84" s="590" t="n"/>
      <c r="AW84" s="590" t="n"/>
      <c r="AX84" s="590" t="n"/>
      <c r="AY84" s="590" t="n"/>
      <c r="AZ84" s="590" t="n"/>
      <c r="BA84" s="590" t="n"/>
      <c r="BB84" s="590" t="n"/>
      <c r="BC84" s="590" t="n"/>
      <c r="BD84" s="590" t="n"/>
      <c r="BE84" s="590" t="n"/>
      <c r="BF84" s="590" t="n"/>
      <c r="BG84" s="590" t="n"/>
      <c r="BH84" s="590" t="n"/>
      <c r="BI84" s="590" t="n"/>
      <c r="BJ84" s="592" t="n"/>
      <c r="BK84" s="592" t="n"/>
      <c r="BL84" s="592" t="n"/>
      <c r="BM84" s="592" t="n"/>
      <c r="BN84" s="592" t="n"/>
    </row>
    <row r="85" ht="12" customFormat="1" customHeight="1" s="1">
      <c r="A85" s="12" t="inlineStr">
        <is>
          <t xml:space="preserve">Depreciation </t>
        </is>
      </c>
      <c r="B85" s="587" t="n"/>
      <c r="C85" s="587" t="n"/>
      <c r="D85" s="587" t="n"/>
      <c r="E85" s="587" t="n"/>
      <c r="F85" s="587" t="n"/>
      <c r="G85" s="587" t="n"/>
      <c r="H85" s="587" t="n"/>
      <c r="I85" s="587" t="n"/>
      <c r="J85" s="587" t="n"/>
      <c r="K85" s="587" t="n"/>
      <c r="L85" s="587" t="n"/>
      <c r="M85" s="587" t="n"/>
      <c r="N85" s="587" t="n"/>
      <c r="O85" s="587" t="n"/>
      <c r="P85" s="587" t="n"/>
      <c r="Q85" s="587" t="n"/>
      <c r="R85" s="587" t="n"/>
      <c r="S85" s="587" t="n"/>
      <c r="T85" s="587" t="n"/>
      <c r="U85" s="587" t="n"/>
      <c r="V85" s="587" t="n"/>
      <c r="W85" s="587" t="n"/>
      <c r="X85" s="587" t="n"/>
      <c r="Y85" s="587" t="n"/>
      <c r="Z85" s="587" t="n"/>
      <c r="AA85" s="587" t="n"/>
      <c r="AB85" s="587" t="n"/>
      <c r="AC85" s="587" t="n"/>
      <c r="AD85" s="587" t="n"/>
      <c r="AE85" s="587" t="n"/>
      <c r="AF85" s="587" t="n"/>
      <c r="AG85" s="587" t="n"/>
      <c r="AH85" s="587" t="n"/>
      <c r="AI85" s="587" t="n"/>
      <c r="AJ85" s="587" t="n"/>
      <c r="AK85" s="587" t="n"/>
      <c r="AL85" s="587" t="n"/>
      <c r="AM85" s="587" t="n"/>
      <c r="AN85" s="587" t="n"/>
      <c r="AO85" s="587" t="n"/>
      <c r="AP85" s="587" t="n"/>
      <c r="AQ85" s="587" t="n"/>
      <c r="AR85" s="587" t="n"/>
      <c r="AS85" s="587" t="n"/>
      <c r="AT85" s="587" t="n"/>
      <c r="AU85" s="587" t="n"/>
      <c r="AV85" s="587" t="n"/>
      <c r="AW85" s="587" t="n"/>
      <c r="AX85" s="587" t="n"/>
      <c r="AY85" s="587" t="n"/>
      <c r="AZ85" s="587" t="n"/>
      <c r="BA85" s="587" t="n"/>
      <c r="BB85" s="587" t="n"/>
      <c r="BC85" s="587" t="n"/>
      <c r="BD85" s="587" t="n"/>
      <c r="BE85" s="587" t="n"/>
      <c r="BF85" s="587" t="n"/>
      <c r="BG85" s="587" t="n"/>
      <c r="BH85" s="587" t="n"/>
      <c r="BI85" s="587" t="n"/>
      <c r="BJ85" s="592" t="n"/>
      <c r="BK85" s="592" t="n"/>
      <c r="BL85" s="592" t="n"/>
      <c r="BM85" s="592" t="n"/>
      <c r="BN85" s="592" t="n"/>
    </row>
    <row r="86" ht="12" customFormat="1" customHeight="1" s="20">
      <c r="A86" s="24" t="inlineStr">
        <is>
          <t>Closing Balance</t>
        </is>
      </c>
      <c r="B86" s="593" t="n"/>
      <c r="C86" s="593" t="n"/>
      <c r="D86" s="593" t="n"/>
      <c r="E86" s="593" t="n"/>
      <c r="F86" s="593" t="n"/>
      <c r="G86" s="593" t="n"/>
      <c r="H86" s="593" t="n"/>
      <c r="I86" s="593" t="n"/>
      <c r="J86" s="593" t="n"/>
      <c r="K86" s="593" t="n"/>
      <c r="L86" s="593" t="n"/>
      <c r="M86" s="593" t="n"/>
      <c r="N86" s="593" t="n"/>
      <c r="O86" s="593" t="n"/>
      <c r="P86" s="593" t="n"/>
      <c r="Q86" s="593" t="n"/>
      <c r="R86" s="593" t="n"/>
      <c r="S86" s="593" t="n"/>
      <c r="T86" s="593" t="n"/>
      <c r="U86" s="593" t="n"/>
      <c r="V86" s="593" t="n"/>
      <c r="W86" s="593" t="n"/>
      <c r="X86" s="593" t="n"/>
      <c r="Y86" s="593" t="n"/>
      <c r="Z86" s="593" t="n"/>
      <c r="AA86" s="593" t="n"/>
      <c r="AB86" s="593" t="n"/>
      <c r="AC86" s="593" t="n"/>
      <c r="AD86" s="593" t="n"/>
      <c r="AE86" s="593" t="n"/>
      <c r="AF86" s="593" t="n"/>
      <c r="AG86" s="593" t="n"/>
      <c r="AH86" s="593" t="n"/>
      <c r="AI86" s="593" t="n"/>
      <c r="AJ86" s="593" t="n"/>
      <c r="AK86" s="593" t="n"/>
      <c r="AL86" s="593" t="n"/>
      <c r="AM86" s="593" t="n"/>
      <c r="AN86" s="593" t="n"/>
      <c r="AO86" s="593" t="n"/>
      <c r="AP86" s="593" t="n"/>
      <c r="AQ86" s="593" t="n"/>
      <c r="AR86" s="593" t="n"/>
      <c r="AS86" s="593" t="n"/>
      <c r="AT86" s="593" t="n"/>
      <c r="AU86" s="593" t="n"/>
      <c r="AV86" s="593" t="n"/>
      <c r="AW86" s="593" t="n"/>
      <c r="AX86" s="593" t="n"/>
      <c r="AY86" s="593" t="n"/>
      <c r="AZ86" s="593" t="n"/>
      <c r="BA86" s="593" t="n"/>
      <c r="BB86" s="593" t="n"/>
      <c r="BC86" s="593" t="n"/>
      <c r="BD86" s="593" t="n"/>
      <c r="BE86" s="593" t="n"/>
      <c r="BF86" s="593" t="n"/>
      <c r="BG86" s="593" t="n"/>
      <c r="BH86" s="593" t="n"/>
      <c r="BI86" s="593" t="n"/>
      <c r="BJ86" s="594" t="n"/>
      <c r="BK86" s="594" t="n"/>
      <c r="BL86" s="594" t="n"/>
      <c r="BM86" s="594" t="n"/>
      <c r="BN86" s="594" t="n"/>
    </row>
    <row r="87">
      <c r="B87" s="588" t="n"/>
      <c r="C87" s="588" t="n"/>
      <c r="D87" s="588" t="n"/>
      <c r="E87" s="588" t="n"/>
      <c r="F87" s="588" t="n"/>
      <c r="G87" s="588" t="n"/>
      <c r="H87" s="588" t="n"/>
      <c r="I87" s="588" t="n"/>
      <c r="J87" s="588" t="n"/>
      <c r="K87" s="588" t="n"/>
      <c r="L87" s="588" t="n"/>
      <c r="M87" s="588" t="n"/>
      <c r="N87" s="588" t="n"/>
      <c r="O87" s="588" t="n"/>
      <c r="P87" s="588" t="n"/>
      <c r="Q87" s="588" t="n"/>
      <c r="R87" s="588" t="n"/>
      <c r="S87" s="588" t="n"/>
      <c r="T87" s="588" t="n"/>
      <c r="U87" s="588" t="n"/>
      <c r="V87" s="588" t="n"/>
      <c r="W87" s="588" t="n"/>
      <c r="X87" s="588" t="n"/>
      <c r="Y87" s="588" t="n"/>
      <c r="Z87" s="588" t="n"/>
      <c r="AA87" s="588" t="n"/>
      <c r="AB87" s="588" t="n"/>
      <c r="AC87" s="588" t="n"/>
      <c r="AD87" s="588" t="n"/>
      <c r="AE87" s="588" t="n"/>
      <c r="AF87" s="588" t="n"/>
      <c r="AG87" s="588" t="n"/>
      <c r="AH87" s="588" t="n"/>
      <c r="AI87" s="588" t="n"/>
      <c r="AJ87" s="588" t="n"/>
      <c r="AK87" s="588" t="n"/>
      <c r="AL87" s="588" t="n"/>
      <c r="AM87" s="588" t="n"/>
      <c r="AN87" s="588" t="n"/>
      <c r="AO87" s="588" t="n"/>
      <c r="AP87" s="588" t="n"/>
      <c r="AQ87" s="588" t="n"/>
      <c r="AR87" s="588" t="n"/>
      <c r="AS87" s="588" t="n"/>
      <c r="AT87" s="588" t="n"/>
      <c r="AU87" s="588" t="n"/>
      <c r="AV87" s="588" t="n"/>
      <c r="AW87" s="588" t="n"/>
      <c r="AX87" s="588" t="n"/>
      <c r="AY87" s="588" t="n"/>
      <c r="AZ87" s="588" t="n"/>
      <c r="BA87" s="588" t="n"/>
      <c r="BB87" s="588" t="n"/>
      <c r="BC87" s="588" t="n"/>
      <c r="BD87" s="588" t="n"/>
      <c r="BE87" s="588" t="n"/>
      <c r="BF87" s="588" t="n"/>
      <c r="BG87" s="588" t="n"/>
      <c r="BH87" s="588" t="n"/>
      <c r="BI87" s="588" t="n"/>
    </row>
    <row r="88" ht="12" customFormat="1" customHeight="1" s="1">
      <c r="A88" s="131" t="inlineStr">
        <is>
          <t>Production</t>
        </is>
      </c>
      <c r="B88" s="577" t="n"/>
      <c r="C88" s="577" t="n"/>
      <c r="D88" s="577" t="n"/>
      <c r="E88" s="589" t="n"/>
      <c r="F88" s="589" t="n"/>
      <c r="G88" s="589" t="n"/>
      <c r="H88" s="589" t="n"/>
      <c r="I88" s="589" t="n"/>
      <c r="J88" s="589" t="n"/>
      <c r="K88" s="589" t="n"/>
      <c r="L88" s="589" t="n"/>
      <c r="M88" s="589" t="n"/>
      <c r="N88" s="589" t="n"/>
      <c r="O88" s="589" t="n"/>
      <c r="P88" s="589" t="n"/>
      <c r="Q88" s="589" t="n"/>
      <c r="R88" s="589" t="n"/>
      <c r="S88" s="589" t="n"/>
      <c r="T88" s="589" t="n"/>
      <c r="U88" s="589" t="n"/>
      <c r="V88" s="589" t="n"/>
      <c r="W88" s="589" t="n"/>
      <c r="X88" s="589" t="n"/>
      <c r="Y88" s="589" t="n"/>
      <c r="Z88" s="589" t="n"/>
      <c r="AA88" s="589" t="n"/>
      <c r="AB88" s="589" t="n"/>
      <c r="AC88" s="589" t="n"/>
      <c r="AD88" s="589" t="n"/>
      <c r="AE88" s="589" t="n"/>
      <c r="AF88" s="589" t="n"/>
      <c r="AG88" s="589" t="n"/>
      <c r="AH88" s="589" t="n"/>
      <c r="AI88" s="589" t="n"/>
      <c r="AJ88" s="589" t="n"/>
      <c r="AK88" s="589" t="n"/>
      <c r="AL88" s="589" t="n"/>
      <c r="AM88" s="589" t="n"/>
      <c r="AN88" s="589" t="n"/>
      <c r="AO88" s="589" t="n"/>
      <c r="AP88" s="589" t="n"/>
      <c r="AQ88" s="589" t="n"/>
      <c r="AR88" s="589" t="n"/>
      <c r="AS88" s="589" t="n"/>
      <c r="AT88" s="589" t="n"/>
      <c r="AU88" s="589" t="n"/>
      <c r="AV88" s="589" t="n"/>
      <c r="AW88" s="589" t="n"/>
      <c r="AX88" s="589" t="n"/>
      <c r="AY88" s="589" t="n"/>
      <c r="AZ88" s="589" t="n"/>
      <c r="BA88" s="589" t="n"/>
      <c r="BB88" s="589" t="n"/>
      <c r="BC88" s="589" t="n"/>
      <c r="BD88" s="589" t="n"/>
      <c r="BE88" s="589" t="n"/>
      <c r="BF88" s="589" t="n"/>
      <c r="BG88" s="589" t="n"/>
      <c r="BH88" s="589" t="n"/>
      <c r="BI88" s="589" t="n"/>
      <c r="BJ88" s="3" t="n"/>
      <c r="BK88" s="3" t="n"/>
      <c r="BL88" s="3" t="n"/>
      <c r="BM88" s="3" t="n"/>
      <c r="BN88" s="3" t="n"/>
    </row>
    <row r="89" ht="12" customFormat="1" customHeight="1" s="1">
      <c r="A89" s="12" t="inlineStr">
        <is>
          <t>Monthly Depreciation</t>
        </is>
      </c>
      <c r="B89" s="473" t="n"/>
      <c r="C89" s="577" t="n"/>
      <c r="D89" s="577" t="n"/>
      <c r="E89" s="577" t="n"/>
      <c r="F89" s="577" t="n"/>
      <c r="G89" s="577" t="n"/>
      <c r="H89" s="577" t="n"/>
      <c r="I89" s="577" t="n"/>
      <c r="J89" s="577" t="n"/>
      <c r="K89" s="577" t="n"/>
      <c r="L89" s="577" t="n"/>
      <c r="M89" s="577" t="n"/>
      <c r="N89" s="577" t="n"/>
      <c r="O89" s="577" t="n"/>
      <c r="P89" s="577" t="n"/>
      <c r="Q89" s="577" t="n"/>
      <c r="R89" s="577" t="n"/>
      <c r="S89" s="577" t="n"/>
      <c r="T89" s="577" t="n"/>
      <c r="U89" s="577" t="n"/>
      <c r="V89" s="577" t="n"/>
      <c r="W89" s="577" t="n"/>
      <c r="X89" s="577" t="n"/>
      <c r="Y89" s="577" t="n"/>
      <c r="Z89" s="577" t="n"/>
      <c r="AA89" s="577" t="n"/>
      <c r="AB89" s="577" t="n"/>
      <c r="AC89" s="577" t="n"/>
      <c r="AD89" s="577" t="n"/>
      <c r="AE89" s="577" t="n"/>
      <c r="AF89" s="577" t="n"/>
      <c r="AG89" s="577" t="n"/>
      <c r="AH89" s="577" t="n"/>
      <c r="AI89" s="577" t="n"/>
      <c r="AJ89" s="577" t="n"/>
      <c r="AK89" s="577" t="n"/>
      <c r="AL89" s="577" t="n"/>
      <c r="AM89" s="577" t="n"/>
      <c r="AN89" s="577" t="n"/>
      <c r="AO89" s="577" t="n"/>
      <c r="AP89" s="577" t="n"/>
      <c r="AQ89" s="577" t="n"/>
      <c r="AR89" s="577" t="n"/>
      <c r="AS89" s="577" t="n"/>
      <c r="AT89" s="577" t="n"/>
      <c r="AU89" s="577" t="n"/>
      <c r="AV89" s="577" t="n"/>
      <c r="AW89" s="577" t="n"/>
      <c r="AX89" s="577" t="n"/>
      <c r="AY89" s="577" t="n"/>
      <c r="AZ89" s="577" t="n"/>
      <c r="BA89" s="577" t="n"/>
      <c r="BB89" s="577" t="n"/>
      <c r="BC89" s="577" t="n"/>
      <c r="BD89" s="577" t="n"/>
      <c r="BE89" s="577" t="n"/>
      <c r="BF89" s="577" t="n"/>
      <c r="BG89" s="577" t="n"/>
      <c r="BH89" s="577" t="n"/>
      <c r="BI89" s="577" t="n"/>
      <c r="BJ89" s="3" t="n"/>
      <c r="BK89" s="3" t="n"/>
      <c r="BL89" s="3" t="n"/>
      <c r="BM89" s="3" t="n"/>
      <c r="BN89" s="3" t="n"/>
    </row>
    <row r="90" ht="12" customFormat="1" customHeight="1" s="1">
      <c r="A90" s="12" t="n"/>
      <c r="B90" s="587" t="n"/>
      <c r="C90" s="577" t="n"/>
      <c r="D90" s="577" t="n"/>
      <c r="E90" s="577" t="n"/>
      <c r="F90" s="577" t="n"/>
      <c r="G90" s="577" t="n"/>
      <c r="H90" s="577" t="n"/>
      <c r="I90" s="577" t="n"/>
      <c r="J90" s="577" t="n"/>
      <c r="K90" s="577" t="n"/>
      <c r="L90" s="577" t="n"/>
      <c r="M90" s="577" t="n"/>
      <c r="N90" s="577" t="n"/>
      <c r="O90" s="577" t="n"/>
      <c r="P90" s="577" t="n"/>
      <c r="Q90" s="577" t="n"/>
      <c r="R90" s="577" t="n"/>
      <c r="S90" s="577" t="n"/>
      <c r="T90" s="577" t="n"/>
      <c r="U90" s="577" t="n"/>
      <c r="V90" s="577" t="n"/>
      <c r="W90" s="577" t="n"/>
      <c r="X90" s="577" t="n"/>
      <c r="Y90" s="577" t="n"/>
      <c r="Z90" s="577" t="n"/>
      <c r="AA90" s="577" t="n"/>
      <c r="AB90" s="577" t="n"/>
      <c r="AC90" s="577" t="n"/>
      <c r="AD90" s="577" t="n"/>
      <c r="AE90" s="577" t="n"/>
      <c r="AF90" s="577" t="n"/>
      <c r="AG90" s="577" t="n"/>
      <c r="AH90" s="577" t="n"/>
      <c r="AI90" s="577" t="n"/>
      <c r="AJ90" s="577" t="n"/>
      <c r="AK90" s="577" t="n"/>
      <c r="AL90" s="577" t="n"/>
      <c r="AM90" s="577" t="n"/>
      <c r="AN90" s="577" t="n"/>
      <c r="AO90" s="577" t="n"/>
      <c r="AP90" s="577" t="n"/>
      <c r="AQ90" s="577" t="n"/>
      <c r="AR90" s="577" t="n"/>
      <c r="AS90" s="577" t="n"/>
      <c r="AT90" s="577" t="n"/>
      <c r="AU90" s="577" t="n"/>
      <c r="AV90" s="577" t="n"/>
      <c r="AW90" s="577" t="n"/>
      <c r="AX90" s="577" t="n"/>
      <c r="AY90" s="577" t="n"/>
      <c r="AZ90" s="577" t="n"/>
      <c r="BA90" s="577" t="n"/>
      <c r="BB90" s="577" t="n"/>
      <c r="BC90" s="577" t="n"/>
      <c r="BD90" s="577" t="n"/>
      <c r="BE90" s="577" t="n"/>
      <c r="BF90" s="577" t="n"/>
      <c r="BG90" s="577" t="n"/>
      <c r="BH90" s="577" t="n"/>
      <c r="BI90" s="577" t="n"/>
      <c r="BJ90" s="3" t="n"/>
      <c r="BK90" s="3" t="n"/>
      <c r="BL90" s="3" t="n"/>
      <c r="BM90" s="3" t="n"/>
      <c r="BN90" s="3" t="n"/>
    </row>
    <row r="91" ht="12" customFormat="1" customHeight="1" s="1">
      <c r="A91" s="22" t="inlineStr">
        <is>
          <t>Opening Balance</t>
        </is>
      </c>
      <c r="B91" s="590" t="n"/>
      <c r="C91" s="591" t="n"/>
      <c r="D91" s="591" t="n"/>
      <c r="E91" s="591" t="n"/>
      <c r="F91" s="591" t="n"/>
      <c r="G91" s="591" t="n"/>
      <c r="H91" s="591" t="n"/>
      <c r="I91" s="591" t="n"/>
      <c r="J91" s="591" t="n"/>
      <c r="K91" s="591" t="n"/>
      <c r="L91" s="591" t="n"/>
      <c r="M91" s="591" t="n"/>
      <c r="N91" s="591" t="n"/>
      <c r="O91" s="591" t="n"/>
      <c r="P91" s="591" t="n"/>
      <c r="Q91" s="591" t="n"/>
      <c r="R91" s="591" t="n"/>
      <c r="S91" s="591" t="n"/>
      <c r="T91" s="591" t="n"/>
      <c r="U91" s="591" t="n"/>
      <c r="V91" s="591" t="n"/>
      <c r="W91" s="591" t="n"/>
      <c r="X91" s="591" t="n"/>
      <c r="Y91" s="591" t="n"/>
      <c r="Z91" s="591" t="n"/>
      <c r="AA91" s="591" t="n"/>
      <c r="AB91" s="591" t="n"/>
      <c r="AC91" s="591" t="n"/>
      <c r="AD91" s="591" t="n"/>
      <c r="AE91" s="591" t="n"/>
      <c r="AF91" s="591" t="n"/>
      <c r="AG91" s="591" t="n"/>
      <c r="AH91" s="591" t="n"/>
      <c r="AI91" s="591" t="n"/>
      <c r="AJ91" s="591" t="n"/>
      <c r="AK91" s="591" t="n"/>
      <c r="AL91" s="591" t="n"/>
      <c r="AM91" s="591" t="n"/>
      <c r="AN91" s="591" t="n"/>
      <c r="AO91" s="591" t="n"/>
      <c r="AP91" s="591" t="n"/>
      <c r="AQ91" s="591" t="n"/>
      <c r="AR91" s="591" t="n"/>
      <c r="AS91" s="591" t="n"/>
      <c r="AT91" s="591" t="n"/>
      <c r="AU91" s="591" t="n"/>
      <c r="AV91" s="591" t="n"/>
      <c r="AW91" s="591" t="n"/>
      <c r="AX91" s="591" t="n"/>
      <c r="AY91" s="591" t="n"/>
      <c r="AZ91" s="591" t="n"/>
      <c r="BA91" s="591" t="n"/>
      <c r="BB91" s="591" t="n"/>
      <c r="BC91" s="591" t="n"/>
      <c r="BD91" s="591" t="n"/>
      <c r="BE91" s="591" t="n"/>
      <c r="BF91" s="591" t="n"/>
      <c r="BG91" s="591" t="n"/>
      <c r="BH91" s="591" t="n"/>
      <c r="BI91" s="591" t="n"/>
      <c r="BJ91" s="592" t="n"/>
      <c r="BK91" s="592" t="n"/>
      <c r="BL91" s="592" t="n"/>
      <c r="BM91" s="592" t="n"/>
      <c r="BN91" s="592" t="n"/>
    </row>
    <row r="92" ht="12" customFormat="1" customHeight="1" s="583">
      <c r="A92" s="12" t="inlineStr">
        <is>
          <t xml:space="preserve">Additions </t>
        </is>
      </c>
      <c r="B92" s="590" t="n"/>
      <c r="C92" s="590" t="n"/>
      <c r="D92" s="590" t="n"/>
      <c r="E92" s="590" t="n"/>
      <c r="F92" s="590" t="n"/>
      <c r="G92" s="590" t="n"/>
      <c r="H92" s="590" t="n"/>
      <c r="I92" s="590" t="n"/>
      <c r="J92" s="590" t="n"/>
      <c r="K92" s="590" t="n"/>
      <c r="L92" s="590" t="n"/>
      <c r="M92" s="590" t="n"/>
      <c r="N92" s="590" t="n"/>
      <c r="O92" s="590" t="n"/>
      <c r="P92" s="590" t="n"/>
      <c r="Q92" s="590" t="n"/>
      <c r="R92" s="590" t="n"/>
      <c r="S92" s="590" t="n"/>
      <c r="T92" s="590" t="n"/>
      <c r="U92" s="590" t="n"/>
      <c r="V92" s="590" t="n"/>
      <c r="W92" s="590" t="n"/>
      <c r="X92" s="590" t="n"/>
      <c r="Y92" s="590" t="n"/>
      <c r="Z92" s="590" t="n"/>
      <c r="AA92" s="590" t="n"/>
      <c r="AB92" s="590" t="n"/>
      <c r="AC92" s="590" t="n"/>
      <c r="AD92" s="590" t="n"/>
      <c r="AE92" s="590" t="n"/>
      <c r="AF92" s="590" t="n"/>
      <c r="AG92" s="590" t="n"/>
      <c r="AH92" s="590" t="n"/>
      <c r="AI92" s="590" t="n"/>
      <c r="AJ92" s="590" t="n"/>
      <c r="AK92" s="590" t="n"/>
      <c r="AL92" s="590" t="n"/>
      <c r="AM92" s="590" t="n"/>
      <c r="AN92" s="590" t="n"/>
      <c r="AO92" s="590" t="n"/>
      <c r="AP92" s="590" t="n"/>
      <c r="AQ92" s="590" t="n"/>
      <c r="AR92" s="590" t="n"/>
      <c r="AS92" s="590" t="n"/>
      <c r="AT92" s="590" t="n"/>
      <c r="AU92" s="590" t="n"/>
      <c r="AV92" s="590" t="n"/>
      <c r="AW92" s="590" t="n"/>
      <c r="AX92" s="590" t="n"/>
      <c r="AY92" s="590" t="n"/>
      <c r="AZ92" s="590" t="n"/>
      <c r="BA92" s="590" t="n"/>
      <c r="BB92" s="590" t="n"/>
      <c r="BC92" s="590" t="n"/>
      <c r="BD92" s="590" t="n"/>
      <c r="BE92" s="590" t="n"/>
      <c r="BF92" s="590" t="n"/>
      <c r="BG92" s="590" t="n"/>
      <c r="BH92" s="590" t="n"/>
      <c r="BI92" s="590" t="n"/>
      <c r="BJ92" s="592" t="n"/>
      <c r="BK92" s="592" t="n"/>
      <c r="BL92" s="592" t="n"/>
      <c r="BM92" s="592" t="n"/>
      <c r="BN92" s="592" t="n"/>
    </row>
    <row r="93" ht="12" customFormat="1" customHeight="1" s="1">
      <c r="A93" s="12" t="inlineStr">
        <is>
          <t xml:space="preserve">Depreciation </t>
        </is>
      </c>
      <c r="B93" s="587" t="n"/>
      <c r="C93" s="587" t="n"/>
      <c r="D93" s="587" t="n"/>
      <c r="E93" s="587" t="n"/>
      <c r="F93" s="587" t="n"/>
      <c r="G93" s="587" t="n"/>
      <c r="H93" s="587" t="n"/>
      <c r="I93" s="587" t="n"/>
      <c r="J93" s="587" t="n"/>
      <c r="K93" s="587" t="n"/>
      <c r="L93" s="587" t="n"/>
      <c r="M93" s="587" t="n"/>
      <c r="N93" s="587" t="n"/>
      <c r="O93" s="587" t="n"/>
      <c r="P93" s="587" t="n"/>
      <c r="Q93" s="587" t="n"/>
      <c r="R93" s="587" t="n"/>
      <c r="S93" s="587" t="n"/>
      <c r="T93" s="587" t="n"/>
      <c r="U93" s="587" t="n"/>
      <c r="V93" s="587" t="n"/>
      <c r="W93" s="587" t="n"/>
      <c r="X93" s="587" t="n"/>
      <c r="Y93" s="587" t="n"/>
      <c r="Z93" s="587" t="n"/>
      <c r="AA93" s="587" t="n"/>
      <c r="AB93" s="587" t="n"/>
      <c r="AC93" s="587" t="n"/>
      <c r="AD93" s="587" t="n"/>
      <c r="AE93" s="587" t="n"/>
      <c r="AF93" s="587" t="n"/>
      <c r="AG93" s="587" t="n"/>
      <c r="AH93" s="587" t="n"/>
      <c r="AI93" s="587" t="n"/>
      <c r="AJ93" s="587" t="n"/>
      <c r="AK93" s="587" t="n"/>
      <c r="AL93" s="587" t="n"/>
      <c r="AM93" s="587" t="n"/>
      <c r="AN93" s="587" t="n"/>
      <c r="AO93" s="587" t="n"/>
      <c r="AP93" s="587" t="n"/>
      <c r="AQ93" s="587" t="n"/>
      <c r="AR93" s="587" t="n"/>
      <c r="AS93" s="587" t="n"/>
      <c r="AT93" s="587" t="n"/>
      <c r="AU93" s="587" t="n"/>
      <c r="AV93" s="587" t="n"/>
      <c r="AW93" s="587" t="n"/>
      <c r="AX93" s="587" t="n"/>
      <c r="AY93" s="587" t="n"/>
      <c r="AZ93" s="587" t="n"/>
      <c r="BA93" s="587" t="n"/>
      <c r="BB93" s="587" t="n"/>
      <c r="BC93" s="587" t="n"/>
      <c r="BD93" s="587" t="n"/>
      <c r="BE93" s="587" t="n"/>
      <c r="BF93" s="587" t="n"/>
      <c r="BG93" s="587" t="n"/>
      <c r="BH93" s="587" t="n"/>
      <c r="BI93" s="587" t="n"/>
      <c r="BJ93" s="592" t="n"/>
      <c r="BK93" s="592" t="n"/>
      <c r="BL93" s="592" t="n"/>
      <c r="BM93" s="592" t="n"/>
      <c r="BN93" s="592" t="n"/>
    </row>
    <row r="94" ht="12" customFormat="1" customHeight="1" s="20">
      <c r="A94" s="24" t="inlineStr">
        <is>
          <t>Closing Balance</t>
        </is>
      </c>
      <c r="B94" s="593" t="n"/>
      <c r="C94" s="593" t="n"/>
      <c r="D94" s="593" t="n"/>
      <c r="E94" s="593" t="n"/>
      <c r="F94" s="593" t="n"/>
      <c r="G94" s="593" t="n"/>
      <c r="H94" s="593" t="n"/>
      <c r="I94" s="593" t="n"/>
      <c r="J94" s="593" t="n"/>
      <c r="K94" s="593" t="n"/>
      <c r="L94" s="593" t="n"/>
      <c r="M94" s="593" t="n"/>
      <c r="N94" s="593" t="n"/>
      <c r="O94" s="593" t="n"/>
      <c r="P94" s="593" t="n"/>
      <c r="Q94" s="593" t="n"/>
      <c r="R94" s="593" t="n"/>
      <c r="S94" s="593" t="n"/>
      <c r="T94" s="593" t="n"/>
      <c r="U94" s="593" t="n"/>
      <c r="V94" s="593" t="n"/>
      <c r="W94" s="593" t="n"/>
      <c r="X94" s="593" t="n"/>
      <c r="Y94" s="593" t="n"/>
      <c r="Z94" s="593" t="n"/>
      <c r="AA94" s="593" t="n"/>
      <c r="AB94" s="593" t="n"/>
      <c r="AC94" s="593" t="n"/>
      <c r="AD94" s="593" t="n"/>
      <c r="AE94" s="593" t="n"/>
      <c r="AF94" s="593" t="n"/>
      <c r="AG94" s="593" t="n"/>
      <c r="AH94" s="593" t="n"/>
      <c r="AI94" s="593" t="n"/>
      <c r="AJ94" s="593" t="n"/>
      <c r="AK94" s="593" t="n"/>
      <c r="AL94" s="593" t="n"/>
      <c r="AM94" s="593" t="n"/>
      <c r="AN94" s="593" t="n"/>
      <c r="AO94" s="593" t="n"/>
      <c r="AP94" s="593" t="n"/>
      <c r="AQ94" s="593" t="n"/>
      <c r="AR94" s="593" t="n"/>
      <c r="AS94" s="593" t="n"/>
      <c r="AT94" s="593" t="n"/>
      <c r="AU94" s="593" t="n"/>
      <c r="AV94" s="593" t="n"/>
      <c r="AW94" s="593" t="n"/>
      <c r="AX94" s="593" t="n"/>
      <c r="AY94" s="593" t="n"/>
      <c r="AZ94" s="593" t="n"/>
      <c r="BA94" s="593" t="n"/>
      <c r="BB94" s="593" t="n"/>
      <c r="BC94" s="593" t="n"/>
      <c r="BD94" s="593" t="n"/>
      <c r="BE94" s="593" t="n"/>
      <c r="BF94" s="593" t="n"/>
      <c r="BG94" s="593" t="n"/>
      <c r="BH94" s="593" t="n"/>
      <c r="BI94" s="593" t="n"/>
      <c r="BJ94" s="594" t="n"/>
      <c r="BK94" s="594" t="n"/>
      <c r="BL94" s="594" t="n"/>
      <c r="BM94" s="594" t="n"/>
      <c r="BN94" s="594" t="n"/>
    </row>
  </sheetData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>
    <tabColor rgb="FF0070C0"/>
    <outlinePr summaryBelow="1" summaryRight="1"/>
    <pageSetUpPr/>
  </sheetPr>
  <dimension ref="A1:A22"/>
  <sheetViews>
    <sheetView showGridLines="0" zoomScale="150" zoomScaleNormal="150" workbookViewId="0">
      <pane xSplit="1" ySplit="5" topLeftCell="B6" activePane="bottomRight" state="frozen"/>
      <selection pane="topRight" activeCell="A2" sqref="A2"/>
      <selection pane="bottomLeft" activeCell="A2" sqref="A2"/>
      <selection pane="bottomRight" activeCell="A7" sqref="A7"/>
    </sheetView>
  </sheetViews>
  <sheetFormatPr baseColWidth="10" defaultColWidth="8.83203125" defaultRowHeight="13"/>
  <cols>
    <col width="43" customWidth="1" style="4" min="1" max="1"/>
    <col width="8.83203125" customWidth="1" style="4" min="2" max="16384"/>
  </cols>
  <sheetData>
    <row r="1" ht="26.25" customFormat="1" customHeight="1" s="106">
      <c r="A1" s="104" t="inlineStr">
        <is>
          <t>Vetalyx</t>
        </is>
      </c>
    </row>
    <row r="2" customFormat="1" s="108">
      <c r="A2" s="107" t="inlineStr">
        <is>
          <t>Working Capital Schedules</t>
        </is>
      </c>
    </row>
    <row r="3" customFormat="1" s="108">
      <c r="A3" s="109" t="inlineStr">
        <is>
          <t>Amounts in €</t>
        </is>
      </c>
    </row>
    <row r="4" ht="11" customFormat="1" customHeight="1" s="5"/>
    <row r="5" ht="16" customFormat="1" customHeight="1" s="108">
      <c r="A5" s="388" t="inlineStr">
        <is>
          <t>Assumptions for the Monthly Period</t>
        </is>
      </c>
    </row>
    <row r="6"/>
    <row r="7" ht="16" customFormat="1" customHeight="1" s="1">
      <c r="A7" s="387" t="inlineStr">
        <is>
          <t>Inventory</t>
        </is>
      </c>
    </row>
    <row r="8" ht="12" customFormat="1" customHeight="1" s="1">
      <c r="A8" s="12" t="inlineStr">
        <is>
          <t>Inventory Cycle</t>
        </is>
      </c>
    </row>
    <row r="9" ht="12" customFormat="1" customHeight="1" s="1">
      <c r="A9" s="12" t="inlineStr">
        <is>
          <t>Inventory Growth after year 5</t>
        </is>
      </c>
    </row>
    <row r="10" ht="12" customFormat="1" customHeight="1" s="1">
      <c r="A10" s="12" t="n"/>
    </row>
    <row r="11" ht="12" customFormat="1" customHeight="1" s="1">
      <c r="A11" s="22" t="inlineStr">
        <is>
          <t>COGS</t>
        </is>
      </c>
    </row>
    <row r="12" ht="12" customFormat="1" customHeight="1" s="583">
      <c r="A12" s="12" t="inlineStr">
        <is>
          <t>Inventory</t>
        </is>
      </c>
    </row>
    <row r="13" ht="12" customFormat="1" customHeight="1" s="583">
      <c r="A13" s="389" t="inlineStr">
        <is>
          <t>PAYMENT FURNISHER anticipation Cogs at 4 months</t>
        </is>
      </c>
    </row>
    <row r="14">
      <c r="A14" s="390" t="inlineStr">
        <is>
          <t>OPEX Furnisher</t>
        </is>
      </c>
    </row>
    <row r="15">
      <c r="A15" s="390" t="inlineStr">
        <is>
          <t>TOTAL PAYMENTS</t>
        </is>
      </c>
    </row>
    <row r="16">
      <c r="A16" s="389" t="n"/>
    </row>
    <row r="17" ht="16" customFormat="1" customHeight="1" s="1">
      <c r="A17" s="387" t="inlineStr">
        <is>
          <t>Trade Receivables</t>
        </is>
      </c>
    </row>
    <row r="18" ht="12" customFormat="1" customHeight="1" s="1">
      <c r="A18" s="12" t="inlineStr">
        <is>
          <t>Trade Receivable Days</t>
        </is>
      </c>
    </row>
    <row r="19" ht="12" customFormat="1" customHeight="1" s="1">
      <c r="A19" s="12" t="inlineStr">
        <is>
          <t>% of Revenue sold as Receivable</t>
        </is>
      </c>
    </row>
    <row r="20" ht="12" customFormat="1" customHeight="1" s="1">
      <c r="A20" s="389" t="inlineStr">
        <is>
          <t xml:space="preserve"> </t>
        </is>
      </c>
    </row>
    <row r="21" ht="12" customFormat="1" customHeight="1" s="1">
      <c r="A21" s="389" t="inlineStr">
        <is>
          <t>Revenue as receivable</t>
        </is>
      </c>
    </row>
    <row r="22" ht="12" customFormat="1" customHeight="1" s="583">
      <c r="A22" s="389" t="inlineStr">
        <is>
          <t>Trade Receivables</t>
        </is>
      </c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FF92D050"/>
    <outlinePr summaryBelow="1" summaryRight="1"/>
    <pageSetUpPr/>
  </sheetPr>
  <dimension ref="A1:BJ81"/>
  <sheetViews>
    <sheetView showGridLines="0" zoomScale="140" zoomScaleNormal="140" workbookViewId="0">
      <pane xSplit="1" ySplit="5" topLeftCell="C27" activePane="bottomRight" state="frozen"/>
      <selection pane="topRight" activeCell="A16" sqref="A16"/>
      <selection pane="bottomLeft" activeCell="A16" sqref="A16"/>
      <selection pane="bottomRight" activeCell="J10" sqref="J10"/>
    </sheetView>
  </sheetViews>
  <sheetFormatPr baseColWidth="10" defaultColWidth="8.5" defaultRowHeight="12"/>
  <cols>
    <col width="35.6640625" customWidth="1" style="3" min="1" max="1"/>
    <col width="13.33203125" bestFit="1" customWidth="1" style="3" min="2" max="2"/>
    <col width="13.33203125" customWidth="1" style="3" min="3" max="22"/>
    <col width="14.1640625" bestFit="1" customWidth="1" style="3" min="23" max="61"/>
    <col width="8.5" customWidth="1" style="3" min="62" max="16384"/>
  </cols>
  <sheetData>
    <row r="1" ht="26.25" customFormat="1" customHeight="1" s="106">
      <c r="A1" s="104" t="inlineStr">
        <is>
          <t>DVS</t>
        </is>
      </c>
      <c r="B1" s="105" t="n"/>
      <c r="C1" s="112" t="n"/>
      <c r="D1" s="112" t="n"/>
      <c r="E1" s="112" t="n"/>
      <c r="F1" s="113" t="n"/>
      <c r="G1" s="105" t="n"/>
      <c r="H1" s="105" t="n"/>
      <c r="I1" s="105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  <c r="AZ1" s="114" t="n"/>
      <c r="BA1" s="114" t="n"/>
      <c r="BB1" s="114" t="n"/>
      <c r="BC1" s="114" t="n"/>
      <c r="BD1" s="114" t="n"/>
      <c r="BE1" s="114" t="n"/>
      <c r="BF1" s="114" t="n"/>
    </row>
    <row r="2" ht="13" customFormat="1" customHeight="1" s="108">
      <c r="A2" s="107" t="inlineStr">
        <is>
          <t>Monthly Profit &amp; Loss Statement</t>
        </is>
      </c>
    </row>
    <row r="3" ht="13" customFormat="1" customHeight="1" s="108">
      <c r="A3" s="109" t="inlineStr">
        <is>
          <t>Amounts in €</t>
        </is>
      </c>
      <c r="B3" s="116">
        <f>YEAR(B5)</f>
        <v/>
      </c>
      <c r="C3" s="116">
        <f>YEAR(C5)</f>
        <v/>
      </c>
      <c r="D3" s="116">
        <f>YEAR(D5)</f>
        <v/>
      </c>
      <c r="E3" s="116">
        <f>YEAR(E5)</f>
        <v/>
      </c>
      <c r="F3" s="116">
        <f>YEAR(F5)</f>
        <v/>
      </c>
      <c r="G3" s="116">
        <f>YEAR(G5)</f>
        <v/>
      </c>
      <c r="H3" s="116">
        <f>YEAR(H5)</f>
        <v/>
      </c>
      <c r="I3" s="116">
        <f>YEAR(I5)</f>
        <v/>
      </c>
      <c r="J3" s="116">
        <f>YEAR(J5)</f>
        <v/>
      </c>
      <c r="K3" s="116">
        <f>YEAR(K5)</f>
        <v/>
      </c>
      <c r="L3" s="116">
        <f>YEAR(L5)</f>
        <v/>
      </c>
      <c r="M3" s="116">
        <f>YEAR(M5)</f>
        <v/>
      </c>
      <c r="N3" s="116">
        <f>YEAR(N5)</f>
        <v/>
      </c>
      <c r="O3" s="116">
        <f>YEAR(O5)</f>
        <v/>
      </c>
      <c r="P3" s="116">
        <f>YEAR(P5)</f>
        <v/>
      </c>
      <c r="Q3" s="116">
        <f>YEAR(Q5)</f>
        <v/>
      </c>
      <c r="R3" s="116">
        <f>YEAR(R5)</f>
        <v/>
      </c>
      <c r="S3" s="116">
        <f>YEAR(S5)</f>
        <v/>
      </c>
      <c r="T3" s="116">
        <f>YEAR(T5)</f>
        <v/>
      </c>
      <c r="U3" s="116">
        <f>YEAR(U5)</f>
        <v/>
      </c>
      <c r="V3" s="116">
        <f>YEAR(V5)</f>
        <v/>
      </c>
      <c r="W3" s="116">
        <f>YEAR(W5)</f>
        <v/>
      </c>
      <c r="X3" s="116">
        <f>YEAR(X5)</f>
        <v/>
      </c>
      <c r="Y3" s="116">
        <f>YEAR(Y5)</f>
        <v/>
      </c>
      <c r="Z3" s="116">
        <f>YEAR(Z5)</f>
        <v/>
      </c>
      <c r="AA3" s="116">
        <f>YEAR(AA5)</f>
        <v/>
      </c>
      <c r="AB3" s="116">
        <f>YEAR(AB5)</f>
        <v/>
      </c>
      <c r="AC3" s="116">
        <f>YEAR(AC5)</f>
        <v/>
      </c>
      <c r="AD3" s="116">
        <f>YEAR(AD5)</f>
        <v/>
      </c>
      <c r="AE3" s="116">
        <f>YEAR(AE5)</f>
        <v/>
      </c>
      <c r="AF3" s="116">
        <f>YEAR(AF5)</f>
        <v/>
      </c>
      <c r="AG3" s="116">
        <f>YEAR(AG5)</f>
        <v/>
      </c>
      <c r="AH3" s="116">
        <f>YEAR(AH5)</f>
        <v/>
      </c>
      <c r="AI3" s="116">
        <f>YEAR(AI5)</f>
        <v/>
      </c>
      <c r="AJ3" s="116">
        <f>YEAR(AJ5)</f>
        <v/>
      </c>
      <c r="AK3" s="116">
        <f>YEAR(AK5)</f>
        <v/>
      </c>
      <c r="AL3" s="116">
        <f>YEAR(AL5)</f>
        <v/>
      </c>
      <c r="AM3" s="116">
        <f>YEAR(AM5)</f>
        <v/>
      </c>
      <c r="AN3" s="116">
        <f>YEAR(AN5)</f>
        <v/>
      </c>
      <c r="AO3" s="116">
        <f>YEAR(AO5)</f>
        <v/>
      </c>
      <c r="AP3" s="116">
        <f>YEAR(AP5)</f>
        <v/>
      </c>
      <c r="AQ3" s="116">
        <f>YEAR(AQ5)</f>
        <v/>
      </c>
      <c r="AR3" s="116">
        <f>YEAR(AR5)</f>
        <v/>
      </c>
      <c r="AS3" s="116">
        <f>YEAR(AS5)</f>
        <v/>
      </c>
      <c r="AT3" s="116">
        <f>YEAR(AT5)</f>
        <v/>
      </c>
      <c r="AU3" s="116">
        <f>YEAR(AU5)</f>
        <v/>
      </c>
      <c r="AV3" s="116">
        <f>YEAR(AV5)</f>
        <v/>
      </c>
      <c r="AW3" s="116">
        <f>YEAR(AW5)</f>
        <v/>
      </c>
      <c r="AX3" s="116">
        <f>YEAR(AX5)</f>
        <v/>
      </c>
      <c r="AY3" s="116">
        <f>YEAR(AY5)</f>
        <v/>
      </c>
      <c r="AZ3" s="116">
        <f>YEAR(AZ5)</f>
        <v/>
      </c>
      <c r="BA3" s="116">
        <f>YEAR(BA5)</f>
        <v/>
      </c>
      <c r="BB3" s="116">
        <f>YEAR(BB5)</f>
        <v/>
      </c>
      <c r="BC3" s="116">
        <f>YEAR(BC5)</f>
        <v/>
      </c>
      <c r="BD3" s="116">
        <f>YEAR(BD5)</f>
        <v/>
      </c>
      <c r="BE3" s="116">
        <f>YEAR(BE5)</f>
        <v/>
      </c>
      <c r="BF3" s="116">
        <f>YEAR(BF5)</f>
        <v/>
      </c>
      <c r="BG3" s="116">
        <f>YEAR(BG5)</f>
        <v/>
      </c>
      <c r="BH3" s="116">
        <f>YEAR(BH5)</f>
        <v/>
      </c>
      <c r="BI3" s="116">
        <f>YEAR(BI5)</f>
        <v/>
      </c>
    </row>
    <row r="4" ht="11" customFormat="1" customHeight="1" s="5">
      <c r="B4" s="530" t="n">
        <v>1</v>
      </c>
      <c r="C4" s="530">
        <f>B4+1</f>
        <v/>
      </c>
      <c r="D4" s="530">
        <f>C4+1</f>
        <v/>
      </c>
      <c r="E4" s="530">
        <f>D4+1</f>
        <v/>
      </c>
      <c r="F4" s="530">
        <f>E4+1</f>
        <v/>
      </c>
      <c r="G4" s="530">
        <f>F4+1</f>
        <v/>
      </c>
      <c r="H4" s="530">
        <f>G4+1</f>
        <v/>
      </c>
      <c r="I4" s="530">
        <f>H4+1</f>
        <v/>
      </c>
      <c r="J4" s="530">
        <f>I4+1</f>
        <v/>
      </c>
      <c r="K4" s="530">
        <f>J4+1</f>
        <v/>
      </c>
      <c r="L4" s="530">
        <f>K4+1</f>
        <v/>
      </c>
      <c r="M4" s="530">
        <f>L4+1</f>
        <v/>
      </c>
      <c r="N4" s="530">
        <f>M4+1</f>
        <v/>
      </c>
      <c r="O4" s="530">
        <f>N4+1</f>
        <v/>
      </c>
      <c r="P4" s="530">
        <f>O4+1</f>
        <v/>
      </c>
      <c r="Q4" s="530">
        <f>P4+1</f>
        <v/>
      </c>
      <c r="R4" s="530">
        <f>Q4+1</f>
        <v/>
      </c>
      <c r="S4" s="530">
        <f>R4+1</f>
        <v/>
      </c>
      <c r="T4" s="530">
        <f>S4+1</f>
        <v/>
      </c>
      <c r="U4" s="530">
        <f>T4+1</f>
        <v/>
      </c>
      <c r="V4" s="530">
        <f>U4+1</f>
        <v/>
      </c>
      <c r="W4" s="530">
        <f>V4+1</f>
        <v/>
      </c>
      <c r="X4" s="530">
        <f>W4+1</f>
        <v/>
      </c>
      <c r="Y4" s="530">
        <f>X4+1</f>
        <v/>
      </c>
      <c r="Z4" s="530">
        <f>Y4+1</f>
        <v/>
      </c>
      <c r="AA4" s="530">
        <f>Z4+1</f>
        <v/>
      </c>
      <c r="AB4" s="530">
        <f>AA4+1</f>
        <v/>
      </c>
      <c r="AC4" s="530">
        <f>AB4+1</f>
        <v/>
      </c>
      <c r="AD4" s="530">
        <f>AC4+1</f>
        <v/>
      </c>
      <c r="AE4" s="530">
        <f>AD4+1</f>
        <v/>
      </c>
      <c r="AF4" s="530">
        <f>AE4+1</f>
        <v/>
      </c>
      <c r="AG4" s="530">
        <f>AF4+1</f>
        <v/>
      </c>
      <c r="AH4" s="530">
        <f>AG4+1</f>
        <v/>
      </c>
      <c r="AI4" s="530">
        <f>AH4+1</f>
        <v/>
      </c>
      <c r="AJ4" s="530">
        <f>AI4+1</f>
        <v/>
      </c>
      <c r="AK4" s="530">
        <f>AJ4+1</f>
        <v/>
      </c>
      <c r="AL4" s="530">
        <f>AK4+1</f>
        <v/>
      </c>
      <c r="AM4" s="530">
        <f>AL4+1</f>
        <v/>
      </c>
      <c r="AN4" s="530">
        <f>AM4+1</f>
        <v/>
      </c>
      <c r="AO4" s="530">
        <f>AN4+1</f>
        <v/>
      </c>
      <c r="AP4" s="530">
        <f>AO4+1</f>
        <v/>
      </c>
      <c r="AQ4" s="530">
        <f>AP4+1</f>
        <v/>
      </c>
      <c r="AR4" s="530">
        <f>AQ4+1</f>
        <v/>
      </c>
      <c r="AS4" s="530">
        <f>AR4+1</f>
        <v/>
      </c>
      <c r="AT4" s="530">
        <f>AS4+1</f>
        <v/>
      </c>
      <c r="AU4" s="530">
        <f>AT4+1</f>
        <v/>
      </c>
      <c r="AV4" s="530">
        <f>AU4+1</f>
        <v/>
      </c>
      <c r="AW4" s="530">
        <f>AV4+1</f>
        <v/>
      </c>
      <c r="AX4" s="530">
        <f>AW4+1</f>
        <v/>
      </c>
      <c r="AY4" s="530">
        <f>AX4+1</f>
        <v/>
      </c>
      <c r="AZ4" s="530">
        <f>AY4+1</f>
        <v/>
      </c>
      <c r="BA4" s="530">
        <f>AZ4+1</f>
        <v/>
      </c>
      <c r="BB4" s="530">
        <f>BA4+1</f>
        <v/>
      </c>
      <c r="BC4" s="530">
        <f>BB4+1</f>
        <v/>
      </c>
      <c r="BD4" s="530">
        <f>BC4+1</f>
        <v/>
      </c>
      <c r="BE4" s="530">
        <f>BD4+1</f>
        <v/>
      </c>
      <c r="BF4" s="530">
        <f>BE4+1</f>
        <v/>
      </c>
      <c r="BG4" s="530">
        <f>BF4+1</f>
        <v/>
      </c>
      <c r="BH4" s="530">
        <f>BG4+1</f>
        <v/>
      </c>
      <c r="BI4" s="530">
        <f>BH4+1</f>
        <v/>
      </c>
    </row>
    <row r="5" customFormat="1" s="108">
      <c r="A5" s="110" t="inlineStr">
        <is>
          <t>Assumptions for the Monthly Period</t>
        </is>
      </c>
      <c r="B5" s="111">
        <f>'Revenue Asumptions'!B5</f>
        <v/>
      </c>
      <c r="C5" s="111">
        <f>'Revenue Asumptions'!C5</f>
        <v/>
      </c>
      <c r="D5" s="111">
        <f>'Revenue Asumptions'!D5</f>
        <v/>
      </c>
      <c r="E5" s="111">
        <f>'Revenue Asumptions'!E5</f>
        <v/>
      </c>
      <c r="F5" s="111">
        <f>'Revenue Asumptions'!F5</f>
        <v/>
      </c>
      <c r="G5" s="111">
        <f>'Revenue Asumptions'!G5</f>
        <v/>
      </c>
      <c r="H5" s="111">
        <f>'Revenue Asumptions'!H5</f>
        <v/>
      </c>
      <c r="I5" s="111">
        <f>'Revenue Asumptions'!I5</f>
        <v/>
      </c>
      <c r="J5" s="111">
        <f>'Revenue Asumptions'!J5</f>
        <v/>
      </c>
      <c r="K5" s="111">
        <f>'Revenue Asumptions'!K5</f>
        <v/>
      </c>
      <c r="L5" s="111">
        <f>'Revenue Asumptions'!L5</f>
        <v/>
      </c>
      <c r="M5" s="111">
        <f>'Revenue Asumptions'!M5</f>
        <v/>
      </c>
      <c r="N5" s="111">
        <f>'Revenue Asumptions'!N5</f>
        <v/>
      </c>
      <c r="O5" s="111">
        <f>'Revenue Asumptions'!O5</f>
        <v/>
      </c>
      <c r="P5" s="111">
        <f>'Revenue Asumptions'!P5</f>
        <v/>
      </c>
      <c r="Q5" s="111">
        <f>'Revenue Asumptions'!Q5</f>
        <v/>
      </c>
      <c r="R5" s="111">
        <f>'Revenue Asumptions'!R5</f>
        <v/>
      </c>
      <c r="S5" s="111">
        <f>'Revenue Asumptions'!S5</f>
        <v/>
      </c>
      <c r="T5" s="111">
        <f>'Revenue Asumptions'!T5</f>
        <v/>
      </c>
      <c r="U5" s="111">
        <f>'Revenue Asumptions'!U5</f>
        <v/>
      </c>
      <c r="V5" s="111">
        <f>'Revenue Asumptions'!V5</f>
        <v/>
      </c>
      <c r="W5" s="111">
        <f>'Revenue Asumptions'!W5</f>
        <v/>
      </c>
      <c r="X5" s="111">
        <f>'Revenue Asumptions'!X5</f>
        <v/>
      </c>
      <c r="Y5" s="111">
        <f>'Revenue Asumptions'!Y5</f>
        <v/>
      </c>
      <c r="Z5" s="111">
        <f>'Revenue Asumptions'!Z5</f>
        <v/>
      </c>
      <c r="AA5" s="111">
        <f>'Revenue Asumptions'!AA5</f>
        <v/>
      </c>
      <c r="AB5" s="111">
        <f>'Revenue Asumptions'!AB5</f>
        <v/>
      </c>
      <c r="AC5" s="111">
        <f>'Revenue Asumptions'!AC5</f>
        <v/>
      </c>
      <c r="AD5" s="111">
        <f>'Revenue Asumptions'!AD5</f>
        <v/>
      </c>
      <c r="AE5" s="111">
        <f>'Revenue Asumptions'!AE5</f>
        <v/>
      </c>
      <c r="AF5" s="111">
        <f>'Revenue Asumptions'!AF5</f>
        <v/>
      </c>
      <c r="AG5" s="111">
        <f>'Revenue Asumptions'!AG5</f>
        <v/>
      </c>
      <c r="AH5" s="111">
        <f>'Revenue Asumptions'!AH5</f>
        <v/>
      </c>
      <c r="AI5" s="111">
        <f>'Revenue Asumptions'!AI5</f>
        <v/>
      </c>
      <c r="AJ5" s="111">
        <f>'Revenue Asumptions'!AJ5</f>
        <v/>
      </c>
      <c r="AK5" s="111">
        <f>'Revenue Asumptions'!AK5</f>
        <v/>
      </c>
      <c r="AL5" s="111">
        <f>'Revenue Asumptions'!AL5</f>
        <v/>
      </c>
      <c r="AM5" s="111">
        <f>'Revenue Asumptions'!AM5</f>
        <v/>
      </c>
      <c r="AN5" s="111">
        <f>'Revenue Asumptions'!AN5</f>
        <v/>
      </c>
      <c r="AO5" s="111">
        <f>'Revenue Asumptions'!AO5</f>
        <v/>
      </c>
      <c r="AP5" s="111">
        <f>'Revenue Asumptions'!AP5</f>
        <v/>
      </c>
      <c r="AQ5" s="111">
        <f>'Revenue Asumptions'!AQ5</f>
        <v/>
      </c>
      <c r="AR5" s="111">
        <f>'Revenue Asumptions'!AR5</f>
        <v/>
      </c>
      <c r="AS5" s="111">
        <f>'Revenue Asumptions'!AS5</f>
        <v/>
      </c>
      <c r="AT5" s="111">
        <f>'Revenue Asumptions'!AT5</f>
        <v/>
      </c>
      <c r="AU5" s="111">
        <f>'Revenue Asumptions'!AU5</f>
        <v/>
      </c>
      <c r="AV5" s="111">
        <f>'Revenue Asumptions'!AV5</f>
        <v/>
      </c>
      <c r="AW5" s="111">
        <f>'Revenue Asumptions'!AW5</f>
        <v/>
      </c>
      <c r="AX5" s="111">
        <f>'Revenue Asumptions'!AX5</f>
        <v/>
      </c>
      <c r="AY5" s="111">
        <f>'Revenue Asumptions'!AY5</f>
        <v/>
      </c>
      <c r="AZ5" s="111">
        <f>'Revenue Asumptions'!AZ5</f>
        <v/>
      </c>
      <c r="BA5" s="111">
        <f>'Revenue Asumptions'!BA5</f>
        <v/>
      </c>
      <c r="BB5" s="111">
        <f>'Revenue Asumptions'!BB5</f>
        <v/>
      </c>
      <c r="BC5" s="111">
        <f>'Revenue Asumptions'!BC5</f>
        <v/>
      </c>
      <c r="BD5" s="111">
        <f>'Revenue Asumptions'!BD5</f>
        <v/>
      </c>
      <c r="BE5" s="111">
        <f>'Revenue Asumptions'!BE5</f>
        <v/>
      </c>
      <c r="BF5" s="111">
        <f>'Revenue Asumptions'!BF5</f>
        <v/>
      </c>
      <c r="BG5" s="111">
        <f>'Revenue Asumptions'!BG5</f>
        <v/>
      </c>
      <c r="BH5" s="111">
        <f>'Revenue Asumptions'!BH5</f>
        <v/>
      </c>
      <c r="BI5" s="111">
        <f>'Revenue Asumptions'!BI5</f>
        <v/>
      </c>
    </row>
    <row r="6">
      <c r="A6" s="14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  <c r="AP6" s="16" t="n"/>
      <c r="AQ6" s="16" t="n"/>
      <c r="AR6" s="16" t="n"/>
      <c r="AS6" s="16" t="n"/>
      <c r="AT6" s="16" t="n"/>
      <c r="AU6" s="16" t="n"/>
      <c r="AV6" s="16" t="n"/>
      <c r="AW6" s="16" t="n"/>
      <c r="AX6" s="16" t="n"/>
      <c r="AY6" s="16" t="n"/>
      <c r="AZ6" s="16" t="n"/>
      <c r="BA6" s="16" t="n"/>
      <c r="BB6" s="16" t="n"/>
      <c r="BC6" s="16" t="n"/>
      <c r="BD6" s="16" t="n"/>
      <c r="BE6" s="16" t="n"/>
      <c r="BF6" s="16" t="n"/>
      <c r="BG6" s="16" t="n"/>
      <c r="BH6" s="16" t="n"/>
      <c r="BI6" s="16" t="n"/>
    </row>
    <row r="7" hidden="1" customFormat="1" s="596">
      <c r="A7" s="1" t="inlineStr">
        <is>
          <t>Thermic Unit Sales</t>
        </is>
      </c>
      <c r="B7" s="596">
        <f>'Revenue Asumptions'!B18</f>
        <v/>
      </c>
      <c r="C7" s="596">
        <f>'Revenue Asumptions'!C18</f>
        <v/>
      </c>
      <c r="D7" s="596">
        <f>'Revenue Asumptions'!D18</f>
        <v/>
      </c>
      <c r="E7" s="596">
        <f>'Revenue Asumptions'!E18</f>
        <v/>
      </c>
      <c r="F7" s="596">
        <f>'Revenue Asumptions'!F18</f>
        <v/>
      </c>
      <c r="G7" s="596">
        <f>'Revenue Asumptions'!G18</f>
        <v/>
      </c>
      <c r="H7" s="596">
        <f>'Revenue Asumptions'!H18</f>
        <v/>
      </c>
      <c r="I7" s="596">
        <f>'Revenue Asumptions'!I18</f>
        <v/>
      </c>
      <c r="J7" s="596">
        <f>'Revenue Asumptions'!J18</f>
        <v/>
      </c>
      <c r="K7" s="596">
        <f>'Revenue Asumptions'!K18</f>
        <v/>
      </c>
      <c r="L7" s="596">
        <f>'Revenue Asumptions'!L18</f>
        <v/>
      </c>
      <c r="M7" s="596">
        <f>'Revenue Asumptions'!M18</f>
        <v/>
      </c>
      <c r="N7" s="596">
        <f>'Revenue Asumptions'!N18</f>
        <v/>
      </c>
      <c r="O7" s="596">
        <f>'Revenue Asumptions'!O18</f>
        <v/>
      </c>
      <c r="P7" s="596">
        <f>'Revenue Asumptions'!P18</f>
        <v/>
      </c>
      <c r="Q7" s="596">
        <f>'Revenue Asumptions'!Q18</f>
        <v/>
      </c>
      <c r="R7" s="596">
        <f>'Revenue Asumptions'!R18</f>
        <v/>
      </c>
      <c r="S7" s="596">
        <f>'Revenue Asumptions'!S18</f>
        <v/>
      </c>
      <c r="T7" s="596">
        <f>'Revenue Asumptions'!T18</f>
        <v/>
      </c>
      <c r="U7" s="596">
        <f>'Revenue Asumptions'!U18</f>
        <v/>
      </c>
      <c r="V7" s="596">
        <f>'Revenue Asumptions'!V18</f>
        <v/>
      </c>
      <c r="W7" s="596">
        <f>'Revenue Asumptions'!W18</f>
        <v/>
      </c>
      <c r="X7" s="596">
        <f>'Revenue Asumptions'!X18</f>
        <v/>
      </c>
      <c r="Y7" s="596">
        <f>'Revenue Asumptions'!Y18</f>
        <v/>
      </c>
      <c r="Z7" s="596">
        <f>'Revenue Asumptions'!Z18</f>
        <v/>
      </c>
      <c r="AA7" s="596">
        <f>'Revenue Asumptions'!AA18</f>
        <v/>
      </c>
      <c r="AB7" s="596">
        <f>'Revenue Asumptions'!AB18</f>
        <v/>
      </c>
      <c r="AC7" s="596">
        <f>'Revenue Asumptions'!AC18</f>
        <v/>
      </c>
      <c r="AD7" s="596">
        <f>'Revenue Asumptions'!AD18</f>
        <v/>
      </c>
      <c r="AE7" s="596">
        <f>'Revenue Asumptions'!AE18</f>
        <v/>
      </c>
      <c r="AF7" s="596">
        <f>'Revenue Asumptions'!AF18</f>
        <v/>
      </c>
      <c r="AG7" s="596">
        <f>'Revenue Asumptions'!AG18</f>
        <v/>
      </c>
      <c r="AH7" s="596">
        <f>'Revenue Asumptions'!AH18</f>
        <v/>
      </c>
      <c r="AI7" s="596">
        <f>'Revenue Asumptions'!AI18</f>
        <v/>
      </c>
      <c r="AJ7" s="596">
        <f>'Revenue Asumptions'!AJ18</f>
        <v/>
      </c>
      <c r="AK7" s="596">
        <f>'Revenue Asumptions'!AK18</f>
        <v/>
      </c>
      <c r="AL7" s="596">
        <f>'Revenue Asumptions'!AL18</f>
        <v/>
      </c>
      <c r="AM7" s="596">
        <f>'Revenue Asumptions'!AM18</f>
        <v/>
      </c>
      <c r="AN7" s="596">
        <f>'Revenue Asumptions'!AN18</f>
        <v/>
      </c>
      <c r="AO7" s="596">
        <f>'Revenue Asumptions'!AO18</f>
        <v/>
      </c>
      <c r="AP7" s="596">
        <f>'Revenue Asumptions'!AP18</f>
        <v/>
      </c>
      <c r="AQ7" s="596">
        <f>'Revenue Asumptions'!AQ18</f>
        <v/>
      </c>
      <c r="AR7" s="596">
        <f>'Revenue Asumptions'!AR18</f>
        <v/>
      </c>
      <c r="AS7" s="596">
        <f>'Revenue Asumptions'!AS18</f>
        <v/>
      </c>
      <c r="AT7" s="596">
        <f>'Revenue Asumptions'!AT18</f>
        <v/>
      </c>
      <c r="AU7" s="596">
        <f>'Revenue Asumptions'!AU18</f>
        <v/>
      </c>
      <c r="AV7" s="596">
        <f>'Revenue Asumptions'!AV18</f>
        <v/>
      </c>
      <c r="AW7" s="596">
        <f>'Revenue Asumptions'!AW18</f>
        <v/>
      </c>
      <c r="AX7" s="596">
        <f>'Revenue Asumptions'!AX18</f>
        <v/>
      </c>
      <c r="AY7" s="596">
        <f>'Revenue Asumptions'!AY18</f>
        <v/>
      </c>
      <c r="AZ7" s="596">
        <f>'Revenue Asumptions'!AZ18</f>
        <v/>
      </c>
      <c r="BA7" s="596">
        <f>'Revenue Asumptions'!BA18</f>
        <v/>
      </c>
      <c r="BB7" s="596">
        <f>'Revenue Asumptions'!BB18</f>
        <v/>
      </c>
      <c r="BC7" s="596">
        <f>'Revenue Asumptions'!BC18</f>
        <v/>
      </c>
      <c r="BD7" s="596">
        <f>'Revenue Asumptions'!BD18</f>
        <v/>
      </c>
      <c r="BE7" s="596">
        <f>'Revenue Asumptions'!BE18</f>
        <v/>
      </c>
      <c r="BF7" s="596">
        <f>'Revenue Asumptions'!BF18</f>
        <v/>
      </c>
      <c r="BG7" s="596">
        <f>'Revenue Asumptions'!BG18</f>
        <v/>
      </c>
      <c r="BH7" s="596">
        <f>'Revenue Asumptions'!BH18</f>
        <v/>
      </c>
      <c r="BI7" s="596">
        <f>'Revenue Asumptions'!BI18</f>
        <v/>
      </c>
    </row>
    <row r="8" hidden="1" customFormat="1" s="597">
      <c r="A8" s="1" t="inlineStr">
        <is>
          <t>Electric Unit Sales</t>
        </is>
      </c>
      <c r="B8" s="596">
        <f>'Revenue Asumptions'!B29</f>
        <v/>
      </c>
      <c r="C8" s="596">
        <f>'Revenue Asumptions'!C29</f>
        <v/>
      </c>
      <c r="D8" s="596">
        <f>'Revenue Asumptions'!D29</f>
        <v/>
      </c>
      <c r="E8" s="596">
        <f>'Revenue Asumptions'!E29</f>
        <v/>
      </c>
      <c r="F8" s="596">
        <f>'Revenue Asumptions'!F29</f>
        <v/>
      </c>
      <c r="G8" s="596">
        <f>'Revenue Asumptions'!G29</f>
        <v/>
      </c>
      <c r="H8" s="596">
        <f>'Revenue Asumptions'!H29</f>
        <v/>
      </c>
      <c r="I8" s="596">
        <f>'Revenue Asumptions'!I29</f>
        <v/>
      </c>
      <c r="J8" s="596">
        <f>'Revenue Asumptions'!J29</f>
        <v/>
      </c>
      <c r="K8" s="596">
        <f>'Revenue Asumptions'!K29</f>
        <v/>
      </c>
      <c r="L8" s="596">
        <f>'Revenue Asumptions'!L29</f>
        <v/>
      </c>
      <c r="M8" s="596">
        <f>'Revenue Asumptions'!M29</f>
        <v/>
      </c>
      <c r="N8" s="596">
        <f>'Revenue Asumptions'!N29</f>
        <v/>
      </c>
      <c r="O8" s="596">
        <f>'Revenue Asumptions'!O29</f>
        <v/>
      </c>
      <c r="P8" s="596">
        <f>'Revenue Asumptions'!P29</f>
        <v/>
      </c>
      <c r="Q8" s="596">
        <f>'Revenue Asumptions'!Q29</f>
        <v/>
      </c>
      <c r="R8" s="596">
        <f>'Revenue Asumptions'!R29</f>
        <v/>
      </c>
      <c r="S8" s="596">
        <f>'Revenue Asumptions'!S29</f>
        <v/>
      </c>
      <c r="T8" s="596">
        <f>'Revenue Asumptions'!T29</f>
        <v/>
      </c>
      <c r="U8" s="596">
        <f>'Revenue Asumptions'!U29</f>
        <v/>
      </c>
      <c r="V8" s="596">
        <f>'Revenue Asumptions'!V29</f>
        <v/>
      </c>
      <c r="W8" s="596">
        <f>'Revenue Asumptions'!W29</f>
        <v/>
      </c>
      <c r="X8" s="596">
        <f>'Revenue Asumptions'!X29</f>
        <v/>
      </c>
      <c r="Y8" s="596">
        <f>'Revenue Asumptions'!Y29</f>
        <v/>
      </c>
      <c r="Z8" s="596">
        <f>'Revenue Asumptions'!Z29</f>
        <v/>
      </c>
      <c r="AA8" s="596">
        <f>'Revenue Asumptions'!AA29</f>
        <v/>
      </c>
      <c r="AB8" s="596">
        <f>'Revenue Asumptions'!AB29</f>
        <v/>
      </c>
      <c r="AC8" s="596">
        <f>'Revenue Asumptions'!AC29</f>
        <v/>
      </c>
      <c r="AD8" s="596">
        <f>'Revenue Asumptions'!AD29</f>
        <v/>
      </c>
      <c r="AE8" s="596">
        <f>'Revenue Asumptions'!AE29</f>
        <v/>
      </c>
      <c r="AF8" s="596">
        <f>'Revenue Asumptions'!AF29</f>
        <v/>
      </c>
      <c r="AG8" s="596">
        <f>'Revenue Asumptions'!AG29</f>
        <v/>
      </c>
      <c r="AH8" s="596">
        <f>'Revenue Asumptions'!AH29</f>
        <v/>
      </c>
      <c r="AI8" s="596">
        <f>'Revenue Asumptions'!AI29</f>
        <v/>
      </c>
      <c r="AJ8" s="596">
        <f>'Revenue Asumptions'!AJ29</f>
        <v/>
      </c>
      <c r="AK8" s="596">
        <f>'Revenue Asumptions'!AK29</f>
        <v/>
      </c>
      <c r="AL8" s="596">
        <f>'Revenue Asumptions'!AL29</f>
        <v/>
      </c>
      <c r="AM8" s="596">
        <f>'Revenue Asumptions'!AM29</f>
        <v/>
      </c>
      <c r="AN8" s="596">
        <f>'Revenue Asumptions'!AN29</f>
        <v/>
      </c>
      <c r="AO8" s="596">
        <f>'Revenue Asumptions'!AO29</f>
        <v/>
      </c>
      <c r="AP8" s="596">
        <f>'Revenue Asumptions'!AP29</f>
        <v/>
      </c>
      <c r="AQ8" s="596">
        <f>'Revenue Asumptions'!AQ29</f>
        <v/>
      </c>
      <c r="AR8" s="596">
        <f>'Revenue Asumptions'!AR29</f>
        <v/>
      </c>
      <c r="AS8" s="596">
        <f>'Revenue Asumptions'!AS29</f>
        <v/>
      </c>
      <c r="AT8" s="596">
        <f>'Revenue Asumptions'!AT29</f>
        <v/>
      </c>
      <c r="AU8" s="596">
        <f>'Revenue Asumptions'!AU29</f>
        <v/>
      </c>
      <c r="AV8" s="596">
        <f>'Revenue Asumptions'!AV29</f>
        <v/>
      </c>
      <c r="AW8" s="596">
        <f>'Revenue Asumptions'!AW29</f>
        <v/>
      </c>
      <c r="AX8" s="596">
        <f>'Revenue Asumptions'!AX29</f>
        <v/>
      </c>
      <c r="AY8" s="596">
        <f>'Revenue Asumptions'!AY29</f>
        <v/>
      </c>
      <c r="AZ8" s="596">
        <f>'Revenue Asumptions'!AZ29</f>
        <v/>
      </c>
      <c r="BA8" s="596">
        <f>'Revenue Asumptions'!BA29</f>
        <v/>
      </c>
      <c r="BB8" s="596">
        <f>'Revenue Asumptions'!BB29</f>
        <v/>
      </c>
      <c r="BC8" s="596">
        <f>'Revenue Asumptions'!BC29</f>
        <v/>
      </c>
      <c r="BD8" s="596">
        <f>'Revenue Asumptions'!BD29</f>
        <v/>
      </c>
      <c r="BE8" s="596">
        <f>'Revenue Asumptions'!BE29</f>
        <v/>
      </c>
      <c r="BF8" s="596">
        <f>'Revenue Asumptions'!BF29</f>
        <v/>
      </c>
      <c r="BG8" s="596">
        <f>'Revenue Asumptions'!BG29</f>
        <v/>
      </c>
      <c r="BH8" s="596">
        <f>'Revenue Asumptions'!BH29</f>
        <v/>
      </c>
      <c r="BI8" s="596">
        <f>'Revenue Asumptions'!BI29</f>
        <v/>
      </c>
    </row>
    <row r="9" hidden="1" customFormat="1" s="597">
      <c r="A9" s="58" t="inlineStr">
        <is>
          <t>Spare Parts and Aftermarket Services</t>
        </is>
      </c>
      <c r="B9" s="597">
        <f>+'Revenue Asumptions'!B33</f>
        <v/>
      </c>
      <c r="C9" s="597">
        <f>+'Revenue Asumptions'!C33</f>
        <v/>
      </c>
      <c r="D9" s="597">
        <f>+'Revenue Asumptions'!D33</f>
        <v/>
      </c>
      <c r="E9" s="597">
        <f>+'Revenue Asumptions'!E33</f>
        <v/>
      </c>
      <c r="F9" s="597">
        <f>+'Revenue Asumptions'!F33</f>
        <v/>
      </c>
      <c r="G9" s="597">
        <f>+'Revenue Asumptions'!G33</f>
        <v/>
      </c>
      <c r="H9" s="597">
        <f>+'Revenue Asumptions'!H33</f>
        <v/>
      </c>
      <c r="I9" s="597">
        <f>+'Revenue Asumptions'!I33</f>
        <v/>
      </c>
      <c r="J9" s="597">
        <f>+'Revenue Asumptions'!J33</f>
        <v/>
      </c>
      <c r="K9" s="597">
        <f>+'Revenue Asumptions'!K33</f>
        <v/>
      </c>
      <c r="L9" s="597">
        <f>+'Revenue Asumptions'!L33</f>
        <v/>
      </c>
      <c r="M9" s="597">
        <f>+'Revenue Asumptions'!M33</f>
        <v/>
      </c>
      <c r="N9" s="597">
        <f>+'Revenue Asumptions'!N33</f>
        <v/>
      </c>
      <c r="O9" s="597">
        <f>+'Revenue Asumptions'!O33</f>
        <v/>
      </c>
      <c r="P9" s="597">
        <f>+'Revenue Asumptions'!P33</f>
        <v/>
      </c>
      <c r="Q9" s="597">
        <f>+'Revenue Asumptions'!Q33</f>
        <v/>
      </c>
      <c r="R9" s="597">
        <f>+'Revenue Asumptions'!R33</f>
        <v/>
      </c>
      <c r="S9" s="597">
        <f>+'Revenue Asumptions'!S33</f>
        <v/>
      </c>
      <c r="T9" s="597">
        <f>+'Revenue Asumptions'!T33</f>
        <v/>
      </c>
      <c r="U9" s="597">
        <f>+'Revenue Asumptions'!U33</f>
        <v/>
      </c>
      <c r="V9" s="597">
        <f>+'Revenue Asumptions'!V33</f>
        <v/>
      </c>
      <c r="W9" s="597">
        <f>+'Revenue Asumptions'!W33</f>
        <v/>
      </c>
      <c r="X9" s="597">
        <f>+'Revenue Asumptions'!X33</f>
        <v/>
      </c>
      <c r="Y9" s="597">
        <f>+'Revenue Asumptions'!Y33</f>
        <v/>
      </c>
      <c r="Z9" s="597">
        <f>+'Revenue Asumptions'!Z33</f>
        <v/>
      </c>
      <c r="AA9" s="597">
        <f>+'Revenue Asumptions'!AA33</f>
        <v/>
      </c>
      <c r="AB9" s="597">
        <f>+'Revenue Asumptions'!AB33</f>
        <v/>
      </c>
      <c r="AC9" s="597">
        <f>+'Revenue Asumptions'!AC33</f>
        <v/>
      </c>
      <c r="AD9" s="597">
        <f>+'Revenue Asumptions'!AD33</f>
        <v/>
      </c>
      <c r="AE9" s="597">
        <f>+'Revenue Asumptions'!AE33</f>
        <v/>
      </c>
      <c r="AF9" s="597">
        <f>+'Revenue Asumptions'!AF33</f>
        <v/>
      </c>
      <c r="AG9" s="597">
        <f>+'Revenue Asumptions'!AG33</f>
        <v/>
      </c>
      <c r="AH9" s="597">
        <f>+'Revenue Asumptions'!AH33</f>
        <v/>
      </c>
      <c r="AI9" s="597">
        <f>+'Revenue Asumptions'!AI33</f>
        <v/>
      </c>
      <c r="AJ9" s="597">
        <f>+'Revenue Asumptions'!AJ33</f>
        <v/>
      </c>
      <c r="AK9" s="597">
        <f>+'Revenue Asumptions'!AK33</f>
        <v/>
      </c>
      <c r="AL9" s="597">
        <f>+'Revenue Asumptions'!AL33</f>
        <v/>
      </c>
      <c r="AM9" s="597">
        <f>+'Revenue Asumptions'!AM33</f>
        <v/>
      </c>
      <c r="AN9" s="597">
        <f>+'Revenue Asumptions'!AN33</f>
        <v/>
      </c>
      <c r="AO9" s="597">
        <f>+'Revenue Asumptions'!AO33</f>
        <v/>
      </c>
      <c r="AP9" s="597">
        <f>+'Revenue Asumptions'!AP33</f>
        <v/>
      </c>
      <c r="AQ9" s="597">
        <f>+'Revenue Asumptions'!AQ33</f>
        <v/>
      </c>
      <c r="AR9" s="597">
        <f>+'Revenue Asumptions'!AR33</f>
        <v/>
      </c>
      <c r="AS9" s="597">
        <f>+'Revenue Asumptions'!AS33</f>
        <v/>
      </c>
      <c r="AT9" s="597">
        <f>+'Revenue Asumptions'!AT33</f>
        <v/>
      </c>
      <c r="AU9" s="597">
        <f>+'Revenue Asumptions'!AU33</f>
        <v/>
      </c>
      <c r="AV9" s="597">
        <f>+'Revenue Asumptions'!AV33</f>
        <v/>
      </c>
      <c r="AW9" s="597">
        <f>+'Revenue Asumptions'!AW33</f>
        <v/>
      </c>
      <c r="AX9" s="597">
        <f>+'Revenue Asumptions'!AX33</f>
        <v/>
      </c>
      <c r="AY9" s="597">
        <f>+'Revenue Asumptions'!AY33</f>
        <v/>
      </c>
      <c r="AZ9" s="597">
        <f>+'Revenue Asumptions'!AZ33</f>
        <v/>
      </c>
      <c r="BA9" s="597">
        <f>+'Revenue Asumptions'!BA33</f>
        <v/>
      </c>
      <c r="BB9" s="597">
        <f>+'Revenue Asumptions'!BB33</f>
        <v/>
      </c>
      <c r="BC9" s="597">
        <f>+'Revenue Asumptions'!BC33</f>
        <v/>
      </c>
      <c r="BD9" s="597">
        <f>+'Revenue Asumptions'!BD33</f>
        <v/>
      </c>
      <c r="BE9" s="597">
        <f>+'Revenue Asumptions'!BE33</f>
        <v/>
      </c>
      <c r="BF9" s="597">
        <f>+'Revenue Asumptions'!BF33</f>
        <v/>
      </c>
      <c r="BG9" s="597">
        <f>+'Revenue Asumptions'!BG33</f>
        <v/>
      </c>
      <c r="BH9" s="597">
        <f>+'Revenue Asumptions'!BH33</f>
        <v/>
      </c>
      <c r="BI9" s="597">
        <f>+'Revenue Asumptions'!BI33</f>
        <v/>
      </c>
    </row>
    <row r="10" customFormat="1" s="597">
      <c r="A10" s="58" t="inlineStr">
        <is>
          <t>SIM Sales</t>
        </is>
      </c>
      <c r="B10" s="597">
        <f>+'Revenue Asumptions'!B40</f>
        <v/>
      </c>
      <c r="C10" s="597">
        <f>+'Revenue Asumptions'!C40</f>
        <v/>
      </c>
      <c r="D10" s="597">
        <f>+'Revenue Asumptions'!D40</f>
        <v/>
      </c>
      <c r="E10" s="597">
        <f>+'Revenue Asumptions'!E40</f>
        <v/>
      </c>
      <c r="F10" s="597">
        <f>+'Revenue Asumptions'!F40</f>
        <v/>
      </c>
      <c r="G10" s="597">
        <f>+'Revenue Asumptions'!G40</f>
        <v/>
      </c>
      <c r="H10" s="597">
        <f>+'Revenue Asumptions'!H40</f>
        <v/>
      </c>
      <c r="I10" s="597">
        <f>+'Revenue Asumptions'!I40</f>
        <v/>
      </c>
      <c r="J10" s="597">
        <f>+'Revenue Asumptions'!J40</f>
        <v/>
      </c>
      <c r="K10" s="597">
        <f>+'Revenue Asumptions'!K40</f>
        <v/>
      </c>
      <c r="L10" s="597">
        <f>+'Revenue Asumptions'!L40</f>
        <v/>
      </c>
      <c r="M10" s="597">
        <f>+'Revenue Asumptions'!M40</f>
        <v/>
      </c>
      <c r="N10" s="597">
        <f>+'Revenue Asumptions'!N40</f>
        <v/>
      </c>
      <c r="O10" s="597">
        <f>+'Revenue Asumptions'!O40</f>
        <v/>
      </c>
      <c r="P10" s="597">
        <f>+'Revenue Asumptions'!P40</f>
        <v/>
      </c>
      <c r="Q10" s="597">
        <f>+'Revenue Asumptions'!Q40</f>
        <v/>
      </c>
      <c r="R10" s="597">
        <f>+'Revenue Asumptions'!R40</f>
        <v/>
      </c>
      <c r="S10" s="597">
        <f>+'Revenue Asumptions'!S40</f>
        <v/>
      </c>
      <c r="T10" s="597">
        <f>+'Revenue Asumptions'!T40</f>
        <v/>
      </c>
      <c r="U10" s="597">
        <f>+'Revenue Asumptions'!U40</f>
        <v/>
      </c>
      <c r="V10" s="597">
        <f>+'Revenue Asumptions'!V40</f>
        <v/>
      </c>
      <c r="W10" s="597">
        <f>+'Revenue Asumptions'!W40</f>
        <v/>
      </c>
      <c r="X10" s="597">
        <f>+'Revenue Asumptions'!X40</f>
        <v/>
      </c>
      <c r="Y10" s="597">
        <f>+'Revenue Asumptions'!Y40</f>
        <v/>
      </c>
      <c r="Z10" s="597">
        <f>+'Revenue Asumptions'!Z40</f>
        <v/>
      </c>
      <c r="AA10" s="597">
        <f>+'Revenue Asumptions'!AA40</f>
        <v/>
      </c>
      <c r="AB10" s="597">
        <f>+'Revenue Asumptions'!AB40</f>
        <v/>
      </c>
      <c r="AC10" s="597">
        <f>+'Revenue Asumptions'!AC40</f>
        <v/>
      </c>
      <c r="AD10" s="597">
        <f>+'Revenue Asumptions'!AD40</f>
        <v/>
      </c>
      <c r="AE10" s="597">
        <f>+'Revenue Asumptions'!AE40</f>
        <v/>
      </c>
      <c r="AF10" s="597">
        <f>+'Revenue Asumptions'!AF40</f>
        <v/>
      </c>
      <c r="AG10" s="597">
        <f>+'Revenue Asumptions'!AG40</f>
        <v/>
      </c>
      <c r="AH10" s="597">
        <f>+'Revenue Asumptions'!AH40</f>
        <v/>
      </c>
      <c r="AI10" s="597">
        <f>+'Revenue Asumptions'!AI40</f>
        <v/>
      </c>
      <c r="AJ10" s="597">
        <f>+'Revenue Asumptions'!AJ40</f>
        <v/>
      </c>
      <c r="AK10" s="597">
        <f>+'Revenue Asumptions'!AK40</f>
        <v/>
      </c>
      <c r="AL10" s="597">
        <f>+'Revenue Asumptions'!AL40</f>
        <v/>
      </c>
      <c r="AM10" s="597">
        <f>+'Revenue Asumptions'!AM40</f>
        <v/>
      </c>
      <c r="AN10" s="597">
        <f>+'Revenue Asumptions'!AN40</f>
        <v/>
      </c>
      <c r="AO10" s="597">
        <f>+'Revenue Asumptions'!AO40</f>
        <v/>
      </c>
      <c r="AP10" s="597">
        <f>+'Revenue Asumptions'!AP40</f>
        <v/>
      </c>
      <c r="AQ10" s="597">
        <f>+'Revenue Asumptions'!AQ40</f>
        <v/>
      </c>
      <c r="AR10" s="597">
        <f>+'Revenue Asumptions'!AR40</f>
        <v/>
      </c>
      <c r="AS10" s="597">
        <f>+'Revenue Asumptions'!AS40</f>
        <v/>
      </c>
      <c r="AT10" s="597">
        <f>+'Revenue Asumptions'!AT40</f>
        <v/>
      </c>
      <c r="AU10" s="597">
        <f>+'Revenue Asumptions'!AU40</f>
        <v/>
      </c>
      <c r="AV10" s="597">
        <f>+'Revenue Asumptions'!AV40</f>
        <v/>
      </c>
      <c r="AW10" s="597">
        <f>+'Revenue Asumptions'!AW40</f>
        <v/>
      </c>
      <c r="AX10" s="597">
        <f>+'Revenue Asumptions'!AX40</f>
        <v/>
      </c>
      <c r="AY10" s="597">
        <f>+'Revenue Asumptions'!AY40</f>
        <v/>
      </c>
      <c r="AZ10" s="597">
        <f>+'Revenue Asumptions'!AZ40</f>
        <v/>
      </c>
      <c r="BA10" s="597">
        <f>+'Revenue Asumptions'!BA40</f>
        <v/>
      </c>
      <c r="BB10" s="597">
        <f>+'Revenue Asumptions'!BB40</f>
        <v/>
      </c>
      <c r="BC10" s="597">
        <f>+'Revenue Asumptions'!BC40</f>
        <v/>
      </c>
      <c r="BD10" s="597">
        <f>+'Revenue Asumptions'!BD40</f>
        <v/>
      </c>
      <c r="BE10" s="597">
        <f>+'Revenue Asumptions'!BE40</f>
        <v/>
      </c>
      <c r="BF10" s="597">
        <f>+'Revenue Asumptions'!BF40</f>
        <v/>
      </c>
      <c r="BG10" s="597">
        <f>+'Revenue Asumptions'!BG40</f>
        <v/>
      </c>
      <c r="BH10" s="597">
        <f>+'Revenue Asumptions'!BH40</f>
        <v/>
      </c>
      <c r="BI10" s="597">
        <f>+'Revenue Asumptions'!BI40</f>
        <v/>
      </c>
    </row>
    <row r="11" customFormat="1" s="597">
      <c r="A11" s="58" t="inlineStr">
        <is>
          <t>Services</t>
        </is>
      </c>
      <c r="B11" s="597">
        <f>+'Revenue Asumptions'!B57</f>
        <v/>
      </c>
      <c r="C11" s="597">
        <f>+'Revenue Asumptions'!C57</f>
        <v/>
      </c>
      <c r="D11" s="597">
        <f>+'Revenue Asumptions'!D57</f>
        <v/>
      </c>
      <c r="E11" s="597">
        <f>+'Revenue Asumptions'!E57</f>
        <v/>
      </c>
      <c r="F11" s="597">
        <f>+'Revenue Asumptions'!F57</f>
        <v/>
      </c>
      <c r="G11" s="597">
        <f>+'Revenue Asumptions'!G57</f>
        <v/>
      </c>
      <c r="H11" s="597">
        <f>+'Revenue Asumptions'!H57</f>
        <v/>
      </c>
      <c r="I11" s="597">
        <f>+'Revenue Asumptions'!I57</f>
        <v/>
      </c>
      <c r="J11" s="597">
        <f>+'Revenue Asumptions'!J57</f>
        <v/>
      </c>
      <c r="K11" s="597">
        <f>+'Revenue Asumptions'!K57</f>
        <v/>
      </c>
      <c r="L11" s="597">
        <f>+'Revenue Asumptions'!L57</f>
        <v/>
      </c>
      <c r="M11" s="597">
        <f>+'Revenue Asumptions'!M57</f>
        <v/>
      </c>
      <c r="N11" s="597">
        <f>+'Revenue Asumptions'!N57</f>
        <v/>
      </c>
      <c r="O11" s="597">
        <f>+'Revenue Asumptions'!O57</f>
        <v/>
      </c>
      <c r="P11" s="597">
        <f>+'Revenue Asumptions'!P57</f>
        <v/>
      </c>
      <c r="Q11" s="597">
        <f>+'Revenue Asumptions'!Q57</f>
        <v/>
      </c>
      <c r="R11" s="597">
        <f>+'Revenue Asumptions'!R57</f>
        <v/>
      </c>
      <c r="S11" s="597">
        <f>+'Revenue Asumptions'!S57</f>
        <v/>
      </c>
      <c r="T11" s="597">
        <f>+'Revenue Asumptions'!T57</f>
        <v/>
      </c>
      <c r="U11" s="597">
        <f>+'Revenue Asumptions'!U57</f>
        <v/>
      </c>
      <c r="V11" s="597">
        <f>+'Revenue Asumptions'!V57</f>
        <v/>
      </c>
      <c r="W11" s="597">
        <f>+'Revenue Asumptions'!W57</f>
        <v/>
      </c>
      <c r="X11" s="597">
        <f>+'Revenue Asumptions'!X57</f>
        <v/>
      </c>
      <c r="Y11" s="597">
        <f>+'Revenue Asumptions'!Y57</f>
        <v/>
      </c>
      <c r="Z11" s="597">
        <f>+'Revenue Asumptions'!Z57</f>
        <v/>
      </c>
      <c r="AA11" s="597">
        <f>+'Revenue Asumptions'!AA57</f>
        <v/>
      </c>
      <c r="AB11" s="597">
        <f>+'Revenue Asumptions'!AB57</f>
        <v/>
      </c>
      <c r="AC11" s="597">
        <f>+'Revenue Asumptions'!AC57</f>
        <v/>
      </c>
      <c r="AD11" s="597">
        <f>+'Revenue Asumptions'!AD57</f>
        <v/>
      </c>
      <c r="AE11" s="597">
        <f>+'Revenue Asumptions'!AE57</f>
        <v/>
      </c>
      <c r="AF11" s="597">
        <f>+'Revenue Asumptions'!AF57</f>
        <v/>
      </c>
      <c r="AG11" s="597">
        <f>+'Revenue Asumptions'!AG57</f>
        <v/>
      </c>
      <c r="AH11" s="597">
        <f>+'Revenue Asumptions'!AH57</f>
        <v/>
      </c>
      <c r="AI11" s="597">
        <f>+'Revenue Asumptions'!AI57</f>
        <v/>
      </c>
      <c r="AJ11" s="597">
        <f>+'Revenue Asumptions'!AJ57</f>
        <v/>
      </c>
      <c r="AK11" s="597">
        <f>+'Revenue Asumptions'!AK57</f>
        <v/>
      </c>
      <c r="AL11" s="597">
        <f>+'Revenue Asumptions'!AL57</f>
        <v/>
      </c>
      <c r="AM11" s="597">
        <f>+'Revenue Asumptions'!AM57</f>
        <v/>
      </c>
      <c r="AN11" s="597">
        <f>+'Revenue Asumptions'!AN57</f>
        <v/>
      </c>
      <c r="AO11" s="597">
        <f>+'Revenue Asumptions'!AO57</f>
        <v/>
      </c>
      <c r="AP11" s="597">
        <f>+'Revenue Asumptions'!AP57</f>
        <v/>
      </c>
      <c r="AQ11" s="597">
        <f>+'Revenue Asumptions'!AQ57</f>
        <v/>
      </c>
      <c r="AR11" s="597">
        <f>+'Revenue Asumptions'!AR57</f>
        <v/>
      </c>
      <c r="AS11" s="597">
        <f>+'Revenue Asumptions'!AS57</f>
        <v/>
      </c>
      <c r="AT11" s="597">
        <f>+'Revenue Asumptions'!AT57</f>
        <v/>
      </c>
      <c r="AU11" s="597">
        <f>+'Revenue Asumptions'!AU57</f>
        <v/>
      </c>
      <c r="AV11" s="597">
        <f>+'Revenue Asumptions'!AV57</f>
        <v/>
      </c>
      <c r="AW11" s="597">
        <f>+'Revenue Asumptions'!AW57</f>
        <v/>
      </c>
      <c r="AX11" s="597">
        <f>+'Revenue Asumptions'!AX57</f>
        <v/>
      </c>
      <c r="AY11" s="597">
        <f>+'Revenue Asumptions'!AY57</f>
        <v/>
      </c>
      <c r="AZ11" s="597">
        <f>+'Revenue Asumptions'!AZ57</f>
        <v/>
      </c>
      <c r="BA11" s="597">
        <f>+'Revenue Asumptions'!BA57</f>
        <v/>
      </c>
      <c r="BB11" s="597">
        <f>+'Revenue Asumptions'!BB57</f>
        <v/>
      </c>
      <c r="BC11" s="597">
        <f>+'Revenue Asumptions'!BC57</f>
        <v/>
      </c>
      <c r="BD11" s="597">
        <f>+'Revenue Asumptions'!BD57</f>
        <v/>
      </c>
      <c r="BE11" s="597">
        <f>+'Revenue Asumptions'!BE57</f>
        <v/>
      </c>
      <c r="BF11" s="597">
        <f>+'Revenue Asumptions'!BF57</f>
        <v/>
      </c>
      <c r="BG11" s="597">
        <f>+'Revenue Asumptions'!BG57</f>
        <v/>
      </c>
      <c r="BH11" s="597">
        <f>+'Revenue Asumptions'!BH57</f>
        <v/>
      </c>
      <c r="BI11" s="597">
        <f>+'Revenue Asumptions'!BI57</f>
        <v/>
      </c>
    </row>
    <row r="12" ht="13" customFormat="1" customHeight="1" s="597">
      <c r="A12" s="243" t="inlineStr">
        <is>
          <t>R&amp;D Subsidies</t>
        </is>
      </c>
      <c r="B12" s="597" t="n">
        <v>0</v>
      </c>
      <c r="C12" s="597" t="n">
        <v>0</v>
      </c>
      <c r="D12" s="597" t="n">
        <v>0</v>
      </c>
      <c r="E12" s="597" t="n">
        <v>0</v>
      </c>
      <c r="F12" s="597" t="n">
        <v>0</v>
      </c>
      <c r="G12" s="597" t="n">
        <v>0</v>
      </c>
      <c r="H12" s="597" t="n">
        <v>0</v>
      </c>
      <c r="I12" s="597" t="n">
        <v>0</v>
      </c>
      <c r="J12" s="597" t="n">
        <v>0</v>
      </c>
      <c r="K12" s="597" t="n">
        <v>0</v>
      </c>
      <c r="L12" s="597" t="n">
        <v>0</v>
      </c>
      <c r="M12" s="597" t="n">
        <v>0</v>
      </c>
      <c r="N12" s="597" t="n">
        <v>0</v>
      </c>
      <c r="O12" s="597" t="n">
        <v>0</v>
      </c>
      <c r="P12" s="597" t="n">
        <v>0</v>
      </c>
      <c r="Q12" s="597" t="n">
        <v>0</v>
      </c>
      <c r="R12" s="597" t="n">
        <v>0</v>
      </c>
      <c r="S12" s="597" t="n">
        <v>0</v>
      </c>
      <c r="T12" s="597" t="n">
        <v>0</v>
      </c>
      <c r="U12" s="597" t="n">
        <v>0</v>
      </c>
      <c r="V12" s="597" t="n">
        <v>0</v>
      </c>
      <c r="W12" s="597" t="n">
        <v>0</v>
      </c>
      <c r="X12" s="597" t="n">
        <v>0</v>
      </c>
      <c r="Y12" s="597" t="n">
        <v>0</v>
      </c>
      <c r="Z12" s="597" t="n">
        <v>0</v>
      </c>
      <c r="AA12" s="597" t="n">
        <v>0</v>
      </c>
      <c r="AB12" s="597" t="n">
        <v>0</v>
      </c>
      <c r="AC12" s="597" t="n">
        <v>0</v>
      </c>
      <c r="AD12" s="597" t="n">
        <v>0</v>
      </c>
      <c r="AE12" s="597" t="n">
        <v>0</v>
      </c>
      <c r="AF12" s="597" t="n">
        <v>0</v>
      </c>
      <c r="AG12" s="597" t="n">
        <v>0</v>
      </c>
      <c r="AH12" s="597" t="n">
        <v>0</v>
      </c>
      <c r="AI12" s="597" t="n">
        <v>0</v>
      </c>
      <c r="AJ12" s="597" t="n">
        <v>0</v>
      </c>
      <c r="AK12" s="597" t="n">
        <v>0</v>
      </c>
      <c r="AL12" s="597" t="n">
        <v>0</v>
      </c>
      <c r="AM12" s="597" t="n">
        <v>0</v>
      </c>
      <c r="AN12" s="597" t="n">
        <v>0</v>
      </c>
      <c r="AO12" s="597" t="n">
        <v>0</v>
      </c>
      <c r="AP12" s="597" t="n">
        <v>0</v>
      </c>
      <c r="AQ12" s="597" t="n">
        <v>0</v>
      </c>
      <c r="AR12" s="597" t="n">
        <v>0</v>
      </c>
      <c r="AS12" s="597" t="n">
        <v>0</v>
      </c>
      <c r="AT12" s="597" t="n">
        <v>0</v>
      </c>
      <c r="AU12" s="597" t="n">
        <v>0</v>
      </c>
      <c r="AV12" s="597" t="n">
        <v>0</v>
      </c>
      <c r="AW12" s="597" t="n">
        <v>0</v>
      </c>
      <c r="AX12" s="597" t="n">
        <v>0</v>
      </c>
      <c r="AY12" s="597" t="n">
        <v>0</v>
      </c>
      <c r="AZ12" s="597" t="n">
        <v>0</v>
      </c>
      <c r="BA12" s="597" t="n">
        <v>0</v>
      </c>
      <c r="BB12" s="597" t="n">
        <v>0</v>
      </c>
      <c r="BC12" s="597" t="n">
        <v>0</v>
      </c>
      <c r="BD12" s="597" t="n">
        <v>0</v>
      </c>
      <c r="BE12" s="597" t="n">
        <v>0</v>
      </c>
      <c r="BF12" s="597" t="n">
        <v>0</v>
      </c>
      <c r="BG12" s="597" t="n">
        <v>0</v>
      </c>
      <c r="BH12" s="597" t="n">
        <v>0</v>
      </c>
      <c r="BI12" s="597" t="n">
        <v>0</v>
      </c>
      <c r="BJ12" s="192" t="inlineStr">
        <is>
          <t>POTENTIAL OF GRANT/SUBSIDIES IS NOT CONSIDERED IN THIS PLAN</t>
        </is>
      </c>
    </row>
    <row r="13" customFormat="1" s="597">
      <c r="A13" s="69" t="n"/>
    </row>
    <row r="14" customFormat="1" s="597">
      <c r="A14" s="132" t="inlineStr">
        <is>
          <t>Total Revenue</t>
        </is>
      </c>
      <c r="B14" s="598">
        <f>SUM(B7:B13)</f>
        <v/>
      </c>
      <c r="C14" s="598">
        <f>SUM(C7:C13)</f>
        <v/>
      </c>
      <c r="D14" s="598">
        <f>SUM(D7:D13)</f>
        <v/>
      </c>
      <c r="E14" s="598">
        <f>SUM(E7:E13)</f>
        <v/>
      </c>
      <c r="F14" s="598">
        <f>SUM(F7:F13)</f>
        <v/>
      </c>
      <c r="G14" s="598">
        <f>SUM(G7:G13)</f>
        <v/>
      </c>
      <c r="H14" s="598">
        <f>SUM(H7:H13)</f>
        <v/>
      </c>
      <c r="I14" s="598">
        <f>SUM(I7:I13)</f>
        <v/>
      </c>
      <c r="J14" s="598">
        <f>SUM(J7:J13)</f>
        <v/>
      </c>
      <c r="K14" s="598">
        <f>SUM(K7:K13)</f>
        <v/>
      </c>
      <c r="L14" s="598">
        <f>SUM(L7:L13)</f>
        <v/>
      </c>
      <c r="M14" s="598">
        <f>SUM(M7:M13)</f>
        <v/>
      </c>
      <c r="N14" s="598">
        <f>SUM(N7:N13)</f>
        <v/>
      </c>
      <c r="O14" s="598">
        <f>SUM(O7:O13)</f>
        <v/>
      </c>
      <c r="P14" s="598">
        <f>SUM(P7:P13)</f>
        <v/>
      </c>
      <c r="Q14" s="598">
        <f>SUM(Q7:Q13)</f>
        <v/>
      </c>
      <c r="R14" s="598">
        <f>SUM(R7:R13)</f>
        <v/>
      </c>
      <c r="S14" s="598">
        <f>SUM(S7:S13)</f>
        <v/>
      </c>
      <c r="T14" s="598">
        <f>SUM(T7:T13)</f>
        <v/>
      </c>
      <c r="U14" s="598">
        <f>SUM(U7:U13)</f>
        <v/>
      </c>
      <c r="V14" s="598">
        <f>SUM(V7:V13)</f>
        <v/>
      </c>
      <c r="W14" s="598">
        <f>SUM(W7:W13)</f>
        <v/>
      </c>
      <c r="X14" s="598">
        <f>SUM(X7:X13)</f>
        <v/>
      </c>
      <c r="Y14" s="598">
        <f>SUM(Y7:Y13)</f>
        <v/>
      </c>
      <c r="Z14" s="598">
        <f>SUM(Z7:Z13)</f>
        <v/>
      </c>
      <c r="AA14" s="598">
        <f>SUM(AA7:AA13)</f>
        <v/>
      </c>
      <c r="AB14" s="598">
        <f>SUM(AB7:AB13)</f>
        <v/>
      </c>
      <c r="AC14" s="598">
        <f>SUM(AC7:AC13)</f>
        <v/>
      </c>
      <c r="AD14" s="598">
        <f>SUM(AD7:AD13)</f>
        <v/>
      </c>
      <c r="AE14" s="598">
        <f>SUM(AE7:AE13)</f>
        <v/>
      </c>
      <c r="AF14" s="598">
        <f>SUM(AF7:AF13)</f>
        <v/>
      </c>
      <c r="AG14" s="598">
        <f>SUM(AG7:AG13)</f>
        <v/>
      </c>
      <c r="AH14" s="598">
        <f>SUM(AH7:AH13)</f>
        <v/>
      </c>
      <c r="AI14" s="598">
        <f>SUM(AI7:AI13)</f>
        <v/>
      </c>
      <c r="AJ14" s="598">
        <f>SUM(AJ7:AJ13)</f>
        <v/>
      </c>
      <c r="AK14" s="598">
        <f>SUM(AK7:AK13)</f>
        <v/>
      </c>
      <c r="AL14" s="598">
        <f>SUM(AL7:AL13)</f>
        <v/>
      </c>
      <c r="AM14" s="598">
        <f>SUM(AM7:AM13)</f>
        <v/>
      </c>
      <c r="AN14" s="598">
        <f>SUM(AN7:AN13)</f>
        <v/>
      </c>
      <c r="AO14" s="598">
        <f>SUM(AO7:AO13)</f>
        <v/>
      </c>
      <c r="AP14" s="598">
        <f>SUM(AP7:AP13)</f>
        <v/>
      </c>
      <c r="AQ14" s="598">
        <f>SUM(AQ7:AQ13)</f>
        <v/>
      </c>
      <c r="AR14" s="598">
        <f>SUM(AR7:AR13)</f>
        <v/>
      </c>
      <c r="AS14" s="598">
        <f>SUM(AS7:AS13)</f>
        <v/>
      </c>
      <c r="AT14" s="598">
        <f>SUM(AT7:AT13)</f>
        <v/>
      </c>
      <c r="AU14" s="598">
        <f>SUM(AU7:AU13)</f>
        <v/>
      </c>
      <c r="AV14" s="598">
        <f>SUM(AV7:AV13)</f>
        <v/>
      </c>
      <c r="AW14" s="598">
        <f>SUM(AW7:AW13)</f>
        <v/>
      </c>
      <c r="AX14" s="598">
        <f>SUM(AX7:AX13)</f>
        <v/>
      </c>
      <c r="AY14" s="598">
        <f>SUM(AY7:AY13)</f>
        <v/>
      </c>
      <c r="AZ14" s="598">
        <f>SUM(AZ7:AZ13)</f>
        <v/>
      </c>
      <c r="BA14" s="598">
        <f>SUM(BA7:BA13)</f>
        <v/>
      </c>
      <c r="BB14" s="598">
        <f>SUM(BB7:BB13)</f>
        <v/>
      </c>
      <c r="BC14" s="598">
        <f>SUM(BC7:BC13)</f>
        <v/>
      </c>
      <c r="BD14" s="598">
        <f>SUM(BD7:BD13)</f>
        <v/>
      </c>
      <c r="BE14" s="598">
        <f>SUM(BE7:BE13)</f>
        <v/>
      </c>
      <c r="BF14" s="598">
        <f>SUM(BF7:BF13)</f>
        <v/>
      </c>
      <c r="BG14" s="598">
        <f>SUM(BG7:BG13)</f>
        <v/>
      </c>
      <c r="BH14" s="598">
        <f>SUM(BH7:BH13)</f>
        <v/>
      </c>
      <c r="BI14" s="598">
        <f>SUM(BI7:BI13)</f>
        <v/>
      </c>
    </row>
    <row r="15" customFormat="1" s="597">
      <c r="A15" s="17" t="n"/>
      <c r="B15" s="599" t="n"/>
      <c r="C15" s="599" t="n"/>
      <c r="D15" s="599" t="n"/>
      <c r="E15" s="599" t="n"/>
      <c r="F15" s="599" t="n"/>
      <c r="G15" s="599" t="n"/>
      <c r="H15" s="599" t="n"/>
      <c r="I15" s="599" t="n"/>
      <c r="J15" s="599" t="n"/>
      <c r="K15" s="599" t="n"/>
      <c r="L15" s="599" t="n"/>
      <c r="M15" s="599" t="n"/>
      <c r="N15" s="599" t="n"/>
      <c r="O15" s="599" t="n"/>
      <c r="P15" s="599" t="n"/>
      <c r="Q15" s="599" t="n"/>
      <c r="R15" s="599" t="n"/>
      <c r="S15" s="599" t="n"/>
      <c r="T15" s="599" t="n"/>
      <c r="U15" s="599" t="n"/>
      <c r="V15" s="599" t="n"/>
      <c r="W15" s="599" t="n"/>
      <c r="X15" s="599" t="n"/>
      <c r="Y15" s="599" t="n"/>
      <c r="Z15" s="599" t="n"/>
      <c r="AA15" s="599" t="n"/>
      <c r="AB15" s="599" t="n"/>
      <c r="AC15" s="599" t="n"/>
      <c r="AD15" s="599" t="n"/>
      <c r="AE15" s="599" t="n"/>
      <c r="AF15" s="599" t="n"/>
      <c r="AG15" s="599" t="n"/>
      <c r="AH15" s="599" t="n"/>
      <c r="AI15" s="599" t="n"/>
      <c r="AJ15" s="599" t="n"/>
      <c r="AK15" s="599" t="n"/>
      <c r="AL15" s="599" t="n"/>
      <c r="AM15" s="599" t="n"/>
      <c r="AN15" s="599" t="n"/>
      <c r="AO15" s="599" t="n"/>
      <c r="AP15" s="599" t="n"/>
      <c r="AQ15" s="599" t="n"/>
      <c r="AR15" s="599" t="n"/>
      <c r="AS15" s="599" t="n"/>
      <c r="AT15" s="599" t="n"/>
      <c r="AU15" s="599" t="n"/>
      <c r="AV15" s="599" t="n"/>
      <c r="AW15" s="599" t="n"/>
      <c r="AX15" s="599" t="n"/>
      <c r="AY15" s="599" t="n"/>
      <c r="AZ15" s="599" t="n"/>
      <c r="BA15" s="599" t="n"/>
      <c r="BB15" s="599" t="n"/>
      <c r="BC15" s="599" t="n"/>
      <c r="BD15" s="599" t="n"/>
      <c r="BE15" s="599" t="n"/>
      <c r="BF15" s="599" t="n"/>
      <c r="BG15" s="599" t="n"/>
      <c r="BH15" s="599" t="n"/>
      <c r="BI15" s="599" t="n"/>
    </row>
    <row r="16" hidden="1" customFormat="1" s="597">
      <c r="A16" s="1" t="n"/>
      <c r="B16" s="599" t="n"/>
      <c r="C16" s="599" t="n"/>
      <c r="D16" s="599" t="n"/>
      <c r="E16" s="599" t="n"/>
      <c r="F16" s="599" t="n"/>
      <c r="G16" s="599" t="n"/>
      <c r="H16" s="599" t="n"/>
      <c r="I16" s="599" t="n"/>
      <c r="J16" s="599" t="n"/>
      <c r="K16" s="599" t="n"/>
      <c r="L16" s="599" t="n"/>
      <c r="M16" s="599" t="n"/>
      <c r="N16" s="599" t="n"/>
      <c r="O16" s="599" t="n"/>
      <c r="P16" s="599" t="n"/>
      <c r="Q16" s="599" t="n"/>
      <c r="R16" s="599" t="n"/>
      <c r="S16" s="599" t="n"/>
      <c r="T16" s="599" t="n"/>
      <c r="U16" s="599" t="n"/>
      <c r="V16" s="599" t="n"/>
      <c r="W16" s="599" t="n"/>
      <c r="X16" s="599" t="n"/>
      <c r="Y16" s="599" t="n"/>
      <c r="Z16" s="599" t="n"/>
      <c r="AA16" s="599" t="n"/>
      <c r="AB16" s="599" t="n"/>
      <c r="AC16" s="599" t="n"/>
      <c r="AD16" s="599" t="n"/>
      <c r="AE16" s="599" t="n"/>
      <c r="AF16" s="599" t="n"/>
      <c r="AG16" s="599" t="n"/>
      <c r="AH16" s="599" t="n"/>
      <c r="AI16" s="599" t="n"/>
      <c r="AJ16" s="599" t="n"/>
      <c r="AK16" s="599" t="n"/>
      <c r="AL16" s="599" t="n"/>
      <c r="AM16" s="599" t="n"/>
      <c r="AN16" s="599" t="n"/>
      <c r="AO16" s="599" t="n"/>
      <c r="AP16" s="599" t="n"/>
      <c r="AQ16" s="599" t="n"/>
      <c r="AR16" s="599" t="n"/>
      <c r="AS16" s="599" t="n"/>
      <c r="AT16" s="599" t="n"/>
      <c r="AU16" s="599" t="n"/>
      <c r="AV16" s="599" t="n"/>
      <c r="AW16" s="599" t="n"/>
      <c r="AX16" s="599" t="n"/>
      <c r="AY16" s="599" t="n"/>
      <c r="AZ16" s="599" t="n"/>
      <c r="BA16" s="599" t="n"/>
      <c r="BB16" s="599" t="n"/>
      <c r="BC16" s="599" t="n"/>
      <c r="BD16" s="599" t="n"/>
      <c r="BE16" s="599" t="n"/>
      <c r="BF16" s="599" t="n"/>
      <c r="BG16" s="599" t="n"/>
      <c r="BH16" s="599" t="n"/>
      <c r="BI16" s="599" t="n"/>
    </row>
    <row r="17" hidden="1" customFormat="1" s="597">
      <c r="A17" s="1" t="inlineStr">
        <is>
          <t>Thermic Units</t>
        </is>
      </c>
      <c r="B17" s="597" t="n">
        <v>0</v>
      </c>
      <c r="C17" s="597" t="n">
        <v>0</v>
      </c>
      <c r="D17" s="597" t="n">
        <v>0</v>
      </c>
      <c r="E17" s="597" t="n">
        <v>0</v>
      </c>
      <c r="F17" s="597" t="n">
        <v>0</v>
      </c>
      <c r="G17" s="597" t="n">
        <v>0</v>
      </c>
      <c r="H17" s="597" t="n">
        <v>0</v>
      </c>
      <c r="I17" s="597" t="n">
        <v>0</v>
      </c>
      <c r="J17" s="597" t="n">
        <v>0</v>
      </c>
      <c r="K17" s="597" t="n">
        <v>0</v>
      </c>
      <c r="L17" s="597" t="n">
        <v>0</v>
      </c>
      <c r="M17" s="597" t="n">
        <v>0</v>
      </c>
      <c r="N17" s="597" t="n">
        <v>0</v>
      </c>
      <c r="O17" s="597" t="n">
        <v>0</v>
      </c>
      <c r="P17" s="597" t="n">
        <v>0</v>
      </c>
      <c r="Q17" s="597" t="n">
        <v>0</v>
      </c>
      <c r="R17" s="597" t="n">
        <v>0</v>
      </c>
      <c r="S17" s="597" t="n">
        <v>0</v>
      </c>
      <c r="T17" s="597" t="n">
        <v>0</v>
      </c>
      <c r="U17" s="597" t="n">
        <v>0</v>
      </c>
      <c r="V17" s="597" t="n">
        <v>0</v>
      </c>
      <c r="W17" s="597" t="n">
        <v>0</v>
      </c>
      <c r="X17" s="597" t="n">
        <v>0</v>
      </c>
      <c r="Y17" s="597" t="n">
        <v>0</v>
      </c>
      <c r="Z17" s="597" t="n">
        <v>0</v>
      </c>
      <c r="AA17" s="597" t="n">
        <v>0</v>
      </c>
      <c r="AB17" s="597" t="n">
        <v>0</v>
      </c>
      <c r="AC17" s="597" t="n">
        <v>0</v>
      </c>
      <c r="AD17" s="597" t="n">
        <v>0</v>
      </c>
      <c r="AE17" s="597" t="n">
        <v>0</v>
      </c>
      <c r="AF17" s="597" t="n">
        <v>0</v>
      </c>
      <c r="AG17" s="597" t="n">
        <v>0</v>
      </c>
      <c r="AH17" s="597" t="n">
        <v>0</v>
      </c>
      <c r="AI17" s="597" t="n">
        <v>0</v>
      </c>
      <c r="AJ17" s="597" t="n">
        <v>0</v>
      </c>
      <c r="AK17" s="597" t="n">
        <v>0</v>
      </c>
      <c r="AL17" s="597" t="n">
        <v>0</v>
      </c>
      <c r="AM17" s="597" t="n">
        <v>0</v>
      </c>
      <c r="AN17" s="597" t="n">
        <v>0</v>
      </c>
      <c r="AO17" s="597" t="n">
        <v>0</v>
      </c>
      <c r="AP17" s="597" t="n">
        <v>0</v>
      </c>
      <c r="AQ17" s="597" t="n">
        <v>0</v>
      </c>
      <c r="AR17" s="597" t="n">
        <v>0</v>
      </c>
      <c r="AS17" s="597" t="n">
        <v>0</v>
      </c>
      <c r="AT17" s="597" t="n">
        <v>0</v>
      </c>
      <c r="AU17" s="597" t="n">
        <v>0</v>
      </c>
      <c r="AV17" s="597" t="n">
        <v>0</v>
      </c>
      <c r="AW17" s="597" t="n">
        <v>0</v>
      </c>
      <c r="AX17" s="597" t="n">
        <v>0</v>
      </c>
      <c r="AY17" s="597" t="n">
        <v>0</v>
      </c>
      <c r="AZ17" s="597" t="n">
        <v>0</v>
      </c>
      <c r="BA17" s="597" t="n">
        <v>0</v>
      </c>
      <c r="BB17" s="597" t="n">
        <v>0</v>
      </c>
      <c r="BC17" s="597" t="n">
        <v>0</v>
      </c>
      <c r="BD17" s="597" t="n">
        <v>0</v>
      </c>
      <c r="BE17" s="597" t="n">
        <v>0</v>
      </c>
      <c r="BF17" s="597" t="n">
        <v>0</v>
      </c>
      <c r="BG17" s="597" t="n">
        <v>0</v>
      </c>
      <c r="BH17" s="597" t="n">
        <v>0</v>
      </c>
      <c r="BI17" s="597" t="n">
        <v>0</v>
      </c>
    </row>
    <row r="18" hidden="1" customFormat="1" s="597">
      <c r="A18" s="1" t="inlineStr">
        <is>
          <t>Electric Units</t>
        </is>
      </c>
      <c r="B18" s="597" t="n">
        <v>0</v>
      </c>
      <c r="C18" s="597" t="n">
        <v>0</v>
      </c>
      <c r="D18" s="597" t="n">
        <v>0</v>
      </c>
      <c r="E18" s="597" t="n">
        <v>0</v>
      </c>
      <c r="F18" s="597" t="n">
        <v>0</v>
      </c>
      <c r="G18" s="597" t="n">
        <v>0</v>
      </c>
      <c r="H18" s="597" t="n">
        <v>0</v>
      </c>
      <c r="I18" s="597" t="n">
        <v>0</v>
      </c>
      <c r="J18" s="597" t="n">
        <v>0</v>
      </c>
      <c r="K18" s="597" t="n">
        <v>0</v>
      </c>
      <c r="L18" s="597" t="n">
        <v>0</v>
      </c>
      <c r="M18" s="597" t="n">
        <v>0</v>
      </c>
      <c r="N18" s="597" t="n">
        <v>0</v>
      </c>
      <c r="O18" s="597" t="n">
        <v>0</v>
      </c>
      <c r="P18" s="597" t="n">
        <v>0</v>
      </c>
      <c r="Q18" s="597" t="n">
        <v>0</v>
      </c>
      <c r="R18" s="597" t="n">
        <v>0</v>
      </c>
      <c r="S18" s="597" t="n">
        <v>0</v>
      </c>
      <c r="T18" s="597" t="n">
        <v>0</v>
      </c>
      <c r="U18" s="597" t="n">
        <v>0</v>
      </c>
      <c r="V18" s="597" t="n">
        <v>0</v>
      </c>
      <c r="W18" s="597" t="n">
        <v>0</v>
      </c>
      <c r="X18" s="597" t="n">
        <v>0</v>
      </c>
      <c r="Y18" s="597" t="n">
        <v>0</v>
      </c>
      <c r="Z18" s="597" t="n">
        <v>0</v>
      </c>
      <c r="AA18" s="597" t="n">
        <v>0</v>
      </c>
      <c r="AB18" s="597" t="n">
        <v>0</v>
      </c>
      <c r="AC18" s="597" t="n">
        <v>0</v>
      </c>
      <c r="AD18" s="597" t="n">
        <v>0</v>
      </c>
      <c r="AE18" s="597" t="n">
        <v>0</v>
      </c>
      <c r="AF18" s="597" t="n">
        <v>0</v>
      </c>
      <c r="AG18" s="597" t="n">
        <v>0</v>
      </c>
      <c r="AH18" s="597" t="n">
        <v>0</v>
      </c>
      <c r="AI18" s="597" t="n">
        <v>0</v>
      </c>
      <c r="AJ18" s="597" t="n">
        <v>0</v>
      </c>
      <c r="AK18" s="597" t="n">
        <v>0</v>
      </c>
      <c r="AL18" s="597" t="n">
        <v>0</v>
      </c>
      <c r="AM18" s="597" t="n">
        <v>0</v>
      </c>
      <c r="AN18" s="597" t="n">
        <v>0</v>
      </c>
      <c r="AO18" s="597" t="n">
        <v>0</v>
      </c>
      <c r="AP18" s="597" t="n">
        <v>0</v>
      </c>
      <c r="AQ18" s="597" t="n">
        <v>0</v>
      </c>
      <c r="AR18" s="597" t="n">
        <v>0</v>
      </c>
      <c r="AS18" s="597" t="n">
        <v>0</v>
      </c>
      <c r="AT18" s="597" t="n">
        <v>0</v>
      </c>
      <c r="AU18" s="597" t="n">
        <v>0</v>
      </c>
      <c r="AV18" s="597" t="n">
        <v>0</v>
      </c>
      <c r="AW18" s="597" t="n">
        <v>0</v>
      </c>
      <c r="AX18" s="597" t="n">
        <v>0</v>
      </c>
      <c r="AY18" s="597" t="n">
        <v>0</v>
      </c>
      <c r="AZ18" s="597" t="n">
        <v>0</v>
      </c>
      <c r="BA18" s="597" t="n">
        <v>0</v>
      </c>
      <c r="BB18" s="597" t="n">
        <v>0</v>
      </c>
      <c r="BC18" s="597" t="n">
        <v>0</v>
      </c>
      <c r="BD18" s="597" t="n">
        <v>0</v>
      </c>
      <c r="BE18" s="597" t="n">
        <v>0</v>
      </c>
      <c r="BF18" s="597" t="n">
        <v>0</v>
      </c>
      <c r="BG18" s="597" t="n">
        <v>0</v>
      </c>
      <c r="BH18" s="597" t="n">
        <v>0</v>
      </c>
      <c r="BI18" s="597" t="n">
        <v>0</v>
      </c>
    </row>
    <row r="19" hidden="1" customFormat="1" s="597">
      <c r="A19" s="1" t="inlineStr">
        <is>
          <t>Spare Parts and Aftermarket Services</t>
        </is>
      </c>
      <c r="B19" s="597" t="n">
        <v>0</v>
      </c>
      <c r="C19" s="597" t="n">
        <v>0</v>
      </c>
      <c r="D19" s="597" t="n">
        <v>0</v>
      </c>
      <c r="E19" s="597" t="n">
        <v>0</v>
      </c>
      <c r="F19" s="597" t="n">
        <v>0</v>
      </c>
      <c r="G19" s="597" t="n">
        <v>0</v>
      </c>
      <c r="H19" s="597" t="n">
        <v>0</v>
      </c>
      <c r="I19" s="597" t="n">
        <v>0</v>
      </c>
      <c r="J19" s="597" t="n">
        <v>0</v>
      </c>
      <c r="K19" s="597" t="n">
        <v>0</v>
      </c>
      <c r="L19" s="597" t="n">
        <v>0</v>
      </c>
      <c r="M19" s="597" t="n">
        <v>0</v>
      </c>
      <c r="N19" s="597" t="n">
        <v>0</v>
      </c>
      <c r="O19" s="597" t="n">
        <v>0</v>
      </c>
      <c r="P19" s="597" t="n">
        <v>0</v>
      </c>
      <c r="Q19" s="597" t="n">
        <v>0</v>
      </c>
      <c r="R19" s="597" t="n">
        <v>0</v>
      </c>
      <c r="S19" s="597" t="n">
        <v>0</v>
      </c>
      <c r="T19" s="597" t="n">
        <v>0</v>
      </c>
      <c r="U19" s="597" t="n">
        <v>0</v>
      </c>
      <c r="V19" s="597" t="n">
        <v>0</v>
      </c>
      <c r="W19" s="597" t="n">
        <v>0</v>
      </c>
      <c r="X19" s="597" t="n">
        <v>0</v>
      </c>
      <c r="Y19" s="597" t="n">
        <v>0</v>
      </c>
      <c r="Z19" s="597" t="n">
        <v>0</v>
      </c>
      <c r="AA19" s="597" t="n">
        <v>0</v>
      </c>
      <c r="AB19" s="597" t="n">
        <v>0</v>
      </c>
      <c r="AC19" s="597" t="n">
        <v>0</v>
      </c>
      <c r="AD19" s="597" t="n">
        <v>0</v>
      </c>
      <c r="AE19" s="597" t="n">
        <v>0</v>
      </c>
      <c r="AF19" s="597" t="n">
        <v>0</v>
      </c>
      <c r="AG19" s="597" t="n">
        <v>0</v>
      </c>
      <c r="AH19" s="597" t="n">
        <v>0</v>
      </c>
      <c r="AI19" s="597" t="n">
        <v>0</v>
      </c>
      <c r="AJ19" s="597" t="n">
        <v>0</v>
      </c>
      <c r="AK19" s="597" t="n">
        <v>0</v>
      </c>
      <c r="AL19" s="597" t="n">
        <v>0</v>
      </c>
      <c r="AM19" s="597" t="n">
        <v>0</v>
      </c>
      <c r="AN19" s="597" t="n">
        <v>0</v>
      </c>
      <c r="AO19" s="597" t="n">
        <v>0</v>
      </c>
      <c r="AP19" s="597" t="n">
        <v>0</v>
      </c>
      <c r="AQ19" s="597" t="n">
        <v>0</v>
      </c>
      <c r="AR19" s="597" t="n">
        <v>0</v>
      </c>
      <c r="AS19" s="597" t="n">
        <v>0</v>
      </c>
      <c r="AT19" s="597" t="n">
        <v>0</v>
      </c>
      <c r="AU19" s="597" t="n">
        <v>0</v>
      </c>
      <c r="AV19" s="597" t="n">
        <v>0</v>
      </c>
      <c r="AW19" s="597" t="n">
        <v>0</v>
      </c>
      <c r="AX19" s="597" t="n">
        <v>0</v>
      </c>
      <c r="AY19" s="597" t="n">
        <v>0</v>
      </c>
      <c r="AZ19" s="597" t="n">
        <v>0</v>
      </c>
      <c r="BA19" s="597" t="n">
        <v>0</v>
      </c>
      <c r="BB19" s="597" t="n">
        <v>0</v>
      </c>
      <c r="BC19" s="597" t="n">
        <v>0</v>
      </c>
      <c r="BD19" s="597" t="n">
        <v>0</v>
      </c>
      <c r="BE19" s="597" t="n">
        <v>0</v>
      </c>
      <c r="BF19" s="597" t="n">
        <v>0</v>
      </c>
      <c r="BG19" s="597" t="n">
        <v>0</v>
      </c>
      <c r="BH19" s="597" t="n">
        <v>0</v>
      </c>
      <c r="BI19" s="597" t="n">
        <v>0</v>
      </c>
    </row>
    <row r="20" customFormat="1" s="597">
      <c r="A20" s="58" t="inlineStr">
        <is>
          <t>SIM Sales</t>
        </is>
      </c>
      <c r="B20" s="597" t="n">
        <v>0</v>
      </c>
      <c r="C20" s="597" t="n">
        <v>0</v>
      </c>
      <c r="D20" s="597" t="n">
        <v>0</v>
      </c>
      <c r="E20" s="597" t="n">
        <v>0</v>
      </c>
      <c r="F20" s="597" t="n">
        <v>0</v>
      </c>
      <c r="G20" s="597" t="n">
        <v>0</v>
      </c>
      <c r="H20" s="597" t="n">
        <v>0</v>
      </c>
      <c r="I20" s="597" t="n">
        <v>0</v>
      </c>
      <c r="J20" s="597" t="n">
        <v>0</v>
      </c>
      <c r="K20" s="597" t="n">
        <v>0</v>
      </c>
      <c r="L20" s="597" t="n">
        <v>0</v>
      </c>
      <c r="M20" s="597" t="n">
        <v>0</v>
      </c>
      <c r="N20" s="597" t="n">
        <v>0</v>
      </c>
      <c r="O20" s="597" t="n">
        <v>0</v>
      </c>
      <c r="P20" s="597" t="n">
        <v>0</v>
      </c>
      <c r="Q20" s="597" t="n">
        <v>0</v>
      </c>
      <c r="R20" s="597" t="n">
        <v>0</v>
      </c>
      <c r="S20" s="597" t="n">
        <v>0</v>
      </c>
      <c r="T20" s="597" t="n">
        <v>0</v>
      </c>
      <c r="U20" s="597" t="n">
        <v>0</v>
      </c>
      <c r="V20" s="597" t="n">
        <v>0</v>
      </c>
      <c r="W20" s="597" t="n">
        <v>0</v>
      </c>
      <c r="X20" s="597" t="n">
        <v>0</v>
      </c>
      <c r="Y20" s="597" t="n">
        <v>0</v>
      </c>
      <c r="Z20" s="597" t="n">
        <v>0</v>
      </c>
      <c r="AA20" s="597" t="n">
        <v>0</v>
      </c>
      <c r="AB20" s="597" t="n">
        <v>0</v>
      </c>
      <c r="AC20" s="597" t="n">
        <v>0</v>
      </c>
      <c r="AD20" s="597" t="n">
        <v>0</v>
      </c>
      <c r="AE20" s="597" t="n">
        <v>0</v>
      </c>
      <c r="AF20" s="597" t="n">
        <v>0</v>
      </c>
      <c r="AG20" s="597" t="n">
        <v>0</v>
      </c>
      <c r="AH20" s="597" t="n">
        <v>0</v>
      </c>
      <c r="AI20" s="597" t="n">
        <v>0</v>
      </c>
      <c r="AJ20" s="597" t="n">
        <v>0</v>
      </c>
      <c r="AK20" s="597" t="n">
        <v>0</v>
      </c>
      <c r="AL20" s="597" t="n">
        <v>0</v>
      </c>
      <c r="AM20" s="597" t="n">
        <v>0</v>
      </c>
      <c r="AN20" s="597" t="n">
        <v>0</v>
      </c>
      <c r="AO20" s="597" t="n">
        <v>0</v>
      </c>
      <c r="AP20" s="597" t="n">
        <v>0</v>
      </c>
      <c r="AQ20" s="597" t="n">
        <v>0</v>
      </c>
      <c r="AR20" s="597" t="n">
        <v>0</v>
      </c>
      <c r="AS20" s="597" t="n">
        <v>0</v>
      </c>
      <c r="AT20" s="597" t="n">
        <v>0</v>
      </c>
      <c r="AU20" s="597" t="n">
        <v>0</v>
      </c>
      <c r="AV20" s="597" t="n">
        <v>0</v>
      </c>
      <c r="AW20" s="597" t="n">
        <v>0</v>
      </c>
      <c r="AX20" s="597" t="n">
        <v>0</v>
      </c>
      <c r="AY20" s="597" t="n">
        <v>0</v>
      </c>
      <c r="AZ20" s="597" t="n">
        <v>0</v>
      </c>
      <c r="BA20" s="597" t="n">
        <v>0</v>
      </c>
      <c r="BB20" s="597" t="n">
        <v>0</v>
      </c>
      <c r="BC20" s="597" t="n">
        <v>0</v>
      </c>
      <c r="BD20" s="597" t="n">
        <v>0</v>
      </c>
      <c r="BE20" s="597" t="n">
        <v>0</v>
      </c>
      <c r="BF20" s="597" t="n">
        <v>0</v>
      </c>
      <c r="BG20" s="597" t="n">
        <v>0</v>
      </c>
      <c r="BH20" s="597" t="n">
        <v>0</v>
      </c>
      <c r="BI20" s="597" t="n">
        <v>0</v>
      </c>
    </row>
    <row r="21" customFormat="1" s="597">
      <c r="A21" s="58" t="inlineStr">
        <is>
          <t>Services</t>
        </is>
      </c>
      <c r="B21" s="597" t="n">
        <v>0</v>
      </c>
      <c r="C21" s="597" t="n">
        <v>0</v>
      </c>
      <c r="D21" s="597" t="n">
        <v>0</v>
      </c>
      <c r="E21" s="597" t="n">
        <v>0</v>
      </c>
      <c r="F21" s="597" t="n">
        <v>0</v>
      </c>
      <c r="G21" s="597" t="n">
        <v>0</v>
      </c>
      <c r="H21" s="597" t="n">
        <v>0</v>
      </c>
      <c r="I21" s="597" t="n">
        <v>0</v>
      </c>
      <c r="J21" s="597" t="n">
        <v>0</v>
      </c>
      <c r="K21" s="597" t="n">
        <v>0</v>
      </c>
      <c r="L21" s="597" t="n">
        <v>0</v>
      </c>
      <c r="M21" s="597" t="n">
        <v>0</v>
      </c>
      <c r="N21" s="597" t="n">
        <v>0</v>
      </c>
      <c r="O21" s="597" t="n">
        <v>0</v>
      </c>
      <c r="P21" s="597" t="n">
        <v>0</v>
      </c>
      <c r="Q21" s="597" t="n">
        <v>0</v>
      </c>
      <c r="R21" s="597" t="n">
        <v>0</v>
      </c>
      <c r="S21" s="597" t="n">
        <v>0</v>
      </c>
      <c r="T21" s="597" t="n">
        <v>0</v>
      </c>
      <c r="U21" s="597" t="n">
        <v>0</v>
      </c>
      <c r="V21" s="597" t="n">
        <v>0</v>
      </c>
      <c r="W21" s="597" t="n">
        <v>0</v>
      </c>
      <c r="X21" s="597" t="n">
        <v>0</v>
      </c>
      <c r="Y21" s="597" t="n">
        <v>0</v>
      </c>
      <c r="Z21" s="597" t="n">
        <v>0</v>
      </c>
      <c r="AA21" s="597" t="n">
        <v>0</v>
      </c>
      <c r="AB21" s="597" t="n">
        <v>0</v>
      </c>
      <c r="AC21" s="597" t="n">
        <v>0</v>
      </c>
      <c r="AD21" s="597" t="n">
        <v>0</v>
      </c>
      <c r="AE21" s="597" t="n">
        <v>0</v>
      </c>
      <c r="AF21" s="597" t="n">
        <v>0</v>
      </c>
      <c r="AG21" s="597" t="n">
        <v>0</v>
      </c>
      <c r="AH21" s="597" t="n">
        <v>0</v>
      </c>
      <c r="AI21" s="597" t="n">
        <v>0</v>
      </c>
      <c r="AJ21" s="597" t="n">
        <v>0</v>
      </c>
      <c r="AK21" s="597" t="n">
        <v>0</v>
      </c>
      <c r="AL21" s="597" t="n">
        <v>0</v>
      </c>
      <c r="AM21" s="597" t="n">
        <v>0</v>
      </c>
      <c r="AN21" s="597" t="n">
        <v>0</v>
      </c>
      <c r="AO21" s="597" t="n">
        <v>0</v>
      </c>
      <c r="AP21" s="597" t="n">
        <v>0</v>
      </c>
      <c r="AQ21" s="597" t="n">
        <v>0</v>
      </c>
      <c r="AR21" s="597" t="n">
        <v>0</v>
      </c>
      <c r="AS21" s="597" t="n">
        <v>0</v>
      </c>
      <c r="AT21" s="597" t="n">
        <v>0</v>
      </c>
      <c r="AU21" s="597" t="n">
        <v>0</v>
      </c>
      <c r="AV21" s="597" t="n">
        <v>0</v>
      </c>
      <c r="AW21" s="597" t="n">
        <v>0</v>
      </c>
      <c r="AX21" s="597" t="n">
        <v>0</v>
      </c>
      <c r="AY21" s="597" t="n">
        <v>0</v>
      </c>
      <c r="AZ21" s="597" t="n">
        <v>0</v>
      </c>
      <c r="BA21" s="597" t="n">
        <v>0</v>
      </c>
      <c r="BB21" s="597" t="n">
        <v>0</v>
      </c>
      <c r="BC21" s="597" t="n">
        <v>0</v>
      </c>
      <c r="BD21" s="597" t="n">
        <v>0</v>
      </c>
      <c r="BE21" s="597" t="n">
        <v>0</v>
      </c>
      <c r="BF21" s="597" t="n">
        <v>0</v>
      </c>
      <c r="BG21" s="597" t="n">
        <v>0</v>
      </c>
      <c r="BH21" s="597" t="n">
        <v>0</v>
      </c>
      <c r="BI21" s="597" t="n">
        <v>0</v>
      </c>
    </row>
    <row r="22" ht="13" customFormat="1" customHeight="1" s="597">
      <c r="A22" s="243" t="inlineStr">
        <is>
          <t>R&amp;D Subsidies</t>
        </is>
      </c>
      <c r="B22" s="597" t="n">
        <v>0</v>
      </c>
      <c r="C22" s="597" t="n">
        <v>0</v>
      </c>
      <c r="D22" s="597" t="n">
        <v>0</v>
      </c>
      <c r="E22" s="597" t="n">
        <v>0</v>
      </c>
      <c r="F22" s="597" t="n">
        <v>0</v>
      </c>
      <c r="G22" s="597" t="n">
        <v>0</v>
      </c>
      <c r="H22" s="597" t="n">
        <v>0</v>
      </c>
      <c r="I22" s="597" t="n">
        <v>0</v>
      </c>
      <c r="J22" s="597" t="n">
        <v>0</v>
      </c>
      <c r="K22" s="597" t="n">
        <v>0</v>
      </c>
      <c r="L22" s="597" t="n">
        <v>0</v>
      </c>
      <c r="M22" s="597" t="n">
        <v>0</v>
      </c>
      <c r="N22" s="597" t="n">
        <v>0</v>
      </c>
      <c r="O22" s="597" t="n">
        <v>0</v>
      </c>
      <c r="P22" s="597" t="n">
        <v>0</v>
      </c>
      <c r="Q22" s="597" t="n">
        <v>0</v>
      </c>
      <c r="R22" s="597" t="n">
        <v>0</v>
      </c>
      <c r="S22" s="597" t="n">
        <v>0</v>
      </c>
      <c r="T22" s="597" t="n">
        <v>0</v>
      </c>
      <c r="U22" s="597" t="n">
        <v>0</v>
      </c>
      <c r="V22" s="597" t="n">
        <v>0</v>
      </c>
      <c r="W22" s="597" t="n">
        <v>0</v>
      </c>
      <c r="X22" s="597" t="n">
        <v>0</v>
      </c>
      <c r="Y22" s="597" t="n">
        <v>0</v>
      </c>
      <c r="Z22" s="597" t="n">
        <v>0</v>
      </c>
      <c r="AA22" s="597" t="n">
        <v>0</v>
      </c>
      <c r="AB22" s="597" t="n">
        <v>0</v>
      </c>
      <c r="AC22" s="597" t="n">
        <v>0</v>
      </c>
      <c r="AD22" s="597" t="n">
        <v>0</v>
      </c>
      <c r="AE22" s="597" t="n">
        <v>0</v>
      </c>
      <c r="AF22" s="597" t="n">
        <v>0</v>
      </c>
      <c r="AG22" s="597" t="n">
        <v>0</v>
      </c>
      <c r="AH22" s="597" t="n">
        <v>0</v>
      </c>
      <c r="AI22" s="597" t="n">
        <v>0</v>
      </c>
      <c r="AJ22" s="597" t="n">
        <v>0</v>
      </c>
      <c r="AK22" s="597" t="n">
        <v>0</v>
      </c>
      <c r="AL22" s="597" t="n">
        <v>0</v>
      </c>
      <c r="AM22" s="597" t="n">
        <v>0</v>
      </c>
      <c r="AN22" s="597" t="n">
        <v>0</v>
      </c>
      <c r="AO22" s="597" t="n">
        <v>0</v>
      </c>
      <c r="AP22" s="597" t="n">
        <v>0</v>
      </c>
      <c r="AQ22" s="597" t="n">
        <v>0</v>
      </c>
      <c r="AR22" s="597" t="n">
        <v>0</v>
      </c>
      <c r="AS22" s="597" t="n">
        <v>0</v>
      </c>
      <c r="AT22" s="597" t="n">
        <v>0</v>
      </c>
      <c r="AU22" s="597" t="n">
        <v>0</v>
      </c>
      <c r="AV22" s="597" t="n">
        <v>0</v>
      </c>
      <c r="AW22" s="597" t="n">
        <v>0</v>
      </c>
      <c r="AX22" s="597" t="n">
        <v>0</v>
      </c>
      <c r="AY22" s="597" t="n">
        <v>0</v>
      </c>
      <c r="AZ22" s="597" t="n">
        <v>0</v>
      </c>
      <c r="BA22" s="597" t="n">
        <v>0</v>
      </c>
      <c r="BB22" s="597" t="n">
        <v>0</v>
      </c>
      <c r="BC22" s="597" t="n">
        <v>0</v>
      </c>
      <c r="BD22" s="597" t="n">
        <v>0</v>
      </c>
      <c r="BE22" s="597" t="n">
        <v>0</v>
      </c>
      <c r="BF22" s="597" t="n">
        <v>0</v>
      </c>
      <c r="BG22" s="597" t="n">
        <v>0</v>
      </c>
      <c r="BH22" s="597" t="n">
        <v>0</v>
      </c>
      <c r="BI22" s="597" t="n">
        <v>0</v>
      </c>
      <c r="BJ22" s="192" t="inlineStr">
        <is>
          <t>POTENTIAL OF GRANT/SUBSIDIES IS NOT CONSIDERED IN THIS PLAN</t>
        </is>
      </c>
    </row>
    <row r="23" customFormat="1" s="597">
      <c r="A23" s="17" t="n"/>
      <c r="B23" s="599" t="n"/>
      <c r="C23" s="599" t="n"/>
      <c r="D23" s="599" t="n"/>
      <c r="E23" s="599" t="n"/>
      <c r="F23" s="599" t="n"/>
      <c r="G23" s="599" t="n"/>
      <c r="H23" s="599" t="n"/>
      <c r="I23" s="599" t="n"/>
      <c r="J23" s="599" t="n"/>
      <c r="K23" s="599" t="n"/>
      <c r="L23" s="599" t="n"/>
      <c r="M23" s="599" t="n"/>
      <c r="N23" s="599" t="n"/>
      <c r="O23" s="599" t="n"/>
      <c r="P23" s="599" t="n"/>
      <c r="Q23" s="599" t="n"/>
      <c r="R23" s="599" t="n"/>
      <c r="S23" s="599" t="n"/>
      <c r="T23" s="599" t="n"/>
      <c r="U23" s="599" t="n"/>
      <c r="V23" s="599" t="n"/>
      <c r="W23" s="599" t="n"/>
      <c r="X23" s="599" t="n"/>
      <c r="Y23" s="599" t="n"/>
      <c r="Z23" s="599" t="n"/>
      <c r="AA23" s="599" t="n"/>
      <c r="AB23" s="599" t="n"/>
      <c r="AC23" s="599" t="n"/>
      <c r="AD23" s="599" t="n"/>
      <c r="AE23" s="599" t="n"/>
      <c r="AF23" s="599" t="n"/>
      <c r="AG23" s="599" t="n"/>
      <c r="AH23" s="599" t="n"/>
      <c r="AI23" s="599" t="n"/>
      <c r="AJ23" s="599" t="n"/>
      <c r="AK23" s="599" t="n"/>
      <c r="AL23" s="599" t="n"/>
      <c r="AM23" s="599" t="n"/>
      <c r="AN23" s="599" t="n"/>
      <c r="AO23" s="599" t="n"/>
      <c r="AP23" s="599" t="n"/>
      <c r="AQ23" s="599" t="n"/>
      <c r="AR23" s="599" t="n"/>
      <c r="AS23" s="599" t="n"/>
      <c r="AT23" s="599" t="n"/>
      <c r="AU23" s="599" t="n"/>
      <c r="AV23" s="599" t="n"/>
      <c r="AW23" s="599" t="n"/>
      <c r="AX23" s="599" t="n"/>
      <c r="AY23" s="599" t="n"/>
      <c r="AZ23" s="599" t="n"/>
      <c r="BA23" s="599" t="n"/>
      <c r="BB23" s="599" t="n"/>
      <c r="BC23" s="599" t="n"/>
      <c r="BD23" s="599" t="n"/>
      <c r="BE23" s="599" t="n"/>
      <c r="BF23" s="599" t="n"/>
      <c r="BG23" s="599" t="n"/>
      <c r="BH23" s="599" t="n"/>
      <c r="BI23" s="599" t="n"/>
    </row>
    <row r="24" customFormat="1" s="597">
      <c r="A24" s="600" t="inlineStr">
        <is>
          <t>Total COGS</t>
        </is>
      </c>
      <c r="B24" s="600">
        <f>SUM(B17:B23)</f>
        <v/>
      </c>
      <c r="C24" s="600">
        <f>SUM(C17:C23)</f>
        <v/>
      </c>
      <c r="D24" s="600">
        <f>SUM(D17:D23)</f>
        <v/>
      </c>
      <c r="E24" s="600">
        <f>SUM(E17:E23)</f>
        <v/>
      </c>
      <c r="F24" s="600">
        <f>SUM(F17:F23)</f>
        <v/>
      </c>
      <c r="G24" s="600">
        <f>SUM(G17:G23)</f>
        <v/>
      </c>
      <c r="H24" s="600">
        <f>SUM(H17:H23)</f>
        <v/>
      </c>
      <c r="I24" s="600">
        <f>SUM(I17:I23)</f>
        <v/>
      </c>
      <c r="J24" s="600">
        <f>SUM(J17:J23)</f>
        <v/>
      </c>
      <c r="K24" s="600">
        <f>SUM(K17:K23)</f>
        <v/>
      </c>
      <c r="L24" s="600">
        <f>SUM(L17:L23)</f>
        <v/>
      </c>
      <c r="M24" s="600">
        <f>SUM(M17:M23)</f>
        <v/>
      </c>
      <c r="N24" s="600">
        <f>SUM(N17:N23)</f>
        <v/>
      </c>
      <c r="O24" s="600">
        <f>SUM(O17:O23)</f>
        <v/>
      </c>
      <c r="P24" s="600">
        <f>SUM(P17:P23)</f>
        <v/>
      </c>
      <c r="Q24" s="600">
        <f>SUM(Q17:Q23)</f>
        <v/>
      </c>
      <c r="R24" s="600">
        <f>SUM(R17:R23)</f>
        <v/>
      </c>
      <c r="S24" s="600">
        <f>SUM(S17:S23)</f>
        <v/>
      </c>
      <c r="T24" s="600">
        <f>SUM(T17:T23)</f>
        <v/>
      </c>
      <c r="U24" s="600">
        <f>SUM(U17:U23)</f>
        <v/>
      </c>
      <c r="V24" s="600">
        <f>SUM(V17:V23)</f>
        <v/>
      </c>
      <c r="W24" s="600">
        <f>SUM(W17:W23)</f>
        <v/>
      </c>
      <c r="X24" s="600">
        <f>SUM(X17:X23)</f>
        <v/>
      </c>
      <c r="Y24" s="600">
        <f>SUM(Y17:Y23)</f>
        <v/>
      </c>
      <c r="Z24" s="600">
        <f>SUM(Z17:Z23)</f>
        <v/>
      </c>
      <c r="AA24" s="600">
        <f>SUM(AA17:AA23)</f>
        <v/>
      </c>
      <c r="AB24" s="600">
        <f>SUM(AB17:AB23)</f>
        <v/>
      </c>
      <c r="AC24" s="600">
        <f>SUM(AC17:AC23)</f>
        <v/>
      </c>
      <c r="AD24" s="600">
        <f>SUM(AD17:AD23)</f>
        <v/>
      </c>
      <c r="AE24" s="600">
        <f>SUM(AE17:AE23)</f>
        <v/>
      </c>
      <c r="AF24" s="600">
        <f>SUM(AF17:AF23)</f>
        <v/>
      </c>
      <c r="AG24" s="600">
        <f>SUM(AG17:AG23)</f>
        <v/>
      </c>
      <c r="AH24" s="600">
        <f>SUM(AH17:AH23)</f>
        <v/>
      </c>
      <c r="AI24" s="600">
        <f>SUM(AI17:AI23)</f>
        <v/>
      </c>
      <c r="AJ24" s="600">
        <f>SUM(AJ17:AJ23)</f>
        <v/>
      </c>
      <c r="AK24" s="600">
        <f>SUM(AK17:AK23)</f>
        <v/>
      </c>
      <c r="AL24" s="600">
        <f>SUM(AL17:AL23)</f>
        <v/>
      </c>
      <c r="AM24" s="600">
        <f>SUM(AM17:AM23)</f>
        <v/>
      </c>
      <c r="AN24" s="600">
        <f>SUM(AN17:AN23)</f>
        <v/>
      </c>
      <c r="AO24" s="600">
        <f>SUM(AO17:AO23)</f>
        <v/>
      </c>
      <c r="AP24" s="600">
        <f>SUM(AP17:AP23)</f>
        <v/>
      </c>
      <c r="AQ24" s="600">
        <f>SUM(AQ17:AQ23)</f>
        <v/>
      </c>
      <c r="AR24" s="600">
        <f>SUM(AR17:AR23)</f>
        <v/>
      </c>
      <c r="AS24" s="600">
        <f>SUM(AS17:AS23)</f>
        <v/>
      </c>
      <c r="AT24" s="600">
        <f>SUM(AT17:AT23)</f>
        <v/>
      </c>
      <c r="AU24" s="600">
        <f>SUM(AU17:AU23)</f>
        <v/>
      </c>
      <c r="AV24" s="600">
        <f>SUM(AV17:AV23)</f>
        <v/>
      </c>
      <c r="AW24" s="600">
        <f>SUM(AW17:AW23)</f>
        <v/>
      </c>
      <c r="AX24" s="600">
        <f>SUM(AX17:AX23)</f>
        <v/>
      </c>
      <c r="AY24" s="600">
        <f>SUM(AY17:AY23)</f>
        <v/>
      </c>
      <c r="AZ24" s="600">
        <f>SUM(AZ17:AZ23)</f>
        <v/>
      </c>
      <c r="BA24" s="600">
        <f>SUM(BA17:BA23)</f>
        <v/>
      </c>
      <c r="BB24" s="600">
        <f>SUM(BB17:BB23)</f>
        <v/>
      </c>
      <c r="BC24" s="600">
        <f>SUM(BC17:BC23)</f>
        <v/>
      </c>
      <c r="BD24" s="600">
        <f>SUM(BD17:BD23)</f>
        <v/>
      </c>
      <c r="BE24" s="600">
        <f>SUM(BE17:BE23)</f>
        <v/>
      </c>
      <c r="BF24" s="600">
        <f>SUM(BF17:BF23)</f>
        <v/>
      </c>
      <c r="BG24" s="600">
        <f>SUM(BG17:BG23)</f>
        <v/>
      </c>
      <c r="BH24" s="600">
        <f>SUM(BH17:BH23)</f>
        <v/>
      </c>
      <c r="BI24" s="600">
        <f>SUM(BI17:BI23)</f>
        <v/>
      </c>
    </row>
    <row r="25" customFormat="1" s="597">
      <c r="A25" s="19" t="n"/>
      <c r="B25" s="601" t="n"/>
      <c r="C25" s="601" t="n"/>
      <c r="D25" s="601" t="n"/>
      <c r="E25" s="601" t="n"/>
      <c r="F25" s="601" t="n"/>
      <c r="G25" s="601" t="n"/>
      <c r="H25" s="601" t="n"/>
      <c r="I25" s="601" t="n"/>
      <c r="J25" s="601" t="n"/>
      <c r="K25" s="601" t="n"/>
      <c r="L25" s="601" t="n"/>
      <c r="M25" s="601" t="n"/>
      <c r="N25" s="601" t="n"/>
      <c r="O25" s="601" t="n"/>
      <c r="P25" s="601" t="n"/>
      <c r="Q25" s="601" t="n"/>
      <c r="R25" s="601" t="n"/>
      <c r="S25" s="601" t="n"/>
      <c r="T25" s="601" t="n"/>
      <c r="U25" s="601" t="n"/>
      <c r="V25" s="601" t="n"/>
      <c r="W25" s="601" t="n"/>
      <c r="X25" s="601" t="n"/>
      <c r="Y25" s="601" t="n"/>
      <c r="Z25" s="601" t="n"/>
      <c r="AA25" s="601" t="n"/>
      <c r="AB25" s="601" t="n"/>
      <c r="AC25" s="601" t="n"/>
      <c r="AD25" s="601" t="n"/>
      <c r="AE25" s="601" t="n"/>
      <c r="AF25" s="601" t="n"/>
      <c r="AG25" s="601" t="n"/>
      <c r="AH25" s="601" t="n"/>
      <c r="AI25" s="601" t="n"/>
      <c r="AJ25" s="601" t="n"/>
      <c r="AK25" s="601" t="n"/>
      <c r="AL25" s="601" t="n"/>
      <c r="AM25" s="601" t="n"/>
      <c r="AN25" s="601" t="n"/>
      <c r="AO25" s="601" t="n"/>
      <c r="AP25" s="601" t="n"/>
      <c r="AQ25" s="601" t="n"/>
      <c r="AR25" s="601" t="n"/>
      <c r="AS25" s="601" t="n"/>
      <c r="AT25" s="601" t="n"/>
      <c r="AU25" s="601" t="n"/>
      <c r="AV25" s="601" t="n"/>
      <c r="AW25" s="601" t="n"/>
      <c r="AX25" s="601" t="n"/>
      <c r="AY25" s="601" t="n"/>
      <c r="AZ25" s="601" t="n"/>
      <c r="BA25" s="601" t="n"/>
      <c r="BB25" s="601" t="n"/>
      <c r="BC25" s="601" t="n"/>
      <c r="BD25" s="601" t="n"/>
      <c r="BE25" s="601" t="n"/>
      <c r="BF25" s="601" t="n"/>
      <c r="BG25" s="601" t="n"/>
      <c r="BH25" s="601" t="n"/>
      <c r="BI25" s="601" t="n"/>
    </row>
    <row r="26" ht="13" customFormat="1" customHeight="1" s="602">
      <c r="A26" s="244" t="inlineStr">
        <is>
          <t>Gross Profit</t>
        </is>
      </c>
      <c r="B26" s="603">
        <f>B14-B24</f>
        <v/>
      </c>
      <c r="C26" s="603">
        <f>C14-C24</f>
        <v/>
      </c>
      <c r="D26" s="603">
        <f>D14-D24</f>
        <v/>
      </c>
      <c r="E26" s="603">
        <f>E14-E24</f>
        <v/>
      </c>
      <c r="F26" s="603">
        <f>F14-F24</f>
        <v/>
      </c>
      <c r="G26" s="603">
        <f>G14-G24</f>
        <v/>
      </c>
      <c r="H26" s="603">
        <f>H14-H24</f>
        <v/>
      </c>
      <c r="I26" s="603">
        <f>I14-I24</f>
        <v/>
      </c>
      <c r="J26" s="603">
        <f>J14-J24</f>
        <v/>
      </c>
      <c r="K26" s="603">
        <f>K14-K24</f>
        <v/>
      </c>
      <c r="L26" s="603">
        <f>L14-L24</f>
        <v/>
      </c>
      <c r="M26" s="603">
        <f>M14-M24</f>
        <v/>
      </c>
      <c r="N26" s="603">
        <f>N14-N24</f>
        <v/>
      </c>
      <c r="O26" s="603">
        <f>O14-O24</f>
        <v/>
      </c>
      <c r="P26" s="603">
        <f>P14-P24</f>
        <v/>
      </c>
      <c r="Q26" s="603">
        <f>Q14-Q24</f>
        <v/>
      </c>
      <c r="R26" s="603">
        <f>R14-R24</f>
        <v/>
      </c>
      <c r="S26" s="603">
        <f>S14-S24</f>
        <v/>
      </c>
      <c r="T26" s="603">
        <f>T14-T24</f>
        <v/>
      </c>
      <c r="U26" s="603">
        <f>U14-U24</f>
        <v/>
      </c>
      <c r="V26" s="603">
        <f>V14-V24</f>
        <v/>
      </c>
      <c r="W26" s="603">
        <f>W14-W24</f>
        <v/>
      </c>
      <c r="X26" s="603">
        <f>X14-X24</f>
        <v/>
      </c>
      <c r="Y26" s="603">
        <f>Y14-Y24</f>
        <v/>
      </c>
      <c r="Z26" s="603">
        <f>Z14-Z24</f>
        <v/>
      </c>
      <c r="AA26" s="603">
        <f>AA14-AA24</f>
        <v/>
      </c>
      <c r="AB26" s="603">
        <f>AB14-AB24</f>
        <v/>
      </c>
      <c r="AC26" s="603">
        <f>AC14-AC24</f>
        <v/>
      </c>
      <c r="AD26" s="603">
        <f>AD14-AD24</f>
        <v/>
      </c>
      <c r="AE26" s="603">
        <f>AE14-AE24</f>
        <v/>
      </c>
      <c r="AF26" s="603">
        <f>AF14-AF24</f>
        <v/>
      </c>
      <c r="AG26" s="603">
        <f>AG14-AG24</f>
        <v/>
      </c>
      <c r="AH26" s="603">
        <f>AH14-AH24</f>
        <v/>
      </c>
      <c r="AI26" s="603">
        <f>AI14-AI24</f>
        <v/>
      </c>
      <c r="AJ26" s="603">
        <f>AJ14-AJ24</f>
        <v/>
      </c>
      <c r="AK26" s="603">
        <f>AK14-AK24</f>
        <v/>
      </c>
      <c r="AL26" s="603">
        <f>AL14-AL24</f>
        <v/>
      </c>
      <c r="AM26" s="603">
        <f>AM14-AM24</f>
        <v/>
      </c>
      <c r="AN26" s="603">
        <f>AN14-AN24</f>
        <v/>
      </c>
      <c r="AO26" s="603">
        <f>AO14-AO24</f>
        <v/>
      </c>
      <c r="AP26" s="603">
        <f>AP14-AP24</f>
        <v/>
      </c>
      <c r="AQ26" s="603">
        <f>AQ14-AQ24</f>
        <v/>
      </c>
      <c r="AR26" s="603">
        <f>AR14-AR24</f>
        <v/>
      </c>
      <c r="AS26" s="603">
        <f>AS14-AS24</f>
        <v/>
      </c>
      <c r="AT26" s="603">
        <f>AT14-AT24</f>
        <v/>
      </c>
      <c r="AU26" s="603">
        <f>AU14-AU24</f>
        <v/>
      </c>
      <c r="AV26" s="603">
        <f>AV14-AV24</f>
        <v/>
      </c>
      <c r="AW26" s="603">
        <f>AW14-AW24</f>
        <v/>
      </c>
      <c r="AX26" s="603">
        <f>AX14-AX24</f>
        <v/>
      </c>
      <c r="AY26" s="603">
        <f>AY14-AY24</f>
        <v/>
      </c>
      <c r="AZ26" s="603">
        <f>AZ14-AZ24</f>
        <v/>
      </c>
      <c r="BA26" s="603">
        <f>BA14-BA24</f>
        <v/>
      </c>
      <c r="BB26" s="603">
        <f>BB14-BB24</f>
        <v/>
      </c>
      <c r="BC26" s="603">
        <f>BC14-BC24</f>
        <v/>
      </c>
      <c r="BD26" s="603">
        <f>BD14-BD24</f>
        <v/>
      </c>
      <c r="BE26" s="603">
        <f>BE14-BE24</f>
        <v/>
      </c>
      <c r="BF26" s="603">
        <f>BF14-BF24</f>
        <v/>
      </c>
      <c r="BG26" s="603">
        <f>BG14-BG24</f>
        <v/>
      </c>
      <c r="BH26" s="603">
        <f>BH14-BH24</f>
        <v/>
      </c>
      <c r="BI26" s="603">
        <f>BI14-BI24</f>
        <v/>
      </c>
    </row>
    <row r="27" ht="13" customFormat="1" customHeight="1" s="602">
      <c r="A27" s="247" t="inlineStr">
        <is>
          <t>Gross Margin %</t>
        </is>
      </c>
      <c r="B27" s="248">
        <f>+IF(B26&gt;0,B26/B14,"NA")</f>
        <v/>
      </c>
      <c r="C27" s="248">
        <f>+IF(C26&gt;0,C26/C14,"NA")</f>
        <v/>
      </c>
      <c r="D27" s="248">
        <f>+IF(D26&gt;0,D26/D14,"NA")</f>
        <v/>
      </c>
      <c r="E27" s="248">
        <f>+IF(E26&gt;0,E26/E14,"NA")</f>
        <v/>
      </c>
      <c r="F27" s="248">
        <f>+IF(F26&gt;0,F26/F14,"NA")</f>
        <v/>
      </c>
      <c r="G27" s="248">
        <f>+IF(G26&gt;0,G26/G14,"NA")</f>
        <v/>
      </c>
      <c r="H27" s="248">
        <f>+IF(H26&gt;0,H26/H14,"NA")</f>
        <v/>
      </c>
      <c r="I27" s="248">
        <f>+IF(I26&gt;0,I26/I14,"NA")</f>
        <v/>
      </c>
      <c r="J27" s="248">
        <f>+IF(J26&gt;0,J26/J14,"NA")</f>
        <v/>
      </c>
      <c r="K27" s="248">
        <f>+IF(K26&gt;0,K26/K14,"NA")</f>
        <v/>
      </c>
      <c r="L27" s="248">
        <f>+IF(L26&gt;0,L26/L14,"NA")</f>
        <v/>
      </c>
      <c r="M27" s="248">
        <f>+IF(M26&gt;0,M26/M14,"NA")</f>
        <v/>
      </c>
      <c r="N27" s="248">
        <f>+IF(N26&gt;0,N26/N14,"NA")</f>
        <v/>
      </c>
      <c r="O27" s="248">
        <f>+IF(O26&gt;0,O26/O14,"NA")</f>
        <v/>
      </c>
      <c r="P27" s="248">
        <f>+IF(P26&gt;0,P26/P14,"NA")</f>
        <v/>
      </c>
      <c r="Q27" s="248">
        <f>+IF(Q26&gt;0,Q26/Q14,"NA")</f>
        <v/>
      </c>
      <c r="R27" s="248">
        <f>+IF(R26&gt;0,R26/R14,"NA")</f>
        <v/>
      </c>
      <c r="S27" s="248">
        <f>+IF(S26&gt;0,S26/S14,"NA")</f>
        <v/>
      </c>
      <c r="T27" s="248">
        <f>+IF(T26&gt;0,T26/T14,"NA")</f>
        <v/>
      </c>
      <c r="U27" s="248">
        <f>+IF(U26&gt;0,U26/U14,"NA")</f>
        <v/>
      </c>
      <c r="V27" s="248">
        <f>+IF(V26&gt;0,V26/V14,"NA")</f>
        <v/>
      </c>
      <c r="W27" s="248">
        <f>+IF(W26&gt;0,W26/W14,"NA")</f>
        <v/>
      </c>
      <c r="X27" s="248">
        <f>+IF(X26&gt;0,X26/X14,"NA")</f>
        <v/>
      </c>
      <c r="Y27" s="248">
        <f>+IF(Y26&gt;0,Y26/Y14,"NA")</f>
        <v/>
      </c>
      <c r="Z27" s="248">
        <f>+IF(Z26&gt;0,Z26/Z14,"NA")</f>
        <v/>
      </c>
      <c r="AA27" s="248">
        <f>+IF(AA26&gt;0,AA26/AA14,"NA")</f>
        <v/>
      </c>
      <c r="AB27" s="248">
        <f>+IF(AB26&gt;0,AB26/AB14,"NA")</f>
        <v/>
      </c>
      <c r="AC27" s="248">
        <f>+IF(AC26&gt;0,AC26/AC14,"NA")</f>
        <v/>
      </c>
      <c r="AD27" s="248">
        <f>+IF(AD26&gt;0,AD26/AD14,"NA")</f>
        <v/>
      </c>
      <c r="AE27" s="248">
        <f>+IF(AE26&gt;0,AE26/AE14,"NA")</f>
        <v/>
      </c>
      <c r="AF27" s="248">
        <f>+IF(AF26&gt;0,AF26/AF14,"NA")</f>
        <v/>
      </c>
      <c r="AG27" s="248">
        <f>+IF(AG26&gt;0,AG26/AG14,"NA")</f>
        <v/>
      </c>
      <c r="AH27" s="248">
        <f>+IF(AH26&gt;0,AH26/AH14,"NA")</f>
        <v/>
      </c>
      <c r="AI27" s="248">
        <f>+IF(AI26&gt;0,AI26/AI14,"NA")</f>
        <v/>
      </c>
      <c r="AJ27" s="248">
        <f>+IF(AJ26&gt;0,AJ26/AJ14,"NA")</f>
        <v/>
      </c>
      <c r="AK27" s="248">
        <f>+IF(AK26&gt;0,AK26/AK14,"NA")</f>
        <v/>
      </c>
      <c r="AL27" s="248">
        <f>+IF(AL26&gt;0,AL26/AL14,"NA")</f>
        <v/>
      </c>
      <c r="AM27" s="248">
        <f>+IF(AM26&gt;0,AM26/AM14,"NA")</f>
        <v/>
      </c>
      <c r="AN27" s="248">
        <f>+IF(AN26&gt;0,AN26/AN14,"NA")</f>
        <v/>
      </c>
      <c r="AO27" s="248">
        <f>+IF(AO26&gt;0,AO26/AO14,"NA")</f>
        <v/>
      </c>
      <c r="AP27" s="248">
        <f>+IF(AP26&gt;0,AP26/AP14,"NA")</f>
        <v/>
      </c>
      <c r="AQ27" s="248">
        <f>+IF(AQ26&gt;0,AQ26/AQ14,"NA")</f>
        <v/>
      </c>
      <c r="AR27" s="248">
        <f>+IF(AR26&gt;0,AR26/AR14,"NA")</f>
        <v/>
      </c>
      <c r="AS27" s="248">
        <f>+IF(AS26&gt;0,AS26/AS14,"NA")</f>
        <v/>
      </c>
      <c r="AT27" s="248">
        <f>+IF(AT26&gt;0,AT26/AT14,"NA")</f>
        <v/>
      </c>
      <c r="AU27" s="248">
        <f>+IF(AU26&gt;0,AU26/AU14,"NA")</f>
        <v/>
      </c>
      <c r="AV27" s="248">
        <f>+IF(AV26&gt;0,AV26/AV14,"NA")</f>
        <v/>
      </c>
      <c r="AW27" s="248">
        <f>+IF(AW26&gt;0,AW26/AW14,"NA")</f>
        <v/>
      </c>
      <c r="AX27" s="248">
        <f>+IF(AX26&gt;0,AX26/AX14,"NA")</f>
        <v/>
      </c>
      <c r="AY27" s="248">
        <f>+IF(AY26&gt;0,AY26/AY14,"NA")</f>
        <v/>
      </c>
      <c r="AZ27" s="248">
        <f>+IF(AZ26&gt;0,AZ26/AZ14,"NA")</f>
        <v/>
      </c>
      <c r="BA27" s="248">
        <f>+IF(BA26&gt;0,BA26/BA14,"NA")</f>
        <v/>
      </c>
      <c r="BB27" s="248">
        <f>+IF(BB26&gt;0,BB26/BB14,"NA")</f>
        <v/>
      </c>
      <c r="BC27" s="248">
        <f>+IF(BC26&gt;0,BC26/BC14,"NA")</f>
        <v/>
      </c>
      <c r="BD27" s="248">
        <f>+IF(BD26&gt;0,BD26/BD14,"NA")</f>
        <v/>
      </c>
      <c r="BE27" s="248">
        <f>+IF(BE26&gt;0,BE26/BE14,"NA")</f>
        <v/>
      </c>
      <c r="BF27" s="248">
        <f>+IF(BF26&gt;0,BF26/BF14,"NA")</f>
        <v/>
      </c>
      <c r="BG27" s="248">
        <f>+IF(BG26&gt;0,BG26/BG14,"NA")</f>
        <v/>
      </c>
      <c r="BH27" s="248">
        <f>+IF(BH26&gt;0,BH26/BH14,"NA")</f>
        <v/>
      </c>
      <c r="BI27" s="248">
        <f>+IF(BI26&gt;0,BI26/BI14,"NA")</f>
        <v/>
      </c>
    </row>
    <row r="28" customFormat="1" s="597">
      <c r="A28" s="604" t="n"/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99" t="n"/>
      <c r="P28" s="599" t="n"/>
      <c r="Q28" s="599" t="n"/>
      <c r="R28" s="599" t="n"/>
      <c r="S28" s="599" t="n"/>
      <c r="T28" s="599" t="n"/>
      <c r="U28" s="599" t="n"/>
      <c r="V28" s="599" t="n"/>
      <c r="W28" s="599" t="n"/>
      <c r="X28" s="599" t="n"/>
      <c r="Y28" s="599" t="n"/>
      <c r="Z28" s="599" t="n"/>
      <c r="AA28" s="599" t="n"/>
      <c r="AB28" s="599" t="n"/>
      <c r="AC28" s="599" t="n"/>
      <c r="AD28" s="599" t="n"/>
      <c r="AE28" s="599" t="n"/>
      <c r="AF28" s="599" t="n"/>
      <c r="AG28" s="599" t="n"/>
      <c r="AH28" s="599" t="n"/>
      <c r="AI28" s="599" t="n"/>
      <c r="AJ28" s="599" t="n"/>
      <c r="AK28" s="599" t="n"/>
      <c r="AL28" s="599" t="n"/>
      <c r="AM28" s="599" t="n"/>
      <c r="AN28" s="599" t="n"/>
      <c r="AO28" s="599" t="n"/>
      <c r="AP28" s="599" t="n"/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599" t="n"/>
      <c r="BE28" s="599" t="n"/>
      <c r="BF28" s="599" t="n"/>
      <c r="BG28" s="599" t="n"/>
      <c r="BH28" s="599" t="n"/>
      <c r="BI28" s="599" t="n"/>
    </row>
    <row r="29" customFormat="1" s="597">
      <c r="A29" s="605" t="inlineStr">
        <is>
          <t>Operating Expenses</t>
        </is>
      </c>
      <c r="B29" s="606" t="n"/>
      <c r="C29" s="606" t="n"/>
      <c r="D29" s="606" t="n"/>
      <c r="E29" s="606" t="n"/>
      <c r="F29" s="606" t="n"/>
      <c r="G29" s="606" t="n"/>
      <c r="H29" s="606" t="n"/>
      <c r="I29" s="606" t="n"/>
      <c r="J29" s="606" t="n"/>
      <c r="K29" s="606" t="n"/>
      <c r="L29" s="606" t="n"/>
      <c r="M29" s="606" t="n"/>
      <c r="N29" s="606" t="n"/>
      <c r="O29" s="606" t="n"/>
      <c r="P29" s="606" t="n"/>
      <c r="Q29" s="606" t="n"/>
      <c r="R29" s="606" t="n"/>
      <c r="S29" s="606" t="n"/>
      <c r="T29" s="606" t="n"/>
      <c r="U29" s="606" t="n"/>
      <c r="V29" s="606" t="n"/>
      <c r="W29" s="606" t="n"/>
      <c r="X29" s="606" t="n"/>
      <c r="Y29" s="606" t="n"/>
      <c r="Z29" s="606" t="n"/>
      <c r="AA29" s="606" t="n"/>
      <c r="AB29" s="606" t="n"/>
      <c r="AC29" s="606" t="n"/>
      <c r="AD29" s="606" t="n"/>
      <c r="AE29" s="606" t="n"/>
      <c r="AF29" s="606" t="n"/>
      <c r="AG29" s="606" t="n"/>
      <c r="AH29" s="606" t="n"/>
      <c r="AI29" s="606" t="n"/>
      <c r="AJ29" s="606" t="n"/>
      <c r="AK29" s="606" t="n"/>
      <c r="AL29" s="606" t="n"/>
      <c r="AM29" s="606" t="n"/>
      <c r="AN29" s="606" t="n"/>
      <c r="AO29" s="606" t="n"/>
      <c r="AP29" s="606" t="n"/>
      <c r="AQ29" s="606" t="n"/>
      <c r="AR29" s="606" t="n"/>
      <c r="AS29" s="606" t="n"/>
      <c r="AT29" s="606" t="n"/>
      <c r="AU29" s="606" t="n"/>
      <c r="AV29" s="606" t="n"/>
      <c r="AW29" s="606" t="n"/>
      <c r="AX29" s="606" t="n"/>
      <c r="AY29" s="606" t="n"/>
      <c r="AZ29" s="606" t="n"/>
      <c r="BA29" s="606" t="n"/>
      <c r="BB29" s="606" t="n"/>
      <c r="BC29" s="606" t="n"/>
      <c r="BD29" s="606" t="n"/>
      <c r="BE29" s="606" t="n"/>
      <c r="BF29" s="606" t="n"/>
      <c r="BG29" s="606" t="n"/>
      <c r="BH29" s="606" t="n"/>
      <c r="BI29" s="606" t="n"/>
    </row>
    <row r="30" customFormat="1" s="597">
      <c r="A30" s="607" t="n"/>
      <c r="B30" s="597" t="n"/>
      <c r="C30" s="597" t="n"/>
      <c r="D30" s="597" t="n"/>
      <c r="E30" s="597" t="n"/>
      <c r="F30" s="597" t="n"/>
      <c r="G30" s="597" t="n"/>
      <c r="H30" s="597" t="n"/>
      <c r="I30" s="597" t="n"/>
      <c r="J30" s="597" t="n"/>
      <c r="K30" s="597" t="n"/>
      <c r="L30" s="597" t="n"/>
      <c r="M30" s="597" t="n"/>
      <c r="N30" s="597" t="n"/>
      <c r="O30" s="597" t="n"/>
      <c r="P30" s="597" t="n"/>
      <c r="Q30" s="597" t="n"/>
      <c r="R30" s="597" t="n"/>
      <c r="S30" s="597" t="n"/>
      <c r="T30" s="597" t="n"/>
      <c r="U30" s="597" t="n"/>
      <c r="V30" s="597" t="n"/>
      <c r="W30" s="597" t="n"/>
      <c r="X30" s="597" t="n"/>
      <c r="Y30" s="597" t="n"/>
      <c r="Z30" s="597" t="n"/>
      <c r="AA30" s="597" t="n"/>
      <c r="AB30" s="597" t="n"/>
      <c r="AC30" s="597" t="n"/>
      <c r="AD30" s="597" t="n"/>
      <c r="AE30" s="597" t="n"/>
      <c r="AF30" s="597" t="n"/>
      <c r="AG30" s="597" t="n"/>
      <c r="AH30" s="597" t="n"/>
      <c r="AI30" s="597" t="n"/>
      <c r="AJ30" s="597" t="n"/>
      <c r="AK30" s="597" t="n"/>
      <c r="AL30" s="597" t="n"/>
      <c r="AM30" s="597" t="n"/>
      <c r="AN30" s="597" t="n"/>
      <c r="AO30" s="597" t="n"/>
      <c r="AP30" s="597" t="n"/>
      <c r="AQ30" s="597" t="n"/>
      <c r="AR30" s="597" t="n"/>
      <c r="AS30" s="597" t="n"/>
      <c r="AT30" s="597" t="n"/>
      <c r="AU30" s="597" t="n"/>
      <c r="AV30" s="597" t="n"/>
      <c r="AW30" s="597" t="n"/>
      <c r="AX30" s="597" t="n"/>
      <c r="AY30" s="597" t="n"/>
      <c r="AZ30" s="597" t="n"/>
      <c r="BA30" s="597" t="n"/>
      <c r="BB30" s="597" t="n"/>
      <c r="BC30" s="597" t="n"/>
      <c r="BD30" s="597" t="n"/>
      <c r="BE30" s="597" t="n"/>
      <c r="BF30" s="597" t="n"/>
      <c r="BG30" s="597" t="n"/>
      <c r="BH30" s="597" t="n"/>
      <c r="BI30" s="597" t="n"/>
    </row>
    <row r="31" ht="13" customFormat="1" customHeight="1" s="597">
      <c r="A31" t="inlineStr">
        <is>
          <t>Car rental</t>
        </is>
      </c>
      <c r="B31" s="597" t="n">
        <v>0</v>
      </c>
      <c r="C31" s="597" t="n">
        <v>0</v>
      </c>
      <c r="D31" s="597" t="n">
        <v>0</v>
      </c>
      <c r="E31" s="597" t="n">
        <v>0</v>
      </c>
      <c r="F31" s="597" t="n">
        <v>0</v>
      </c>
      <c r="G31" s="597" t="n">
        <v>0</v>
      </c>
      <c r="H31" s="597" t="n">
        <v>0</v>
      </c>
      <c r="I31" s="597" t="n">
        <v>0</v>
      </c>
      <c r="J31" s="597" t="n">
        <v>0</v>
      </c>
      <c r="K31" s="597" t="n">
        <v>0</v>
      </c>
      <c r="L31" s="597" t="n">
        <v>0</v>
      </c>
      <c r="M31" s="597" t="n">
        <v>0</v>
      </c>
      <c r="N31" s="597" t="n">
        <v>0</v>
      </c>
      <c r="O31" s="597" t="n">
        <v>0</v>
      </c>
      <c r="P31" s="597" t="n">
        <v>0</v>
      </c>
      <c r="Q31" s="597" t="n">
        <v>0</v>
      </c>
      <c r="R31" s="597" t="n">
        <v>0</v>
      </c>
      <c r="S31" s="597" t="n">
        <v>0</v>
      </c>
      <c r="T31" s="597" t="n">
        <v>0</v>
      </c>
      <c r="U31" s="597" t="n">
        <v>0</v>
      </c>
      <c r="V31" s="597" t="n">
        <v>0</v>
      </c>
      <c r="W31" s="597" t="n">
        <v>0</v>
      </c>
      <c r="X31" s="597" t="n">
        <v>0</v>
      </c>
      <c r="Y31" s="597" t="n">
        <v>0</v>
      </c>
      <c r="Z31" s="597" t="n">
        <v>0</v>
      </c>
      <c r="AA31" s="597" t="n">
        <v>0</v>
      </c>
      <c r="AB31" s="597" t="n">
        <v>0</v>
      </c>
      <c r="AC31" s="597" t="n">
        <v>0</v>
      </c>
      <c r="AD31" s="597" t="n">
        <v>0</v>
      </c>
      <c r="AE31" s="597" t="n">
        <v>0</v>
      </c>
      <c r="AF31" s="597" t="n">
        <v>0</v>
      </c>
      <c r="AG31" s="597" t="n">
        <v>0</v>
      </c>
      <c r="AH31" s="597" t="n">
        <v>0</v>
      </c>
      <c r="AI31" s="597" t="n">
        <v>0</v>
      </c>
      <c r="AJ31" s="597" t="n">
        <v>0</v>
      </c>
      <c r="AK31" s="597" t="n">
        <v>0</v>
      </c>
      <c r="AL31" s="597" t="n">
        <v>0</v>
      </c>
      <c r="AM31" s="597" t="n">
        <v>0</v>
      </c>
      <c r="AN31" s="597" t="n">
        <v>0</v>
      </c>
      <c r="AO31" s="597" t="n">
        <v>0</v>
      </c>
      <c r="AP31" s="597" t="n">
        <v>0</v>
      </c>
      <c r="AQ31" s="597" t="n">
        <v>0</v>
      </c>
      <c r="AR31" s="597" t="n">
        <v>0</v>
      </c>
      <c r="AS31" s="597" t="n">
        <v>0</v>
      </c>
      <c r="AT31" s="597" t="n">
        <v>0</v>
      </c>
      <c r="AU31" s="597" t="n">
        <v>0</v>
      </c>
      <c r="AV31" s="597" t="n">
        <v>0</v>
      </c>
      <c r="AW31" s="597" t="n">
        <v>0</v>
      </c>
      <c r="AX31" s="597" t="n">
        <v>0</v>
      </c>
      <c r="AY31" s="597" t="n">
        <v>0</v>
      </c>
      <c r="AZ31" s="597" t="n">
        <v>0</v>
      </c>
      <c r="BA31" s="597" t="n">
        <v>0</v>
      </c>
      <c r="BB31" s="597" t="n">
        <v>0</v>
      </c>
      <c r="BC31" s="597" t="n">
        <v>0</v>
      </c>
      <c r="BD31" s="597" t="n">
        <v>0</v>
      </c>
      <c r="BE31" s="597" t="n">
        <v>0</v>
      </c>
      <c r="BF31" s="597" t="n">
        <v>0</v>
      </c>
      <c r="BG31" s="597" t="n">
        <v>0</v>
      </c>
      <c r="BH31" s="597" t="n">
        <v>0</v>
      </c>
      <c r="BI31" s="597" t="n">
        <v>0</v>
      </c>
    </row>
    <row r="32" ht="13" customFormat="1" customHeight="1" s="597">
      <c r="A32" t="inlineStr">
        <is>
          <t>Commercial vehicle rentals</t>
        </is>
      </c>
      <c r="B32" s="597" t="n">
        <v>0</v>
      </c>
      <c r="C32" s="597" t="n">
        <v>0</v>
      </c>
      <c r="D32" s="597" t="n">
        <v>0</v>
      </c>
      <c r="E32" s="597" t="n">
        <v>0</v>
      </c>
      <c r="F32" s="597" t="n">
        <v>0</v>
      </c>
      <c r="G32" s="597" t="n">
        <v>0</v>
      </c>
      <c r="H32" s="597" t="n">
        <v>0</v>
      </c>
      <c r="I32" s="597" t="n">
        <v>0</v>
      </c>
      <c r="J32" s="597" t="n">
        <v>0</v>
      </c>
      <c r="K32" s="597" t="n">
        <v>0</v>
      </c>
      <c r="L32" s="597" t="n">
        <v>0</v>
      </c>
      <c r="M32" s="597" t="n">
        <v>0</v>
      </c>
      <c r="N32" s="597" t="n">
        <v>0</v>
      </c>
      <c r="O32" s="597" t="n">
        <v>0</v>
      </c>
      <c r="P32" s="597" t="n">
        <v>0</v>
      </c>
      <c r="Q32" s="597" t="n">
        <v>0</v>
      </c>
      <c r="R32" s="597" t="n">
        <v>0</v>
      </c>
      <c r="S32" s="597" t="n">
        <v>0</v>
      </c>
      <c r="T32" s="597" t="n">
        <v>0</v>
      </c>
      <c r="U32" s="597" t="n">
        <v>0</v>
      </c>
      <c r="V32" s="597" t="n">
        <v>0</v>
      </c>
      <c r="W32" s="597" t="n">
        <v>0</v>
      </c>
      <c r="X32" s="597" t="n">
        <v>0</v>
      </c>
      <c r="Y32" s="597" t="n">
        <v>0</v>
      </c>
      <c r="Z32" s="597" t="n">
        <v>0</v>
      </c>
      <c r="AA32" s="597" t="n">
        <v>0</v>
      </c>
      <c r="AB32" s="597" t="n">
        <v>0</v>
      </c>
      <c r="AC32" s="597" t="n">
        <v>0</v>
      </c>
      <c r="AD32" s="597" t="n">
        <v>0</v>
      </c>
      <c r="AE32" s="597" t="n">
        <v>0</v>
      </c>
      <c r="AF32" s="597" t="n">
        <v>0</v>
      </c>
      <c r="AG32" s="597" t="n">
        <v>0</v>
      </c>
      <c r="AH32" s="597" t="n">
        <v>0</v>
      </c>
      <c r="AI32" s="597" t="n">
        <v>0</v>
      </c>
      <c r="AJ32" s="597" t="n">
        <v>0</v>
      </c>
      <c r="AK32" s="597" t="n">
        <v>0</v>
      </c>
      <c r="AL32" s="597" t="n">
        <v>0</v>
      </c>
      <c r="AM32" s="597" t="n">
        <v>0</v>
      </c>
      <c r="AN32" s="597" t="n">
        <v>0</v>
      </c>
      <c r="AO32" s="597" t="n">
        <v>0</v>
      </c>
      <c r="AP32" s="597" t="n">
        <v>0</v>
      </c>
      <c r="AQ32" s="597" t="n">
        <v>0</v>
      </c>
      <c r="AR32" s="597" t="n">
        <v>0</v>
      </c>
      <c r="AS32" s="597" t="n">
        <v>0</v>
      </c>
      <c r="AT32" s="597" t="n">
        <v>0</v>
      </c>
      <c r="AU32" s="597" t="n">
        <v>0</v>
      </c>
      <c r="AV32" s="597" t="n">
        <v>0</v>
      </c>
      <c r="AW32" s="597" t="n">
        <v>0</v>
      </c>
      <c r="AX32" s="597" t="n">
        <v>0</v>
      </c>
      <c r="AY32" s="597" t="n">
        <v>0</v>
      </c>
      <c r="AZ32" s="597" t="n">
        <v>0</v>
      </c>
      <c r="BA32" s="597" t="n">
        <v>0</v>
      </c>
      <c r="BB32" s="597" t="n">
        <v>0</v>
      </c>
      <c r="BC32" s="597" t="n">
        <v>0</v>
      </c>
      <c r="BD32" s="597" t="n">
        <v>0</v>
      </c>
      <c r="BE32" s="597" t="n">
        <v>0</v>
      </c>
      <c r="BF32" s="597" t="n">
        <v>0</v>
      </c>
      <c r="BG32" s="597" t="n">
        <v>0</v>
      </c>
      <c r="BH32" s="597" t="n">
        <v>0</v>
      </c>
      <c r="BI32" s="597" t="n">
        <v>0</v>
      </c>
    </row>
    <row r="33" ht="13" customFormat="1" customHeight="1" s="597">
      <c r="A33" t="inlineStr">
        <is>
          <t>Fuel</t>
        </is>
      </c>
      <c r="B33" s="597" t="n">
        <v>0</v>
      </c>
      <c r="C33" s="597" t="n">
        <v>0</v>
      </c>
      <c r="D33" s="597" t="n">
        <v>0</v>
      </c>
      <c r="E33" s="597" t="n">
        <v>0</v>
      </c>
      <c r="F33" s="597" t="n">
        <v>0</v>
      </c>
      <c r="G33" s="597" t="n">
        <v>0</v>
      </c>
      <c r="H33" s="597" t="n">
        <v>0</v>
      </c>
      <c r="I33" s="597" t="n">
        <v>0</v>
      </c>
      <c r="J33" s="597" t="n">
        <v>0</v>
      </c>
      <c r="K33" s="597" t="n">
        <v>0</v>
      </c>
      <c r="L33" s="597" t="n">
        <v>0</v>
      </c>
      <c r="M33" s="597" t="n">
        <v>0</v>
      </c>
      <c r="N33" s="597" t="n">
        <v>0</v>
      </c>
      <c r="O33" s="597" t="n">
        <v>0</v>
      </c>
      <c r="P33" s="597" t="n">
        <v>0</v>
      </c>
      <c r="Q33" s="597" t="n">
        <v>0</v>
      </c>
      <c r="R33" s="597" t="n">
        <v>0</v>
      </c>
      <c r="S33" s="597" t="n">
        <v>0</v>
      </c>
      <c r="T33" s="597" t="n">
        <v>0</v>
      </c>
      <c r="U33" s="597" t="n">
        <v>0</v>
      </c>
      <c r="V33" s="597" t="n">
        <v>0</v>
      </c>
      <c r="W33" s="597" t="n">
        <v>0</v>
      </c>
      <c r="X33" s="597" t="n">
        <v>0</v>
      </c>
      <c r="Y33" s="597" t="n">
        <v>0</v>
      </c>
      <c r="Z33" s="597" t="n">
        <v>0</v>
      </c>
      <c r="AA33" s="597" t="n">
        <v>0</v>
      </c>
      <c r="AB33" s="597" t="n">
        <v>0</v>
      </c>
      <c r="AC33" s="597" t="n">
        <v>0</v>
      </c>
      <c r="AD33" s="597" t="n">
        <v>0</v>
      </c>
      <c r="AE33" s="597" t="n">
        <v>0</v>
      </c>
      <c r="AF33" s="597" t="n">
        <v>0</v>
      </c>
      <c r="AG33" s="597" t="n">
        <v>0</v>
      </c>
      <c r="AH33" s="597" t="n">
        <v>0</v>
      </c>
      <c r="AI33" s="597" t="n">
        <v>0</v>
      </c>
      <c r="AJ33" s="597" t="n">
        <v>0</v>
      </c>
      <c r="AK33" s="597" t="n">
        <v>0</v>
      </c>
      <c r="AL33" s="597" t="n">
        <v>0</v>
      </c>
      <c r="AM33" s="597" t="n">
        <v>0</v>
      </c>
      <c r="AN33" s="597" t="n">
        <v>0</v>
      </c>
      <c r="AO33" s="597" t="n">
        <v>0</v>
      </c>
      <c r="AP33" s="597" t="n">
        <v>0</v>
      </c>
      <c r="AQ33" s="597" t="n">
        <v>0</v>
      </c>
      <c r="AR33" s="597" t="n">
        <v>0</v>
      </c>
      <c r="AS33" s="597" t="n">
        <v>0</v>
      </c>
      <c r="AT33" s="597" t="n">
        <v>0</v>
      </c>
      <c r="AU33" s="597" t="n">
        <v>0</v>
      </c>
      <c r="AV33" s="597" t="n">
        <v>0</v>
      </c>
      <c r="AW33" s="597" t="n">
        <v>0</v>
      </c>
      <c r="AX33" s="597" t="n">
        <v>0</v>
      </c>
      <c r="AY33" s="597" t="n">
        <v>0</v>
      </c>
      <c r="AZ33" s="597" t="n">
        <v>0</v>
      </c>
      <c r="BA33" s="597" t="n">
        <v>0</v>
      </c>
      <c r="BB33" s="597" t="n">
        <v>0</v>
      </c>
      <c r="BC33" s="597" t="n">
        <v>0</v>
      </c>
      <c r="BD33" s="597" t="n">
        <v>0</v>
      </c>
      <c r="BE33" s="597" t="n">
        <v>0</v>
      </c>
      <c r="BF33" s="597" t="n">
        <v>0</v>
      </c>
      <c r="BG33" s="597" t="n">
        <v>0</v>
      </c>
      <c r="BH33" s="597" t="n">
        <v>0</v>
      </c>
      <c r="BI33" s="597" t="n">
        <v>0</v>
      </c>
    </row>
    <row r="34" ht="13" customFormat="1" customHeight="1" s="597">
      <c r="A34" t="inlineStr">
        <is>
          <t>Travel costs (parking, etc.)</t>
        </is>
      </c>
      <c r="B34" s="597" t="n">
        <v>0</v>
      </c>
      <c r="C34" s="597" t="n">
        <v>0</v>
      </c>
      <c r="D34" s="597" t="n">
        <v>0</v>
      </c>
      <c r="E34" s="597" t="n">
        <v>0</v>
      </c>
      <c r="F34" s="597" t="n">
        <v>0</v>
      </c>
      <c r="G34" s="597" t="n">
        <v>0</v>
      </c>
      <c r="H34" s="597" t="n">
        <v>0</v>
      </c>
      <c r="I34" s="597" t="n">
        <v>0</v>
      </c>
      <c r="J34" s="597" t="n">
        <v>0</v>
      </c>
      <c r="K34" s="597" t="n">
        <v>0</v>
      </c>
      <c r="L34" s="597" t="n">
        <v>0</v>
      </c>
      <c r="M34" s="597" t="n">
        <v>0</v>
      </c>
      <c r="N34" s="597" t="n">
        <v>0</v>
      </c>
      <c r="O34" s="597" t="n">
        <v>0</v>
      </c>
      <c r="P34" s="597" t="n">
        <v>0</v>
      </c>
      <c r="Q34" s="597" t="n">
        <v>0</v>
      </c>
      <c r="R34" s="597" t="n">
        <v>0</v>
      </c>
      <c r="S34" s="597" t="n">
        <v>0</v>
      </c>
      <c r="T34" s="597" t="n">
        <v>0</v>
      </c>
      <c r="U34" s="597" t="n">
        <v>0</v>
      </c>
      <c r="V34" s="597" t="n">
        <v>0</v>
      </c>
      <c r="W34" s="597" t="n">
        <v>0</v>
      </c>
      <c r="X34" s="597" t="n">
        <v>0</v>
      </c>
      <c r="Y34" s="597" t="n">
        <v>0</v>
      </c>
      <c r="Z34" s="597" t="n">
        <v>0</v>
      </c>
      <c r="AA34" s="597" t="n">
        <v>0</v>
      </c>
      <c r="AB34" s="597" t="n">
        <v>0</v>
      </c>
      <c r="AC34" s="597" t="n">
        <v>0</v>
      </c>
      <c r="AD34" s="597" t="n">
        <v>0</v>
      </c>
      <c r="AE34" s="597" t="n">
        <v>0</v>
      </c>
      <c r="AF34" s="597" t="n">
        <v>0</v>
      </c>
      <c r="AG34" s="597" t="n">
        <v>0</v>
      </c>
      <c r="AH34" s="597" t="n">
        <v>0</v>
      </c>
      <c r="AI34" s="597" t="n">
        <v>0</v>
      </c>
      <c r="AJ34" s="597" t="n">
        <v>0</v>
      </c>
      <c r="AK34" s="597" t="n">
        <v>0</v>
      </c>
      <c r="AL34" s="597" t="n">
        <v>0</v>
      </c>
      <c r="AM34" s="597" t="n">
        <v>0</v>
      </c>
      <c r="AN34" s="597" t="n">
        <v>0</v>
      </c>
      <c r="AO34" s="597" t="n">
        <v>0</v>
      </c>
      <c r="AP34" s="597" t="n">
        <v>0</v>
      </c>
      <c r="AQ34" s="597" t="n">
        <v>0</v>
      </c>
      <c r="AR34" s="597" t="n">
        <v>0</v>
      </c>
      <c r="AS34" s="597" t="n">
        <v>0</v>
      </c>
      <c r="AT34" s="597" t="n">
        <v>0</v>
      </c>
      <c r="AU34" s="597" t="n">
        <v>0</v>
      </c>
      <c r="AV34" s="597" t="n">
        <v>0</v>
      </c>
      <c r="AW34" s="597" t="n">
        <v>0</v>
      </c>
      <c r="AX34" s="597" t="n">
        <v>0</v>
      </c>
      <c r="AY34" s="597" t="n">
        <v>0</v>
      </c>
      <c r="AZ34" s="597" t="n">
        <v>0</v>
      </c>
      <c r="BA34" s="597" t="n">
        <v>0</v>
      </c>
      <c r="BB34" s="597" t="n">
        <v>0</v>
      </c>
      <c r="BC34" s="597" t="n">
        <v>0</v>
      </c>
      <c r="BD34" s="597" t="n">
        <v>0</v>
      </c>
      <c r="BE34" s="597" t="n">
        <v>0</v>
      </c>
      <c r="BF34" s="597" t="n">
        <v>0</v>
      </c>
      <c r="BG34" s="597" t="n">
        <v>0</v>
      </c>
      <c r="BH34" s="597" t="n">
        <v>0</v>
      </c>
      <c r="BI34" s="597" t="n">
        <v>0</v>
      </c>
    </row>
    <row r="35" ht="13" customFormat="1" customHeight="1" s="597">
      <c r="A35" t="inlineStr">
        <is>
          <t>Car insurance (omnium)</t>
        </is>
      </c>
      <c r="B35" s="597" t="n">
        <v>0</v>
      </c>
      <c r="C35" s="597" t="n">
        <v>0</v>
      </c>
      <c r="D35" s="597" t="n">
        <v>0</v>
      </c>
      <c r="E35" s="597" t="n">
        <v>0</v>
      </c>
      <c r="F35" s="597" t="n">
        <v>0</v>
      </c>
      <c r="G35" s="597" t="n">
        <v>0</v>
      </c>
      <c r="H35" s="597" t="n">
        <v>0</v>
      </c>
      <c r="I35" s="597" t="n">
        <v>0</v>
      </c>
      <c r="J35" s="597" t="n">
        <v>0</v>
      </c>
      <c r="K35" s="597" t="n">
        <v>0</v>
      </c>
      <c r="L35" s="597" t="n">
        <v>0</v>
      </c>
      <c r="M35" s="597" t="n">
        <v>0</v>
      </c>
      <c r="N35" s="597" t="n">
        <v>0</v>
      </c>
      <c r="O35" s="597" t="n">
        <v>0</v>
      </c>
      <c r="P35" s="597" t="n">
        <v>0</v>
      </c>
      <c r="Q35" s="597" t="n">
        <v>0</v>
      </c>
      <c r="R35" s="597" t="n">
        <v>0</v>
      </c>
      <c r="S35" s="597" t="n">
        <v>0</v>
      </c>
      <c r="T35" s="597" t="n">
        <v>0</v>
      </c>
      <c r="U35" s="597" t="n">
        <v>0</v>
      </c>
      <c r="V35" s="597" t="n">
        <v>0</v>
      </c>
      <c r="W35" s="597" t="n">
        <v>0</v>
      </c>
      <c r="X35" s="597" t="n">
        <v>0</v>
      </c>
      <c r="Y35" s="597" t="n">
        <v>0</v>
      </c>
      <c r="Z35" s="597" t="n">
        <v>0</v>
      </c>
      <c r="AA35" s="597" t="n">
        <v>0</v>
      </c>
      <c r="AB35" s="597" t="n">
        <v>0</v>
      </c>
      <c r="AC35" s="597" t="n">
        <v>0</v>
      </c>
      <c r="AD35" s="597" t="n">
        <v>0</v>
      </c>
      <c r="AE35" s="597" t="n">
        <v>0</v>
      </c>
      <c r="AF35" s="597" t="n">
        <v>0</v>
      </c>
      <c r="AG35" s="597" t="n">
        <v>0</v>
      </c>
      <c r="AH35" s="597" t="n">
        <v>0</v>
      </c>
      <c r="AI35" s="597" t="n">
        <v>0</v>
      </c>
      <c r="AJ35" s="597" t="n">
        <v>0</v>
      </c>
      <c r="AK35" s="597" t="n">
        <v>0</v>
      </c>
      <c r="AL35" s="597" t="n">
        <v>0</v>
      </c>
      <c r="AM35" s="597" t="n">
        <v>0</v>
      </c>
      <c r="AN35" s="597" t="n">
        <v>0</v>
      </c>
      <c r="AO35" s="597" t="n">
        <v>0</v>
      </c>
      <c r="AP35" s="597" t="n">
        <v>0</v>
      </c>
      <c r="AQ35" s="597" t="n">
        <v>0</v>
      </c>
      <c r="AR35" s="597" t="n">
        <v>0</v>
      </c>
      <c r="AS35" s="597" t="n">
        <v>0</v>
      </c>
      <c r="AT35" s="597" t="n">
        <v>0</v>
      </c>
      <c r="AU35" s="597" t="n">
        <v>0</v>
      </c>
      <c r="AV35" s="597" t="n">
        <v>0</v>
      </c>
      <c r="AW35" s="597" t="n">
        <v>0</v>
      </c>
      <c r="AX35" s="597" t="n">
        <v>0</v>
      </c>
      <c r="AY35" s="597" t="n">
        <v>0</v>
      </c>
      <c r="AZ35" s="597" t="n">
        <v>0</v>
      </c>
      <c r="BA35" s="597" t="n">
        <v>0</v>
      </c>
      <c r="BB35" s="597" t="n">
        <v>0</v>
      </c>
      <c r="BC35" s="597" t="n">
        <v>0</v>
      </c>
      <c r="BD35" s="597" t="n">
        <v>0</v>
      </c>
      <c r="BE35" s="597" t="n">
        <v>0</v>
      </c>
      <c r="BF35" s="597" t="n">
        <v>0</v>
      </c>
      <c r="BG35" s="597" t="n">
        <v>0</v>
      </c>
      <c r="BH35" s="597" t="n">
        <v>0</v>
      </c>
      <c r="BI35" s="597" t="n">
        <v>0</v>
      </c>
    </row>
    <row r="36" ht="13" customFormat="1" customHeight="1" s="597">
      <c r="A36" t="inlineStr">
        <is>
          <t>Travels</t>
        </is>
      </c>
      <c r="B36" s="597" t="n">
        <v>0</v>
      </c>
      <c r="C36" s="597" t="n">
        <v>0</v>
      </c>
      <c r="D36" s="597" t="n">
        <v>0</v>
      </c>
      <c r="E36" s="597" t="n">
        <v>0</v>
      </c>
      <c r="F36" s="597" t="n">
        <v>0</v>
      </c>
      <c r="G36" s="597" t="n">
        <v>0</v>
      </c>
      <c r="H36" s="597" t="n">
        <v>0</v>
      </c>
      <c r="I36" s="597" t="n">
        <v>0</v>
      </c>
      <c r="J36" s="597" t="n">
        <v>0</v>
      </c>
      <c r="K36" s="597" t="n">
        <v>0</v>
      </c>
      <c r="L36" s="597" t="n">
        <v>0</v>
      </c>
      <c r="M36" s="597" t="n">
        <v>0</v>
      </c>
      <c r="N36" s="597" t="n">
        <v>0</v>
      </c>
      <c r="O36" s="597" t="n">
        <v>0</v>
      </c>
      <c r="P36" s="597" t="n">
        <v>0</v>
      </c>
      <c r="Q36" s="597" t="n">
        <v>0</v>
      </c>
      <c r="R36" s="597" t="n">
        <v>0</v>
      </c>
      <c r="S36" s="597" t="n">
        <v>0</v>
      </c>
      <c r="T36" s="597" t="n">
        <v>0</v>
      </c>
      <c r="U36" s="597" t="n">
        <v>0</v>
      </c>
      <c r="V36" s="597" t="n">
        <v>0</v>
      </c>
      <c r="W36" s="597" t="n">
        <v>0</v>
      </c>
      <c r="X36" s="597" t="n">
        <v>0</v>
      </c>
      <c r="Y36" s="597" t="n">
        <v>0</v>
      </c>
      <c r="Z36" s="597" t="n">
        <v>0</v>
      </c>
      <c r="AA36" s="597" t="n">
        <v>0</v>
      </c>
      <c r="AB36" s="597" t="n">
        <v>0</v>
      </c>
      <c r="AC36" s="597" t="n">
        <v>0</v>
      </c>
      <c r="AD36" s="597" t="n">
        <v>0</v>
      </c>
      <c r="AE36" s="597" t="n">
        <v>0</v>
      </c>
      <c r="AF36" s="597" t="n">
        <v>0</v>
      </c>
      <c r="AG36" s="597" t="n">
        <v>0</v>
      </c>
      <c r="AH36" s="597" t="n">
        <v>0</v>
      </c>
      <c r="AI36" s="597" t="n">
        <v>0</v>
      </c>
      <c r="AJ36" s="597" t="n">
        <v>0</v>
      </c>
      <c r="AK36" s="597" t="n">
        <v>0</v>
      </c>
      <c r="AL36" s="597" t="n">
        <v>0</v>
      </c>
      <c r="AM36" s="597" t="n">
        <v>0</v>
      </c>
      <c r="AN36" s="597" t="n">
        <v>0</v>
      </c>
      <c r="AO36" s="597" t="n">
        <v>0</v>
      </c>
      <c r="AP36" s="597" t="n">
        <v>0</v>
      </c>
      <c r="AQ36" s="597" t="n">
        <v>0</v>
      </c>
      <c r="AR36" s="597" t="n">
        <v>0</v>
      </c>
      <c r="AS36" s="597" t="n">
        <v>0</v>
      </c>
      <c r="AT36" s="597" t="n">
        <v>0</v>
      </c>
      <c r="AU36" s="597" t="n">
        <v>0</v>
      </c>
      <c r="AV36" s="597" t="n">
        <v>0</v>
      </c>
      <c r="AW36" s="597" t="n">
        <v>0</v>
      </c>
      <c r="AX36" s="597" t="n">
        <v>0</v>
      </c>
      <c r="AY36" s="597" t="n">
        <v>0</v>
      </c>
      <c r="AZ36" s="597" t="n">
        <v>0</v>
      </c>
      <c r="BA36" s="597" t="n">
        <v>0</v>
      </c>
      <c r="BB36" s="597" t="n">
        <v>0</v>
      </c>
      <c r="BC36" s="597" t="n">
        <v>0</v>
      </c>
      <c r="BD36" s="597" t="n">
        <v>0</v>
      </c>
      <c r="BE36" s="597" t="n">
        <v>0</v>
      </c>
      <c r="BF36" s="597" t="n">
        <v>0</v>
      </c>
      <c r="BG36" s="597" t="n">
        <v>0</v>
      </c>
      <c r="BH36" s="597" t="n">
        <v>0</v>
      </c>
      <c r="BI36" s="597" t="n">
        <v>0</v>
      </c>
    </row>
    <row r="37" ht="13" customFormat="1" customHeight="1" s="597">
      <c r="A37" t="inlineStr">
        <is>
          <t>Events and Restaurants</t>
        </is>
      </c>
      <c r="B37" s="597" t="n">
        <v>0</v>
      </c>
      <c r="C37" s="597" t="n">
        <v>0</v>
      </c>
      <c r="D37" s="597" t="n">
        <v>0</v>
      </c>
      <c r="E37" s="597" t="n">
        <v>0</v>
      </c>
      <c r="F37" s="597" t="n">
        <v>0</v>
      </c>
      <c r="G37" s="597" t="n">
        <v>0</v>
      </c>
      <c r="H37" s="597" t="n">
        <v>0</v>
      </c>
      <c r="I37" s="597" t="n">
        <v>0</v>
      </c>
      <c r="J37" s="597" t="n">
        <v>0</v>
      </c>
      <c r="K37" s="597" t="n">
        <v>0</v>
      </c>
      <c r="L37" s="597" t="n">
        <v>0</v>
      </c>
      <c r="M37" s="597" t="n">
        <v>0</v>
      </c>
      <c r="N37" s="597" t="n">
        <v>0</v>
      </c>
      <c r="O37" s="597" t="n">
        <v>0</v>
      </c>
      <c r="P37" s="597" t="n">
        <v>0</v>
      </c>
      <c r="Q37" s="597" t="n">
        <v>0</v>
      </c>
      <c r="R37" s="597" t="n">
        <v>0</v>
      </c>
      <c r="S37" s="597" t="n">
        <v>0</v>
      </c>
      <c r="T37" s="597" t="n">
        <v>0</v>
      </c>
      <c r="U37" s="597" t="n">
        <v>0</v>
      </c>
      <c r="V37" s="597" t="n">
        <v>0</v>
      </c>
      <c r="W37" s="597" t="n">
        <v>0</v>
      </c>
      <c r="X37" s="597" t="n">
        <v>0</v>
      </c>
      <c r="Y37" s="597" t="n">
        <v>0</v>
      </c>
      <c r="Z37" s="597" t="n">
        <v>0</v>
      </c>
      <c r="AA37" s="597" t="n">
        <v>0</v>
      </c>
      <c r="AB37" s="597" t="n">
        <v>0</v>
      </c>
      <c r="AC37" s="597" t="n">
        <v>0</v>
      </c>
      <c r="AD37" s="597" t="n">
        <v>0</v>
      </c>
      <c r="AE37" s="597" t="n">
        <v>0</v>
      </c>
      <c r="AF37" s="597" t="n">
        <v>0</v>
      </c>
      <c r="AG37" s="597" t="n">
        <v>0</v>
      </c>
      <c r="AH37" s="597" t="n">
        <v>0</v>
      </c>
      <c r="AI37" s="597" t="n">
        <v>0</v>
      </c>
      <c r="AJ37" s="597" t="n">
        <v>0</v>
      </c>
      <c r="AK37" s="597" t="n">
        <v>0</v>
      </c>
      <c r="AL37" s="597" t="n">
        <v>0</v>
      </c>
      <c r="AM37" s="597" t="n">
        <v>0</v>
      </c>
      <c r="AN37" s="597" t="n">
        <v>0</v>
      </c>
      <c r="AO37" s="597" t="n">
        <v>0</v>
      </c>
      <c r="AP37" s="597" t="n">
        <v>0</v>
      </c>
      <c r="AQ37" s="597" t="n">
        <v>0</v>
      </c>
      <c r="AR37" s="597" t="n">
        <v>0</v>
      </c>
      <c r="AS37" s="597" t="n">
        <v>0</v>
      </c>
      <c r="AT37" s="597" t="n">
        <v>0</v>
      </c>
      <c r="AU37" s="597" t="n">
        <v>0</v>
      </c>
      <c r="AV37" s="597" t="n">
        <v>0</v>
      </c>
      <c r="AW37" s="597" t="n">
        <v>0</v>
      </c>
      <c r="AX37" s="597" t="n">
        <v>0</v>
      </c>
      <c r="AY37" s="597" t="n">
        <v>0</v>
      </c>
      <c r="AZ37" s="597" t="n">
        <v>0</v>
      </c>
      <c r="BA37" s="597" t="n">
        <v>0</v>
      </c>
      <c r="BB37" s="597" t="n">
        <v>0</v>
      </c>
      <c r="BC37" s="597" t="n">
        <v>0</v>
      </c>
      <c r="BD37" s="597" t="n">
        <v>0</v>
      </c>
      <c r="BE37" s="597" t="n">
        <v>0</v>
      </c>
      <c r="BF37" s="597" t="n">
        <v>0</v>
      </c>
      <c r="BG37" s="597" t="n">
        <v>0</v>
      </c>
      <c r="BH37" s="597" t="n">
        <v>0</v>
      </c>
      <c r="BI37" s="597" t="n">
        <v>0</v>
      </c>
    </row>
    <row r="38" ht="13" customFormat="1" customHeight="1" s="597">
      <c r="A38" t="inlineStr">
        <is>
          <t>Fairs, missions</t>
        </is>
      </c>
      <c r="B38" s="597" t="n">
        <v>0</v>
      </c>
      <c r="C38" s="597" t="n">
        <v>0</v>
      </c>
      <c r="D38" s="597" t="n">
        <v>0</v>
      </c>
      <c r="E38" s="597" t="n">
        <v>0</v>
      </c>
      <c r="F38" s="597" t="n">
        <v>0</v>
      </c>
      <c r="G38" s="597" t="n">
        <v>0</v>
      </c>
      <c r="H38" s="597" t="n">
        <v>0</v>
      </c>
      <c r="I38" s="597" t="n">
        <v>0</v>
      </c>
      <c r="J38" s="597" t="n">
        <v>0</v>
      </c>
      <c r="K38" s="597" t="n">
        <v>0</v>
      </c>
      <c r="L38" s="597" t="n">
        <v>0</v>
      </c>
      <c r="M38" s="597" t="n">
        <v>0</v>
      </c>
      <c r="N38" s="597" t="n">
        <v>0</v>
      </c>
      <c r="O38" s="597" t="n">
        <v>0</v>
      </c>
      <c r="P38" s="597" t="n">
        <v>0</v>
      </c>
      <c r="Q38" s="597" t="n">
        <v>0</v>
      </c>
      <c r="R38" s="597" t="n">
        <v>0</v>
      </c>
      <c r="S38" s="597" t="n">
        <v>0</v>
      </c>
      <c r="T38" s="597" t="n">
        <v>0</v>
      </c>
      <c r="U38" s="597" t="n">
        <v>0</v>
      </c>
      <c r="V38" s="597" t="n">
        <v>0</v>
      </c>
      <c r="W38" s="597" t="n">
        <v>0</v>
      </c>
      <c r="X38" s="597" t="n">
        <v>0</v>
      </c>
      <c r="Y38" s="597" t="n">
        <v>0</v>
      </c>
      <c r="Z38" s="597" t="n">
        <v>0</v>
      </c>
      <c r="AA38" s="597" t="n">
        <v>0</v>
      </c>
      <c r="AB38" s="597" t="n">
        <v>0</v>
      </c>
      <c r="AC38" s="597" t="n">
        <v>0</v>
      </c>
      <c r="AD38" s="597" t="n">
        <v>0</v>
      </c>
      <c r="AE38" s="597" t="n">
        <v>0</v>
      </c>
      <c r="AF38" s="597" t="n">
        <v>0</v>
      </c>
      <c r="AG38" s="597" t="n">
        <v>0</v>
      </c>
      <c r="AH38" s="597" t="n">
        <v>0</v>
      </c>
      <c r="AI38" s="597" t="n">
        <v>0</v>
      </c>
      <c r="AJ38" s="597" t="n">
        <v>0</v>
      </c>
      <c r="AK38" s="597" t="n">
        <v>0</v>
      </c>
      <c r="AL38" s="597" t="n">
        <v>0</v>
      </c>
      <c r="AM38" s="597" t="n">
        <v>0</v>
      </c>
      <c r="AN38" s="597" t="n">
        <v>0</v>
      </c>
      <c r="AO38" s="597" t="n">
        <v>0</v>
      </c>
      <c r="AP38" s="597" t="n">
        <v>0</v>
      </c>
      <c r="AQ38" s="597" t="n">
        <v>0</v>
      </c>
      <c r="AR38" s="597" t="n">
        <v>0</v>
      </c>
      <c r="AS38" s="597" t="n">
        <v>0</v>
      </c>
      <c r="AT38" s="597" t="n">
        <v>0</v>
      </c>
      <c r="AU38" s="597" t="n">
        <v>0</v>
      </c>
      <c r="AV38" s="597" t="n">
        <v>0</v>
      </c>
      <c r="AW38" s="597" t="n">
        <v>0</v>
      </c>
      <c r="AX38" s="597" t="n">
        <v>0</v>
      </c>
      <c r="AY38" s="597" t="n">
        <v>0</v>
      </c>
      <c r="AZ38" s="597" t="n">
        <v>0</v>
      </c>
      <c r="BA38" s="597" t="n">
        <v>0</v>
      </c>
      <c r="BB38" s="597" t="n">
        <v>0</v>
      </c>
      <c r="BC38" s="597" t="n">
        <v>0</v>
      </c>
      <c r="BD38" s="597" t="n">
        <v>0</v>
      </c>
      <c r="BE38" s="597" t="n">
        <v>0</v>
      </c>
      <c r="BF38" s="597" t="n">
        <v>0</v>
      </c>
      <c r="BG38" s="597" t="n">
        <v>0</v>
      </c>
      <c r="BH38" s="597" t="n">
        <v>0</v>
      </c>
      <c r="BI38" s="597" t="n">
        <v>0</v>
      </c>
    </row>
    <row r="39" ht="13" customFormat="1" customHeight="1" s="597">
      <c r="A39" t="inlineStr">
        <is>
          <t>Subscriptions and dues Federations HORS DORNA</t>
        </is>
      </c>
      <c r="B39" s="597" t="n">
        <v>0</v>
      </c>
      <c r="C39" s="597" t="n">
        <v>0</v>
      </c>
      <c r="D39" s="597" t="n">
        <v>0</v>
      </c>
      <c r="E39" s="597" t="n">
        <v>0</v>
      </c>
      <c r="F39" s="597" t="n">
        <v>0</v>
      </c>
      <c r="G39" s="597" t="n">
        <v>0</v>
      </c>
      <c r="H39" s="597" t="n">
        <v>0</v>
      </c>
      <c r="I39" s="597" t="n">
        <v>0</v>
      </c>
      <c r="J39" s="597" t="n">
        <v>0</v>
      </c>
      <c r="K39" s="597" t="n">
        <v>0</v>
      </c>
      <c r="L39" s="597" t="n">
        <v>0</v>
      </c>
      <c r="M39" s="597" t="n">
        <v>0</v>
      </c>
      <c r="N39" s="597" t="n">
        <v>0</v>
      </c>
      <c r="O39" s="597" t="n">
        <v>0</v>
      </c>
      <c r="P39" s="597" t="n">
        <v>0</v>
      </c>
      <c r="Q39" s="597" t="n">
        <v>0</v>
      </c>
      <c r="R39" s="597" t="n">
        <v>0</v>
      </c>
      <c r="S39" s="597" t="n">
        <v>0</v>
      </c>
      <c r="T39" s="597" t="n">
        <v>0</v>
      </c>
      <c r="U39" s="597" t="n">
        <v>0</v>
      </c>
      <c r="V39" s="597" t="n">
        <v>0</v>
      </c>
      <c r="W39" s="597" t="n">
        <v>0</v>
      </c>
      <c r="X39" s="597" t="n">
        <v>0</v>
      </c>
      <c r="Y39" s="597" t="n">
        <v>0</v>
      </c>
      <c r="Z39" s="597" t="n">
        <v>0</v>
      </c>
      <c r="AA39" s="597" t="n">
        <v>0</v>
      </c>
      <c r="AB39" s="597" t="n">
        <v>0</v>
      </c>
      <c r="AC39" s="597" t="n">
        <v>0</v>
      </c>
      <c r="AD39" s="597" t="n">
        <v>0</v>
      </c>
      <c r="AE39" s="597" t="n">
        <v>0</v>
      </c>
      <c r="AF39" s="597" t="n">
        <v>0</v>
      </c>
      <c r="AG39" s="597" t="n">
        <v>0</v>
      </c>
      <c r="AH39" s="597" t="n">
        <v>0</v>
      </c>
      <c r="AI39" s="597" t="n">
        <v>0</v>
      </c>
      <c r="AJ39" s="597" t="n">
        <v>0</v>
      </c>
      <c r="AK39" s="597" t="n">
        <v>0</v>
      </c>
      <c r="AL39" s="597" t="n">
        <v>0</v>
      </c>
      <c r="AM39" s="597" t="n">
        <v>0</v>
      </c>
      <c r="AN39" s="597" t="n">
        <v>0</v>
      </c>
      <c r="AO39" s="597" t="n">
        <v>0</v>
      </c>
      <c r="AP39" s="597" t="n">
        <v>0</v>
      </c>
      <c r="AQ39" s="597" t="n">
        <v>0</v>
      </c>
      <c r="AR39" s="597" t="n">
        <v>0</v>
      </c>
      <c r="AS39" s="597" t="n">
        <v>0</v>
      </c>
      <c r="AT39" s="597" t="n">
        <v>0</v>
      </c>
      <c r="AU39" s="597" t="n">
        <v>0</v>
      </c>
      <c r="AV39" s="597" t="n">
        <v>0</v>
      </c>
      <c r="AW39" s="597" t="n">
        <v>0</v>
      </c>
      <c r="AX39" s="597" t="n">
        <v>0</v>
      </c>
      <c r="AY39" s="597" t="n">
        <v>0</v>
      </c>
      <c r="AZ39" s="597" t="n">
        <v>0</v>
      </c>
      <c r="BA39" s="597" t="n">
        <v>0</v>
      </c>
      <c r="BB39" s="597" t="n">
        <v>0</v>
      </c>
      <c r="BC39" s="597" t="n">
        <v>0</v>
      </c>
      <c r="BD39" s="597" t="n">
        <v>0</v>
      </c>
      <c r="BE39" s="597" t="n">
        <v>0</v>
      </c>
      <c r="BF39" s="597" t="n">
        <v>0</v>
      </c>
      <c r="BG39" s="597" t="n">
        <v>0</v>
      </c>
      <c r="BH39" s="597" t="n">
        <v>0</v>
      </c>
      <c r="BI39" s="597" t="n">
        <v>0</v>
      </c>
    </row>
    <row r="40" ht="13" customFormat="1" customHeight="1" s="597">
      <c r="A40" t="inlineStr">
        <is>
          <t>Website</t>
        </is>
      </c>
      <c r="B40" s="597" t="n">
        <v>0</v>
      </c>
      <c r="C40" s="597" t="n">
        <v>0</v>
      </c>
      <c r="D40" s="597" t="n">
        <v>0</v>
      </c>
      <c r="E40" s="597" t="n">
        <v>0</v>
      </c>
      <c r="F40" s="597" t="n">
        <v>0</v>
      </c>
      <c r="G40" s="597" t="n">
        <v>0</v>
      </c>
      <c r="H40" s="597" t="n">
        <v>0</v>
      </c>
      <c r="I40" s="597" t="n">
        <v>0</v>
      </c>
      <c r="J40" s="597" t="n">
        <v>0</v>
      </c>
      <c r="K40" s="597" t="n">
        <v>0</v>
      </c>
      <c r="L40" s="597" t="n">
        <v>0</v>
      </c>
      <c r="M40" s="597" t="n">
        <v>0</v>
      </c>
      <c r="N40" s="597" t="n">
        <v>0</v>
      </c>
      <c r="O40" s="597" t="n">
        <v>0</v>
      </c>
      <c r="P40" s="597" t="n">
        <v>0</v>
      </c>
      <c r="Q40" s="597" t="n">
        <v>0</v>
      </c>
      <c r="R40" s="597" t="n">
        <v>0</v>
      </c>
      <c r="S40" s="597" t="n">
        <v>0</v>
      </c>
      <c r="T40" s="597" t="n">
        <v>0</v>
      </c>
      <c r="U40" s="597" t="n">
        <v>0</v>
      </c>
      <c r="V40" s="597" t="n">
        <v>0</v>
      </c>
      <c r="W40" s="597" t="n">
        <v>0</v>
      </c>
      <c r="X40" s="597" t="n">
        <v>0</v>
      </c>
      <c r="Y40" s="597" t="n">
        <v>0</v>
      </c>
      <c r="Z40" s="597" t="n">
        <v>0</v>
      </c>
      <c r="AA40" s="597" t="n">
        <v>0</v>
      </c>
      <c r="AB40" s="597" t="n">
        <v>0</v>
      </c>
      <c r="AC40" s="597" t="n">
        <v>0</v>
      </c>
      <c r="AD40" s="597" t="n">
        <v>0</v>
      </c>
      <c r="AE40" s="597" t="n">
        <v>0</v>
      </c>
      <c r="AF40" s="597" t="n">
        <v>0</v>
      </c>
      <c r="AG40" s="597" t="n">
        <v>0</v>
      </c>
      <c r="AH40" s="597" t="n">
        <v>0</v>
      </c>
      <c r="AI40" s="597" t="n">
        <v>0</v>
      </c>
      <c r="AJ40" s="597" t="n">
        <v>0</v>
      </c>
      <c r="AK40" s="597" t="n">
        <v>0</v>
      </c>
      <c r="AL40" s="597" t="n">
        <v>0</v>
      </c>
      <c r="AM40" s="597" t="n">
        <v>0</v>
      </c>
      <c r="AN40" s="597" t="n">
        <v>0</v>
      </c>
      <c r="AO40" s="597" t="n">
        <v>0</v>
      </c>
      <c r="AP40" s="597" t="n">
        <v>0</v>
      </c>
      <c r="AQ40" s="597" t="n">
        <v>0</v>
      </c>
      <c r="AR40" s="597" t="n">
        <v>0</v>
      </c>
      <c r="AS40" s="597" t="n">
        <v>0</v>
      </c>
      <c r="AT40" s="597" t="n">
        <v>0</v>
      </c>
      <c r="AU40" s="597" t="n">
        <v>0</v>
      </c>
      <c r="AV40" s="597" t="n">
        <v>0</v>
      </c>
      <c r="AW40" s="597" t="n">
        <v>0</v>
      </c>
      <c r="AX40" s="597" t="n">
        <v>0</v>
      </c>
      <c r="AY40" s="597" t="n">
        <v>0</v>
      </c>
      <c r="AZ40" s="597" t="n">
        <v>0</v>
      </c>
      <c r="BA40" s="597" t="n">
        <v>0</v>
      </c>
      <c r="BB40" s="597" t="n">
        <v>0</v>
      </c>
      <c r="BC40" s="597" t="n">
        <v>0</v>
      </c>
      <c r="BD40" s="597" t="n">
        <v>0</v>
      </c>
      <c r="BE40" s="597" t="n">
        <v>0</v>
      </c>
      <c r="BF40" s="597" t="n">
        <v>0</v>
      </c>
      <c r="BG40" s="597" t="n">
        <v>0</v>
      </c>
      <c r="BH40" s="597" t="n">
        <v>0</v>
      </c>
      <c r="BI40" s="597" t="n">
        <v>0</v>
      </c>
    </row>
    <row r="41" ht="13" customFormat="1" customHeight="1" s="597">
      <c r="A41" t="inlineStr">
        <is>
          <t>Prints/Tshirts/Goodies</t>
        </is>
      </c>
      <c r="B41" s="597" t="n">
        <v>0</v>
      </c>
      <c r="C41" s="597" t="n">
        <v>0</v>
      </c>
      <c r="D41" s="597" t="n">
        <v>0</v>
      </c>
      <c r="E41" s="597" t="n">
        <v>0</v>
      </c>
      <c r="F41" s="597" t="n">
        <v>0</v>
      </c>
      <c r="G41" s="597" t="n">
        <v>0</v>
      </c>
      <c r="H41" s="597" t="n">
        <v>0</v>
      </c>
      <c r="I41" s="597" t="n">
        <v>0</v>
      </c>
      <c r="J41" s="597" t="n">
        <v>0</v>
      </c>
      <c r="K41" s="597" t="n">
        <v>0</v>
      </c>
      <c r="L41" s="597" t="n">
        <v>0</v>
      </c>
      <c r="M41" s="597" t="n">
        <v>0</v>
      </c>
      <c r="N41" s="597" t="n">
        <v>0</v>
      </c>
      <c r="O41" s="597" t="n">
        <v>0</v>
      </c>
      <c r="P41" s="597" t="n">
        <v>0</v>
      </c>
      <c r="Q41" s="597" t="n">
        <v>0</v>
      </c>
      <c r="R41" s="597" t="n">
        <v>0</v>
      </c>
      <c r="S41" s="597" t="n">
        <v>0</v>
      </c>
      <c r="T41" s="597" t="n">
        <v>0</v>
      </c>
      <c r="U41" s="597" t="n">
        <v>0</v>
      </c>
      <c r="V41" s="597" t="n">
        <v>0</v>
      </c>
      <c r="W41" s="597" t="n">
        <v>0</v>
      </c>
      <c r="X41" s="597" t="n">
        <v>0</v>
      </c>
      <c r="Y41" s="597" t="n">
        <v>0</v>
      </c>
      <c r="Z41" s="597" t="n">
        <v>0</v>
      </c>
      <c r="AA41" s="597" t="n">
        <v>0</v>
      </c>
      <c r="AB41" s="597" t="n">
        <v>0</v>
      </c>
      <c r="AC41" s="597" t="n">
        <v>0</v>
      </c>
      <c r="AD41" s="597" t="n">
        <v>0</v>
      </c>
      <c r="AE41" s="597" t="n">
        <v>0</v>
      </c>
      <c r="AF41" s="597" t="n">
        <v>0</v>
      </c>
      <c r="AG41" s="597" t="n">
        <v>0</v>
      </c>
      <c r="AH41" s="597" t="n">
        <v>0</v>
      </c>
      <c r="AI41" s="597" t="n">
        <v>0</v>
      </c>
      <c r="AJ41" s="597" t="n">
        <v>0</v>
      </c>
      <c r="AK41" s="597" t="n">
        <v>0</v>
      </c>
      <c r="AL41" s="597" t="n">
        <v>0</v>
      </c>
      <c r="AM41" s="597" t="n">
        <v>0</v>
      </c>
      <c r="AN41" s="597" t="n">
        <v>0</v>
      </c>
      <c r="AO41" s="597" t="n">
        <v>0</v>
      </c>
      <c r="AP41" s="597" t="n">
        <v>0</v>
      </c>
      <c r="AQ41" s="597" t="n">
        <v>0</v>
      </c>
      <c r="AR41" s="597" t="n">
        <v>0</v>
      </c>
      <c r="AS41" s="597" t="n">
        <v>0</v>
      </c>
      <c r="AT41" s="597" t="n">
        <v>0</v>
      </c>
      <c r="AU41" s="597" t="n">
        <v>0</v>
      </c>
      <c r="AV41" s="597" t="n">
        <v>0</v>
      </c>
      <c r="AW41" s="597" t="n">
        <v>0</v>
      </c>
      <c r="AX41" s="597" t="n">
        <v>0</v>
      </c>
      <c r="AY41" s="597" t="n">
        <v>0</v>
      </c>
      <c r="AZ41" s="597" t="n">
        <v>0</v>
      </c>
      <c r="BA41" s="597" t="n">
        <v>0</v>
      </c>
      <c r="BB41" s="597" t="n">
        <v>0</v>
      </c>
      <c r="BC41" s="597" t="n">
        <v>0</v>
      </c>
      <c r="BD41" s="597" t="n">
        <v>0</v>
      </c>
      <c r="BE41" s="597" t="n">
        <v>0</v>
      </c>
      <c r="BF41" s="597" t="n">
        <v>0</v>
      </c>
      <c r="BG41" s="597" t="n">
        <v>0</v>
      </c>
      <c r="BH41" s="597" t="n">
        <v>0</v>
      </c>
      <c r="BI41" s="597" t="n">
        <v>0</v>
      </c>
    </row>
    <row r="42" ht="13" customFormat="1" customHeight="1" s="597">
      <c r="A42" t="inlineStr">
        <is>
          <t>Advertising / SPONSORSHIP</t>
        </is>
      </c>
      <c r="B42" s="597" t="n">
        <v>0</v>
      </c>
      <c r="C42" s="597" t="n">
        <v>0</v>
      </c>
      <c r="D42" s="597" t="n">
        <v>0</v>
      </c>
      <c r="E42" s="597" t="n">
        <v>0</v>
      </c>
      <c r="F42" s="597" t="n">
        <v>0</v>
      </c>
      <c r="G42" s="597" t="n">
        <v>0</v>
      </c>
      <c r="H42" s="597" t="n">
        <v>0</v>
      </c>
      <c r="I42" s="597" t="n">
        <v>0</v>
      </c>
      <c r="J42" s="597" t="n">
        <v>0</v>
      </c>
      <c r="K42" s="597" t="n">
        <v>0</v>
      </c>
      <c r="L42" s="597" t="n">
        <v>0</v>
      </c>
      <c r="M42" s="597" t="n">
        <v>0</v>
      </c>
      <c r="N42" s="597" t="n">
        <v>0</v>
      </c>
      <c r="O42" s="597" t="n">
        <v>0</v>
      </c>
      <c r="P42" s="597" t="n">
        <v>0</v>
      </c>
      <c r="Q42" s="597" t="n">
        <v>0</v>
      </c>
      <c r="R42" s="597" t="n">
        <v>0</v>
      </c>
      <c r="S42" s="597" t="n">
        <v>0</v>
      </c>
      <c r="T42" s="597" t="n">
        <v>0</v>
      </c>
      <c r="U42" s="597" t="n">
        <v>0</v>
      </c>
      <c r="V42" s="597" t="n">
        <v>0</v>
      </c>
      <c r="W42" s="597" t="n">
        <v>0</v>
      </c>
      <c r="X42" s="597" t="n">
        <v>0</v>
      </c>
      <c r="Y42" s="597" t="n">
        <v>0</v>
      </c>
      <c r="Z42" s="597" t="n">
        <v>0</v>
      </c>
      <c r="AA42" s="597" t="n">
        <v>0</v>
      </c>
      <c r="AB42" s="597" t="n">
        <v>0</v>
      </c>
      <c r="AC42" s="597" t="n">
        <v>0</v>
      </c>
      <c r="AD42" s="597" t="n">
        <v>0</v>
      </c>
      <c r="AE42" s="597" t="n">
        <v>0</v>
      </c>
      <c r="AF42" s="597" t="n">
        <v>0</v>
      </c>
      <c r="AG42" s="597" t="n">
        <v>0</v>
      </c>
      <c r="AH42" s="597" t="n">
        <v>0</v>
      </c>
      <c r="AI42" s="597" t="n">
        <v>0</v>
      </c>
      <c r="AJ42" s="597" t="n">
        <v>0</v>
      </c>
      <c r="AK42" s="597" t="n">
        <v>0</v>
      </c>
      <c r="AL42" s="597" t="n">
        <v>0</v>
      </c>
      <c r="AM42" s="597" t="n">
        <v>0</v>
      </c>
      <c r="AN42" s="597" t="n">
        <v>0</v>
      </c>
      <c r="AO42" s="597" t="n">
        <v>0</v>
      </c>
      <c r="AP42" s="597" t="n">
        <v>0</v>
      </c>
      <c r="AQ42" s="597" t="n">
        <v>0</v>
      </c>
      <c r="AR42" s="597" t="n">
        <v>0</v>
      </c>
      <c r="AS42" s="597" t="n">
        <v>0</v>
      </c>
      <c r="AT42" s="597" t="n">
        <v>0</v>
      </c>
      <c r="AU42" s="597" t="n">
        <v>0</v>
      </c>
      <c r="AV42" s="597" t="n">
        <v>0</v>
      </c>
      <c r="AW42" s="597" t="n">
        <v>0</v>
      </c>
      <c r="AX42" s="597" t="n">
        <v>0</v>
      </c>
      <c r="AY42" s="597" t="n">
        <v>0</v>
      </c>
      <c r="AZ42" s="597" t="n">
        <v>0</v>
      </c>
      <c r="BA42" s="597" t="n">
        <v>0</v>
      </c>
      <c r="BB42" s="597" t="n">
        <v>0</v>
      </c>
      <c r="BC42" s="597" t="n">
        <v>0</v>
      </c>
      <c r="BD42" s="597" t="n">
        <v>0</v>
      </c>
      <c r="BE42" s="597" t="n">
        <v>0</v>
      </c>
      <c r="BF42" s="597" t="n">
        <v>0</v>
      </c>
      <c r="BG42" s="597" t="n">
        <v>0</v>
      </c>
      <c r="BH42" s="597" t="n">
        <v>0</v>
      </c>
      <c r="BI42" s="597" t="n">
        <v>0</v>
      </c>
    </row>
    <row r="43" ht="13" customFormat="1" customHeight="1" s="597">
      <c r="A43" t="inlineStr">
        <is>
          <t>Building rent</t>
        </is>
      </c>
      <c r="B43" s="597" t="n">
        <v>0</v>
      </c>
      <c r="C43" s="597" t="n">
        <v>0</v>
      </c>
      <c r="D43" s="597" t="n">
        <v>0</v>
      </c>
      <c r="E43" s="597" t="n">
        <v>0</v>
      </c>
      <c r="F43" s="597" t="n">
        <v>0</v>
      </c>
      <c r="G43" s="597" t="n">
        <v>0</v>
      </c>
      <c r="H43" s="597" t="n">
        <v>0</v>
      </c>
      <c r="I43" s="597" t="n">
        <v>0</v>
      </c>
      <c r="J43" s="597" t="n">
        <v>0</v>
      </c>
      <c r="K43" s="597" t="n">
        <v>0</v>
      </c>
      <c r="L43" s="597" t="n">
        <v>0</v>
      </c>
      <c r="M43" s="597" t="n">
        <v>0</v>
      </c>
      <c r="N43" s="597" t="n">
        <v>0</v>
      </c>
      <c r="O43" s="597" t="n">
        <v>0</v>
      </c>
      <c r="P43" s="597" t="n">
        <v>0</v>
      </c>
      <c r="Q43" s="597" t="n">
        <v>0</v>
      </c>
      <c r="R43" s="597" t="n">
        <v>0</v>
      </c>
      <c r="S43" s="597" t="n">
        <v>0</v>
      </c>
      <c r="T43" s="597" t="n">
        <v>0</v>
      </c>
      <c r="U43" s="597" t="n">
        <v>0</v>
      </c>
      <c r="V43" s="597" t="n">
        <v>0</v>
      </c>
      <c r="W43" s="597" t="n">
        <v>0</v>
      </c>
      <c r="X43" s="597" t="n">
        <v>0</v>
      </c>
      <c r="Y43" s="597" t="n">
        <v>0</v>
      </c>
      <c r="Z43" s="597" t="n">
        <v>0</v>
      </c>
      <c r="AA43" s="597" t="n">
        <v>0</v>
      </c>
      <c r="AB43" s="597" t="n">
        <v>0</v>
      </c>
      <c r="AC43" s="597" t="n">
        <v>0</v>
      </c>
      <c r="AD43" s="597" t="n">
        <v>0</v>
      </c>
      <c r="AE43" s="597" t="n">
        <v>0</v>
      </c>
      <c r="AF43" s="597" t="n">
        <v>0</v>
      </c>
      <c r="AG43" s="597" t="n">
        <v>0</v>
      </c>
      <c r="AH43" s="597" t="n">
        <v>0</v>
      </c>
      <c r="AI43" s="597" t="n">
        <v>0</v>
      </c>
      <c r="AJ43" s="597" t="n">
        <v>0</v>
      </c>
      <c r="AK43" s="597" t="n">
        <v>0</v>
      </c>
      <c r="AL43" s="597" t="n">
        <v>0</v>
      </c>
      <c r="AM43" s="597" t="n">
        <v>0</v>
      </c>
      <c r="AN43" s="597" t="n">
        <v>0</v>
      </c>
      <c r="AO43" s="597" t="n">
        <v>0</v>
      </c>
      <c r="AP43" s="597" t="n">
        <v>0</v>
      </c>
      <c r="AQ43" s="597" t="n">
        <v>0</v>
      </c>
      <c r="AR43" s="597" t="n">
        <v>0</v>
      </c>
      <c r="AS43" s="597" t="n">
        <v>0</v>
      </c>
      <c r="AT43" s="597" t="n">
        <v>0</v>
      </c>
      <c r="AU43" s="597" t="n">
        <v>0</v>
      </c>
      <c r="AV43" s="597" t="n">
        <v>0</v>
      </c>
      <c r="AW43" s="597" t="n">
        <v>0</v>
      </c>
      <c r="AX43" s="597" t="n">
        <v>0</v>
      </c>
      <c r="AY43" s="597" t="n">
        <v>0</v>
      </c>
      <c r="AZ43" s="597" t="n">
        <v>0</v>
      </c>
      <c r="BA43" s="597" t="n">
        <v>0</v>
      </c>
      <c r="BB43" s="597" t="n">
        <v>0</v>
      </c>
      <c r="BC43" s="597" t="n">
        <v>0</v>
      </c>
      <c r="BD43" s="597" t="n">
        <v>0</v>
      </c>
      <c r="BE43" s="597" t="n">
        <v>0</v>
      </c>
      <c r="BF43" s="597" t="n">
        <v>0</v>
      </c>
      <c r="BG43" s="597" t="n">
        <v>0</v>
      </c>
      <c r="BH43" s="597" t="n">
        <v>0</v>
      </c>
      <c r="BI43" s="597" t="n">
        <v>0</v>
      </c>
    </row>
    <row r="44" ht="13" customFormat="1" customHeight="1" s="597">
      <c r="A44" s="89" t="inlineStr">
        <is>
          <t>Office General &amp; Admin</t>
        </is>
      </c>
      <c r="B44" s="597" t="n">
        <v>0</v>
      </c>
      <c r="C44" s="597" t="n">
        <v>0</v>
      </c>
      <c r="D44" s="597" t="n">
        <v>0</v>
      </c>
      <c r="E44" s="597" t="n">
        <v>0</v>
      </c>
      <c r="F44" s="597" t="n">
        <v>0</v>
      </c>
      <c r="G44" s="597" t="n">
        <v>0</v>
      </c>
      <c r="H44" s="597" t="n">
        <v>0</v>
      </c>
      <c r="I44" s="597" t="n">
        <v>0</v>
      </c>
      <c r="J44" s="597" t="n">
        <v>0</v>
      </c>
      <c r="K44" s="597" t="n">
        <v>0</v>
      </c>
      <c r="L44" s="597" t="n">
        <v>0</v>
      </c>
      <c r="M44" s="597" t="n">
        <v>0</v>
      </c>
      <c r="N44" s="597" t="n">
        <v>0</v>
      </c>
      <c r="O44" s="597" t="n">
        <v>0</v>
      </c>
      <c r="P44" s="597" t="n">
        <v>0</v>
      </c>
      <c r="Q44" s="597" t="n">
        <v>0</v>
      </c>
      <c r="R44" s="597" t="n">
        <v>0</v>
      </c>
      <c r="S44" s="597" t="n">
        <v>0</v>
      </c>
      <c r="T44" s="597" t="n">
        <v>0</v>
      </c>
      <c r="U44" s="597" t="n">
        <v>0</v>
      </c>
      <c r="V44" s="597" t="n">
        <v>0</v>
      </c>
      <c r="W44" s="597" t="n">
        <v>0</v>
      </c>
      <c r="X44" s="597" t="n">
        <v>0</v>
      </c>
      <c r="Y44" s="597" t="n">
        <v>0</v>
      </c>
      <c r="Z44" s="597" t="n">
        <v>0</v>
      </c>
      <c r="AA44" s="597" t="n">
        <v>0</v>
      </c>
      <c r="AB44" s="597" t="n">
        <v>0</v>
      </c>
      <c r="AC44" s="597" t="n">
        <v>0</v>
      </c>
      <c r="AD44" s="597" t="n">
        <v>0</v>
      </c>
      <c r="AE44" s="597" t="n">
        <v>0</v>
      </c>
      <c r="AF44" s="597" t="n">
        <v>0</v>
      </c>
      <c r="AG44" s="597" t="n">
        <v>0</v>
      </c>
      <c r="AH44" s="597" t="n">
        <v>0</v>
      </c>
      <c r="AI44" s="597" t="n">
        <v>0</v>
      </c>
      <c r="AJ44" s="597" t="n">
        <v>0</v>
      </c>
      <c r="AK44" s="597" t="n">
        <v>0</v>
      </c>
      <c r="AL44" s="597" t="n">
        <v>0</v>
      </c>
      <c r="AM44" s="597" t="n">
        <v>0</v>
      </c>
      <c r="AN44" s="597" t="n">
        <v>0</v>
      </c>
      <c r="AO44" s="597" t="n">
        <v>0</v>
      </c>
      <c r="AP44" s="597" t="n">
        <v>0</v>
      </c>
      <c r="AQ44" s="597" t="n">
        <v>0</v>
      </c>
      <c r="AR44" s="597" t="n">
        <v>0</v>
      </c>
      <c r="AS44" s="597" t="n">
        <v>0</v>
      </c>
      <c r="AT44" s="597" t="n">
        <v>0</v>
      </c>
      <c r="AU44" s="597" t="n">
        <v>0</v>
      </c>
      <c r="AV44" s="597" t="n">
        <v>0</v>
      </c>
      <c r="AW44" s="597" t="n">
        <v>0</v>
      </c>
      <c r="AX44" s="597" t="n">
        <v>0</v>
      </c>
      <c r="AY44" s="597" t="n">
        <v>0</v>
      </c>
      <c r="AZ44" s="597" t="n">
        <v>0</v>
      </c>
      <c r="BA44" s="597" t="n">
        <v>0</v>
      </c>
      <c r="BB44" s="597" t="n">
        <v>0</v>
      </c>
      <c r="BC44" s="597" t="n">
        <v>0</v>
      </c>
      <c r="BD44" s="597" t="n">
        <v>0</v>
      </c>
      <c r="BE44" s="597" t="n">
        <v>0</v>
      </c>
      <c r="BF44" s="597" t="n">
        <v>0</v>
      </c>
      <c r="BG44" s="597" t="n">
        <v>0</v>
      </c>
      <c r="BH44" s="597" t="n">
        <v>0</v>
      </c>
      <c r="BI44" s="597" t="n">
        <v>0</v>
      </c>
    </row>
    <row r="45" ht="13" customFormat="1" customHeight="1" s="597">
      <c r="A45" t="inlineStr">
        <is>
          <t>Consulting fees</t>
        </is>
      </c>
      <c r="B45" s="597" t="n">
        <v>0</v>
      </c>
      <c r="C45" s="597" t="n">
        <v>0</v>
      </c>
      <c r="D45" s="597" t="n">
        <v>0</v>
      </c>
      <c r="E45" s="597" t="n">
        <v>0</v>
      </c>
      <c r="F45" s="597" t="n">
        <v>0</v>
      </c>
      <c r="G45" s="597" t="n">
        <v>0</v>
      </c>
      <c r="H45" s="597" t="n">
        <v>0</v>
      </c>
      <c r="I45" s="597" t="n">
        <v>0</v>
      </c>
      <c r="J45" s="597" t="n">
        <v>0</v>
      </c>
      <c r="K45" s="597" t="n">
        <v>0</v>
      </c>
      <c r="L45" s="597" t="n">
        <v>0</v>
      </c>
      <c r="M45" s="597" t="n">
        <v>0</v>
      </c>
      <c r="N45" s="597" t="n">
        <v>0</v>
      </c>
      <c r="O45" s="597" t="n">
        <v>0</v>
      </c>
      <c r="P45" s="597" t="n">
        <v>0</v>
      </c>
      <c r="Q45" s="597" t="n">
        <v>0</v>
      </c>
      <c r="R45" s="597" t="n">
        <v>0</v>
      </c>
      <c r="S45" s="597" t="n">
        <v>0</v>
      </c>
      <c r="T45" s="597" t="n">
        <v>0</v>
      </c>
      <c r="U45" s="597" t="n">
        <v>0</v>
      </c>
      <c r="V45" s="597" t="n">
        <v>0</v>
      </c>
      <c r="W45" s="597" t="n">
        <v>0</v>
      </c>
      <c r="X45" s="597" t="n">
        <v>0</v>
      </c>
      <c r="Y45" s="597" t="n">
        <v>0</v>
      </c>
      <c r="Z45" s="597" t="n">
        <v>0</v>
      </c>
      <c r="AA45" s="597" t="n">
        <v>0</v>
      </c>
      <c r="AB45" s="597" t="n">
        <v>0</v>
      </c>
      <c r="AC45" s="597" t="n">
        <v>0</v>
      </c>
      <c r="AD45" s="597" t="n">
        <v>0</v>
      </c>
      <c r="AE45" s="597" t="n">
        <v>0</v>
      </c>
      <c r="AF45" s="597" t="n">
        <v>0</v>
      </c>
      <c r="AG45" s="597" t="n">
        <v>0</v>
      </c>
      <c r="AH45" s="597" t="n">
        <v>0</v>
      </c>
      <c r="AI45" s="597" t="n">
        <v>0</v>
      </c>
      <c r="AJ45" s="597" t="n">
        <v>0</v>
      </c>
      <c r="AK45" s="597" t="n">
        <v>0</v>
      </c>
      <c r="AL45" s="597" t="n">
        <v>0</v>
      </c>
      <c r="AM45" s="597" t="n">
        <v>0</v>
      </c>
      <c r="AN45" s="597" t="n">
        <v>0</v>
      </c>
      <c r="AO45" s="597" t="n">
        <v>0</v>
      </c>
      <c r="AP45" s="597" t="n">
        <v>0</v>
      </c>
      <c r="AQ45" s="597" t="n">
        <v>0</v>
      </c>
      <c r="AR45" s="597" t="n">
        <v>0</v>
      </c>
      <c r="AS45" s="597" t="n">
        <v>0</v>
      </c>
      <c r="AT45" s="597" t="n">
        <v>0</v>
      </c>
      <c r="AU45" s="597" t="n">
        <v>0</v>
      </c>
      <c r="AV45" s="597" t="n">
        <v>0</v>
      </c>
      <c r="AW45" s="597" t="n">
        <v>0</v>
      </c>
      <c r="AX45" s="597" t="n">
        <v>0</v>
      </c>
      <c r="AY45" s="597" t="n">
        <v>0</v>
      </c>
      <c r="AZ45" s="597" t="n">
        <v>0</v>
      </c>
      <c r="BA45" s="597" t="n">
        <v>0</v>
      </c>
      <c r="BB45" s="597" t="n">
        <v>0</v>
      </c>
      <c r="BC45" s="597" t="n">
        <v>0</v>
      </c>
      <c r="BD45" s="597" t="n">
        <v>0</v>
      </c>
      <c r="BE45" s="597" t="n">
        <v>0</v>
      </c>
      <c r="BF45" s="597" t="n">
        <v>0</v>
      </c>
      <c r="BG45" s="597" t="n">
        <v>0</v>
      </c>
      <c r="BH45" s="597" t="n">
        <v>0</v>
      </c>
      <c r="BI45" s="597" t="n">
        <v>0</v>
      </c>
    </row>
    <row r="46" ht="13" customFormat="1" customHeight="1" s="597">
      <c r="A46" t="inlineStr">
        <is>
          <t>Accounting fees</t>
        </is>
      </c>
      <c r="B46" s="597" t="n">
        <v>0</v>
      </c>
      <c r="C46" s="597" t="n">
        <v>0</v>
      </c>
      <c r="D46" s="597" t="n">
        <v>0</v>
      </c>
      <c r="E46" s="597" t="n">
        <v>0</v>
      </c>
      <c r="F46" s="597" t="n">
        <v>0</v>
      </c>
      <c r="G46" s="597" t="n">
        <v>0</v>
      </c>
      <c r="H46" s="597" t="n">
        <v>0</v>
      </c>
      <c r="I46" s="597" t="n">
        <v>0</v>
      </c>
      <c r="J46" s="597" t="n">
        <v>0</v>
      </c>
      <c r="K46" s="597" t="n">
        <v>0</v>
      </c>
      <c r="L46" s="597" t="n">
        <v>0</v>
      </c>
      <c r="M46" s="597" t="n">
        <v>0</v>
      </c>
      <c r="N46" s="597" t="n">
        <v>0</v>
      </c>
      <c r="O46" s="597" t="n">
        <v>0</v>
      </c>
      <c r="P46" s="597" t="n">
        <v>0</v>
      </c>
      <c r="Q46" s="597" t="n">
        <v>0</v>
      </c>
      <c r="R46" s="597" t="n">
        <v>0</v>
      </c>
      <c r="S46" s="597" t="n">
        <v>0</v>
      </c>
      <c r="T46" s="597" t="n">
        <v>0</v>
      </c>
      <c r="U46" s="597" t="n">
        <v>0</v>
      </c>
      <c r="V46" s="597" t="n">
        <v>0</v>
      </c>
      <c r="W46" s="597" t="n">
        <v>0</v>
      </c>
      <c r="X46" s="597" t="n">
        <v>0</v>
      </c>
      <c r="Y46" s="597" t="n">
        <v>0</v>
      </c>
      <c r="Z46" s="597" t="n">
        <v>0</v>
      </c>
      <c r="AA46" s="597" t="n">
        <v>0</v>
      </c>
      <c r="AB46" s="597" t="n">
        <v>0</v>
      </c>
      <c r="AC46" s="597" t="n">
        <v>0</v>
      </c>
      <c r="AD46" s="597" t="n">
        <v>0</v>
      </c>
      <c r="AE46" s="597" t="n">
        <v>0</v>
      </c>
      <c r="AF46" s="597" t="n">
        <v>0</v>
      </c>
      <c r="AG46" s="597" t="n">
        <v>0</v>
      </c>
      <c r="AH46" s="597" t="n">
        <v>0</v>
      </c>
      <c r="AI46" s="597" t="n">
        <v>0</v>
      </c>
      <c r="AJ46" s="597" t="n">
        <v>0</v>
      </c>
      <c r="AK46" s="597" t="n">
        <v>0</v>
      </c>
      <c r="AL46" s="597" t="n">
        <v>0</v>
      </c>
      <c r="AM46" s="597" t="n">
        <v>0</v>
      </c>
      <c r="AN46" s="597" t="n">
        <v>0</v>
      </c>
      <c r="AO46" s="597" t="n">
        <v>0</v>
      </c>
      <c r="AP46" s="597" t="n">
        <v>0</v>
      </c>
      <c r="AQ46" s="597" t="n">
        <v>0</v>
      </c>
      <c r="AR46" s="597" t="n">
        <v>0</v>
      </c>
      <c r="AS46" s="597" t="n">
        <v>0</v>
      </c>
      <c r="AT46" s="597" t="n">
        <v>0</v>
      </c>
      <c r="AU46" s="597" t="n">
        <v>0</v>
      </c>
      <c r="AV46" s="597" t="n">
        <v>0</v>
      </c>
      <c r="AW46" s="597" t="n">
        <v>0</v>
      </c>
      <c r="AX46" s="597" t="n">
        <v>0</v>
      </c>
      <c r="AY46" s="597" t="n">
        <v>0</v>
      </c>
      <c r="AZ46" s="597" t="n">
        <v>0</v>
      </c>
      <c r="BA46" s="597" t="n">
        <v>0</v>
      </c>
      <c r="BB46" s="597" t="n">
        <v>0</v>
      </c>
      <c r="BC46" s="597" t="n">
        <v>0</v>
      </c>
      <c r="BD46" s="597" t="n">
        <v>0</v>
      </c>
      <c r="BE46" s="597" t="n">
        <v>0</v>
      </c>
      <c r="BF46" s="597" t="n">
        <v>0</v>
      </c>
      <c r="BG46" s="597" t="n">
        <v>0</v>
      </c>
      <c r="BH46" s="597" t="n">
        <v>0</v>
      </c>
      <c r="BI46" s="597" t="n">
        <v>0</v>
      </c>
    </row>
    <row r="47" ht="13" customFormat="1" customHeight="1" s="597">
      <c r="A47" t="inlineStr">
        <is>
          <t>Lawyer fees</t>
        </is>
      </c>
      <c r="B47" s="597" t="n">
        <v>0</v>
      </c>
      <c r="C47" s="597" t="n">
        <v>0</v>
      </c>
      <c r="D47" s="597" t="n">
        <v>0</v>
      </c>
      <c r="E47" s="597" t="n">
        <v>0</v>
      </c>
      <c r="F47" s="597" t="n">
        <v>0</v>
      </c>
      <c r="G47" s="597" t="n">
        <v>0</v>
      </c>
      <c r="H47" s="597" t="n">
        <v>0</v>
      </c>
      <c r="I47" s="597" t="n">
        <v>0</v>
      </c>
      <c r="J47" s="597" t="n">
        <v>0</v>
      </c>
      <c r="K47" s="597" t="n">
        <v>0</v>
      </c>
      <c r="L47" s="597" t="n">
        <v>0</v>
      </c>
      <c r="M47" s="597" t="n">
        <v>0</v>
      </c>
      <c r="N47" s="597" t="n">
        <v>0</v>
      </c>
      <c r="O47" s="597" t="n">
        <v>0</v>
      </c>
      <c r="P47" s="597" t="n">
        <v>0</v>
      </c>
      <c r="Q47" s="597" t="n">
        <v>0</v>
      </c>
      <c r="R47" s="597" t="n">
        <v>0</v>
      </c>
      <c r="S47" s="597" t="n">
        <v>0</v>
      </c>
      <c r="T47" s="597" t="n">
        <v>0</v>
      </c>
      <c r="U47" s="597" t="n">
        <v>0</v>
      </c>
      <c r="V47" s="597" t="n">
        <v>0</v>
      </c>
      <c r="W47" s="597" t="n">
        <v>0</v>
      </c>
      <c r="X47" s="597" t="n">
        <v>0</v>
      </c>
      <c r="Y47" s="597" t="n">
        <v>0</v>
      </c>
      <c r="Z47" s="597" t="n">
        <v>0</v>
      </c>
      <c r="AA47" s="597" t="n">
        <v>0</v>
      </c>
      <c r="AB47" s="597" t="n">
        <v>0</v>
      </c>
      <c r="AC47" s="597" t="n">
        <v>0</v>
      </c>
      <c r="AD47" s="597" t="n">
        <v>0</v>
      </c>
      <c r="AE47" s="597" t="n">
        <v>0</v>
      </c>
      <c r="AF47" s="597" t="n">
        <v>0</v>
      </c>
      <c r="AG47" s="597" t="n">
        <v>0</v>
      </c>
      <c r="AH47" s="597" t="n">
        <v>0</v>
      </c>
      <c r="AI47" s="597" t="n">
        <v>0</v>
      </c>
      <c r="AJ47" s="597" t="n">
        <v>0</v>
      </c>
      <c r="AK47" s="597" t="n">
        <v>0</v>
      </c>
      <c r="AL47" s="597" t="n">
        <v>0</v>
      </c>
      <c r="AM47" s="597" t="n">
        <v>0</v>
      </c>
      <c r="AN47" s="597" t="n">
        <v>0</v>
      </c>
      <c r="AO47" s="597" t="n">
        <v>0</v>
      </c>
      <c r="AP47" s="597" t="n">
        <v>0</v>
      </c>
      <c r="AQ47" s="597" t="n">
        <v>0</v>
      </c>
      <c r="AR47" s="597" t="n">
        <v>0</v>
      </c>
      <c r="AS47" s="597" t="n">
        <v>0</v>
      </c>
      <c r="AT47" s="597" t="n">
        <v>0</v>
      </c>
      <c r="AU47" s="597" t="n">
        <v>0</v>
      </c>
      <c r="AV47" s="597" t="n">
        <v>0</v>
      </c>
      <c r="AW47" s="597" t="n">
        <v>0</v>
      </c>
      <c r="AX47" s="597" t="n">
        <v>0</v>
      </c>
      <c r="AY47" s="597" t="n">
        <v>0</v>
      </c>
      <c r="AZ47" s="597" t="n">
        <v>0</v>
      </c>
      <c r="BA47" s="597" t="n">
        <v>0</v>
      </c>
      <c r="BB47" s="597" t="n">
        <v>0</v>
      </c>
      <c r="BC47" s="597" t="n">
        <v>0</v>
      </c>
      <c r="BD47" s="597" t="n">
        <v>0</v>
      </c>
      <c r="BE47" s="597" t="n">
        <v>0</v>
      </c>
      <c r="BF47" s="597" t="n">
        <v>0</v>
      </c>
      <c r="BG47" s="597" t="n">
        <v>0</v>
      </c>
      <c r="BH47" s="597" t="n">
        <v>0</v>
      </c>
      <c r="BI47" s="597" t="n">
        <v>0</v>
      </c>
    </row>
    <row r="48" ht="13" customFormat="1" customHeight="1" s="597">
      <c r="A48" t="inlineStr">
        <is>
          <t>Social secretariat fees</t>
        </is>
      </c>
      <c r="B48" s="597" t="n">
        <v>0</v>
      </c>
      <c r="C48" s="597" t="n">
        <v>0</v>
      </c>
      <c r="D48" s="597" t="n">
        <v>0</v>
      </c>
      <c r="E48" s="597" t="n">
        <v>0</v>
      </c>
      <c r="F48" s="597" t="n">
        <v>0</v>
      </c>
      <c r="G48" s="597" t="n">
        <v>0</v>
      </c>
      <c r="H48" s="597" t="n">
        <v>0</v>
      </c>
      <c r="I48" s="597" t="n">
        <v>0</v>
      </c>
      <c r="J48" s="597" t="n">
        <v>0</v>
      </c>
      <c r="K48" s="597" t="n">
        <v>0</v>
      </c>
      <c r="L48" s="597" t="n">
        <v>0</v>
      </c>
      <c r="M48" s="597" t="n">
        <v>0</v>
      </c>
      <c r="N48" s="597" t="n">
        <v>0</v>
      </c>
      <c r="O48" s="597" t="n">
        <v>0</v>
      </c>
      <c r="P48" s="597" t="n">
        <v>0</v>
      </c>
      <c r="Q48" s="597" t="n">
        <v>0</v>
      </c>
      <c r="R48" s="597" t="n">
        <v>0</v>
      </c>
      <c r="S48" s="597" t="n">
        <v>0</v>
      </c>
      <c r="T48" s="597" t="n">
        <v>0</v>
      </c>
      <c r="U48" s="597" t="n">
        <v>0</v>
      </c>
      <c r="V48" s="597" t="n">
        <v>0</v>
      </c>
      <c r="W48" s="597" t="n">
        <v>0</v>
      </c>
      <c r="X48" s="597" t="n">
        <v>0</v>
      </c>
      <c r="Y48" s="597" t="n">
        <v>0</v>
      </c>
      <c r="Z48" s="597" t="n">
        <v>0</v>
      </c>
      <c r="AA48" s="597" t="n">
        <v>0</v>
      </c>
      <c r="AB48" s="597" t="n">
        <v>0</v>
      </c>
      <c r="AC48" s="597" t="n">
        <v>0</v>
      </c>
      <c r="AD48" s="597" t="n">
        <v>0</v>
      </c>
      <c r="AE48" s="597" t="n">
        <v>0</v>
      </c>
      <c r="AF48" s="597" t="n">
        <v>0</v>
      </c>
      <c r="AG48" s="597" t="n">
        <v>0</v>
      </c>
      <c r="AH48" s="597" t="n">
        <v>0</v>
      </c>
      <c r="AI48" s="597" t="n">
        <v>0</v>
      </c>
      <c r="AJ48" s="597" t="n">
        <v>0</v>
      </c>
      <c r="AK48" s="597" t="n">
        <v>0</v>
      </c>
      <c r="AL48" s="597" t="n">
        <v>0</v>
      </c>
      <c r="AM48" s="597" t="n">
        <v>0</v>
      </c>
      <c r="AN48" s="597" t="n">
        <v>0</v>
      </c>
      <c r="AO48" s="597" t="n">
        <v>0</v>
      </c>
      <c r="AP48" s="597" t="n">
        <v>0</v>
      </c>
      <c r="AQ48" s="597" t="n">
        <v>0</v>
      </c>
      <c r="AR48" s="597" t="n">
        <v>0</v>
      </c>
      <c r="AS48" s="597" t="n">
        <v>0</v>
      </c>
      <c r="AT48" s="597" t="n">
        <v>0</v>
      </c>
      <c r="AU48" s="597" t="n">
        <v>0</v>
      </c>
      <c r="AV48" s="597" t="n">
        <v>0</v>
      </c>
      <c r="AW48" s="597" t="n">
        <v>0</v>
      </c>
      <c r="AX48" s="597" t="n">
        <v>0</v>
      </c>
      <c r="AY48" s="597" t="n">
        <v>0</v>
      </c>
      <c r="AZ48" s="597" t="n">
        <v>0</v>
      </c>
      <c r="BA48" s="597" t="n">
        <v>0</v>
      </c>
      <c r="BB48" s="597" t="n">
        <v>0</v>
      </c>
      <c r="BC48" s="597" t="n">
        <v>0</v>
      </c>
      <c r="BD48" s="597" t="n">
        <v>0</v>
      </c>
      <c r="BE48" s="597" t="n">
        <v>0</v>
      </c>
      <c r="BF48" s="597" t="n">
        <v>0</v>
      </c>
      <c r="BG48" s="597" t="n">
        <v>0</v>
      </c>
      <c r="BH48" s="597" t="n">
        <v>0</v>
      </c>
      <c r="BI48" s="597" t="n">
        <v>0</v>
      </c>
    </row>
    <row r="49" ht="13" customFormat="1" customHeight="1" s="597">
      <c r="A49" t="inlineStr">
        <is>
          <t>Professional contribution</t>
        </is>
      </c>
      <c r="B49" s="597" t="n">
        <v>0</v>
      </c>
      <c r="C49" s="597" t="n">
        <v>0</v>
      </c>
      <c r="D49" s="597" t="n">
        <v>0</v>
      </c>
      <c r="E49" s="597" t="n">
        <v>0</v>
      </c>
      <c r="F49" s="597" t="n">
        <v>0</v>
      </c>
      <c r="G49" s="597" t="n">
        <v>0</v>
      </c>
      <c r="H49" s="597" t="n">
        <v>0</v>
      </c>
      <c r="I49" s="597" t="n">
        <v>0</v>
      </c>
      <c r="J49" s="597" t="n">
        <v>0</v>
      </c>
      <c r="K49" s="597" t="n">
        <v>0</v>
      </c>
      <c r="L49" s="597" t="n">
        <v>0</v>
      </c>
      <c r="M49" s="597" t="n">
        <v>0</v>
      </c>
      <c r="N49" s="597" t="n">
        <v>0</v>
      </c>
      <c r="O49" s="597" t="n">
        <v>0</v>
      </c>
      <c r="P49" s="597" t="n">
        <v>0</v>
      </c>
      <c r="Q49" s="597" t="n">
        <v>0</v>
      </c>
      <c r="R49" s="597" t="n">
        <v>0</v>
      </c>
      <c r="S49" s="597" t="n">
        <v>0</v>
      </c>
      <c r="T49" s="597" t="n">
        <v>0</v>
      </c>
      <c r="U49" s="597" t="n">
        <v>0</v>
      </c>
      <c r="V49" s="597" t="n">
        <v>0</v>
      </c>
      <c r="W49" s="597" t="n">
        <v>0</v>
      </c>
      <c r="X49" s="597" t="n">
        <v>0</v>
      </c>
      <c r="Y49" s="597" t="n">
        <v>0</v>
      </c>
      <c r="Z49" s="597" t="n">
        <v>0</v>
      </c>
      <c r="AA49" s="597" t="n">
        <v>0</v>
      </c>
      <c r="AB49" s="597" t="n">
        <v>0</v>
      </c>
      <c r="AC49" s="597" t="n">
        <v>0</v>
      </c>
      <c r="AD49" s="597" t="n">
        <v>0</v>
      </c>
      <c r="AE49" s="597" t="n">
        <v>0</v>
      </c>
      <c r="AF49" s="597" t="n">
        <v>0</v>
      </c>
      <c r="AG49" s="597" t="n">
        <v>0</v>
      </c>
      <c r="AH49" s="597" t="n">
        <v>0</v>
      </c>
      <c r="AI49" s="597" t="n">
        <v>0</v>
      </c>
      <c r="AJ49" s="597" t="n">
        <v>0</v>
      </c>
      <c r="AK49" s="597" t="n">
        <v>0</v>
      </c>
      <c r="AL49" s="597" t="n">
        <v>0</v>
      </c>
      <c r="AM49" s="597" t="n">
        <v>0</v>
      </c>
      <c r="AN49" s="597" t="n">
        <v>0</v>
      </c>
      <c r="AO49" s="597" t="n">
        <v>0</v>
      </c>
      <c r="AP49" s="597" t="n">
        <v>0</v>
      </c>
      <c r="AQ49" s="597" t="n">
        <v>0</v>
      </c>
      <c r="AR49" s="597" t="n">
        <v>0</v>
      </c>
      <c r="AS49" s="597" t="n">
        <v>0</v>
      </c>
      <c r="AT49" s="597" t="n">
        <v>0</v>
      </c>
      <c r="AU49" s="597" t="n">
        <v>0</v>
      </c>
      <c r="AV49" s="597" t="n">
        <v>0</v>
      </c>
      <c r="AW49" s="597" t="n">
        <v>0</v>
      </c>
      <c r="AX49" s="597" t="n">
        <v>0</v>
      </c>
      <c r="AY49" s="597" t="n">
        <v>0</v>
      </c>
      <c r="AZ49" s="597" t="n">
        <v>0</v>
      </c>
      <c r="BA49" s="597" t="n">
        <v>0</v>
      </c>
      <c r="BB49" s="597" t="n">
        <v>0</v>
      </c>
      <c r="BC49" s="597" t="n">
        <v>0</v>
      </c>
      <c r="BD49" s="597" t="n">
        <v>0</v>
      </c>
      <c r="BE49" s="597" t="n">
        <v>0</v>
      </c>
      <c r="BF49" s="597" t="n">
        <v>0</v>
      </c>
      <c r="BG49" s="597" t="n">
        <v>0</v>
      </c>
      <c r="BH49" s="597" t="n">
        <v>0</v>
      </c>
      <c r="BI49" s="597" t="n">
        <v>0</v>
      </c>
    </row>
    <row r="50" ht="13" customFormat="1" customHeight="1" s="597">
      <c r="A50" t="inlineStr">
        <is>
          <t>Overheads</t>
        </is>
      </c>
      <c r="B50" s="597" t="n">
        <v>0</v>
      </c>
      <c r="C50" s="597" t="n">
        <v>0</v>
      </c>
      <c r="D50" s="597" t="n">
        <v>0</v>
      </c>
      <c r="E50" s="597" t="n">
        <v>0</v>
      </c>
      <c r="F50" s="597" t="n">
        <v>0</v>
      </c>
      <c r="G50" s="597" t="n">
        <v>0</v>
      </c>
      <c r="H50" s="597" t="n">
        <v>0</v>
      </c>
      <c r="I50" s="597" t="n">
        <v>0</v>
      </c>
      <c r="J50" s="597" t="n">
        <v>0</v>
      </c>
      <c r="K50" s="597" t="n">
        <v>0</v>
      </c>
      <c r="L50" s="597" t="n">
        <v>0</v>
      </c>
      <c r="M50" s="597" t="n">
        <v>0</v>
      </c>
      <c r="N50" s="597" t="n">
        <v>0</v>
      </c>
      <c r="O50" s="597" t="n">
        <v>0</v>
      </c>
      <c r="P50" s="597" t="n">
        <v>0</v>
      </c>
      <c r="Q50" s="597" t="n">
        <v>0</v>
      </c>
      <c r="R50" s="597" t="n">
        <v>0</v>
      </c>
      <c r="S50" s="597" t="n">
        <v>0</v>
      </c>
      <c r="T50" s="597" t="n">
        <v>0</v>
      </c>
      <c r="U50" s="597" t="n">
        <v>0</v>
      </c>
      <c r="V50" s="597" t="n">
        <v>0</v>
      </c>
      <c r="W50" s="597" t="n">
        <v>0</v>
      </c>
      <c r="X50" s="597" t="n">
        <v>0</v>
      </c>
      <c r="Y50" s="597" t="n">
        <v>0</v>
      </c>
      <c r="Z50" s="597" t="n">
        <v>0</v>
      </c>
      <c r="AA50" s="597" t="n">
        <v>0</v>
      </c>
      <c r="AB50" s="597" t="n">
        <v>0</v>
      </c>
      <c r="AC50" s="597" t="n">
        <v>0</v>
      </c>
      <c r="AD50" s="597" t="n">
        <v>0</v>
      </c>
      <c r="AE50" s="597" t="n">
        <v>0</v>
      </c>
      <c r="AF50" s="597" t="n">
        <v>0</v>
      </c>
      <c r="AG50" s="597" t="n">
        <v>0</v>
      </c>
      <c r="AH50" s="597" t="n">
        <v>0</v>
      </c>
      <c r="AI50" s="597" t="n">
        <v>0</v>
      </c>
      <c r="AJ50" s="597" t="n">
        <v>0</v>
      </c>
      <c r="AK50" s="597" t="n">
        <v>0</v>
      </c>
      <c r="AL50" s="597" t="n">
        <v>0</v>
      </c>
      <c r="AM50" s="597" t="n">
        <v>0</v>
      </c>
      <c r="AN50" s="597" t="n">
        <v>0</v>
      </c>
      <c r="AO50" s="597" t="n">
        <v>0</v>
      </c>
      <c r="AP50" s="597" t="n">
        <v>0</v>
      </c>
      <c r="AQ50" s="597" t="n">
        <v>0</v>
      </c>
      <c r="AR50" s="597" t="n">
        <v>0</v>
      </c>
      <c r="AS50" s="597" t="n">
        <v>0</v>
      </c>
      <c r="AT50" s="597" t="n">
        <v>0</v>
      </c>
      <c r="AU50" s="597" t="n">
        <v>0</v>
      </c>
      <c r="AV50" s="597" t="n">
        <v>0</v>
      </c>
      <c r="AW50" s="597" t="n">
        <v>0</v>
      </c>
      <c r="AX50" s="597" t="n">
        <v>0</v>
      </c>
      <c r="AY50" s="597" t="n">
        <v>0</v>
      </c>
      <c r="AZ50" s="597" t="n">
        <v>0</v>
      </c>
      <c r="BA50" s="597" t="n">
        <v>0</v>
      </c>
      <c r="BB50" s="597" t="n">
        <v>0</v>
      </c>
      <c r="BC50" s="597" t="n">
        <v>0</v>
      </c>
      <c r="BD50" s="597" t="n">
        <v>0</v>
      </c>
      <c r="BE50" s="597" t="n">
        <v>0</v>
      </c>
      <c r="BF50" s="597" t="n">
        <v>0</v>
      </c>
      <c r="BG50" s="597" t="n">
        <v>0</v>
      </c>
      <c r="BH50" s="597" t="n">
        <v>0</v>
      </c>
      <c r="BI50" s="597" t="n">
        <v>0</v>
      </c>
    </row>
    <row r="51" customFormat="1" s="597">
      <c r="A51" s="607" t="n"/>
      <c r="B51" s="597" t="n"/>
      <c r="C51" s="597" t="n"/>
      <c r="D51" s="597" t="n"/>
      <c r="E51" s="597" t="n"/>
      <c r="F51" s="597" t="n"/>
      <c r="G51" s="597" t="n"/>
      <c r="H51" s="597" t="n"/>
      <c r="I51" s="597" t="n"/>
      <c r="J51" s="597" t="n"/>
      <c r="K51" s="597" t="n"/>
      <c r="L51" s="597" t="n"/>
      <c r="M51" s="597" t="n"/>
      <c r="N51" s="597" t="n"/>
      <c r="O51" s="597" t="n"/>
      <c r="P51" s="597" t="n"/>
      <c r="Q51" s="597" t="n"/>
      <c r="R51" s="597" t="n"/>
      <c r="S51" s="597" t="n"/>
      <c r="T51" s="597" t="n"/>
      <c r="U51" s="597" t="n"/>
      <c r="V51" s="597" t="n"/>
      <c r="W51" s="597" t="n"/>
      <c r="X51" s="597" t="n"/>
      <c r="Y51" s="597" t="n"/>
      <c r="Z51" s="597" t="n"/>
      <c r="AA51" s="597" t="n"/>
      <c r="AB51" s="597" t="n"/>
      <c r="AC51" s="597" t="n"/>
      <c r="AD51" s="597" t="n"/>
      <c r="AE51" s="597" t="n"/>
      <c r="AF51" s="597" t="n"/>
      <c r="AG51" s="597" t="n"/>
      <c r="AH51" s="597" t="n"/>
      <c r="AI51" s="597" t="n"/>
      <c r="AJ51" s="597" t="n"/>
      <c r="AK51" s="597" t="n"/>
      <c r="AL51" s="597" t="n"/>
      <c r="AM51" s="597" t="n"/>
      <c r="AN51" s="597" t="n"/>
      <c r="AO51" s="597" t="n"/>
      <c r="AP51" s="597" t="n"/>
      <c r="AQ51" s="597" t="n"/>
      <c r="AR51" s="597" t="n"/>
      <c r="AS51" s="597" t="n"/>
      <c r="AT51" s="597" t="n"/>
      <c r="AU51" s="597" t="n"/>
      <c r="AV51" s="597" t="n"/>
      <c r="AW51" s="597" t="n"/>
      <c r="AX51" s="597" t="n"/>
      <c r="AY51" s="597" t="n"/>
      <c r="AZ51" s="597" t="n"/>
      <c r="BA51" s="597" t="n"/>
      <c r="BB51" s="597" t="n"/>
      <c r="BC51" s="597" t="n"/>
      <c r="BD51" s="597" t="n"/>
      <c r="BE51" s="597" t="n"/>
      <c r="BF51" s="597" t="n"/>
      <c r="BG51" s="597" t="n"/>
      <c r="BH51" s="597" t="n"/>
      <c r="BI51" s="597" t="n"/>
    </row>
    <row r="52" customFormat="1" s="597">
      <c r="A52" s="608" t="inlineStr">
        <is>
          <t>Total Operating Expenses</t>
        </is>
      </c>
      <c r="B52" s="609">
        <f>SUM(B31:B51)</f>
        <v/>
      </c>
      <c r="C52" s="609">
        <f>SUM(C31:C51)</f>
        <v/>
      </c>
      <c r="D52" s="609">
        <f>SUM(D31:D51)</f>
        <v/>
      </c>
      <c r="E52" s="609">
        <f>SUM(E31:E51)</f>
        <v/>
      </c>
      <c r="F52" s="609">
        <f>SUM(F31:F51)</f>
        <v/>
      </c>
      <c r="G52" s="609">
        <f>SUM(G31:G51)</f>
        <v/>
      </c>
      <c r="H52" s="609">
        <f>SUM(H31:H51)</f>
        <v/>
      </c>
      <c r="I52" s="609">
        <f>SUM(I31:I51)</f>
        <v/>
      </c>
      <c r="J52" s="609">
        <f>SUM(J31:J51)</f>
        <v/>
      </c>
      <c r="K52" s="609">
        <f>SUM(K31:K51)</f>
        <v/>
      </c>
      <c r="L52" s="609">
        <f>SUM(L31:L51)</f>
        <v/>
      </c>
      <c r="M52" s="609">
        <f>SUM(M31:M51)</f>
        <v/>
      </c>
      <c r="N52" s="609">
        <f>SUM(N31:N51)</f>
        <v/>
      </c>
      <c r="O52" s="609">
        <f>SUM(O31:O51)</f>
        <v/>
      </c>
      <c r="P52" s="609">
        <f>SUM(P31:P51)</f>
        <v/>
      </c>
      <c r="Q52" s="609">
        <f>SUM(Q31:Q51)</f>
        <v/>
      </c>
      <c r="R52" s="609">
        <f>SUM(R31:R51)</f>
        <v/>
      </c>
      <c r="S52" s="609">
        <f>SUM(S31:S51)</f>
        <v/>
      </c>
      <c r="T52" s="609">
        <f>SUM(T31:T51)</f>
        <v/>
      </c>
      <c r="U52" s="609">
        <f>SUM(U31:U51)</f>
        <v/>
      </c>
      <c r="V52" s="609">
        <f>SUM(V31:V51)</f>
        <v/>
      </c>
      <c r="W52" s="609">
        <f>SUM(W31:W51)</f>
        <v/>
      </c>
      <c r="X52" s="609">
        <f>SUM(X31:X51)</f>
        <v/>
      </c>
      <c r="Y52" s="609">
        <f>SUM(Y31:Y51)</f>
        <v/>
      </c>
      <c r="Z52" s="609">
        <f>SUM(Z31:Z51)</f>
        <v/>
      </c>
      <c r="AA52" s="609">
        <f>SUM(AA31:AA51)</f>
        <v/>
      </c>
      <c r="AB52" s="609">
        <f>SUM(AB31:AB51)</f>
        <v/>
      </c>
      <c r="AC52" s="609">
        <f>SUM(AC31:AC51)</f>
        <v/>
      </c>
      <c r="AD52" s="609">
        <f>SUM(AD31:AD51)</f>
        <v/>
      </c>
      <c r="AE52" s="609">
        <f>SUM(AE31:AE51)</f>
        <v/>
      </c>
      <c r="AF52" s="609">
        <f>SUM(AF31:AF51)</f>
        <v/>
      </c>
      <c r="AG52" s="609">
        <f>SUM(AG31:AG51)</f>
        <v/>
      </c>
      <c r="AH52" s="609">
        <f>SUM(AH31:AH51)</f>
        <v/>
      </c>
      <c r="AI52" s="609">
        <f>SUM(AI31:AI51)</f>
        <v/>
      </c>
      <c r="AJ52" s="609">
        <f>SUM(AJ31:AJ51)</f>
        <v/>
      </c>
      <c r="AK52" s="609">
        <f>SUM(AK31:AK51)</f>
        <v/>
      </c>
      <c r="AL52" s="609">
        <f>SUM(AL31:AL51)</f>
        <v/>
      </c>
      <c r="AM52" s="609">
        <f>SUM(AM31:AM51)</f>
        <v/>
      </c>
      <c r="AN52" s="609">
        <f>SUM(AN31:AN51)</f>
        <v/>
      </c>
      <c r="AO52" s="609">
        <f>SUM(AO31:AO51)</f>
        <v/>
      </c>
      <c r="AP52" s="609">
        <f>SUM(AP31:AP51)</f>
        <v/>
      </c>
      <c r="AQ52" s="609">
        <f>SUM(AQ31:AQ51)</f>
        <v/>
      </c>
      <c r="AR52" s="609">
        <f>SUM(AR31:AR51)</f>
        <v/>
      </c>
      <c r="AS52" s="609">
        <f>SUM(AS31:AS51)</f>
        <v/>
      </c>
      <c r="AT52" s="609">
        <f>SUM(AT31:AT51)</f>
        <v/>
      </c>
      <c r="AU52" s="609">
        <f>SUM(AU31:AU51)</f>
        <v/>
      </c>
      <c r="AV52" s="609">
        <f>SUM(AV31:AV51)</f>
        <v/>
      </c>
      <c r="AW52" s="609">
        <f>SUM(AW31:AW51)</f>
        <v/>
      </c>
      <c r="AX52" s="609">
        <f>SUM(AX31:AX51)</f>
        <v/>
      </c>
      <c r="AY52" s="609">
        <f>SUM(AY31:AY51)</f>
        <v/>
      </c>
      <c r="AZ52" s="609">
        <f>SUM(AZ31:AZ51)</f>
        <v/>
      </c>
      <c r="BA52" s="609">
        <f>SUM(BA31:BA51)</f>
        <v/>
      </c>
      <c r="BB52" s="609">
        <f>SUM(BB31:BB51)</f>
        <v/>
      </c>
      <c r="BC52" s="609">
        <f>SUM(BC31:BC51)</f>
        <v/>
      </c>
      <c r="BD52" s="609">
        <f>SUM(BD31:BD51)</f>
        <v/>
      </c>
      <c r="BE52" s="609">
        <f>SUM(BE31:BE51)</f>
        <v/>
      </c>
      <c r="BF52" s="609">
        <f>SUM(BF31:BF51)</f>
        <v/>
      </c>
      <c r="BG52" s="609">
        <f>SUM(BG31:BG51)</f>
        <v/>
      </c>
      <c r="BH52" s="609">
        <f>SUM(BH31:BH51)</f>
        <v/>
      </c>
      <c r="BI52" s="609">
        <f>SUM(BI31:BI51)</f>
        <v/>
      </c>
    </row>
    <row r="53" customFormat="1" s="597">
      <c r="A53" s="610" t="n"/>
      <c r="B53" s="596" t="n"/>
      <c r="C53" s="596" t="n"/>
      <c r="D53" s="596" t="n"/>
      <c r="E53" s="596" t="n"/>
      <c r="F53" s="596" t="n"/>
      <c r="G53" s="596" t="n"/>
      <c r="H53" s="596" t="n"/>
      <c r="I53" s="596" t="n"/>
      <c r="J53" s="596" t="n"/>
      <c r="K53" s="596" t="n"/>
      <c r="L53" s="596" t="n"/>
      <c r="M53" s="596" t="n"/>
      <c r="N53" s="596" t="n"/>
      <c r="O53" s="596" t="n"/>
      <c r="P53" s="596" t="n"/>
      <c r="Q53" s="596" t="n"/>
      <c r="R53" s="596" t="n"/>
      <c r="S53" s="596" t="n"/>
      <c r="T53" s="596" t="n"/>
      <c r="U53" s="596" t="n"/>
      <c r="V53" s="596" t="n"/>
      <c r="W53" s="596" t="n"/>
      <c r="X53" s="596" t="n"/>
      <c r="Y53" s="596" t="n"/>
      <c r="Z53" s="596" t="n"/>
      <c r="AA53" s="596" t="n"/>
      <c r="AB53" s="596" t="n"/>
      <c r="AC53" s="596" t="n"/>
      <c r="AD53" s="596" t="n"/>
      <c r="AE53" s="596" t="n"/>
      <c r="AF53" s="596" t="n"/>
      <c r="AG53" s="596" t="n"/>
      <c r="AH53" s="596" t="n"/>
      <c r="AI53" s="596" t="n"/>
      <c r="AJ53" s="596" t="n"/>
      <c r="AK53" s="596" t="n"/>
      <c r="AL53" s="596" t="n"/>
      <c r="AM53" s="596" t="n"/>
      <c r="AN53" s="596" t="n"/>
      <c r="AO53" s="596" t="n"/>
      <c r="AP53" s="596" t="n"/>
      <c r="AQ53" s="596" t="n"/>
      <c r="AR53" s="596" t="n"/>
      <c r="AS53" s="596" t="n"/>
      <c r="AT53" s="596" t="n"/>
      <c r="AU53" s="596" t="n"/>
      <c r="AV53" s="596" t="n"/>
      <c r="AW53" s="596" t="n"/>
      <c r="AX53" s="596" t="n"/>
      <c r="AY53" s="596" t="n"/>
      <c r="AZ53" s="596" t="n"/>
      <c r="BA53" s="596" t="n"/>
      <c r="BB53" s="596" t="n"/>
      <c r="BC53" s="596" t="n"/>
      <c r="BD53" s="596" t="n"/>
      <c r="BE53" s="596" t="n"/>
      <c r="BF53" s="596" t="n"/>
      <c r="BG53" s="596" t="n"/>
      <c r="BH53" s="596" t="n"/>
      <c r="BI53" s="596" t="n"/>
    </row>
    <row r="54" customFormat="1" s="597">
      <c r="A54" s="610" t="inlineStr">
        <is>
          <t>Payroll Expenses</t>
        </is>
      </c>
      <c r="B54" s="596" t="n">
        <v>0</v>
      </c>
      <c r="C54" s="596" t="n">
        <v>0</v>
      </c>
      <c r="D54" s="596" t="n">
        <v>0</v>
      </c>
      <c r="E54" s="596" t="n">
        <v>0</v>
      </c>
      <c r="F54" s="596" t="n">
        <v>0</v>
      </c>
      <c r="G54" s="596" t="n">
        <v>0</v>
      </c>
      <c r="H54" s="596" t="n">
        <v>0</v>
      </c>
      <c r="I54" s="596" t="n">
        <v>0</v>
      </c>
      <c r="J54" s="596" t="n">
        <v>0</v>
      </c>
      <c r="K54" s="596" t="n">
        <v>0</v>
      </c>
      <c r="L54" s="596" t="n">
        <v>0</v>
      </c>
      <c r="M54" s="596" t="n">
        <v>0</v>
      </c>
      <c r="N54" s="596" t="n">
        <v>0</v>
      </c>
      <c r="O54" s="596" t="n">
        <v>0</v>
      </c>
      <c r="P54" s="596" t="n">
        <v>0</v>
      </c>
      <c r="Q54" s="596" t="n">
        <v>0</v>
      </c>
      <c r="R54" s="596" t="n">
        <v>0</v>
      </c>
      <c r="S54" s="596" t="n">
        <v>0</v>
      </c>
      <c r="T54" s="596" t="n">
        <v>0</v>
      </c>
      <c r="U54" s="596" t="n">
        <v>0</v>
      </c>
      <c r="V54" s="596" t="n">
        <v>0</v>
      </c>
      <c r="W54" s="596" t="n">
        <v>0</v>
      </c>
      <c r="X54" s="596" t="n">
        <v>0</v>
      </c>
      <c r="Y54" s="596" t="n">
        <v>0</v>
      </c>
      <c r="Z54" s="596" t="n">
        <v>0</v>
      </c>
      <c r="AA54" s="596" t="n">
        <v>0</v>
      </c>
      <c r="AB54" s="596" t="n">
        <v>0</v>
      </c>
      <c r="AC54" s="596" t="n">
        <v>0</v>
      </c>
      <c r="AD54" s="596" t="n">
        <v>0</v>
      </c>
      <c r="AE54" s="596" t="n">
        <v>0</v>
      </c>
      <c r="AF54" s="596" t="n">
        <v>0</v>
      </c>
      <c r="AG54" s="596" t="n">
        <v>0</v>
      </c>
      <c r="AH54" s="596" t="n">
        <v>0</v>
      </c>
      <c r="AI54" s="596" t="n">
        <v>0</v>
      </c>
      <c r="AJ54" s="596" t="n">
        <v>0</v>
      </c>
      <c r="AK54" s="596" t="n">
        <v>0</v>
      </c>
      <c r="AL54" s="596" t="n">
        <v>0</v>
      </c>
      <c r="AM54" s="596" t="n">
        <v>0</v>
      </c>
      <c r="AN54" s="596" t="n">
        <v>0</v>
      </c>
      <c r="AO54" s="596" t="n">
        <v>0</v>
      </c>
      <c r="AP54" s="596" t="n">
        <v>0</v>
      </c>
      <c r="AQ54" s="596" t="n">
        <v>0</v>
      </c>
      <c r="AR54" s="596" t="n">
        <v>0</v>
      </c>
      <c r="AS54" s="596" t="n">
        <v>0</v>
      </c>
      <c r="AT54" s="596" t="n">
        <v>0</v>
      </c>
      <c r="AU54" s="596" t="n">
        <v>0</v>
      </c>
      <c r="AV54" s="596" t="n">
        <v>0</v>
      </c>
      <c r="AW54" s="596" t="n">
        <v>0</v>
      </c>
      <c r="AX54" s="596" t="n">
        <v>0</v>
      </c>
      <c r="AY54" s="596" t="n">
        <v>0</v>
      </c>
      <c r="AZ54" s="596" t="n">
        <v>0</v>
      </c>
      <c r="BA54" s="596" t="n">
        <v>0</v>
      </c>
      <c r="BB54" s="596" t="n">
        <v>0</v>
      </c>
      <c r="BC54" s="596" t="n">
        <v>0</v>
      </c>
      <c r="BD54" s="596" t="n">
        <v>0</v>
      </c>
      <c r="BE54" s="596" t="n">
        <v>0</v>
      </c>
      <c r="BF54" s="596" t="n">
        <v>0</v>
      </c>
      <c r="BG54" s="596" t="n">
        <v>0</v>
      </c>
      <c r="BH54" s="596" t="n">
        <v>0</v>
      </c>
      <c r="BI54" s="596" t="n">
        <v>0</v>
      </c>
    </row>
    <row r="55" customFormat="1" s="597">
      <c r="A55" s="611" t="n"/>
    </row>
    <row r="56" customFormat="1" s="597">
      <c r="A56" s="110" t="inlineStr">
        <is>
          <t>Total Operating Expenses including Payroll</t>
        </is>
      </c>
      <c r="B56" s="612">
        <f>B52+B54</f>
        <v/>
      </c>
      <c r="C56" s="612">
        <f>C52+C54</f>
        <v/>
      </c>
      <c r="D56" s="612">
        <f>D52+D54</f>
        <v/>
      </c>
      <c r="E56" s="612">
        <f>E52+E54</f>
        <v/>
      </c>
      <c r="F56" s="612">
        <f>F52+F54</f>
        <v/>
      </c>
      <c r="G56" s="612">
        <f>G52+G54</f>
        <v/>
      </c>
      <c r="H56" s="612">
        <f>H52+H54</f>
        <v/>
      </c>
      <c r="I56" s="612">
        <f>I52+I54</f>
        <v/>
      </c>
      <c r="J56" s="612">
        <f>J52+J54</f>
        <v/>
      </c>
      <c r="K56" s="612">
        <f>K52+K54</f>
        <v/>
      </c>
      <c r="L56" s="612">
        <f>L52+L54</f>
        <v/>
      </c>
      <c r="M56" s="612">
        <f>M52+M54</f>
        <v/>
      </c>
      <c r="N56" s="612">
        <f>N52+N54</f>
        <v/>
      </c>
      <c r="O56" s="612">
        <f>O52+O54</f>
        <v/>
      </c>
      <c r="P56" s="612">
        <f>P52+P54</f>
        <v/>
      </c>
      <c r="Q56" s="612">
        <f>Q52+Q54</f>
        <v/>
      </c>
      <c r="R56" s="612">
        <f>R52+R54</f>
        <v/>
      </c>
      <c r="S56" s="612">
        <f>S52+S54</f>
        <v/>
      </c>
      <c r="T56" s="612">
        <f>T52+T54</f>
        <v/>
      </c>
      <c r="U56" s="612">
        <f>U52+U54</f>
        <v/>
      </c>
      <c r="V56" s="612">
        <f>V52+V54</f>
        <v/>
      </c>
      <c r="W56" s="612">
        <f>W52+W54</f>
        <v/>
      </c>
      <c r="X56" s="612">
        <f>X52+X54</f>
        <v/>
      </c>
      <c r="Y56" s="612">
        <f>Y52+Y54</f>
        <v/>
      </c>
      <c r="Z56" s="612">
        <f>Z52+Z54</f>
        <v/>
      </c>
      <c r="AA56" s="612">
        <f>AA52+AA54</f>
        <v/>
      </c>
      <c r="AB56" s="612">
        <f>AB52+AB54</f>
        <v/>
      </c>
      <c r="AC56" s="612">
        <f>AC52+AC54</f>
        <v/>
      </c>
      <c r="AD56" s="612">
        <f>AD52+AD54</f>
        <v/>
      </c>
      <c r="AE56" s="612">
        <f>AE52+AE54</f>
        <v/>
      </c>
      <c r="AF56" s="612">
        <f>AF52+AF54</f>
        <v/>
      </c>
      <c r="AG56" s="612">
        <f>AG52+AG54</f>
        <v/>
      </c>
      <c r="AH56" s="612">
        <f>AH52+AH54</f>
        <v/>
      </c>
      <c r="AI56" s="612">
        <f>AI52+AI54</f>
        <v/>
      </c>
      <c r="AJ56" s="612">
        <f>AJ52+AJ54</f>
        <v/>
      </c>
      <c r="AK56" s="612">
        <f>AK52+AK54</f>
        <v/>
      </c>
      <c r="AL56" s="612">
        <f>AL52+AL54</f>
        <v/>
      </c>
      <c r="AM56" s="612">
        <f>AM52+AM54</f>
        <v/>
      </c>
      <c r="AN56" s="612">
        <f>AN52+AN54</f>
        <v/>
      </c>
      <c r="AO56" s="612">
        <f>AO52+AO54</f>
        <v/>
      </c>
      <c r="AP56" s="612">
        <f>AP52+AP54</f>
        <v/>
      </c>
      <c r="AQ56" s="612">
        <f>AQ52+AQ54</f>
        <v/>
      </c>
      <c r="AR56" s="612">
        <f>AR52+AR54</f>
        <v/>
      </c>
      <c r="AS56" s="612">
        <f>AS52+AS54</f>
        <v/>
      </c>
      <c r="AT56" s="612">
        <f>AT52+AT54</f>
        <v/>
      </c>
      <c r="AU56" s="612">
        <f>AU52+AU54</f>
        <v/>
      </c>
      <c r="AV56" s="612">
        <f>AV52+AV54</f>
        <v/>
      </c>
      <c r="AW56" s="612">
        <f>AW52+AW54</f>
        <v/>
      </c>
      <c r="AX56" s="612">
        <f>AX52+AX54</f>
        <v/>
      </c>
      <c r="AY56" s="612">
        <f>AY52+AY54</f>
        <v/>
      </c>
      <c r="AZ56" s="612">
        <f>AZ52+AZ54</f>
        <v/>
      </c>
      <c r="BA56" s="612">
        <f>BA52+BA54</f>
        <v/>
      </c>
      <c r="BB56" s="612">
        <f>BB52+BB54</f>
        <v/>
      </c>
      <c r="BC56" s="612">
        <f>BC52+BC54</f>
        <v/>
      </c>
      <c r="BD56" s="612">
        <f>BD52+BD54</f>
        <v/>
      </c>
      <c r="BE56" s="612">
        <f>BE52+BE54</f>
        <v/>
      </c>
      <c r="BF56" s="612">
        <f>BF52+BF54</f>
        <v/>
      </c>
      <c r="BG56" s="612">
        <f>BG52+BG54</f>
        <v/>
      </c>
      <c r="BH56" s="612">
        <f>BH52+BH54</f>
        <v/>
      </c>
      <c r="BI56" s="612">
        <f>BI52+BI54</f>
        <v/>
      </c>
    </row>
    <row r="57" customFormat="1" s="597">
      <c r="A57" s="613" t="n"/>
      <c r="B57" s="597" t="n"/>
      <c r="C57" s="597" t="n"/>
      <c r="D57" s="597" t="n"/>
      <c r="E57" s="597" t="n"/>
      <c r="F57" s="597" t="n"/>
      <c r="G57" s="597" t="n"/>
      <c r="H57" s="597" t="n"/>
      <c r="I57" s="597" t="n"/>
      <c r="J57" s="597" t="n"/>
      <c r="K57" s="597" t="n"/>
      <c r="L57" s="597" t="n"/>
      <c r="M57" s="597" t="n"/>
      <c r="N57" s="597" t="n"/>
      <c r="O57" s="597" t="n"/>
      <c r="P57" s="597" t="n"/>
      <c r="Q57" s="597" t="n"/>
      <c r="R57" s="597" t="n"/>
      <c r="S57" s="597" t="n"/>
      <c r="T57" s="597" t="n"/>
      <c r="U57" s="597" t="n"/>
      <c r="V57" s="597" t="n"/>
      <c r="W57" s="597" t="n"/>
      <c r="X57" s="597" t="n"/>
      <c r="Y57" s="597" t="n"/>
      <c r="Z57" s="597" t="n"/>
      <c r="AA57" s="597" t="n"/>
      <c r="AB57" s="597" t="n"/>
      <c r="AC57" s="597" t="n"/>
      <c r="AD57" s="597" t="n"/>
      <c r="AE57" s="597" t="n"/>
      <c r="AF57" s="597" t="n"/>
      <c r="AG57" s="597" t="n"/>
      <c r="AH57" s="597" t="n"/>
      <c r="AI57" s="597" t="n"/>
      <c r="AJ57" s="597" t="n"/>
      <c r="AK57" s="597" t="n"/>
      <c r="AL57" s="597" t="n"/>
      <c r="AM57" s="597" t="n"/>
      <c r="AN57" s="597" t="n"/>
      <c r="AO57" s="597" t="n"/>
      <c r="AP57" s="597" t="n"/>
      <c r="AQ57" s="597" t="n"/>
      <c r="AR57" s="597" t="n"/>
      <c r="AS57" s="597" t="n"/>
      <c r="AT57" s="597" t="n"/>
      <c r="AU57" s="597" t="n"/>
      <c r="AV57" s="597" t="n"/>
      <c r="AW57" s="597" t="n"/>
      <c r="AX57" s="597" t="n"/>
      <c r="AY57" s="597" t="n"/>
      <c r="AZ57" s="597" t="n"/>
      <c r="BA57" s="597" t="n"/>
      <c r="BB57" s="597" t="n"/>
      <c r="BC57" s="597" t="n"/>
      <c r="BD57" s="597" t="n"/>
      <c r="BE57" s="597" t="n"/>
      <c r="BF57" s="597" t="n"/>
      <c r="BG57" s="597" t="n"/>
      <c r="BH57" s="597" t="n"/>
      <c r="BI57" s="597" t="n"/>
    </row>
    <row r="58" ht="13" customFormat="1" customHeight="1" s="602">
      <c r="A58" s="614" t="inlineStr">
        <is>
          <t>EBITDA</t>
        </is>
      </c>
      <c r="B58" s="615">
        <f>B26-B56</f>
        <v/>
      </c>
      <c r="C58" s="615">
        <f>C26-C56</f>
        <v/>
      </c>
      <c r="D58" s="615">
        <f>D26-D56</f>
        <v/>
      </c>
      <c r="E58" s="615">
        <f>E26-E56</f>
        <v/>
      </c>
      <c r="F58" s="615">
        <f>F26-F56</f>
        <v/>
      </c>
      <c r="G58" s="615">
        <f>G26-G56</f>
        <v/>
      </c>
      <c r="H58" s="615">
        <f>H26-H56</f>
        <v/>
      </c>
      <c r="I58" s="615">
        <f>I26-I56</f>
        <v/>
      </c>
      <c r="J58" s="615">
        <f>J26-J56</f>
        <v/>
      </c>
      <c r="K58" s="615">
        <f>K26-K56</f>
        <v/>
      </c>
      <c r="L58" s="615">
        <f>L26-L56</f>
        <v/>
      </c>
      <c r="M58" s="615">
        <f>M26-M56</f>
        <v/>
      </c>
      <c r="N58" s="615">
        <f>N26-N56</f>
        <v/>
      </c>
      <c r="O58" s="615">
        <f>O26-O56</f>
        <v/>
      </c>
      <c r="P58" s="615">
        <f>P26-P56</f>
        <v/>
      </c>
      <c r="Q58" s="615">
        <f>Q26-Q56</f>
        <v/>
      </c>
      <c r="R58" s="615">
        <f>R26-R56</f>
        <v/>
      </c>
      <c r="S58" s="615">
        <f>S26-S56</f>
        <v/>
      </c>
      <c r="T58" s="615">
        <f>T26-T56</f>
        <v/>
      </c>
      <c r="U58" s="615">
        <f>U26-U56</f>
        <v/>
      </c>
      <c r="V58" s="615">
        <f>V26-V56</f>
        <v/>
      </c>
      <c r="W58" s="615">
        <f>W26-W56</f>
        <v/>
      </c>
      <c r="X58" s="615">
        <f>X26-X56</f>
        <v/>
      </c>
      <c r="Y58" s="615">
        <f>Y26-Y56</f>
        <v/>
      </c>
      <c r="Z58" s="615">
        <f>Z26-Z56</f>
        <v/>
      </c>
      <c r="AA58" s="615">
        <f>AA26-AA56</f>
        <v/>
      </c>
      <c r="AB58" s="615">
        <f>AB26-AB56</f>
        <v/>
      </c>
      <c r="AC58" s="615">
        <f>AC26-AC56</f>
        <v/>
      </c>
      <c r="AD58" s="615">
        <f>AD26-AD56</f>
        <v/>
      </c>
      <c r="AE58" s="615">
        <f>AE26-AE56</f>
        <v/>
      </c>
      <c r="AF58" s="615">
        <f>AF26-AF56</f>
        <v/>
      </c>
      <c r="AG58" s="615">
        <f>AG26-AG56</f>
        <v/>
      </c>
      <c r="AH58" s="615">
        <f>AH26-AH56</f>
        <v/>
      </c>
      <c r="AI58" s="615">
        <f>AI26-AI56</f>
        <v/>
      </c>
      <c r="AJ58" s="615">
        <f>AJ26-AJ56</f>
        <v/>
      </c>
      <c r="AK58" s="615">
        <f>AK26-AK56</f>
        <v/>
      </c>
      <c r="AL58" s="615">
        <f>AL26-AL56</f>
        <v/>
      </c>
      <c r="AM58" s="615">
        <f>AM26-AM56</f>
        <v/>
      </c>
      <c r="AN58" s="615">
        <f>AN26-AN56</f>
        <v/>
      </c>
      <c r="AO58" s="615">
        <f>AO26-AO56</f>
        <v/>
      </c>
      <c r="AP58" s="615">
        <f>AP26-AP56</f>
        <v/>
      </c>
      <c r="AQ58" s="615">
        <f>AQ26-AQ56</f>
        <v/>
      </c>
      <c r="AR58" s="615">
        <f>AR26-AR56</f>
        <v/>
      </c>
      <c r="AS58" s="615">
        <f>AS26-AS56</f>
        <v/>
      </c>
      <c r="AT58" s="615">
        <f>AT26-AT56</f>
        <v/>
      </c>
      <c r="AU58" s="615">
        <f>AU26-AU56</f>
        <v/>
      </c>
      <c r="AV58" s="615">
        <f>AV26-AV56</f>
        <v/>
      </c>
      <c r="AW58" s="615">
        <f>AW26-AW56</f>
        <v/>
      </c>
      <c r="AX58" s="615">
        <f>AX26-AX56</f>
        <v/>
      </c>
      <c r="AY58" s="615">
        <f>AY26-AY56</f>
        <v/>
      </c>
      <c r="AZ58" s="615">
        <f>AZ26-AZ56</f>
        <v/>
      </c>
      <c r="BA58" s="615">
        <f>BA26-BA56</f>
        <v/>
      </c>
      <c r="BB58" s="615">
        <f>BB26-BB56</f>
        <v/>
      </c>
      <c r="BC58" s="615">
        <f>BC26-BC56</f>
        <v/>
      </c>
      <c r="BD58" s="615">
        <f>BD26-BD56</f>
        <v/>
      </c>
      <c r="BE58" s="615">
        <f>BE26-BE56</f>
        <v/>
      </c>
      <c r="BF58" s="615">
        <f>BF26-BF56</f>
        <v/>
      </c>
      <c r="BG58" s="615">
        <f>BG26-BG56</f>
        <v/>
      </c>
      <c r="BH58" s="615">
        <f>BH26-BH56</f>
        <v/>
      </c>
      <c r="BI58" s="615">
        <f>BI26-BI56</f>
        <v/>
      </c>
    </row>
    <row r="59" ht="13" customFormat="1" customHeight="1" s="602">
      <c r="A59" s="616" t="inlineStr">
        <is>
          <t>EBITDA Margin (%)</t>
        </is>
      </c>
      <c r="B59" s="248">
        <f>+IF(B58&gt;0,B58/B14,"NA")</f>
        <v/>
      </c>
      <c r="C59" s="248">
        <f>+IF(C58&gt;0,C58/C14,"NA")</f>
        <v/>
      </c>
      <c r="D59" s="248">
        <f>+IF(D58&gt;0,D58/D14,"NA")</f>
        <v/>
      </c>
      <c r="E59" s="248">
        <f>+IF(E58&gt;0,E58/E14,"NA")</f>
        <v/>
      </c>
      <c r="F59" s="248">
        <f>+IF(F58&gt;0,F58/F14,"NA")</f>
        <v/>
      </c>
      <c r="G59" s="248">
        <f>+IF(G58&gt;0,G58/G14,"NA")</f>
        <v/>
      </c>
      <c r="H59" s="248">
        <f>+IF(H58&gt;0,H58/H14,"NA")</f>
        <v/>
      </c>
      <c r="I59" s="248">
        <f>+IF(I58&gt;0,I58/I14,"NA")</f>
        <v/>
      </c>
      <c r="J59" s="248">
        <f>+IF(J58&gt;0,J58/J14,"NA")</f>
        <v/>
      </c>
      <c r="K59" s="248">
        <f>+IF(K58&gt;0,K58/K14,"NA")</f>
        <v/>
      </c>
      <c r="L59" s="248">
        <f>+IF(L58&gt;0,L58/L14,"NA")</f>
        <v/>
      </c>
      <c r="M59" s="248">
        <f>+IF(M58&gt;0,M58/M14,"NA")</f>
        <v/>
      </c>
      <c r="N59" s="248">
        <f>+IF(N58&gt;0,N58/N14,"NA")</f>
        <v/>
      </c>
      <c r="O59" s="248">
        <f>+IF(O58&gt;0,O58/O14,"NA")</f>
        <v/>
      </c>
      <c r="P59" s="248">
        <f>+IF(P58&gt;0,P58/P14,"NA")</f>
        <v/>
      </c>
      <c r="Q59" s="248">
        <f>+IF(Q58&gt;0,Q58/Q14,"NA")</f>
        <v/>
      </c>
      <c r="R59" s="248">
        <f>+IF(R58&gt;0,R58/R14,"NA")</f>
        <v/>
      </c>
      <c r="S59" s="248">
        <f>+IF(S58&gt;0,S58/S14,"NA")</f>
        <v/>
      </c>
      <c r="T59" s="248">
        <f>+IF(T58&gt;0,T58/T14,"NA")</f>
        <v/>
      </c>
      <c r="U59" s="248">
        <f>+IF(U58&gt;0,U58/U14,"NA")</f>
        <v/>
      </c>
      <c r="V59" s="248">
        <f>+IF(V58&gt;0,V58/V14,"NA")</f>
        <v/>
      </c>
      <c r="W59" s="248">
        <f>+IF(W58&gt;0,W58/W14,"NA")</f>
        <v/>
      </c>
      <c r="X59" s="248">
        <f>+IF(X58&gt;0,X58/X14,"NA")</f>
        <v/>
      </c>
      <c r="Y59" s="248">
        <f>+IF(Y58&gt;0,Y58/Y14,"NA")</f>
        <v/>
      </c>
      <c r="Z59" s="248">
        <f>+IF(Z58&gt;0,Z58/Z14,"NA")</f>
        <v/>
      </c>
      <c r="AA59" s="248">
        <f>+IF(AA58&gt;0,AA58/AA14,"NA")</f>
        <v/>
      </c>
      <c r="AB59" s="248">
        <f>+IF(AB58&gt;0,AB58/AB14,"NA")</f>
        <v/>
      </c>
      <c r="AC59" s="248">
        <f>+IF(AC58&gt;0,AC58/AC14,"NA")</f>
        <v/>
      </c>
      <c r="AD59" s="248">
        <f>+IF(AD58&gt;0,AD58/AD14,"NA")</f>
        <v/>
      </c>
      <c r="AE59" s="248">
        <f>+IF(AE58&gt;0,AE58/AE14,"NA")</f>
        <v/>
      </c>
      <c r="AF59" s="248">
        <f>+IF(AF58&gt;0,AF58/AF14,"NA")</f>
        <v/>
      </c>
      <c r="AG59" s="248">
        <f>+IF(AG58&gt;0,AG58/AG14,"NA")</f>
        <v/>
      </c>
      <c r="AH59" s="248">
        <f>+IF(AH58&gt;0,AH58/AH14,"NA")</f>
        <v/>
      </c>
      <c r="AI59" s="248">
        <f>+IF(AI58&gt;0,AI58/AI14,"NA")</f>
        <v/>
      </c>
      <c r="AJ59" s="248">
        <f>+IF(AJ58&gt;0,AJ58/AJ14,"NA")</f>
        <v/>
      </c>
      <c r="AK59" s="248">
        <f>+IF(AK58&gt;0,AK58/AK14,"NA")</f>
        <v/>
      </c>
      <c r="AL59" s="248">
        <f>+IF(AL58&gt;0,AL58/AL14,"NA")</f>
        <v/>
      </c>
      <c r="AM59" s="248">
        <f>+IF(AM58&gt;0,AM58/AM14,"NA")</f>
        <v/>
      </c>
      <c r="AN59" s="248">
        <f>+IF(AN58&gt;0,AN58/AN14,"NA")</f>
        <v/>
      </c>
      <c r="AO59" s="248">
        <f>+IF(AO58&gt;0,AO58/AO14,"NA")</f>
        <v/>
      </c>
      <c r="AP59" s="248">
        <f>+IF(AP58&gt;0,AP58/AP14,"NA")</f>
        <v/>
      </c>
      <c r="AQ59" s="248">
        <f>+IF(AQ58&gt;0,AQ58/AQ14,"NA")</f>
        <v/>
      </c>
      <c r="AR59" s="248">
        <f>+IF(AR58&gt;0,AR58/AR14,"NA")</f>
        <v/>
      </c>
      <c r="AS59" s="248">
        <f>+IF(AS58&gt;0,AS58/AS14,"NA")</f>
        <v/>
      </c>
      <c r="AT59" s="248">
        <f>+IF(AT58&gt;0,AT58/AT14,"NA")</f>
        <v/>
      </c>
      <c r="AU59" s="248">
        <f>+IF(AU58&gt;0,AU58/AU14,"NA")</f>
        <v/>
      </c>
      <c r="AV59" s="248">
        <f>+IF(AV58&gt;0,AV58/AV14,"NA")</f>
        <v/>
      </c>
      <c r="AW59" s="248">
        <f>+IF(AW58&gt;0,AW58/AW14,"NA")</f>
        <v/>
      </c>
      <c r="AX59" s="248">
        <f>+IF(AX58&gt;0,AX58/AX14,"NA")</f>
        <v/>
      </c>
      <c r="AY59" s="248">
        <f>+IF(AY58&gt;0,AY58/AY14,"NA")</f>
        <v/>
      </c>
      <c r="AZ59" s="248">
        <f>+IF(AZ58&gt;0,AZ58/AZ14,"NA")</f>
        <v/>
      </c>
      <c r="BA59" s="248">
        <f>+IF(BA58&gt;0,BA58/BA14,"NA")</f>
        <v/>
      </c>
      <c r="BB59" s="248">
        <f>+IF(BB58&gt;0,BB58/BB14,"NA")</f>
        <v/>
      </c>
      <c r="BC59" s="248">
        <f>+IF(BC58&gt;0,BC58/BC14,"NA")</f>
        <v/>
      </c>
      <c r="BD59" s="248">
        <f>+IF(BD58&gt;0,BD58/BD14,"NA")</f>
        <v/>
      </c>
      <c r="BE59" s="248">
        <f>+IF(BE58&gt;0,BE58/BE14,"NA")</f>
        <v/>
      </c>
      <c r="BF59" s="248">
        <f>+IF(BF58&gt;0,BF58/BF14,"NA")</f>
        <v/>
      </c>
      <c r="BG59" s="248">
        <f>+IF(BG58&gt;0,BG58/BG14,"NA")</f>
        <v/>
      </c>
      <c r="BH59" s="248">
        <f>+IF(BH58&gt;0,BH58/BH14,"NA")</f>
        <v/>
      </c>
      <c r="BI59" s="248">
        <f>+IF(BI58&gt;0,BI58/BI14,"NA")</f>
        <v/>
      </c>
    </row>
    <row r="60" customFormat="1" s="597">
      <c r="A60" s="617" t="n"/>
      <c r="B60" s="597" t="n"/>
      <c r="C60" s="597" t="n"/>
      <c r="D60" s="597" t="n"/>
      <c r="E60" s="597" t="n"/>
      <c r="F60" s="597" t="n"/>
      <c r="G60" s="597" t="n"/>
      <c r="H60" s="597" t="n"/>
      <c r="I60" s="597" t="n"/>
      <c r="J60" s="597" t="n"/>
      <c r="K60" s="597" t="n"/>
      <c r="L60" s="597" t="n"/>
      <c r="M60" s="597" t="n"/>
      <c r="N60" s="597" t="n"/>
      <c r="O60" s="597" t="n"/>
      <c r="P60" s="597" t="n"/>
      <c r="Q60" s="597" t="n"/>
      <c r="R60" s="597" t="n"/>
      <c r="S60" s="597" t="n"/>
      <c r="T60" s="597" t="n"/>
      <c r="U60" s="597" t="n"/>
      <c r="V60" s="597" t="n"/>
      <c r="W60" s="597" t="n"/>
      <c r="X60" s="597" t="n"/>
      <c r="Y60" s="597" t="n"/>
      <c r="Z60" s="597" t="n"/>
      <c r="AA60" s="597" t="n"/>
      <c r="AB60" s="597" t="n"/>
      <c r="AC60" s="597" t="n"/>
      <c r="AD60" s="597" t="n"/>
      <c r="AE60" s="597" t="n"/>
      <c r="AF60" s="597" t="n"/>
      <c r="AG60" s="597" t="n"/>
      <c r="AH60" s="597" t="n"/>
      <c r="AI60" s="597" t="n"/>
      <c r="AJ60" s="597" t="n"/>
      <c r="AK60" s="597" t="n"/>
      <c r="AL60" s="597" t="n"/>
      <c r="AM60" s="597" t="n"/>
      <c r="AN60" s="597" t="n"/>
      <c r="AO60" s="597" t="n"/>
      <c r="AP60" s="597" t="n"/>
      <c r="AQ60" s="597" t="n"/>
      <c r="AR60" s="597" t="n"/>
      <c r="AS60" s="597" t="n"/>
      <c r="AT60" s="597" t="n"/>
      <c r="AU60" s="597" t="n"/>
      <c r="AV60" s="597" t="n"/>
      <c r="AW60" s="597" t="n"/>
      <c r="AX60" s="597" t="n"/>
      <c r="AY60" s="597" t="n"/>
      <c r="AZ60" s="597" t="n"/>
      <c r="BA60" s="597" t="n"/>
      <c r="BB60" s="597" t="n"/>
      <c r="BC60" s="597" t="n"/>
      <c r="BD60" s="597" t="n"/>
      <c r="BE60" s="597" t="n"/>
      <c r="BF60" s="597" t="n"/>
      <c r="BG60" s="597" t="n"/>
      <c r="BH60" s="597" t="n"/>
      <c r="BI60" s="597" t="n"/>
    </row>
    <row r="61" customFormat="1" s="597">
      <c r="A61" s="610" t="inlineStr">
        <is>
          <t>Depreciation &amp; Amortization</t>
        </is>
      </c>
      <c r="B61" s="596">
        <f>'Fixed Asset Schedules'!B9</f>
        <v/>
      </c>
      <c r="C61" s="596">
        <f>'Fixed Asset Schedules'!C9</f>
        <v/>
      </c>
      <c r="D61" s="596">
        <f>'Fixed Asset Schedules'!D9</f>
        <v/>
      </c>
      <c r="E61" s="596">
        <f>'Fixed Asset Schedules'!E9</f>
        <v/>
      </c>
      <c r="F61" s="596">
        <f>'Fixed Asset Schedules'!F9</f>
        <v/>
      </c>
      <c r="G61" s="596">
        <f>'Fixed Asset Schedules'!G9</f>
        <v/>
      </c>
      <c r="H61" s="596">
        <f>'Fixed Asset Schedules'!H9</f>
        <v/>
      </c>
      <c r="I61" s="596">
        <f>'Fixed Asset Schedules'!I9</f>
        <v/>
      </c>
      <c r="J61" s="596">
        <f>'Fixed Asset Schedules'!J9</f>
        <v/>
      </c>
      <c r="K61" s="596">
        <f>'Fixed Asset Schedules'!K9</f>
        <v/>
      </c>
      <c r="L61" s="596">
        <f>'Fixed Asset Schedules'!L9</f>
        <v/>
      </c>
      <c r="M61" s="596">
        <f>'Fixed Asset Schedules'!M9</f>
        <v/>
      </c>
      <c r="N61" s="596">
        <f>'Fixed Asset Schedules'!N9</f>
        <v/>
      </c>
      <c r="O61" s="596">
        <f>'Fixed Asset Schedules'!O9</f>
        <v/>
      </c>
      <c r="P61" s="596">
        <f>'Fixed Asset Schedules'!P9</f>
        <v/>
      </c>
      <c r="Q61" s="596">
        <f>'Fixed Asset Schedules'!Q9</f>
        <v/>
      </c>
      <c r="R61" s="596">
        <f>'Fixed Asset Schedules'!R9</f>
        <v/>
      </c>
      <c r="S61" s="596">
        <f>'Fixed Asset Schedules'!S9</f>
        <v/>
      </c>
      <c r="T61" s="596">
        <f>'Fixed Asset Schedules'!T9</f>
        <v/>
      </c>
      <c r="U61" s="596">
        <f>'Fixed Asset Schedules'!U9</f>
        <v/>
      </c>
      <c r="V61" s="596">
        <f>'Fixed Asset Schedules'!V9</f>
        <v/>
      </c>
      <c r="W61" s="596">
        <f>'Fixed Asset Schedules'!W9</f>
        <v/>
      </c>
      <c r="X61" s="596">
        <f>'Fixed Asset Schedules'!X9</f>
        <v/>
      </c>
      <c r="Y61" s="596">
        <f>'Fixed Asset Schedules'!Y9</f>
        <v/>
      </c>
      <c r="Z61" s="596">
        <f>'Fixed Asset Schedules'!Z9</f>
        <v/>
      </c>
      <c r="AA61" s="596">
        <f>'Fixed Asset Schedules'!AA9</f>
        <v/>
      </c>
      <c r="AB61" s="596">
        <f>'Fixed Asset Schedules'!AB9</f>
        <v/>
      </c>
      <c r="AC61" s="596">
        <f>'Fixed Asset Schedules'!AC9</f>
        <v/>
      </c>
      <c r="AD61" s="596">
        <f>'Fixed Asset Schedules'!AD9</f>
        <v/>
      </c>
      <c r="AE61" s="596">
        <f>'Fixed Asset Schedules'!AE9</f>
        <v/>
      </c>
      <c r="AF61" s="596">
        <f>'Fixed Asset Schedules'!AF9</f>
        <v/>
      </c>
      <c r="AG61" s="596">
        <f>'Fixed Asset Schedules'!AG9</f>
        <v/>
      </c>
      <c r="AH61" s="596">
        <f>'Fixed Asset Schedules'!AH9</f>
        <v/>
      </c>
      <c r="AI61" s="596">
        <f>'Fixed Asset Schedules'!AI9</f>
        <v/>
      </c>
      <c r="AJ61" s="596">
        <f>'Fixed Asset Schedules'!AJ9</f>
        <v/>
      </c>
      <c r="AK61" s="596">
        <f>'Fixed Asset Schedules'!AK9</f>
        <v/>
      </c>
      <c r="AL61" s="596">
        <f>'Fixed Asset Schedules'!AL9</f>
        <v/>
      </c>
      <c r="AM61" s="596">
        <f>'Fixed Asset Schedules'!AM9</f>
        <v/>
      </c>
      <c r="AN61" s="596">
        <f>'Fixed Asset Schedules'!AN9</f>
        <v/>
      </c>
      <c r="AO61" s="596">
        <f>'Fixed Asset Schedules'!AO9</f>
        <v/>
      </c>
      <c r="AP61" s="596">
        <f>'Fixed Asset Schedules'!AP9</f>
        <v/>
      </c>
      <c r="AQ61" s="596">
        <f>'Fixed Asset Schedules'!AQ9</f>
        <v/>
      </c>
      <c r="AR61" s="596">
        <f>'Fixed Asset Schedules'!AR9</f>
        <v/>
      </c>
      <c r="AS61" s="596">
        <f>'Fixed Asset Schedules'!AS9</f>
        <v/>
      </c>
      <c r="AT61" s="596">
        <f>'Fixed Asset Schedules'!AT9</f>
        <v/>
      </c>
      <c r="AU61" s="596">
        <f>'Fixed Asset Schedules'!AU9</f>
        <v/>
      </c>
      <c r="AV61" s="596">
        <f>'Fixed Asset Schedules'!AV9</f>
        <v/>
      </c>
      <c r="AW61" s="596">
        <f>'Fixed Asset Schedules'!AW9</f>
        <v/>
      </c>
      <c r="AX61" s="596">
        <f>'Fixed Asset Schedules'!AX9</f>
        <v/>
      </c>
      <c r="AY61" s="596">
        <f>'Fixed Asset Schedules'!AY9</f>
        <v/>
      </c>
      <c r="AZ61" s="596">
        <f>'Fixed Asset Schedules'!AZ9</f>
        <v/>
      </c>
      <c r="BA61" s="596">
        <f>'Fixed Asset Schedules'!BA9</f>
        <v/>
      </c>
      <c r="BB61" s="596">
        <f>'Fixed Asset Schedules'!BB9</f>
        <v/>
      </c>
      <c r="BC61" s="596">
        <f>'Fixed Asset Schedules'!BC9</f>
        <v/>
      </c>
      <c r="BD61" s="596">
        <f>'Fixed Asset Schedules'!BD9</f>
        <v/>
      </c>
      <c r="BE61" s="596">
        <f>'Fixed Asset Schedules'!BE9</f>
        <v/>
      </c>
      <c r="BF61" s="596">
        <f>'Fixed Asset Schedules'!BF9</f>
        <v/>
      </c>
      <c r="BG61" s="596">
        <f>'Fixed Asset Schedules'!BG9</f>
        <v/>
      </c>
      <c r="BH61" s="596">
        <f>'Fixed Asset Schedules'!BH9</f>
        <v/>
      </c>
      <c r="BI61" s="596">
        <f>'Fixed Asset Schedules'!BI9</f>
        <v/>
      </c>
    </row>
    <row r="62" customFormat="1" s="597">
      <c r="A62" s="610" t="inlineStr">
        <is>
          <t>Interest</t>
        </is>
      </c>
      <c r="B62" s="596" t="n">
        <v>0</v>
      </c>
      <c r="C62" s="596" t="n">
        <v>0</v>
      </c>
      <c r="D62" s="596" t="n">
        <v>0</v>
      </c>
      <c r="E62" s="596" t="n">
        <v>0</v>
      </c>
      <c r="F62" s="596" t="n">
        <v>0</v>
      </c>
      <c r="G62" s="596" t="n">
        <v>0</v>
      </c>
      <c r="H62" s="596" t="n">
        <v>0</v>
      </c>
      <c r="I62" s="596" t="n">
        <v>0</v>
      </c>
      <c r="J62" s="596" t="n">
        <v>0</v>
      </c>
      <c r="K62" s="596" t="n">
        <v>0</v>
      </c>
      <c r="L62" s="596" t="n">
        <v>0</v>
      </c>
      <c r="M62" s="596" t="n">
        <v>0</v>
      </c>
      <c r="N62" s="596" t="n">
        <v>0</v>
      </c>
      <c r="O62" s="596" t="n">
        <v>0</v>
      </c>
      <c r="P62" s="596" t="n">
        <v>0</v>
      </c>
      <c r="Q62" s="596" t="n">
        <v>0</v>
      </c>
      <c r="R62" s="596" t="n">
        <v>0</v>
      </c>
      <c r="S62" s="596" t="n">
        <v>0</v>
      </c>
      <c r="T62" s="596" t="n">
        <v>0</v>
      </c>
      <c r="U62" s="596" t="n">
        <v>0</v>
      </c>
      <c r="V62" s="596" t="n">
        <v>0</v>
      </c>
      <c r="W62" s="596" t="n">
        <v>0</v>
      </c>
      <c r="X62" s="596" t="n">
        <v>0</v>
      </c>
      <c r="Y62" s="596" t="n">
        <v>0</v>
      </c>
      <c r="Z62" s="596" t="n">
        <v>0</v>
      </c>
      <c r="AA62" s="596" t="n">
        <v>0</v>
      </c>
      <c r="AB62" s="596" t="n">
        <v>0</v>
      </c>
      <c r="AC62" s="596" t="n">
        <v>0</v>
      </c>
      <c r="AD62" s="596" t="n">
        <v>0</v>
      </c>
      <c r="AE62" s="596" t="n">
        <v>0</v>
      </c>
      <c r="AF62" s="596" t="n">
        <v>0</v>
      </c>
      <c r="AG62" s="596" t="n">
        <v>0</v>
      </c>
      <c r="AH62" s="596" t="n">
        <v>0</v>
      </c>
      <c r="AI62" s="596" t="n">
        <v>0</v>
      </c>
      <c r="AJ62" s="596" t="n">
        <v>0</v>
      </c>
      <c r="AK62" s="596" t="n">
        <v>0</v>
      </c>
      <c r="AL62" s="596" t="n">
        <v>0</v>
      </c>
      <c r="AM62" s="596" t="n">
        <v>0</v>
      </c>
      <c r="AN62" s="596" t="n">
        <v>0</v>
      </c>
      <c r="AO62" s="596" t="n">
        <v>0</v>
      </c>
      <c r="AP62" s="596" t="n">
        <v>0</v>
      </c>
      <c r="AQ62" s="596" t="n">
        <v>0</v>
      </c>
      <c r="AR62" s="596" t="n">
        <v>0</v>
      </c>
      <c r="AS62" s="596" t="n">
        <v>0</v>
      </c>
      <c r="AT62" s="596" t="n">
        <v>0</v>
      </c>
      <c r="AU62" s="596" t="n">
        <v>0</v>
      </c>
      <c r="AV62" s="596" t="n">
        <v>0</v>
      </c>
      <c r="AW62" s="596" t="n">
        <v>0</v>
      </c>
      <c r="AX62" s="596" t="n">
        <v>0</v>
      </c>
      <c r="AY62" s="596" t="n">
        <v>0</v>
      </c>
      <c r="AZ62" s="596" t="n">
        <v>0</v>
      </c>
      <c r="BA62" s="596" t="n">
        <v>0</v>
      </c>
      <c r="BB62" s="596" t="n">
        <v>0</v>
      </c>
      <c r="BC62" s="596" t="n">
        <v>0</v>
      </c>
      <c r="BD62" s="596" t="n">
        <v>0</v>
      </c>
      <c r="BE62" s="596" t="n">
        <v>0</v>
      </c>
      <c r="BF62" s="596" t="n">
        <v>0</v>
      </c>
      <c r="BG62" s="596" t="n">
        <v>0</v>
      </c>
      <c r="BH62" s="596" t="n">
        <v>0</v>
      </c>
      <c r="BI62" s="596" t="n">
        <v>0</v>
      </c>
    </row>
    <row r="63" customFormat="1" s="597">
      <c r="A63" s="618" t="n"/>
      <c r="B63" s="597" t="n"/>
      <c r="C63" s="597" t="n"/>
      <c r="D63" s="597" t="n"/>
      <c r="E63" s="596" t="n"/>
      <c r="F63" s="597" t="n"/>
      <c r="G63" s="597" t="n"/>
      <c r="H63" s="597" t="n"/>
      <c r="I63" s="597" t="n"/>
      <c r="J63" s="597" t="n"/>
      <c r="K63" s="597" t="n"/>
      <c r="L63" s="597" t="n"/>
      <c r="M63" s="597" t="n"/>
      <c r="N63" s="597" t="n"/>
      <c r="O63" s="597" t="n"/>
      <c r="P63" s="597" t="n"/>
      <c r="Q63" s="597" t="n"/>
      <c r="R63" s="597" t="n"/>
      <c r="S63" s="597" t="n"/>
      <c r="T63" s="597" t="n"/>
      <c r="U63" s="597" t="n"/>
      <c r="V63" s="597" t="n"/>
      <c r="W63" s="597" t="n"/>
      <c r="X63" s="597" t="n"/>
      <c r="Y63" s="597" t="n"/>
      <c r="Z63" s="597" t="n"/>
      <c r="AA63" s="597" t="n"/>
      <c r="AB63" s="597" t="n"/>
      <c r="AC63" s="597" t="n"/>
      <c r="AD63" s="597" t="n"/>
      <c r="AE63" s="597" t="n"/>
      <c r="AF63" s="597" t="n"/>
      <c r="AG63" s="597" t="n"/>
      <c r="AH63" s="597" t="n"/>
      <c r="AI63" s="597" t="n"/>
      <c r="AJ63" s="597" t="n"/>
      <c r="AK63" s="597" t="n"/>
      <c r="AL63" s="597" t="n"/>
      <c r="AM63" s="597" t="n"/>
      <c r="AN63" s="597" t="n"/>
      <c r="AO63" s="597" t="n"/>
      <c r="AP63" s="597" t="n"/>
      <c r="AQ63" s="597" t="n"/>
      <c r="AR63" s="597" t="n"/>
      <c r="AS63" s="597" t="n"/>
      <c r="AT63" s="597" t="n"/>
      <c r="AU63" s="597" t="n"/>
      <c r="AV63" s="597" t="n"/>
      <c r="AW63" s="597" t="n"/>
      <c r="AX63" s="597" t="n"/>
      <c r="AY63" s="597" t="n"/>
      <c r="AZ63" s="597" t="n"/>
      <c r="BA63" s="597" t="n"/>
      <c r="BB63" s="597" t="n"/>
      <c r="BC63" s="597" t="n"/>
      <c r="BD63" s="597" t="n"/>
      <c r="BE63" s="597" t="n"/>
      <c r="BF63" s="597" t="n"/>
      <c r="BG63" s="597" t="n"/>
      <c r="BH63" s="597" t="n"/>
      <c r="BI63" s="597" t="n"/>
    </row>
    <row r="64" customFormat="1" s="597">
      <c r="A64" s="619" t="inlineStr">
        <is>
          <t>Profit Before Tax (PBT)</t>
        </is>
      </c>
      <c r="B64" s="620">
        <f>+B58-B61-B62</f>
        <v/>
      </c>
      <c r="C64" s="620">
        <f>+C58-C61-C62</f>
        <v/>
      </c>
      <c r="D64" s="620">
        <f>+D58-D61-D62</f>
        <v/>
      </c>
      <c r="E64" s="620">
        <f>+E58-E61-E62</f>
        <v/>
      </c>
      <c r="F64" s="620">
        <f>+F58-F61-F62</f>
        <v/>
      </c>
      <c r="G64" s="620">
        <f>+G58-G61-G62</f>
        <v/>
      </c>
      <c r="H64" s="620">
        <f>+H58-H61-H62</f>
        <v/>
      </c>
      <c r="I64" s="620">
        <f>+I58-I61-I62</f>
        <v/>
      </c>
      <c r="J64" s="620">
        <f>+J58-J61-J62</f>
        <v/>
      </c>
      <c r="K64" s="620">
        <f>+K58-K61-K62</f>
        <v/>
      </c>
      <c r="L64" s="620">
        <f>+L58-L61-L62</f>
        <v/>
      </c>
      <c r="M64" s="620">
        <f>+M58-M61-M62</f>
        <v/>
      </c>
      <c r="N64" s="620">
        <f>+N58-N61-N62</f>
        <v/>
      </c>
      <c r="O64" s="620">
        <f>+O58-O61-O62</f>
        <v/>
      </c>
      <c r="P64" s="620">
        <f>+P58-P61-P62</f>
        <v/>
      </c>
      <c r="Q64" s="620">
        <f>+Q58-Q61-Q62</f>
        <v/>
      </c>
      <c r="R64" s="620">
        <f>+R58-R61-R62</f>
        <v/>
      </c>
      <c r="S64" s="620">
        <f>+S58-S61-S62</f>
        <v/>
      </c>
      <c r="T64" s="620">
        <f>+T58-T61-T62</f>
        <v/>
      </c>
      <c r="U64" s="620">
        <f>+U58-U61-U62</f>
        <v/>
      </c>
      <c r="V64" s="620">
        <f>+V58-V61-V62</f>
        <v/>
      </c>
      <c r="W64" s="620">
        <f>+W58-W61-W62</f>
        <v/>
      </c>
      <c r="X64" s="620">
        <f>+X58-X61-X62</f>
        <v/>
      </c>
      <c r="Y64" s="620">
        <f>+Y58-Y61-Y62</f>
        <v/>
      </c>
      <c r="Z64" s="620">
        <f>+Z58-Z61-Z62</f>
        <v/>
      </c>
      <c r="AA64" s="620">
        <f>+AA58-AA61-AA62</f>
        <v/>
      </c>
      <c r="AB64" s="620">
        <f>+AB58-AB61-AB62</f>
        <v/>
      </c>
      <c r="AC64" s="620">
        <f>+AC58-AC61-AC62</f>
        <v/>
      </c>
      <c r="AD64" s="620">
        <f>+AD58-AD61-AD62</f>
        <v/>
      </c>
      <c r="AE64" s="620">
        <f>+AE58-AE61-AE62</f>
        <v/>
      </c>
      <c r="AF64" s="620">
        <f>+AF58-AF61-AF62</f>
        <v/>
      </c>
      <c r="AG64" s="620">
        <f>+AG58-AG61-AG62</f>
        <v/>
      </c>
      <c r="AH64" s="620">
        <f>+AH58-AH61-AH62</f>
        <v/>
      </c>
      <c r="AI64" s="620">
        <f>+AI58-AI61-AI62</f>
        <v/>
      </c>
      <c r="AJ64" s="620">
        <f>+AJ58-AJ61-AJ62</f>
        <v/>
      </c>
      <c r="AK64" s="620">
        <f>+AK58-AK61-AK62</f>
        <v/>
      </c>
      <c r="AL64" s="620">
        <f>+AL58-AL61-AL62</f>
        <v/>
      </c>
      <c r="AM64" s="620">
        <f>+AM58-AM61-AM62</f>
        <v/>
      </c>
      <c r="AN64" s="620">
        <f>+AN58-AN61-AN62</f>
        <v/>
      </c>
      <c r="AO64" s="620">
        <f>+AO58-AO61-AO62</f>
        <v/>
      </c>
      <c r="AP64" s="620">
        <f>+AP58-AP61-AP62</f>
        <v/>
      </c>
      <c r="AQ64" s="620">
        <f>+AQ58-AQ61-AQ62</f>
        <v/>
      </c>
      <c r="AR64" s="620">
        <f>+AR58-AR61-AR62</f>
        <v/>
      </c>
      <c r="AS64" s="620">
        <f>+AS58-AS61-AS62</f>
        <v/>
      </c>
      <c r="AT64" s="620">
        <f>+AT58-AT61-AT62</f>
        <v/>
      </c>
      <c r="AU64" s="620">
        <f>+AU58-AU61-AU62</f>
        <v/>
      </c>
      <c r="AV64" s="620">
        <f>+AV58-AV61-AV62</f>
        <v/>
      </c>
      <c r="AW64" s="620">
        <f>+AW58-AW61-AW62</f>
        <v/>
      </c>
      <c r="AX64" s="620">
        <f>+AX58-AX61-AX62</f>
        <v/>
      </c>
      <c r="AY64" s="620">
        <f>+AY58-AY61-AY62</f>
        <v/>
      </c>
      <c r="AZ64" s="620">
        <f>+AZ58-AZ61-AZ62</f>
        <v/>
      </c>
      <c r="BA64" s="620">
        <f>+BA58-BA61-BA62</f>
        <v/>
      </c>
      <c r="BB64" s="620">
        <f>+BB58-BB61-BB62</f>
        <v/>
      </c>
      <c r="BC64" s="620">
        <f>+BC58-BC61-BC62</f>
        <v/>
      </c>
      <c r="BD64" s="620">
        <f>+BD58-BD61-BD62</f>
        <v/>
      </c>
      <c r="BE64" s="620">
        <f>+BE58-BE61-BE62</f>
        <v/>
      </c>
      <c r="BF64" s="620">
        <f>+BF58-BF61-BF62</f>
        <v/>
      </c>
      <c r="BG64" s="620">
        <f>+BG58-BG61-BG62</f>
        <v/>
      </c>
      <c r="BH64" s="620">
        <f>+BH58-BH61-BH62</f>
        <v/>
      </c>
      <c r="BI64" s="620">
        <f>+BI58-BI61-BI62</f>
        <v/>
      </c>
    </row>
    <row r="65" customFormat="1" s="597">
      <c r="A65" s="610" t="inlineStr">
        <is>
          <t>Tax Rate</t>
        </is>
      </c>
      <c r="B65" s="621">
        <f>IF(MONTH(B$5)=12,SUMIF([1]Sheet1!$C$5:$G$5,B$3,[1]Sheet1!$C$63:$G$63),0)</f>
        <v/>
      </c>
      <c r="C65" s="621">
        <f>IF(MONTH(C$5)=12,SUMIF([1]Sheet1!$C$5:$G$5,C$3,[1]Sheet1!$C$63:$G$63),0)</f>
        <v/>
      </c>
      <c r="D65" s="621">
        <f>IF(MONTH(D$5)=12,SUMIF([1]Sheet1!$C$5:$G$5,D$3,[1]Sheet1!$C$63:$G$63),0)</f>
        <v/>
      </c>
      <c r="E65" s="621">
        <f>IF(MONTH(E$5)=12,SUMIF([1]Sheet1!$C$5:$G$5,E$3,[1]Sheet1!$C$63:$G$63),0)</f>
        <v/>
      </c>
      <c r="F65" s="621">
        <f>IF(MONTH(F$5)=12,SUMIF([1]Sheet1!$C$5:$G$5,F$3,[1]Sheet1!$C$63:$G$63),0)</f>
        <v/>
      </c>
      <c r="G65" s="621">
        <f>IF(MONTH(G$5)=12,SUMIF([1]Sheet1!$C$5:$G$5,G$3,[1]Sheet1!$C$63:$G$63),0)</f>
        <v/>
      </c>
      <c r="H65" s="621">
        <f>IF(MONTH(H$5)=12,SUMIF([1]Sheet1!$C$5:$G$5,H$3,[1]Sheet1!$C$63:$G$63),0)</f>
        <v/>
      </c>
      <c r="I65" s="621">
        <f>IF(MONTH(I$5)=12,SUMIF([1]Sheet1!$C$5:$G$5,I$3,[1]Sheet1!$C$63:$G$63),0)</f>
        <v/>
      </c>
      <c r="J65" s="621">
        <f>IF(MONTH(J$5)=12,SUMIF([1]Sheet1!$C$5:$G$5,J$3,[1]Sheet1!$C$63:$G$63),0)</f>
        <v/>
      </c>
      <c r="K65" s="621">
        <f>IF(MONTH(K$5)=12,SUMIF([1]Sheet1!$C$5:$G$5,K$3,[1]Sheet1!$C$63:$G$63),0)</f>
        <v/>
      </c>
      <c r="L65" s="621">
        <f>IF(MONTH(L$5)=12,SUMIF([1]Sheet1!$C$5:$G$5,L$3,[1]Sheet1!$C$63:$G$63),0)</f>
        <v/>
      </c>
      <c r="M65" s="621">
        <f>IF(MONTH(M$5)=12,SUMIF([1]Sheet1!$C$5:$G$5,M$3,[1]Sheet1!$C$63:$G$63),0)</f>
        <v/>
      </c>
      <c r="N65" s="621">
        <f>IF(MONTH(N$5)=12,SUMIF([1]Sheet1!$C$5:$G$5,N$3,[1]Sheet1!$C$63:$G$63),0)</f>
        <v/>
      </c>
      <c r="O65" s="621">
        <f>IF(MONTH(O$5)=12,SUMIF([1]Sheet1!$C$5:$G$5,O$3,[1]Sheet1!$C$63:$G$63),0)</f>
        <v/>
      </c>
      <c r="P65" s="621">
        <f>IF(MONTH(P$5)=12,SUMIF([1]Sheet1!$C$5:$G$5,P$3,[1]Sheet1!$C$63:$G$63),0)</f>
        <v/>
      </c>
      <c r="Q65" s="621">
        <f>IF(MONTH(Q$5)=12,SUMIF([1]Sheet1!$C$5:$G$5,Q$3,[1]Sheet1!$C$63:$G$63),0)</f>
        <v/>
      </c>
      <c r="R65" s="621">
        <f>IF(MONTH(R$5)=12,SUMIF([1]Sheet1!$C$5:$G$5,R$3,[1]Sheet1!$C$63:$G$63),0)</f>
        <v/>
      </c>
      <c r="S65" s="621">
        <f>IF(MONTH(S$5)=12,SUMIF([1]Sheet1!$C$5:$G$5,S$3,[1]Sheet1!$C$63:$G$63),0)</f>
        <v/>
      </c>
      <c r="T65" s="621">
        <f>IF(MONTH(T$5)=12,SUMIF([1]Sheet1!$C$5:$G$5,T$3,[1]Sheet1!$C$63:$G$63),0)</f>
        <v/>
      </c>
      <c r="U65" s="621">
        <f>IF(MONTH(U$5)=12,SUMIF([1]Sheet1!$C$5:$G$5,U$3,[1]Sheet1!$C$63:$G$63),0)</f>
        <v/>
      </c>
      <c r="V65" s="621">
        <f>IF(MONTH(V$5)=12,SUMIF([1]Sheet1!$C$5:$G$5,V$3,[1]Sheet1!$C$63:$G$63),0)</f>
        <v/>
      </c>
      <c r="W65" s="621">
        <f>IF(MONTH(W$5)=12,SUMIF([1]Sheet1!$C$5:$G$5,W$3,[1]Sheet1!$C$63:$G$63),0)</f>
        <v/>
      </c>
      <c r="X65" s="621">
        <f>IF(MONTH(X$5)=12,SUMIF([1]Sheet1!$C$5:$G$5,X$3,[1]Sheet1!$C$63:$G$63),0)</f>
        <v/>
      </c>
      <c r="Y65" s="621">
        <f>IF(MONTH(Y$5)=12,SUMIF([1]Sheet1!$C$5:$G$5,Y$3,[1]Sheet1!$C$63:$G$63),0)</f>
        <v/>
      </c>
      <c r="Z65" s="621">
        <f>IF(MONTH(Z$5)=12,SUMIF([1]Sheet1!$C$5:$G$5,Z$3,[1]Sheet1!$C$63:$G$63),0)</f>
        <v/>
      </c>
      <c r="AA65" s="621">
        <f>IF(MONTH(AA$5)=12,SUMIF([1]Sheet1!$C$5:$G$5,AA$3,[1]Sheet1!$C$63:$G$63),0)</f>
        <v/>
      </c>
      <c r="AB65" s="621">
        <f>IF(MONTH(AB$5)=12,SUMIF([1]Sheet1!$C$5:$G$5,AB$3,[1]Sheet1!$C$63:$G$63),0)</f>
        <v/>
      </c>
      <c r="AC65" s="621">
        <f>IF(MONTH(AC$5)=12,SUMIF([1]Sheet1!$C$5:$G$5,AC$3,[1]Sheet1!$C$63:$G$63),0)</f>
        <v/>
      </c>
      <c r="AD65" s="621">
        <f>IF(MONTH(AD$5)=12,SUMIF([1]Sheet1!$C$5:$G$5,AD$3,[1]Sheet1!$C$63:$G$63),0)</f>
        <v/>
      </c>
      <c r="AE65" s="621">
        <f>IF(MONTH(AE$5)=12,SUMIF([1]Sheet1!$C$5:$G$5,AE$3,[1]Sheet1!$C$63:$G$63),0)</f>
        <v/>
      </c>
      <c r="AF65" s="621">
        <f>IF(MONTH(AF$5)=12,SUMIF([1]Sheet1!$C$5:$G$5,AF$3,[1]Sheet1!$C$63:$G$63),0)</f>
        <v/>
      </c>
      <c r="AG65" s="621">
        <f>IF(MONTH(AG$5)=12,SUMIF([1]Sheet1!$C$5:$G$5,AG$3,[1]Sheet1!$C$63:$G$63),0)</f>
        <v/>
      </c>
      <c r="AH65" s="621">
        <f>IF(MONTH(AH$5)=12,SUMIF([1]Sheet1!$C$5:$G$5,AH$3,[1]Sheet1!$C$63:$G$63),0)</f>
        <v/>
      </c>
      <c r="AI65" s="621">
        <f>IF(MONTH(AI$5)=12,SUMIF([1]Sheet1!$C$5:$G$5,AI$3,[1]Sheet1!$C$63:$G$63),0)</f>
        <v/>
      </c>
      <c r="AJ65" s="621">
        <f>IF(MONTH(AJ$5)=12,SUMIF([1]Sheet1!$C$5:$G$5,AJ$3,[1]Sheet1!$C$63:$G$63),0)</f>
        <v/>
      </c>
      <c r="AK65" s="621">
        <f>IF(MONTH(AK$5)=12,SUMIF([1]Sheet1!$C$5:$G$5,AK$3,[1]Sheet1!$C$63:$G$63),0)</f>
        <v/>
      </c>
      <c r="AL65" s="621">
        <f>IF(MONTH(AL$5)=12,SUMIF([1]Sheet1!$C$5:$G$5,AL$3,[1]Sheet1!$C$63:$G$63),0)</f>
        <v/>
      </c>
      <c r="AM65" s="621">
        <f>IF(MONTH(AM$5)=12,SUMIF([1]Sheet1!$C$5:$G$5,AM$3,[1]Sheet1!$C$63:$G$63),0)</f>
        <v/>
      </c>
      <c r="AN65" s="621">
        <f>IF(MONTH(AN$5)=12,SUMIF([1]Sheet1!$C$5:$G$5,AN$3,[1]Sheet1!$C$63:$G$63),0)</f>
        <v/>
      </c>
      <c r="AO65" s="621">
        <f>IF(MONTH(AO$5)=12,SUMIF([1]Sheet1!$C$5:$G$5,AO$3,[1]Sheet1!$C$63:$G$63),0)</f>
        <v/>
      </c>
      <c r="AP65" s="621">
        <f>IF(MONTH(AP$5)=12,SUMIF([1]Sheet1!$C$5:$G$5,AP$3,[1]Sheet1!$C$63:$G$63),0)</f>
        <v/>
      </c>
      <c r="AQ65" s="621">
        <f>IF(MONTH(AQ$5)=12,SUMIF([1]Sheet1!$C$5:$G$5,AQ$3,[1]Sheet1!$C$63:$G$63),0)</f>
        <v/>
      </c>
      <c r="AR65" s="621">
        <f>IF(MONTH(AR$5)=12,SUMIF([1]Sheet1!$C$5:$G$5,AR$3,[1]Sheet1!$C$63:$G$63),0)</f>
        <v/>
      </c>
      <c r="AS65" s="621">
        <f>IF(MONTH(AS$5)=12,SUMIF([1]Sheet1!$C$5:$G$5,AS$3,[1]Sheet1!$C$63:$G$63),0)</f>
        <v/>
      </c>
      <c r="AT65" s="621">
        <f>IF(MONTH(AT$5)=12,SUMIF([1]Sheet1!$C$5:$G$5,AT$3,[1]Sheet1!$C$63:$G$63),0)</f>
        <v/>
      </c>
      <c r="AU65" s="621">
        <f>IF(MONTH(AU$5)=12,SUMIF([1]Sheet1!$C$5:$G$5,AU$3,[1]Sheet1!$C$63:$G$63),0)</f>
        <v/>
      </c>
      <c r="AV65" s="621">
        <f>IF(MONTH(AV$5)=12,SUMIF([1]Sheet1!$C$5:$G$5,AV$3,[1]Sheet1!$C$63:$G$63),0)</f>
        <v/>
      </c>
      <c r="AW65" s="621">
        <f>IF(MONTH(AW$5)=12,SUMIF([1]Sheet1!$C$5:$G$5,AW$3,[1]Sheet1!$C$63:$G$63),0)</f>
        <v/>
      </c>
      <c r="AX65" s="621">
        <f>IF(MONTH(AX$5)=12,SUMIF([1]Sheet1!$C$5:$G$5,AX$3,[1]Sheet1!$C$63:$G$63),0)</f>
        <v/>
      </c>
      <c r="AY65" s="621">
        <f>IF(MONTH(AY$5)=12,SUMIF([1]Sheet1!$C$5:$G$5,AY$3,[1]Sheet1!$C$63:$G$63),0)</f>
        <v/>
      </c>
      <c r="AZ65" s="621">
        <f>IF(MONTH(AZ$5)=12,SUMIF([1]Sheet1!$C$5:$G$5,AZ$3,[1]Sheet1!$C$63:$G$63),0)</f>
        <v/>
      </c>
      <c r="BA65" s="621">
        <f>IF(MONTH(BA$5)=12,SUMIF([1]Sheet1!$C$5:$G$5,BA$3,[1]Sheet1!$C$63:$G$63),0)</f>
        <v/>
      </c>
      <c r="BB65" s="621">
        <f>IF(MONTH(BB$5)=12,SUMIF([1]Sheet1!$C$5:$G$5,BB$3,[1]Sheet1!$C$63:$G$63),0)</f>
        <v/>
      </c>
      <c r="BC65" s="621">
        <f>IF(MONTH(BC$5)=12,SUMIF([1]Sheet1!$C$5:$G$5,BC$3,[1]Sheet1!$C$63:$G$63),0)</f>
        <v/>
      </c>
      <c r="BD65" s="621">
        <f>IF(MONTH(BD$5)=12,SUMIF([1]Sheet1!$C$5:$G$5,BD$3,[1]Sheet1!$C$63:$G$63),0)</f>
        <v/>
      </c>
      <c r="BE65" s="621">
        <f>IF(MONTH(BE$5)=12,SUMIF([1]Sheet1!$C$5:$G$5,BE$3,[1]Sheet1!$C$63:$G$63),0)</f>
        <v/>
      </c>
      <c r="BF65" s="621">
        <f>IF(MONTH(BF$5)=12,SUMIF([1]Sheet1!$C$5:$G$5,BF$3,[1]Sheet1!$C$63:$G$63),0)</f>
        <v/>
      </c>
      <c r="BG65" s="621">
        <f>IF(MONTH(BG$5)=12,SUMIF([1]Sheet1!$C$5:$G$5,BG$3,[1]Sheet1!$C$63:$G$63),0)</f>
        <v/>
      </c>
      <c r="BH65" s="621">
        <f>IF(MONTH(BH$5)=12,SUMIF([1]Sheet1!$C$5:$G$5,BH$3,[1]Sheet1!$C$63:$G$63),0)</f>
        <v/>
      </c>
      <c r="BI65" s="621">
        <f>IF(MONTH(BI$5)=12,SUMIF([1]Sheet1!$C$5:$G$5,BI$3,[1]Sheet1!$C$63:$G$63),0)</f>
        <v/>
      </c>
    </row>
    <row r="66" customFormat="1" s="597">
      <c r="A66" s="610" t="n"/>
      <c r="B66" s="597" t="n"/>
      <c r="C66" s="597" t="n"/>
      <c r="D66" s="597" t="n"/>
      <c r="E66" s="597" t="n"/>
      <c r="F66" s="597" t="n"/>
      <c r="G66" s="597" t="n"/>
      <c r="H66" s="597" t="n"/>
      <c r="I66" s="597" t="n"/>
      <c r="J66" s="597" t="n"/>
      <c r="K66" s="597" t="n"/>
      <c r="L66" s="597" t="n"/>
      <c r="M66" s="597" t="n"/>
      <c r="N66" s="597" t="n"/>
      <c r="O66" s="597" t="n"/>
      <c r="P66" s="597" t="n"/>
      <c r="Q66" s="597" t="n"/>
      <c r="R66" s="597" t="n"/>
      <c r="S66" s="597" t="n"/>
      <c r="T66" s="597" t="n"/>
      <c r="U66" s="597" t="n"/>
      <c r="V66" s="597" t="n"/>
      <c r="W66" s="597" t="n"/>
      <c r="X66" s="597" t="n"/>
      <c r="Y66" s="597" t="n"/>
      <c r="Z66" s="597" t="n"/>
      <c r="AA66" s="597" t="n"/>
      <c r="AB66" s="597" t="n"/>
      <c r="AC66" s="597" t="n"/>
      <c r="AD66" s="597" t="n"/>
      <c r="AE66" s="597" t="n"/>
      <c r="AF66" s="597" t="n"/>
      <c r="AG66" s="597" t="n"/>
      <c r="AH66" s="597" t="n"/>
      <c r="AI66" s="597" t="n"/>
      <c r="AJ66" s="597" t="n"/>
      <c r="AK66" s="597" t="n"/>
      <c r="AL66" s="597" t="n"/>
      <c r="AM66" s="597" t="n"/>
      <c r="AN66" s="597" t="n"/>
      <c r="AO66" s="597" t="n"/>
      <c r="AP66" s="597" t="n"/>
      <c r="AQ66" s="597" t="n"/>
      <c r="AR66" s="597" t="n"/>
      <c r="AS66" s="597" t="n"/>
      <c r="AT66" s="597" t="n"/>
      <c r="AU66" s="597" t="n"/>
      <c r="AV66" s="597" t="n"/>
      <c r="AW66" s="597" t="n"/>
      <c r="AX66" s="597" t="n"/>
      <c r="AY66" s="597" t="n"/>
      <c r="AZ66" s="597" t="n"/>
      <c r="BA66" s="597" t="n"/>
      <c r="BB66" s="597" t="n"/>
      <c r="BC66" s="597" t="n"/>
      <c r="BD66" s="597" t="n"/>
      <c r="BE66" s="597" t="n"/>
      <c r="BF66" s="597" t="n"/>
      <c r="BG66" s="597" t="n"/>
      <c r="BH66" s="597" t="n"/>
      <c r="BI66" s="597" t="n"/>
    </row>
    <row r="67" ht="13" customFormat="1" customHeight="1" s="597" thickBot="1">
      <c r="A67" s="622" t="inlineStr">
        <is>
          <t>Profit After Tax (PAT)</t>
        </is>
      </c>
      <c r="B67" s="623">
        <f>+B64-B65</f>
        <v/>
      </c>
      <c r="C67" s="623">
        <f>+C64-C65</f>
        <v/>
      </c>
      <c r="D67" s="623">
        <f>+D64-D65</f>
        <v/>
      </c>
      <c r="E67" s="623">
        <f>+E64-E65</f>
        <v/>
      </c>
      <c r="F67" s="623">
        <f>+F64-F65</f>
        <v/>
      </c>
      <c r="G67" s="623">
        <f>+G64-G65</f>
        <v/>
      </c>
      <c r="H67" s="623">
        <f>+H64-H65</f>
        <v/>
      </c>
      <c r="I67" s="623">
        <f>+I64-I65</f>
        <v/>
      </c>
      <c r="J67" s="623">
        <f>+J64-J65</f>
        <v/>
      </c>
      <c r="K67" s="623">
        <f>+K64-K65</f>
        <v/>
      </c>
      <c r="L67" s="623">
        <f>+L64-L65</f>
        <v/>
      </c>
      <c r="M67" s="623">
        <f>+M64-M65</f>
        <v/>
      </c>
      <c r="N67" s="623">
        <f>+N64-N65</f>
        <v/>
      </c>
      <c r="O67" s="623">
        <f>+O64-O65</f>
        <v/>
      </c>
      <c r="P67" s="623">
        <f>+P64-P65</f>
        <v/>
      </c>
      <c r="Q67" s="623">
        <f>+Q64-Q65</f>
        <v/>
      </c>
      <c r="R67" s="623">
        <f>+R64-R65</f>
        <v/>
      </c>
      <c r="S67" s="623">
        <f>+S64-S65</f>
        <v/>
      </c>
      <c r="T67" s="623">
        <f>+T64-T65</f>
        <v/>
      </c>
      <c r="U67" s="623">
        <f>+U64-U65</f>
        <v/>
      </c>
      <c r="V67" s="623">
        <f>+V64-V65</f>
        <v/>
      </c>
      <c r="W67" s="623">
        <f>+W64-W65</f>
        <v/>
      </c>
      <c r="X67" s="623">
        <f>+X64-X65</f>
        <v/>
      </c>
      <c r="Y67" s="623">
        <f>+Y64-Y65</f>
        <v/>
      </c>
      <c r="Z67" s="623">
        <f>+Z64-Z65</f>
        <v/>
      </c>
      <c r="AA67" s="623">
        <f>+AA64-AA65</f>
        <v/>
      </c>
      <c r="AB67" s="623">
        <f>+AB64-AB65</f>
        <v/>
      </c>
      <c r="AC67" s="623">
        <f>+AC64-AC65</f>
        <v/>
      </c>
      <c r="AD67" s="623">
        <f>+AD64-AD65</f>
        <v/>
      </c>
      <c r="AE67" s="623">
        <f>+AE64-AE65</f>
        <v/>
      </c>
      <c r="AF67" s="623">
        <f>+AF64-AF65</f>
        <v/>
      </c>
      <c r="AG67" s="623">
        <f>+AG64-AG65</f>
        <v/>
      </c>
      <c r="AH67" s="623">
        <f>+AH64-AH65</f>
        <v/>
      </c>
      <c r="AI67" s="623">
        <f>+AI64-AI65</f>
        <v/>
      </c>
      <c r="AJ67" s="623">
        <f>+AJ64-AJ65</f>
        <v/>
      </c>
      <c r="AK67" s="623">
        <f>+AK64-AK65</f>
        <v/>
      </c>
      <c r="AL67" s="623">
        <f>+AL64-AL65</f>
        <v/>
      </c>
      <c r="AM67" s="623">
        <f>+AM64-AM65</f>
        <v/>
      </c>
      <c r="AN67" s="623">
        <f>+AN64-AN65</f>
        <v/>
      </c>
      <c r="AO67" s="623">
        <f>+AO64-AO65</f>
        <v/>
      </c>
      <c r="AP67" s="623">
        <f>+AP64-AP65</f>
        <v/>
      </c>
      <c r="AQ67" s="623">
        <f>+AQ64-AQ65</f>
        <v/>
      </c>
      <c r="AR67" s="623">
        <f>+AR64-AR65</f>
        <v/>
      </c>
      <c r="AS67" s="623">
        <f>+AS64-AS65</f>
        <v/>
      </c>
      <c r="AT67" s="623">
        <f>+AT64-AT65</f>
        <v/>
      </c>
      <c r="AU67" s="623">
        <f>+AU64-AU65</f>
        <v/>
      </c>
      <c r="AV67" s="623">
        <f>+AV64-AV65</f>
        <v/>
      </c>
      <c r="AW67" s="623">
        <f>+AW64-AW65</f>
        <v/>
      </c>
      <c r="AX67" s="623">
        <f>+AX64-AX65</f>
        <v/>
      </c>
      <c r="AY67" s="623">
        <f>+AY64-AY65</f>
        <v/>
      </c>
      <c r="AZ67" s="623">
        <f>+AZ64-AZ65</f>
        <v/>
      </c>
      <c r="BA67" s="623">
        <f>+BA64-BA65</f>
        <v/>
      </c>
      <c r="BB67" s="623">
        <f>+BB64-BB65</f>
        <v/>
      </c>
      <c r="BC67" s="623">
        <f>+BC64-BC65</f>
        <v/>
      </c>
      <c r="BD67" s="623">
        <f>+BD64-BD65</f>
        <v/>
      </c>
      <c r="BE67" s="623">
        <f>+BE64-BE65</f>
        <v/>
      </c>
      <c r="BF67" s="623">
        <f>+BF64-BF65</f>
        <v/>
      </c>
      <c r="BG67" s="623">
        <f>+BG64-BG65</f>
        <v/>
      </c>
      <c r="BH67" s="623">
        <f>+BH64-BH65</f>
        <v/>
      </c>
      <c r="BI67" s="623">
        <f>+BI64-BI65</f>
        <v/>
      </c>
    </row>
    <row r="68" ht="13" customHeight="1" s="497" thickTop="1">
      <c r="A68" s="624" t="inlineStr">
        <is>
          <t>PAT Margin (%)</t>
        </is>
      </c>
      <c r="B68" s="80">
        <f>+IF(B67&gt;0,B67/B14,"NA")</f>
        <v/>
      </c>
      <c r="C68" s="80">
        <f>+IF(C67&gt;0,C67/C14,"NA")</f>
        <v/>
      </c>
      <c r="D68" s="80">
        <f>+IF(D67&gt;0,D67/D14,"NA")</f>
        <v/>
      </c>
      <c r="E68" s="80">
        <f>+IF(E67&gt;0,E67/E14,"NA")</f>
        <v/>
      </c>
      <c r="F68" s="80">
        <f>+IF(F67&gt;0,F67/F14,"NA")</f>
        <v/>
      </c>
      <c r="G68" s="80">
        <f>+IF(G67&gt;0,G67/G14,"NA")</f>
        <v/>
      </c>
      <c r="H68" s="80">
        <f>+IF(H67&gt;0,H67/H14,"NA")</f>
        <v/>
      </c>
      <c r="I68" s="80">
        <f>+IF(I67&gt;0,I67/I14,"NA")</f>
        <v/>
      </c>
      <c r="J68" s="80">
        <f>+IF(J67&gt;0,J67/J14,"NA")</f>
        <v/>
      </c>
      <c r="K68" s="80">
        <f>+IF(K67&gt;0,K67/K14,"NA")</f>
        <v/>
      </c>
      <c r="L68" s="80">
        <f>+IF(L67&gt;0,L67/L14,"NA")</f>
        <v/>
      </c>
      <c r="M68" s="80">
        <f>+IF(M67&gt;0,M67/M14,"NA")</f>
        <v/>
      </c>
      <c r="N68" s="80">
        <f>+IF(N67&gt;0,N67/N14,"NA")</f>
        <v/>
      </c>
      <c r="O68" s="80">
        <f>+IF(O67&gt;0,O67/O14,"NA")</f>
        <v/>
      </c>
      <c r="P68" s="80">
        <f>+IF(P67&gt;0,P67/P14,"NA")</f>
        <v/>
      </c>
      <c r="Q68" s="80">
        <f>+IF(Q67&gt;0,Q67/Q14,"NA")</f>
        <v/>
      </c>
      <c r="R68" s="80">
        <f>+IF(R67&gt;0,R67/R14,"NA")</f>
        <v/>
      </c>
      <c r="S68" s="80">
        <f>+IF(S67&gt;0,S67/S14,"NA")</f>
        <v/>
      </c>
      <c r="T68" s="80">
        <f>+IF(T67&gt;0,T67/T14,"NA")</f>
        <v/>
      </c>
      <c r="U68" s="80">
        <f>+IF(U67&gt;0,U67/U14,"NA")</f>
        <v/>
      </c>
      <c r="V68" s="80">
        <f>+IF(V67&gt;0,V67/V14,"NA")</f>
        <v/>
      </c>
      <c r="W68" s="80">
        <f>+IF(W67&gt;0,W67/W14,"NA")</f>
        <v/>
      </c>
      <c r="X68" s="80">
        <f>+IF(X67&gt;0,X67/X14,"NA")</f>
        <v/>
      </c>
      <c r="Y68" s="80">
        <f>+IF(Y67&gt;0,Y67/Y14,"NA")</f>
        <v/>
      </c>
      <c r="Z68" s="80">
        <f>+IF(Z67&gt;0,Z67/Z14,"NA")</f>
        <v/>
      </c>
      <c r="AA68" s="80">
        <f>+IF(AA67&gt;0,AA67/AA14,"NA")</f>
        <v/>
      </c>
      <c r="AB68" s="80">
        <f>+IF(AB67&gt;0,AB67/AB14,"NA")</f>
        <v/>
      </c>
      <c r="AC68" s="80">
        <f>+IF(AC67&gt;0,AC67/AC14,"NA")</f>
        <v/>
      </c>
      <c r="AD68" s="80">
        <f>+IF(AD67&gt;0,AD67/AD14,"NA")</f>
        <v/>
      </c>
      <c r="AE68" s="80">
        <f>+IF(AE67&gt;0,AE67/AE14,"NA")</f>
        <v/>
      </c>
      <c r="AF68" s="80">
        <f>+IF(AF67&gt;0,AF67/AF14,"NA")</f>
        <v/>
      </c>
      <c r="AG68" s="80">
        <f>+IF(AG67&gt;0,AG67/AG14,"NA")</f>
        <v/>
      </c>
      <c r="AH68" s="80">
        <f>+IF(AH67&gt;0,AH67/AH14,"NA")</f>
        <v/>
      </c>
      <c r="AI68" s="80">
        <f>+IF(AI67&gt;0,AI67/AI14,"NA")</f>
        <v/>
      </c>
      <c r="AJ68" s="80">
        <f>+IF(AJ67&gt;0,AJ67/AJ14,"NA")</f>
        <v/>
      </c>
      <c r="AK68" s="80">
        <f>+IF(AK67&gt;0,AK67/AK14,"NA")</f>
        <v/>
      </c>
      <c r="AL68" s="80">
        <f>+IF(AL67&gt;0,AL67/AL14,"NA")</f>
        <v/>
      </c>
      <c r="AM68" s="80">
        <f>+IF(AM67&gt;0,AM67/AM14,"NA")</f>
        <v/>
      </c>
      <c r="AN68" s="80">
        <f>+IF(AN67&gt;0,AN67/AN14,"NA")</f>
        <v/>
      </c>
      <c r="AO68" s="80">
        <f>+IF(AO67&gt;0,AO67/AO14,"NA")</f>
        <v/>
      </c>
      <c r="AP68" s="80">
        <f>+IF(AP67&gt;0,AP67/AP14,"NA")</f>
        <v/>
      </c>
      <c r="AQ68" s="80">
        <f>+IF(AQ67&gt;0,AQ67/AQ14,"NA")</f>
        <v/>
      </c>
      <c r="AR68" s="80">
        <f>+IF(AR67&gt;0,AR67/AR14,"NA")</f>
        <v/>
      </c>
      <c r="AS68" s="80">
        <f>+IF(AS67&gt;0,AS67/AS14,"NA")</f>
        <v/>
      </c>
      <c r="AT68" s="80">
        <f>+IF(AT67&gt;0,AT67/AT14,"NA")</f>
        <v/>
      </c>
      <c r="AU68" s="80">
        <f>+IF(AU67&gt;0,AU67/AU14,"NA")</f>
        <v/>
      </c>
      <c r="AV68" s="80">
        <f>+IF(AV67&gt;0,AV67/AV14,"NA")</f>
        <v/>
      </c>
      <c r="AW68" s="80">
        <f>+IF(AW67&gt;0,AW67/AW14,"NA")</f>
        <v/>
      </c>
      <c r="AX68" s="80">
        <f>+IF(AX67&gt;0,AX67/AX14,"NA")</f>
        <v/>
      </c>
      <c r="AY68" s="80">
        <f>+IF(AY67&gt;0,AY67/AY14,"NA")</f>
        <v/>
      </c>
      <c r="AZ68" s="80">
        <f>+IF(AZ67&gt;0,AZ67/AZ14,"NA")</f>
        <v/>
      </c>
      <c r="BA68" s="80">
        <f>+IF(BA67&gt;0,BA67/BA14,"NA")</f>
        <v/>
      </c>
      <c r="BB68" s="80">
        <f>+IF(BB67&gt;0,BB67/BB14,"NA")</f>
        <v/>
      </c>
      <c r="BC68" s="80">
        <f>+IF(BC67&gt;0,BC67/BC14,"NA")</f>
        <v/>
      </c>
      <c r="BD68" s="80">
        <f>+IF(BD67&gt;0,BD67/BD14,"NA")</f>
        <v/>
      </c>
      <c r="BE68" s="80">
        <f>+IF(BE67&gt;0,BE67/BE14,"NA")</f>
        <v/>
      </c>
      <c r="BF68" s="80">
        <f>+IF(BF67&gt;0,BF67/BF14,"NA")</f>
        <v/>
      </c>
      <c r="BG68" s="80">
        <f>+IF(BG67&gt;0,BG67/BG14,"NA")</f>
        <v/>
      </c>
      <c r="BH68" s="80">
        <f>+IF(BH67&gt;0,BH67/BH14,"NA")</f>
        <v/>
      </c>
      <c r="BI68" s="80">
        <f>+IF(BI67&gt;0,BI67/BI14,"NA")</f>
        <v/>
      </c>
    </row>
    <row r="69"/>
    <row r="70"/>
    <row r="71">
      <c r="N71" s="625" t="n"/>
    </row>
    <row r="72"/>
    <row r="73"/>
    <row r="74"/>
    <row r="75"/>
    <row r="76">
      <c r="L76" s="3" t="inlineStr">
        <is>
          <t xml:space="preserve">        </t>
        </is>
      </c>
    </row>
    <row r="77"/>
    <row r="78"/>
    <row r="79"/>
    <row r="80"/>
    <row r="81">
      <c r="Z81" s="3" t="inlineStr">
        <is>
          <t xml:space="preserve"> </t>
        </is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 codeName="Sheet9">
    <tabColor rgb="FF92D050"/>
    <outlinePr summaryBelow="1" summaryRight="1"/>
    <pageSetUpPr fitToPage="1"/>
  </sheetPr>
  <dimension ref="A1:BC969"/>
  <sheetViews>
    <sheetView showGridLines="0" tabSelected="1" zoomScale="130" zoomScaleNormal="130" workbookViewId="0">
      <selection activeCell="B16" sqref="B16"/>
    </sheetView>
  </sheetViews>
  <sheetFormatPr baseColWidth="10" defaultColWidth="8.5" defaultRowHeight="12"/>
  <cols>
    <col width="48.83203125" bestFit="1" customWidth="1" style="3" min="1" max="1"/>
    <col width="36.5" bestFit="1" customWidth="1" style="3" min="2" max="2"/>
    <col width="14.6640625" bestFit="1" customWidth="1" style="3" min="3" max="3"/>
    <col width="15.5" bestFit="1" customWidth="1" style="3" min="4" max="5"/>
    <col width="13.83203125" customWidth="1" style="3" min="6" max="7"/>
    <col width="8.5" customWidth="1" style="3" min="8" max="16384"/>
  </cols>
  <sheetData>
    <row r="1" ht="26.25" customFormat="1" customHeight="1" s="106">
      <c r="A1" s="104" t="inlineStr">
        <is>
          <t>Vetalyx</t>
        </is>
      </c>
      <c r="C1" s="105" t="n"/>
      <c r="D1" s="112" t="n"/>
      <c r="E1" s="112" t="n"/>
      <c r="F1" s="112" t="n"/>
      <c r="G1" s="113" t="n"/>
      <c r="H1" s="105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</row>
    <row r="2" ht="34" customFormat="1" customHeight="1" s="108">
      <c r="A2" s="429" t="inlineStr">
        <is>
          <t>Compte de résultat annuel
Montants en €</t>
        </is>
      </c>
      <c r="B2" s="107" t="inlineStr">
        <is>
          <t>Annual Profit &amp; Loss Statement</t>
        </is>
      </c>
    </row>
    <row r="3" ht="13" customFormat="1" customHeight="1" s="108">
      <c r="B3" s="109" t="inlineStr">
        <is>
          <t>Amounts in €</t>
        </is>
      </c>
    </row>
    <row r="4" customFormat="1" s="108">
      <c r="A4" s="110" t="inlineStr">
        <is>
          <t>Hypothèses pour la période annuelle</t>
        </is>
      </c>
      <c r="B4" s="110" t="inlineStr">
        <is>
          <t>Assumptions for the Annual Period</t>
        </is>
      </c>
      <c r="C4" s="116">
        <f>+Controls!B5</f>
        <v/>
      </c>
      <c r="D4" s="116">
        <f>Controls!C5</f>
        <v/>
      </c>
      <c r="E4" s="116">
        <f>Controls!D5</f>
        <v/>
      </c>
      <c r="F4" s="116">
        <f>Controls!E5</f>
        <v/>
      </c>
      <c r="G4" s="116">
        <f>Controls!F5</f>
        <v/>
      </c>
    </row>
    <row r="5" hidden="1" customFormat="1" s="15">
      <c r="A5" s="14" t="inlineStr">
        <is>
          <t>SIM</t>
        </is>
      </c>
      <c r="B5" s="14" t="n"/>
      <c r="C5" s="399" t="n"/>
      <c r="D5" s="399" t="n"/>
      <c r="E5" s="399" t="n"/>
      <c r="F5" s="399" t="n"/>
      <c r="G5" s="399" t="n"/>
      <c r="H5" s="3" t="n"/>
    </row>
    <row r="6" hidden="1" customFormat="1" s="626">
      <c r="A6" s="1" t="inlineStr">
        <is>
          <t>Services</t>
        </is>
      </c>
      <c r="B6" s="1" t="inlineStr">
        <is>
          <t>Thermic Unit Sales</t>
        </is>
      </c>
      <c r="C6" s="627">
        <f>SUMIF('Monthly P&amp;L'!$B$3:$BI$3,C$4,'Monthly P&amp;L'!$B7:$BI7)</f>
        <v/>
      </c>
      <c r="D6" s="627">
        <f>SUMIF('Monthly P&amp;L'!$B$3:$BI$3,D$4,'Monthly P&amp;L'!$B7:$BI7)</f>
        <v/>
      </c>
      <c r="E6" s="627">
        <f>SUMIF('Monthly P&amp;L'!$B$3:$BI$3,E$4,'Monthly P&amp;L'!$B7:$BI7)</f>
        <v/>
      </c>
      <c r="F6" s="627">
        <f>SUMIF('Monthly P&amp;L'!$B$3:$BI$3,F$4,'Monthly P&amp;L'!$B7:$BI7)</f>
        <v/>
      </c>
      <c r="G6" s="627">
        <f>SUMIF('Monthly P&amp;L'!$B$3:$BI$3,G$4,'Monthly P&amp;L'!$B7:$BI7)</f>
        <v/>
      </c>
      <c r="H6" s="627" t="n"/>
    </row>
    <row r="7" hidden="1" customFormat="1" s="626">
      <c r="A7" s="1" t="inlineStr">
        <is>
          <t>Subventions à la R&amp;D</t>
        </is>
      </c>
      <c r="B7" s="1" t="inlineStr">
        <is>
          <t>Electric Unit Sales</t>
        </is>
      </c>
      <c r="C7" s="627">
        <f>SUMIF('Monthly P&amp;L'!$B$3:$BI$3,C$4,'Monthly P&amp;L'!$B8:$BI8)</f>
        <v/>
      </c>
      <c r="D7" s="627">
        <f>SUMIF('Monthly P&amp;L'!$B$3:$BI$3,D$4,'Monthly P&amp;L'!$B8:$BI8)</f>
        <v/>
      </c>
      <c r="E7" s="627">
        <f>SUMIF('Monthly P&amp;L'!$B$3:$BI$3,E$4,'Monthly P&amp;L'!$B8:$BI8)</f>
        <v/>
      </c>
      <c r="F7" s="627">
        <f>SUMIF('Monthly P&amp;L'!$B$3:$BI$3,F$4,'Monthly P&amp;L'!$B8:$BI8)</f>
        <v/>
      </c>
      <c r="G7" s="627">
        <f>SUMIF('Monthly P&amp;L'!$B$3:$BI$3,G$4,'Monthly P&amp;L'!$B8:$BI8)</f>
        <v/>
      </c>
      <c r="H7" s="587" t="n"/>
    </row>
    <row r="8" hidden="1" customFormat="1" s="587">
      <c r="A8" s="404" t="inlineStr">
        <is>
          <t>Chiffre d'affaires total</t>
        </is>
      </c>
      <c r="B8" s="404" t="inlineStr">
        <is>
          <t>Spare Parts and Aftermarket Services</t>
        </is>
      </c>
      <c r="C8" s="627">
        <f>SUMIF('Monthly P&amp;L'!$B$3:$BI$3,C$4,'Monthly P&amp;L'!$B9:$BI9)</f>
        <v/>
      </c>
      <c r="D8" s="627">
        <f>SUMIF('Monthly P&amp;L'!$B$3:$BI$3,D$4,'Monthly P&amp;L'!$B9:$BI9)</f>
        <v/>
      </c>
      <c r="E8" s="627">
        <f>SUMIF('Monthly P&amp;L'!$B$3:$BI$3,E$4,'Monthly P&amp;L'!$B9:$BI9)</f>
        <v/>
      </c>
      <c r="F8" s="627">
        <f>SUMIF('Monthly P&amp;L'!$B$3:$BI$3,F$4,'Monthly P&amp;L'!$B9:$BI9)</f>
        <v/>
      </c>
      <c r="G8" s="627">
        <f>SUMIF('Monthly P&amp;L'!$B$3:$BI$3,G$4,'Monthly P&amp;L'!$B9:$BI9)</f>
        <v/>
      </c>
    </row>
    <row r="9" customFormat="1" s="587">
      <c r="A9" s="404" t="n"/>
      <c r="B9" s="404" t="n"/>
      <c r="C9" s="627" t="n"/>
      <c r="D9" s="627" t="n"/>
      <c r="E9" s="627" t="n"/>
      <c r="F9" s="627" t="n"/>
      <c r="G9" s="627" t="n"/>
    </row>
    <row r="10" customFormat="1" s="587">
      <c r="A10" s="489" t="inlineStr">
        <is>
          <t>Chiffre d'affaires total</t>
        </is>
      </c>
      <c r="B10" s="489" t="inlineStr">
        <is>
          <t>Total Revenue</t>
        </is>
      </c>
      <c r="C10" s="628">
        <f>+Controls!B51</f>
        <v/>
      </c>
      <c r="D10" s="628">
        <f>+Controls!C51</f>
        <v/>
      </c>
      <c r="E10" s="628">
        <f>+Controls!D51</f>
        <v/>
      </c>
      <c r="F10" s="628">
        <f>+Controls!E51</f>
        <v/>
      </c>
      <c r="G10" s="628">
        <f>+Controls!F51</f>
        <v/>
      </c>
    </row>
    <row r="11" customFormat="1" s="629">
      <c r="A11" s="405" t="n"/>
      <c r="B11" s="405" t="inlineStr">
        <is>
          <t>TESTS SOLD</t>
        </is>
      </c>
      <c r="C11" s="630">
        <f>+C10/39</f>
        <v/>
      </c>
      <c r="D11" s="630">
        <f>+D10/39</f>
        <v/>
      </c>
      <c r="E11" s="630">
        <f>+E10/39</f>
        <v/>
      </c>
      <c r="F11" s="630">
        <f>+F10/39</f>
        <v/>
      </c>
      <c r="G11" s="630">
        <f>+G10/39</f>
        <v/>
      </c>
      <c r="H11" s="587" t="n"/>
    </row>
    <row r="12" hidden="1" customFormat="1" s="629">
      <c r="A12" s="1" t="inlineStr">
        <is>
          <t>SIM</t>
        </is>
      </c>
      <c r="B12" s="1" t="inlineStr">
        <is>
          <t>Thermic Units</t>
        </is>
      </c>
      <c r="C12" s="627" t="n">
        <v>0</v>
      </c>
      <c r="D12" s="627" t="n">
        <v>0</v>
      </c>
      <c r="E12" s="627" t="n">
        <v>0</v>
      </c>
      <c r="F12" s="627" t="n">
        <v>0</v>
      </c>
      <c r="G12" s="627" t="n">
        <v>0</v>
      </c>
      <c r="H12" s="587" t="n"/>
    </row>
    <row r="13" hidden="1" customFormat="1" s="629">
      <c r="A13" s="1" t="inlineStr">
        <is>
          <t>Services</t>
        </is>
      </c>
      <c r="B13" s="1" t="inlineStr">
        <is>
          <t>Electric Units</t>
        </is>
      </c>
      <c r="C13" s="627" t="n">
        <v>0</v>
      </c>
      <c r="D13" s="627" t="n">
        <v>0</v>
      </c>
      <c r="E13" s="627" t="n">
        <v>0</v>
      </c>
      <c r="F13" s="627" t="n">
        <v>0</v>
      </c>
      <c r="G13" s="627" t="n">
        <v>0</v>
      </c>
      <c r="H13" s="587" t="n"/>
    </row>
    <row r="14" hidden="1" customFormat="1" s="629">
      <c r="A14" s="1" t="inlineStr">
        <is>
          <t>Subventions à la R&amp;D</t>
        </is>
      </c>
      <c r="B14" s="1" t="inlineStr">
        <is>
          <t>Spare Parts and Aftermarket Services</t>
        </is>
      </c>
      <c r="C14" s="627" t="n">
        <v>0</v>
      </c>
      <c r="D14" s="627" t="n">
        <v>0</v>
      </c>
      <c r="E14" s="627" t="n">
        <v>0</v>
      </c>
      <c r="F14" s="627" t="n">
        <v>0</v>
      </c>
      <c r="G14" s="627" t="n">
        <v>0</v>
      </c>
      <c r="H14" s="587" t="n"/>
    </row>
    <row r="15" customFormat="1" s="629">
      <c r="A15" s="408" t="inlineStr">
        <is>
          <t>Coût total des marchandises vendues</t>
        </is>
      </c>
      <c r="B15" s="408" t="inlineStr">
        <is>
          <t xml:space="preserve">Total COGS </t>
        </is>
      </c>
      <c r="C15" s="631">
        <f>+'Expense Assumptions'!B27</f>
        <v/>
      </c>
      <c r="D15" s="631">
        <f>+'Expense Assumptions'!C27</f>
        <v/>
      </c>
      <c r="E15" s="631">
        <f>+'Expense Assumptions'!D27</f>
        <v/>
      </c>
      <c r="F15" s="631">
        <f>+'Expense Assumptions'!E27</f>
        <v/>
      </c>
      <c r="G15" s="631">
        <f>+'Expense Assumptions'!F27</f>
        <v/>
      </c>
    </row>
    <row r="16" customFormat="1" s="587">
      <c r="A16" s="17" t="inlineStr">
        <is>
          <t xml:space="preserve"> </t>
        </is>
      </c>
      <c r="B16" s="17" t="n"/>
      <c r="C16" s="632" t="n"/>
      <c r="D16" s="632" t="n"/>
      <c r="E16" s="632" t="n"/>
      <c r="F16" s="632" t="n"/>
      <c r="G16" s="633" t="n"/>
    </row>
    <row r="17" customFormat="1" s="587">
      <c r="A17" s="408" t="inlineStr">
        <is>
          <t>Bénéfice brut</t>
        </is>
      </c>
      <c r="B17" s="408" t="inlineStr">
        <is>
          <t>Gross Profit</t>
        </is>
      </c>
      <c r="C17" s="631">
        <f>C10-C15</f>
        <v/>
      </c>
      <c r="D17" s="631">
        <f>D10-D15</f>
        <v/>
      </c>
      <c r="E17" s="631">
        <f>E10-E15</f>
        <v/>
      </c>
      <c r="F17" s="631">
        <f>F10-F15</f>
        <v/>
      </c>
      <c r="G17" s="631">
        <f>G10-G15</f>
        <v/>
      </c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2" t="n"/>
      <c r="AE17" s="412" t="n"/>
      <c r="AF17" s="412" t="n"/>
      <c r="AG17" s="412" t="n"/>
      <c r="AH17" s="412" t="n"/>
      <c r="AI17" s="412" t="n"/>
      <c r="AJ17" s="412" t="n"/>
      <c r="AK17" s="412" t="n"/>
      <c r="AL17" s="412" t="n"/>
      <c r="AM17" s="412" t="n"/>
      <c r="AN17" s="412" t="n"/>
      <c r="AO17" s="412" t="n"/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2" t="n"/>
      <c r="BA17" s="412" t="n"/>
      <c r="BB17" s="412" t="n"/>
      <c r="BC17" s="412" t="n"/>
    </row>
    <row r="18" customFormat="1" s="587">
      <c r="A18" s="17" t="inlineStr">
        <is>
          <t xml:space="preserve"> </t>
        </is>
      </c>
      <c r="B18" s="17" t="n"/>
      <c r="C18" s="587" t="n"/>
      <c r="D18" s="587" t="n"/>
      <c r="E18" s="587" t="n"/>
      <c r="F18" s="587" t="n"/>
      <c r="G18" s="587" t="n"/>
    </row>
    <row r="19" customFormat="1" s="587">
      <c r="A19" s="587" t="inlineStr">
        <is>
          <t xml:space="preserve">  </t>
        </is>
      </c>
      <c r="C19" s="593" t="n"/>
      <c r="D19" s="593" t="n"/>
      <c r="E19" s="593" t="n"/>
      <c r="F19" s="593" t="n"/>
      <c r="G19" s="593" t="n"/>
    </row>
    <row r="20" customFormat="1" s="587">
      <c r="A20" s="408" t="inlineStr">
        <is>
          <t>Total des dépenses d'exploitation</t>
        </is>
      </c>
      <c r="B20" s="408" t="inlineStr">
        <is>
          <t>Total Operating Expenses</t>
        </is>
      </c>
      <c r="C20" s="634">
        <f>+Controls!B127</f>
        <v/>
      </c>
      <c r="D20" s="634">
        <f>+Controls!C127</f>
        <v/>
      </c>
      <c r="E20" s="634">
        <f>+Controls!D127</f>
        <v/>
      </c>
      <c r="F20" s="634">
        <f>+Controls!E127</f>
        <v/>
      </c>
      <c r="G20" s="634">
        <f>+Controls!F127</f>
        <v/>
      </c>
    </row>
    <row r="21" customFormat="1" s="587">
      <c r="A21" s="416" t="inlineStr">
        <is>
          <t>dépenses salariales</t>
        </is>
      </c>
      <c r="B21" s="416" t="inlineStr">
        <is>
          <t xml:space="preserve">Payroll Expenses </t>
        </is>
      </c>
      <c r="C21" s="627">
        <f>+'Expense Assumptions'!B70</f>
        <v/>
      </c>
      <c r="D21" s="627">
        <f>+'Expense Assumptions'!C70</f>
        <v/>
      </c>
      <c r="E21" s="627">
        <f>+'Expense Assumptions'!D70</f>
        <v/>
      </c>
      <c r="F21" s="627">
        <f>+'Expense Assumptions'!E70</f>
        <v/>
      </c>
      <c r="G21" s="627">
        <f>+'Expense Assumptions'!F70</f>
        <v/>
      </c>
    </row>
    <row r="22" customFormat="1" s="635">
      <c r="A22" s="1" t="inlineStr">
        <is>
          <t xml:space="preserve"> </t>
        </is>
      </c>
      <c r="B22" s="1" t="n"/>
      <c r="C22" s="636" t="n"/>
      <c r="D22" s="636" t="n"/>
      <c r="E22" s="636" t="n"/>
      <c r="F22" s="636" t="n"/>
      <c r="G22" s="636" t="n"/>
    </row>
    <row r="23" customFormat="1" s="587">
      <c r="A23" s="419" t="inlineStr">
        <is>
          <t>Total des dépenses d'exploitation, y compris la masse salariale</t>
        </is>
      </c>
      <c r="B23" s="419" t="inlineStr">
        <is>
          <t>Total Operating Expenses including Payroll</t>
        </is>
      </c>
      <c r="C23" s="637">
        <f>+C21+C20</f>
        <v/>
      </c>
      <c r="D23" s="637">
        <f>+D21+D20</f>
        <v/>
      </c>
      <c r="E23" s="637">
        <f>+E21+E20</f>
        <v/>
      </c>
      <c r="F23" s="637">
        <f>+F21+F20</f>
        <v/>
      </c>
      <c r="G23" s="637">
        <f>+G21+G20</f>
        <v/>
      </c>
    </row>
    <row r="24" customFormat="1" s="587">
      <c r="A24" s="3" t="inlineStr">
        <is>
          <t xml:space="preserve"> </t>
        </is>
      </c>
      <c r="B24" s="3" t="n"/>
      <c r="C24" s="627" t="n"/>
      <c r="D24" s="627" t="n"/>
      <c r="E24" s="627" t="n"/>
      <c r="F24" s="627" t="n"/>
      <c r="G24" s="627" t="n"/>
    </row>
    <row r="25" customFormat="1" s="587">
      <c r="A25" s="422" t="inlineStr">
        <is>
          <t>EBITDA</t>
        </is>
      </c>
      <c r="B25" s="422" t="inlineStr">
        <is>
          <t>EBITDA</t>
        </is>
      </c>
      <c r="C25" s="638">
        <f>+C17-C23</f>
        <v/>
      </c>
      <c r="D25" s="638">
        <f>+D17-D23</f>
        <v/>
      </c>
      <c r="E25" s="638">
        <f>+E17-E23</f>
        <v/>
      </c>
      <c r="F25" s="638">
        <f>+F17-F23</f>
        <v/>
      </c>
      <c r="G25" s="638">
        <f>+G17-G23</f>
        <v/>
      </c>
      <c r="H25" s="584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2" t="n"/>
      <c r="AE25" s="412" t="n"/>
      <c r="AF25" s="412" t="n"/>
      <c r="AG25" s="412" t="n"/>
      <c r="AH25" s="412" t="n"/>
      <c r="AI25" s="412" t="n"/>
      <c r="AJ25" s="412" t="n"/>
      <c r="AK25" s="412" t="n"/>
      <c r="AL25" s="412" t="n"/>
      <c r="AM25" s="412" t="n"/>
      <c r="AN25" s="412" t="n"/>
      <c r="AO25" s="412" t="n"/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2" t="n"/>
      <c r="BA25" s="412" t="n"/>
      <c r="BB25" s="412" t="n"/>
      <c r="BC25" s="412" t="n"/>
    </row>
    <row r="26" customFormat="1" s="587">
      <c r="A26" s="425" t="inlineStr">
        <is>
          <t xml:space="preserve"> </t>
        </is>
      </c>
      <c r="B26" s="425" t="n"/>
      <c r="C26" s="627" t="n"/>
      <c r="D26" s="627" t="n"/>
      <c r="E26" s="627" t="n"/>
      <c r="F26" s="627" t="n"/>
      <c r="G26" s="627" t="n"/>
    </row>
    <row r="27" customFormat="1" s="587">
      <c r="A27" s="416" t="inlineStr">
        <is>
          <t>Amortissement et dépréciation</t>
        </is>
      </c>
      <c r="B27" s="416" t="inlineStr">
        <is>
          <t>Depreciation &amp; Amortization</t>
        </is>
      </c>
      <c r="C27" s="627" t="n"/>
      <c r="D27" s="627" t="n"/>
      <c r="E27" s="627" t="n"/>
      <c r="F27" s="627" t="n"/>
      <c r="G27" s="627" t="n"/>
      <c r="H27" s="627" t="n"/>
    </row>
    <row r="28" customFormat="1" s="587">
      <c r="A28" s="610" t="inlineStr">
        <is>
          <t>Intérêt</t>
        </is>
      </c>
      <c r="B28" s="610" t="inlineStr">
        <is>
          <t>Interest</t>
        </is>
      </c>
      <c r="C28" s="627" t="n"/>
      <c r="D28" s="627" t="n"/>
      <c r="E28" s="627" t="n"/>
      <c r="F28" s="627" t="n"/>
      <c r="G28" s="627" t="n"/>
      <c r="H28" s="627" t="n"/>
    </row>
    <row r="29" customFormat="1" s="587">
      <c r="A29" s="426" t="inlineStr">
        <is>
          <t xml:space="preserve"> </t>
        </is>
      </c>
      <c r="B29" s="426" t="n"/>
      <c r="C29" s="593" t="n"/>
      <c r="D29" s="593" t="n"/>
      <c r="E29" s="593" t="n"/>
      <c r="F29" s="593" t="n"/>
      <c r="G29" s="593" t="n"/>
    </row>
    <row r="30" customFormat="1" s="635">
      <c r="A30" s="427" t="inlineStr">
        <is>
          <t>Bénéfice avant impôt (BAI)</t>
        </is>
      </c>
      <c r="B30" s="427" t="inlineStr">
        <is>
          <t>Profit Before Tax (PBT)</t>
        </is>
      </c>
      <c r="C30" s="639">
        <f>+C25-C27-C28</f>
        <v/>
      </c>
      <c r="D30" s="639">
        <f>+D25-D27-D28</f>
        <v/>
      </c>
      <c r="E30" s="639">
        <f>+E25-E27-E28</f>
        <v/>
      </c>
      <c r="F30" s="639">
        <f>+F25-F27-F28</f>
        <v/>
      </c>
      <c r="G30" s="639">
        <f>+G25-G27-G28</f>
        <v/>
      </c>
    </row>
    <row r="31">
      <c r="A31" s="416" t="inlineStr">
        <is>
          <t xml:space="preserve"> </t>
        </is>
      </c>
      <c r="B31" s="416" t="n"/>
      <c r="C31" s="412" t="n"/>
      <c r="D31" s="412" t="n"/>
      <c r="E31" s="412" t="n"/>
      <c r="F31" s="412" t="n"/>
      <c r="G31" s="412" t="n"/>
      <c r="H31" s="412" t="n"/>
      <c r="I31" s="412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  <c r="T31" s="412" t="n"/>
      <c r="U31" s="412" t="n"/>
      <c r="V31" s="412" t="n"/>
      <c r="W31" s="412" t="n"/>
      <c r="X31" s="412" t="n"/>
      <c r="Y31" s="412" t="n"/>
      <c r="Z31" s="412" t="n"/>
      <c r="AA31" s="412" t="n"/>
      <c r="AB31" s="412" t="n"/>
      <c r="AC31" s="412" t="n"/>
      <c r="AD31" s="412" t="n"/>
      <c r="AE31" s="412" t="n"/>
      <c r="AF31" s="412" t="n"/>
      <c r="AG31" s="412" t="n"/>
      <c r="AH31" s="412" t="n"/>
      <c r="AI31" s="412" t="n"/>
      <c r="AJ31" s="412" t="n"/>
      <c r="AK31" s="412" t="n"/>
      <c r="AL31" s="412" t="n"/>
      <c r="AM31" s="412" t="n"/>
      <c r="AN31" s="412" t="n"/>
      <c r="AO31" s="412" t="n"/>
      <c r="AP31" s="412" t="n"/>
      <c r="AQ31" s="412" t="n"/>
      <c r="AR31" s="412" t="n"/>
      <c r="AS31" s="412" t="n"/>
      <c r="AT31" s="412" t="n"/>
      <c r="AU31" s="412" t="n"/>
      <c r="AV31" s="412" t="n"/>
      <c r="AW31" s="412" t="n"/>
      <c r="AX31" s="412" t="n"/>
      <c r="AY31" s="412" t="n"/>
      <c r="AZ31" s="412" t="n"/>
      <c r="BA31" s="412" t="n"/>
      <c r="BB31" s="412" t="n"/>
      <c r="BC31" s="412" t="n"/>
    </row>
    <row r="32" ht="13" customHeight="1" s="497">
      <c r="A32" s="89" t="n"/>
    </row>
    <row r="33" ht="13" customHeight="1" s="497">
      <c r="A33" s="89" t="n"/>
    </row>
    <row r="34" ht="13" customHeight="1" s="497">
      <c r="A34" s="89" t="n"/>
    </row>
    <row r="35" ht="13" customHeight="1" s="497">
      <c r="A35" s="89" t="n"/>
    </row>
    <row r="36" ht="13" customHeight="1" s="497">
      <c r="A36" s="89" t="n"/>
    </row>
    <row r="37" ht="13" customHeight="1" s="497">
      <c r="A37" s="89" t="n"/>
    </row>
    <row r="38" ht="13" customHeight="1" s="497">
      <c r="A38" s="89" t="n"/>
    </row>
    <row r="39" ht="13" customHeight="1" s="497">
      <c r="A39" s="89" t="n"/>
    </row>
    <row r="40" ht="13" customHeight="1" s="497">
      <c r="A40" s="89" t="n"/>
    </row>
    <row r="41" ht="13" customHeight="1" s="497">
      <c r="A41" s="89" t="n"/>
    </row>
    <row r="42" ht="13" customHeight="1" s="497">
      <c r="A42" s="89" t="n"/>
    </row>
    <row r="43" ht="13" customHeight="1" s="497">
      <c r="A43" s="89" t="n"/>
    </row>
    <row r="44" ht="13" customHeight="1" s="497">
      <c r="A44" s="89" t="n"/>
    </row>
    <row r="45" ht="13" customHeight="1" s="497">
      <c r="A45" s="89" t="n"/>
    </row>
    <row r="46" ht="13" customHeight="1" s="497">
      <c r="A46" s="89" t="n"/>
    </row>
    <row r="47" ht="13" customHeight="1" s="497">
      <c r="A47" s="89" t="n"/>
    </row>
    <row r="48" ht="13" customHeight="1" s="497">
      <c r="A48" s="89" t="n"/>
    </row>
    <row r="49" ht="13" customHeight="1" s="497">
      <c r="A49" s="89" t="n"/>
    </row>
    <row r="50" ht="13" customHeight="1" s="497">
      <c r="A50" s="89" t="n"/>
    </row>
    <row r="51" ht="13" customHeight="1" s="497">
      <c r="A51" s="89" t="n"/>
    </row>
    <row r="52" ht="13" customHeight="1" s="497">
      <c r="A52" s="89" t="n"/>
    </row>
    <row r="53" ht="13" customHeight="1" s="497">
      <c r="A53" s="89" t="n"/>
    </row>
    <row r="54" ht="13" customHeight="1" s="497">
      <c r="A54" s="89" t="n"/>
    </row>
    <row r="55" ht="13" customHeight="1" s="497">
      <c r="A55" s="89" t="n"/>
    </row>
    <row r="56" ht="13" customHeight="1" s="497">
      <c r="A56" s="89" t="n"/>
    </row>
    <row r="57" ht="13" customHeight="1" s="497">
      <c r="A57" s="89" t="n"/>
    </row>
    <row r="58" ht="13" customHeight="1" s="497">
      <c r="A58" s="89" t="n"/>
    </row>
    <row r="59" ht="13" customHeight="1" s="497">
      <c r="A59" s="89" t="n"/>
    </row>
    <row r="60" ht="13" customHeight="1" s="497">
      <c r="A60" s="89" t="n"/>
    </row>
    <row r="61" ht="13" customHeight="1" s="497">
      <c r="A61" s="89" t="n"/>
    </row>
    <row r="62" ht="13" customHeight="1" s="497">
      <c r="A62" s="89" t="n"/>
    </row>
    <row r="63" ht="13" customHeight="1" s="497">
      <c r="A63" s="89" t="n"/>
    </row>
    <row r="64" ht="13" customHeight="1" s="497">
      <c r="A64" s="89" t="n"/>
    </row>
    <row r="65" ht="13" customHeight="1" s="497">
      <c r="A65" s="89" t="n"/>
    </row>
    <row r="66" ht="13" customHeight="1" s="497">
      <c r="A66" s="89" t="n"/>
    </row>
    <row r="67" ht="13" customHeight="1" s="497">
      <c r="A67" s="89" t="n"/>
    </row>
    <row r="68" ht="13" customHeight="1" s="497">
      <c r="A68" s="89" t="n"/>
    </row>
    <row r="69" ht="13" customHeight="1" s="497">
      <c r="A69" s="89" t="n"/>
    </row>
    <row r="70" ht="13" customHeight="1" s="497">
      <c r="A70" s="89" t="n"/>
    </row>
    <row r="71" ht="13" customHeight="1" s="497">
      <c r="A71" s="89" t="n"/>
    </row>
    <row r="72" ht="13" customHeight="1" s="497">
      <c r="A72" s="89" t="n"/>
    </row>
    <row r="73" ht="13" customHeight="1" s="497">
      <c r="A73" s="89" t="n"/>
    </row>
    <row r="74" ht="13" customHeight="1" s="497">
      <c r="A74" s="89" t="n"/>
    </row>
    <row r="75" ht="13" customHeight="1" s="497">
      <c r="A75" s="89" t="n"/>
    </row>
    <row r="76" ht="13" customHeight="1" s="497">
      <c r="A76" s="89" t="n"/>
    </row>
    <row r="77" ht="13" customHeight="1" s="497">
      <c r="A77" s="89" t="n"/>
    </row>
    <row r="78" ht="13" customHeight="1" s="497">
      <c r="A78" s="89" t="n"/>
    </row>
    <row r="79" ht="13" customHeight="1" s="497">
      <c r="A79" s="89" t="n"/>
    </row>
    <row r="80" ht="13" customHeight="1" s="497">
      <c r="A80" s="89" t="n"/>
    </row>
    <row r="81" ht="13" customHeight="1" s="497">
      <c r="A81" s="89" t="n"/>
    </row>
    <row r="82" ht="13" customHeight="1" s="497">
      <c r="A82" s="89" t="n"/>
    </row>
    <row r="83" ht="13" customHeight="1" s="497">
      <c r="A83" s="89" t="n"/>
    </row>
    <row r="84" ht="13" customHeight="1" s="497">
      <c r="A84" s="89" t="n"/>
    </row>
    <row r="85" ht="13" customHeight="1" s="497">
      <c r="A85" s="89" t="n"/>
    </row>
    <row r="86" ht="13" customHeight="1" s="497">
      <c r="A86" s="89" t="n"/>
    </row>
    <row r="87" ht="13" customHeight="1" s="497">
      <c r="A87" s="89" t="n"/>
    </row>
    <row r="88" ht="13" customHeight="1" s="497">
      <c r="A88" s="89" t="n"/>
    </row>
    <row r="89" ht="13" customHeight="1" s="497">
      <c r="A89" s="89" t="n"/>
    </row>
    <row r="90" ht="13" customHeight="1" s="497">
      <c r="A90" s="89" t="n"/>
    </row>
    <row r="91" ht="13" customHeight="1" s="497">
      <c r="A91" s="89" t="n"/>
    </row>
    <row r="92" ht="13" customHeight="1" s="497">
      <c r="A92" s="89" t="n"/>
    </row>
    <row r="93" ht="13" customHeight="1" s="497">
      <c r="A93" s="89" t="n"/>
    </row>
    <row r="94" ht="13" customHeight="1" s="497">
      <c r="A94" s="89" t="n"/>
    </row>
    <row r="95" ht="13" customHeight="1" s="497">
      <c r="A95" s="89" t="n"/>
    </row>
    <row r="96" ht="13" customHeight="1" s="497">
      <c r="A96" s="89" t="n"/>
    </row>
    <row r="97" ht="13" customHeight="1" s="497">
      <c r="A97" s="89" t="n"/>
    </row>
    <row r="98" ht="13" customHeight="1" s="497">
      <c r="A98" s="89" t="n"/>
    </row>
    <row r="99" ht="13" customHeight="1" s="497">
      <c r="A99" s="89" t="n"/>
    </row>
    <row r="100" ht="13" customHeight="1" s="497">
      <c r="A100" s="89" t="n"/>
    </row>
    <row r="101" ht="13" customHeight="1" s="497">
      <c r="A101" s="89" t="n"/>
    </row>
    <row r="102" ht="13" customHeight="1" s="497">
      <c r="A102" s="89" t="n"/>
    </row>
    <row r="103" ht="13" customHeight="1" s="497">
      <c r="A103" s="89" t="n"/>
    </row>
    <row r="104" ht="13" customHeight="1" s="497">
      <c r="A104" s="89" t="n"/>
    </row>
    <row r="105" ht="13" customHeight="1" s="497">
      <c r="A105" s="89" t="n"/>
    </row>
    <row r="106" ht="13" customHeight="1" s="497">
      <c r="A106" s="89" t="n"/>
    </row>
    <row r="107" ht="13" customHeight="1" s="497">
      <c r="A107" s="89" t="n"/>
    </row>
    <row r="108" ht="13" customHeight="1" s="497">
      <c r="A108" s="89" t="n"/>
    </row>
    <row r="109" ht="13" customHeight="1" s="497">
      <c r="A109" s="89" t="n"/>
    </row>
    <row r="110" ht="13" customHeight="1" s="497">
      <c r="A110" s="89" t="n"/>
    </row>
    <row r="111" ht="13" customHeight="1" s="497">
      <c r="A111" s="89" t="n"/>
    </row>
    <row r="112" ht="13" customHeight="1" s="497">
      <c r="A112" s="89" t="n"/>
    </row>
    <row r="113" ht="13" customHeight="1" s="497">
      <c r="A113" s="89" t="n"/>
    </row>
    <row r="114" ht="13" customHeight="1" s="497">
      <c r="A114" s="89" t="n"/>
    </row>
    <row r="115" ht="13" customHeight="1" s="497">
      <c r="A115" s="89" t="n"/>
    </row>
    <row r="116" ht="13" customHeight="1" s="497">
      <c r="A116" s="89" t="n"/>
    </row>
    <row r="117" ht="13" customHeight="1" s="497">
      <c r="A117" s="89" t="n"/>
    </row>
    <row r="118" ht="13" customHeight="1" s="497">
      <c r="A118" s="89" t="n"/>
    </row>
    <row r="119" ht="13" customHeight="1" s="497">
      <c r="A119" s="89" t="n"/>
    </row>
    <row r="120" ht="13" customHeight="1" s="497">
      <c r="A120" s="89" t="n"/>
    </row>
    <row r="121" ht="13" customHeight="1" s="497">
      <c r="A121" s="89" t="n"/>
    </row>
    <row r="122" ht="13" customHeight="1" s="497">
      <c r="A122" s="89" t="n"/>
    </row>
    <row r="123" ht="13" customHeight="1" s="497">
      <c r="A123" s="89" t="n"/>
    </row>
    <row r="124" ht="13" customHeight="1" s="497">
      <c r="A124" s="89" t="n"/>
    </row>
    <row r="125" ht="13" customHeight="1" s="497">
      <c r="A125" s="89" t="n"/>
    </row>
    <row r="126" ht="13" customHeight="1" s="497">
      <c r="A126" s="89" t="n"/>
    </row>
    <row r="127" ht="13" customHeight="1" s="497">
      <c r="A127" s="89" t="n"/>
    </row>
    <row r="128" ht="13" customHeight="1" s="497">
      <c r="A128" s="89" t="n"/>
    </row>
    <row r="129" ht="13" customHeight="1" s="497">
      <c r="A129" s="89" t="n"/>
    </row>
    <row r="130" ht="13" customHeight="1" s="497">
      <c r="A130" s="89" t="n"/>
    </row>
    <row r="131" ht="13" customHeight="1" s="497">
      <c r="A131" s="89" t="n"/>
    </row>
    <row r="132" ht="13" customHeight="1" s="497">
      <c r="A132" s="89" t="n"/>
    </row>
    <row r="133" ht="13" customHeight="1" s="497">
      <c r="A133" s="89" t="n"/>
    </row>
    <row r="134" ht="13" customHeight="1" s="497">
      <c r="A134" s="89" t="n"/>
    </row>
    <row r="135" ht="13" customHeight="1" s="497">
      <c r="A135" s="89" t="n"/>
    </row>
    <row r="136" ht="13" customHeight="1" s="497">
      <c r="A136" s="89" t="n"/>
    </row>
    <row r="137" ht="13" customHeight="1" s="497">
      <c r="A137" s="89" t="n"/>
    </row>
    <row r="138" ht="13" customHeight="1" s="497">
      <c r="A138" s="89" t="n"/>
    </row>
    <row r="139" ht="13" customHeight="1" s="497">
      <c r="A139" s="89" t="n"/>
    </row>
    <row r="140" ht="13" customHeight="1" s="497">
      <c r="A140" s="89" t="n"/>
    </row>
    <row r="141" ht="13" customHeight="1" s="497">
      <c r="A141" s="89" t="n"/>
    </row>
    <row r="142" ht="13" customHeight="1" s="497">
      <c r="A142" s="89" t="n"/>
    </row>
    <row r="143" ht="13" customHeight="1" s="497">
      <c r="A143" s="89" t="n"/>
    </row>
    <row r="144" ht="13" customHeight="1" s="497">
      <c r="A144" s="89" t="n"/>
    </row>
    <row r="145" ht="13" customHeight="1" s="497">
      <c r="A145" s="89" t="n"/>
    </row>
    <row r="146" ht="13" customHeight="1" s="497">
      <c r="A146" s="89" t="n"/>
    </row>
    <row r="147" ht="13" customHeight="1" s="497">
      <c r="A147" s="89" t="n"/>
    </row>
    <row r="148" ht="13" customHeight="1" s="497">
      <c r="A148" s="89" t="n"/>
    </row>
    <row r="149" ht="13" customHeight="1" s="497">
      <c r="A149" s="89" t="n"/>
    </row>
    <row r="150" ht="13" customHeight="1" s="497">
      <c r="A150" s="89" t="n"/>
    </row>
    <row r="151" ht="13" customHeight="1" s="497">
      <c r="A151" s="89" t="n"/>
    </row>
    <row r="152" ht="13" customHeight="1" s="497">
      <c r="A152" s="89" t="n"/>
    </row>
    <row r="153" ht="13" customHeight="1" s="497">
      <c r="A153" s="89" t="n"/>
    </row>
    <row r="154" ht="13" customHeight="1" s="497">
      <c r="A154" s="89" t="n"/>
    </row>
    <row r="155" ht="13" customHeight="1" s="497">
      <c r="A155" s="89" t="n"/>
    </row>
    <row r="156" ht="13" customHeight="1" s="497">
      <c r="A156" s="89" t="n"/>
    </row>
    <row r="157" ht="13" customHeight="1" s="497">
      <c r="A157" s="89" t="n"/>
    </row>
    <row r="158" ht="13" customHeight="1" s="497">
      <c r="A158" s="89" t="n"/>
    </row>
    <row r="159" ht="13" customHeight="1" s="497">
      <c r="A159" s="89" t="n"/>
    </row>
    <row r="160" ht="13" customHeight="1" s="497">
      <c r="A160" s="89" t="n"/>
    </row>
    <row r="161" ht="13" customHeight="1" s="497">
      <c r="A161" s="89" t="n"/>
    </row>
    <row r="162" ht="13" customHeight="1" s="497">
      <c r="A162" s="89" t="n"/>
    </row>
    <row r="163" ht="13" customHeight="1" s="497">
      <c r="A163" s="89" t="n"/>
    </row>
    <row r="164" ht="13" customHeight="1" s="497">
      <c r="A164" s="89" t="n"/>
    </row>
    <row r="165" ht="13" customHeight="1" s="497">
      <c r="A165" s="89" t="n"/>
    </row>
    <row r="166" ht="13" customHeight="1" s="497">
      <c r="A166" s="89" t="n"/>
    </row>
    <row r="167" ht="13" customHeight="1" s="497">
      <c r="A167" s="89" t="n"/>
    </row>
    <row r="168" ht="13" customHeight="1" s="497">
      <c r="A168" s="89" t="n"/>
    </row>
    <row r="169" ht="13" customHeight="1" s="497">
      <c r="A169" s="89" t="n"/>
    </row>
    <row r="170" ht="13" customHeight="1" s="497">
      <c r="A170" s="89" t="n"/>
    </row>
    <row r="171" ht="13" customHeight="1" s="497">
      <c r="A171" s="89" t="n"/>
    </row>
    <row r="172" ht="13" customHeight="1" s="497">
      <c r="A172" s="89" t="n"/>
    </row>
    <row r="173" ht="13" customHeight="1" s="497">
      <c r="A173" s="89" t="n"/>
    </row>
    <row r="174" ht="13" customHeight="1" s="497">
      <c r="A174" s="89" t="n"/>
    </row>
    <row r="175" ht="13" customHeight="1" s="497">
      <c r="A175" s="89" t="n"/>
    </row>
    <row r="176" ht="13" customHeight="1" s="497">
      <c r="A176" s="89" t="n"/>
    </row>
    <row r="177" ht="13" customHeight="1" s="497">
      <c r="A177" s="89" t="n"/>
    </row>
    <row r="178" ht="13" customHeight="1" s="497">
      <c r="A178" s="89" t="n"/>
    </row>
    <row r="179" ht="13" customHeight="1" s="497">
      <c r="A179" s="89" t="n"/>
    </row>
    <row r="180" ht="13" customHeight="1" s="497">
      <c r="A180" s="89" t="n"/>
    </row>
    <row r="181" ht="13" customHeight="1" s="497">
      <c r="A181" s="89" t="n"/>
    </row>
    <row r="182" ht="13" customHeight="1" s="497">
      <c r="A182" s="89" t="n"/>
    </row>
    <row r="183" ht="13" customHeight="1" s="497">
      <c r="A183" s="89" t="n"/>
    </row>
    <row r="184" ht="13" customHeight="1" s="497">
      <c r="A184" s="89" t="n"/>
    </row>
    <row r="185" ht="13" customHeight="1" s="497">
      <c r="A185" s="89" t="n"/>
    </row>
    <row r="186" ht="13" customHeight="1" s="497">
      <c r="A186" s="89" t="n"/>
    </row>
    <row r="187" ht="13" customHeight="1" s="497">
      <c r="A187" s="89" t="n"/>
    </row>
    <row r="188" ht="13" customHeight="1" s="497">
      <c r="A188" s="89" t="n"/>
    </row>
    <row r="189" ht="13" customHeight="1" s="497">
      <c r="A189" s="89" t="n"/>
    </row>
    <row r="190" ht="13" customHeight="1" s="497">
      <c r="A190" s="89" t="n"/>
    </row>
    <row r="191" ht="13" customHeight="1" s="497">
      <c r="A191" s="89" t="n"/>
    </row>
    <row r="192" ht="13" customHeight="1" s="497">
      <c r="A192" s="89" t="n"/>
    </row>
    <row r="193" ht="13" customHeight="1" s="497">
      <c r="A193" s="89" t="n"/>
    </row>
    <row r="194" ht="13" customHeight="1" s="497">
      <c r="A194" s="89" t="n"/>
    </row>
    <row r="195" ht="13" customHeight="1" s="497">
      <c r="A195" s="89" t="n"/>
    </row>
    <row r="196" ht="13" customHeight="1" s="497">
      <c r="A196" s="89" t="n"/>
    </row>
    <row r="197" ht="13" customHeight="1" s="497">
      <c r="A197" s="89" t="n"/>
    </row>
    <row r="198" ht="13" customHeight="1" s="497">
      <c r="A198" s="89" t="n"/>
    </row>
    <row r="199" ht="13" customHeight="1" s="497">
      <c r="A199" s="89" t="n"/>
    </row>
    <row r="200" ht="13" customHeight="1" s="497">
      <c r="A200" s="89" t="n"/>
    </row>
    <row r="201" ht="13" customHeight="1" s="497">
      <c r="A201" s="89" t="n"/>
    </row>
    <row r="202" ht="13" customHeight="1" s="497">
      <c r="A202" s="89" t="n"/>
    </row>
    <row r="203" ht="13" customHeight="1" s="497">
      <c r="A203" s="89" t="n"/>
    </row>
    <row r="204" ht="13" customHeight="1" s="497">
      <c r="A204" s="89" t="n"/>
    </row>
    <row r="205" ht="13" customHeight="1" s="497">
      <c r="A205" s="89" t="n"/>
    </row>
    <row r="206" ht="13" customHeight="1" s="497">
      <c r="A206" s="89" t="n"/>
    </row>
    <row r="207" ht="13" customHeight="1" s="497">
      <c r="A207" s="89" t="n"/>
    </row>
    <row r="208" ht="13" customHeight="1" s="497">
      <c r="A208" s="89" t="n"/>
    </row>
    <row r="209" ht="13" customHeight="1" s="497">
      <c r="A209" s="89" t="n"/>
    </row>
    <row r="210" ht="13" customHeight="1" s="497">
      <c r="A210" s="89" t="n"/>
    </row>
    <row r="211" ht="13" customHeight="1" s="497">
      <c r="A211" s="89" t="n"/>
    </row>
    <row r="212" ht="13" customHeight="1" s="497">
      <c r="A212" s="89" t="n"/>
    </row>
    <row r="213" ht="13" customHeight="1" s="497">
      <c r="A213" s="89" t="n"/>
    </row>
    <row r="214" ht="13" customHeight="1" s="497">
      <c r="A214" s="89" t="n"/>
    </row>
    <row r="215" ht="13" customHeight="1" s="497">
      <c r="A215" s="89" t="n"/>
    </row>
    <row r="216" ht="13" customHeight="1" s="497">
      <c r="A216" s="89" t="n"/>
    </row>
    <row r="217" ht="13" customHeight="1" s="497">
      <c r="A217" s="89" t="n"/>
    </row>
    <row r="218" ht="13" customHeight="1" s="497">
      <c r="A218" s="89" t="n"/>
    </row>
    <row r="219" ht="13" customHeight="1" s="497">
      <c r="A219" s="89" t="n"/>
    </row>
    <row r="220" ht="13" customHeight="1" s="497">
      <c r="A220" s="89" t="n"/>
    </row>
    <row r="221" ht="13" customHeight="1" s="497">
      <c r="A221" s="89" t="n"/>
    </row>
    <row r="222" ht="13" customHeight="1" s="497">
      <c r="A222" s="89" t="n"/>
    </row>
    <row r="223" ht="13" customHeight="1" s="497">
      <c r="A223" s="89" t="n"/>
    </row>
    <row r="224" ht="13" customHeight="1" s="497">
      <c r="A224" s="89" t="n"/>
    </row>
    <row r="225" ht="13" customHeight="1" s="497">
      <c r="A225" s="89" t="n"/>
    </row>
    <row r="226" ht="13" customHeight="1" s="497">
      <c r="A226" s="89" t="n"/>
    </row>
    <row r="227" ht="13" customHeight="1" s="497">
      <c r="A227" s="89" t="n"/>
    </row>
    <row r="228" ht="13" customHeight="1" s="497">
      <c r="A228" s="89" t="n"/>
    </row>
    <row r="229" ht="13" customHeight="1" s="497">
      <c r="A229" s="89" t="n"/>
    </row>
    <row r="230" ht="13" customHeight="1" s="497">
      <c r="A230" s="89" t="n"/>
    </row>
    <row r="231" ht="13" customHeight="1" s="497">
      <c r="A231" s="89" t="n"/>
    </row>
    <row r="232" ht="13" customHeight="1" s="497">
      <c r="A232" s="89" t="n"/>
    </row>
    <row r="233" ht="13" customHeight="1" s="497">
      <c r="A233" s="89" t="n"/>
    </row>
    <row r="234" ht="13" customHeight="1" s="497">
      <c r="A234" s="89" t="n"/>
    </row>
    <row r="235" ht="13" customHeight="1" s="497">
      <c r="A235" s="89" t="n"/>
    </row>
    <row r="236" ht="13" customHeight="1" s="497">
      <c r="A236" s="89" t="n"/>
    </row>
    <row r="237" ht="13" customHeight="1" s="497">
      <c r="A237" s="89" t="n"/>
    </row>
    <row r="238" ht="13" customHeight="1" s="497">
      <c r="A238" s="89" t="n"/>
    </row>
    <row r="239" ht="13" customHeight="1" s="497">
      <c r="A239" s="89" t="n"/>
    </row>
    <row r="240" ht="13" customHeight="1" s="497">
      <c r="A240" s="89" t="n"/>
    </row>
    <row r="241" ht="13" customHeight="1" s="497">
      <c r="A241" s="89" t="n"/>
    </row>
    <row r="242" ht="13" customHeight="1" s="497">
      <c r="A242" s="89" t="n"/>
    </row>
    <row r="243" ht="13" customHeight="1" s="497">
      <c r="A243" s="89" t="n"/>
    </row>
    <row r="244" ht="13" customHeight="1" s="497">
      <c r="A244" s="89" t="n"/>
    </row>
    <row r="245" ht="13" customHeight="1" s="497">
      <c r="A245" s="89" t="n"/>
    </row>
    <row r="246" ht="13" customHeight="1" s="497">
      <c r="A246" s="89" t="n"/>
    </row>
    <row r="247" ht="13" customHeight="1" s="497">
      <c r="A247" s="89" t="n"/>
    </row>
    <row r="248" ht="13" customHeight="1" s="497">
      <c r="A248" s="89" t="n"/>
    </row>
    <row r="249" ht="13" customHeight="1" s="497">
      <c r="A249" s="89" t="n"/>
    </row>
    <row r="250" ht="13" customHeight="1" s="497">
      <c r="A250" s="89" t="n"/>
    </row>
    <row r="251" ht="13" customHeight="1" s="497">
      <c r="A251" s="89" t="n"/>
    </row>
    <row r="252" ht="13" customHeight="1" s="497">
      <c r="A252" s="89" t="n"/>
    </row>
    <row r="253" ht="13" customHeight="1" s="497">
      <c r="A253" s="89" t="n"/>
    </row>
    <row r="254" ht="13" customHeight="1" s="497">
      <c r="A254" s="89" t="n"/>
    </row>
    <row r="255" ht="13" customHeight="1" s="497">
      <c r="A255" s="89" t="n"/>
    </row>
    <row r="256" ht="13" customHeight="1" s="497">
      <c r="A256" s="89" t="n"/>
    </row>
    <row r="257" ht="13" customHeight="1" s="497">
      <c r="A257" s="89" t="n"/>
    </row>
    <row r="258" ht="13" customHeight="1" s="497">
      <c r="A258" s="89" t="n"/>
    </row>
    <row r="259" ht="13" customHeight="1" s="497">
      <c r="A259" s="89" t="n"/>
    </row>
    <row r="260" ht="13" customHeight="1" s="497">
      <c r="A260" s="89" t="n"/>
    </row>
    <row r="261" ht="13" customHeight="1" s="497">
      <c r="A261" s="89" t="n"/>
    </row>
    <row r="262" ht="13" customHeight="1" s="497">
      <c r="A262" s="89" t="n"/>
    </row>
    <row r="263" ht="13" customHeight="1" s="497">
      <c r="A263" s="89" t="n"/>
    </row>
    <row r="264" ht="13" customHeight="1" s="497">
      <c r="A264" s="89" t="n"/>
    </row>
    <row r="265" ht="13" customHeight="1" s="497">
      <c r="A265" s="89" t="n"/>
    </row>
    <row r="266" ht="13" customHeight="1" s="497">
      <c r="A266" s="89" t="n"/>
    </row>
    <row r="267" ht="13" customHeight="1" s="497">
      <c r="A267" s="89" t="n"/>
    </row>
    <row r="268" ht="13" customHeight="1" s="497">
      <c r="A268" s="89" t="n"/>
    </row>
    <row r="269" ht="13" customHeight="1" s="497">
      <c r="A269" s="89" t="n"/>
    </row>
    <row r="270" ht="13" customHeight="1" s="497">
      <c r="A270" s="89" t="n"/>
    </row>
    <row r="271" ht="13" customHeight="1" s="497">
      <c r="A271" s="89" t="n"/>
    </row>
    <row r="272" ht="13" customHeight="1" s="497">
      <c r="A272" s="89" t="n"/>
    </row>
    <row r="273" ht="13" customHeight="1" s="497">
      <c r="A273" s="89" t="n"/>
    </row>
    <row r="274" ht="13" customHeight="1" s="497">
      <c r="A274" s="89" t="n"/>
    </row>
    <row r="275" ht="13" customHeight="1" s="497">
      <c r="A275" s="89" t="n"/>
    </row>
    <row r="276" ht="13" customHeight="1" s="497">
      <c r="A276" s="89" t="n"/>
    </row>
    <row r="277" ht="13" customHeight="1" s="497">
      <c r="A277" s="89" t="n"/>
    </row>
    <row r="278" ht="13" customHeight="1" s="497">
      <c r="A278" s="89" t="n"/>
    </row>
    <row r="279" ht="13" customHeight="1" s="497">
      <c r="A279" s="89" t="n"/>
    </row>
    <row r="280" ht="13" customHeight="1" s="497">
      <c r="A280" s="89" t="n"/>
    </row>
    <row r="281" ht="13" customHeight="1" s="497">
      <c r="A281" s="89" t="n"/>
    </row>
    <row r="282" ht="13" customHeight="1" s="497">
      <c r="A282" s="89" t="n"/>
    </row>
    <row r="283" ht="13" customHeight="1" s="497">
      <c r="A283" s="89" t="n"/>
    </row>
    <row r="284" ht="13" customHeight="1" s="497">
      <c r="A284" s="89" t="n"/>
    </row>
    <row r="285" ht="13" customHeight="1" s="497">
      <c r="A285" s="89" t="n"/>
    </row>
    <row r="286" ht="13" customHeight="1" s="497">
      <c r="A286" s="89" t="n"/>
    </row>
    <row r="287" ht="13" customHeight="1" s="497">
      <c r="A287" s="89" t="n"/>
    </row>
    <row r="288" ht="13" customHeight="1" s="497">
      <c r="A288" s="89" t="n"/>
    </row>
    <row r="289" ht="13" customHeight="1" s="497">
      <c r="A289" s="89" t="n"/>
    </row>
    <row r="290" ht="13" customHeight="1" s="497">
      <c r="A290" s="89" t="n"/>
    </row>
    <row r="291" ht="13" customHeight="1" s="497">
      <c r="A291" s="89" t="n"/>
    </row>
    <row r="292" ht="13" customHeight="1" s="497">
      <c r="A292" s="89" t="n"/>
    </row>
    <row r="293" ht="13" customHeight="1" s="497">
      <c r="A293" s="89" t="n"/>
    </row>
    <row r="294" ht="13" customHeight="1" s="497">
      <c r="A294" s="89" t="n"/>
    </row>
    <row r="295" ht="13" customHeight="1" s="497">
      <c r="A295" s="89" t="n"/>
    </row>
    <row r="296" ht="13" customHeight="1" s="497">
      <c r="A296" s="89" t="n"/>
    </row>
    <row r="297" ht="13" customHeight="1" s="497">
      <c r="A297" s="89" t="n"/>
    </row>
    <row r="298" ht="13" customHeight="1" s="497">
      <c r="A298" s="89" t="n"/>
    </row>
    <row r="299" ht="13" customHeight="1" s="497">
      <c r="A299" s="89" t="n"/>
    </row>
    <row r="300" ht="13" customHeight="1" s="497">
      <c r="A300" s="89" t="n"/>
    </row>
    <row r="301" ht="13" customHeight="1" s="497">
      <c r="A301" s="89" t="n"/>
    </row>
    <row r="302" ht="13" customHeight="1" s="497">
      <c r="A302" s="89" t="n"/>
    </row>
    <row r="303" ht="13" customHeight="1" s="497">
      <c r="A303" s="89" t="n"/>
    </row>
    <row r="304" ht="13" customHeight="1" s="497">
      <c r="A304" s="89" t="n"/>
    </row>
    <row r="305" ht="13" customHeight="1" s="497">
      <c r="A305" s="89" t="n"/>
    </row>
    <row r="306" ht="13" customHeight="1" s="497">
      <c r="A306" s="89" t="n"/>
    </row>
    <row r="307" ht="13" customHeight="1" s="497">
      <c r="A307" s="89" t="n"/>
    </row>
    <row r="308" ht="13" customHeight="1" s="497">
      <c r="A308" s="89" t="n"/>
    </row>
    <row r="309" ht="13" customHeight="1" s="497">
      <c r="A309" s="89" t="n"/>
    </row>
    <row r="310" ht="13" customHeight="1" s="497">
      <c r="A310" s="89" t="n"/>
    </row>
    <row r="311" ht="13" customHeight="1" s="497">
      <c r="A311" s="89" t="n"/>
    </row>
    <row r="312" ht="13" customHeight="1" s="497">
      <c r="A312" s="89" t="n"/>
    </row>
    <row r="313" ht="13" customHeight="1" s="497">
      <c r="A313" s="89" t="n"/>
    </row>
    <row r="314" ht="13" customHeight="1" s="497">
      <c r="A314" s="89" t="n"/>
    </row>
    <row r="315" ht="13" customHeight="1" s="497">
      <c r="A315" s="89" t="n"/>
    </row>
    <row r="316" ht="13" customHeight="1" s="497">
      <c r="A316" s="89" t="n"/>
    </row>
    <row r="317" ht="13" customHeight="1" s="497">
      <c r="A317" s="89" t="n"/>
    </row>
    <row r="318" ht="13" customHeight="1" s="497">
      <c r="A318" s="89" t="n"/>
    </row>
    <row r="319" ht="13" customHeight="1" s="497">
      <c r="A319" s="89" t="n"/>
    </row>
    <row r="320" ht="13" customHeight="1" s="497">
      <c r="A320" s="89" t="n"/>
    </row>
    <row r="321" ht="13" customHeight="1" s="497">
      <c r="A321" s="89" t="n"/>
    </row>
    <row r="322" ht="13" customHeight="1" s="497">
      <c r="A322" s="89" t="n"/>
    </row>
    <row r="323" ht="13" customHeight="1" s="497">
      <c r="A323" s="89" t="n"/>
    </row>
    <row r="324" ht="13" customHeight="1" s="497">
      <c r="A324" s="89" t="n"/>
    </row>
    <row r="325" ht="13" customHeight="1" s="497">
      <c r="A325" s="89" t="n"/>
    </row>
    <row r="326" ht="13" customHeight="1" s="497">
      <c r="A326" s="89" t="n"/>
    </row>
    <row r="327" ht="13" customHeight="1" s="497">
      <c r="A327" s="89" t="n"/>
    </row>
    <row r="328" ht="13" customHeight="1" s="497">
      <c r="A328" s="89" t="n"/>
    </row>
    <row r="329" ht="13" customHeight="1" s="497">
      <c r="A329" s="89" t="n"/>
    </row>
    <row r="330" ht="13" customHeight="1" s="497">
      <c r="A330" s="89" t="n"/>
    </row>
    <row r="331" ht="13" customHeight="1" s="497">
      <c r="A331" s="89" t="n"/>
    </row>
    <row r="332" ht="13" customHeight="1" s="497">
      <c r="A332" s="89" t="n"/>
    </row>
    <row r="333" ht="13" customHeight="1" s="497">
      <c r="A333" s="89" t="n"/>
    </row>
    <row r="334" ht="13" customHeight="1" s="497">
      <c r="A334" s="89" t="n"/>
    </row>
    <row r="335" ht="13" customHeight="1" s="497">
      <c r="A335" s="89" t="n"/>
    </row>
    <row r="336" ht="13" customHeight="1" s="497">
      <c r="A336" s="89" t="n"/>
    </row>
    <row r="337" ht="13" customHeight="1" s="497">
      <c r="A337" s="89" t="n"/>
    </row>
    <row r="338" ht="13" customHeight="1" s="497">
      <c r="A338" s="89" t="n"/>
    </row>
    <row r="339" ht="13" customHeight="1" s="497">
      <c r="A339" s="89" t="n"/>
    </row>
    <row r="340" ht="13" customHeight="1" s="497">
      <c r="A340" s="89" t="n"/>
    </row>
    <row r="341" ht="13" customHeight="1" s="497">
      <c r="A341" s="89" t="n"/>
    </row>
    <row r="342" ht="13" customHeight="1" s="497">
      <c r="A342" s="89" t="n"/>
    </row>
    <row r="343" ht="13" customHeight="1" s="497">
      <c r="A343" s="89" t="n"/>
    </row>
    <row r="344" ht="13" customHeight="1" s="497">
      <c r="A344" s="89" t="n"/>
    </row>
    <row r="345" ht="13" customHeight="1" s="497">
      <c r="A345" s="89" t="n"/>
    </row>
    <row r="346" ht="13" customHeight="1" s="497">
      <c r="A346" s="89" t="n"/>
    </row>
    <row r="347" ht="13" customHeight="1" s="497">
      <c r="A347" s="89" t="n"/>
    </row>
    <row r="348" ht="13" customHeight="1" s="497">
      <c r="A348" s="89" t="n"/>
    </row>
    <row r="349" ht="13" customHeight="1" s="497">
      <c r="A349" s="89" t="n"/>
    </row>
    <row r="350" ht="13" customHeight="1" s="497">
      <c r="A350" s="89" t="n"/>
    </row>
    <row r="351" ht="13" customHeight="1" s="497">
      <c r="A351" s="89" t="n"/>
    </row>
    <row r="352" ht="13" customHeight="1" s="497">
      <c r="A352" s="89" t="n"/>
    </row>
    <row r="353" ht="13" customHeight="1" s="497">
      <c r="A353" s="89" t="n"/>
    </row>
    <row r="354" ht="13" customHeight="1" s="497">
      <c r="A354" s="89" t="n"/>
    </row>
    <row r="355" ht="13" customHeight="1" s="497">
      <c r="A355" s="89" t="n"/>
    </row>
    <row r="356" ht="13" customHeight="1" s="497">
      <c r="A356" s="89" t="n"/>
    </row>
    <row r="357" ht="13" customHeight="1" s="497">
      <c r="A357" s="89" t="n"/>
    </row>
    <row r="358" ht="13" customHeight="1" s="497">
      <c r="A358" s="89" t="n"/>
    </row>
    <row r="359" ht="13" customHeight="1" s="497">
      <c r="A359" s="89" t="n"/>
    </row>
    <row r="360" ht="13" customHeight="1" s="497">
      <c r="A360" s="89" t="n"/>
    </row>
    <row r="361" ht="13" customHeight="1" s="497">
      <c r="A361" s="89" t="n"/>
    </row>
    <row r="362" ht="13" customHeight="1" s="497">
      <c r="A362" s="89" t="n"/>
    </row>
    <row r="363" ht="13" customHeight="1" s="497">
      <c r="A363" s="89" t="n"/>
    </row>
    <row r="364" ht="13" customHeight="1" s="497">
      <c r="A364" s="89" t="n"/>
    </row>
    <row r="365" ht="13" customHeight="1" s="497">
      <c r="A365" s="89" t="n"/>
    </row>
    <row r="366" ht="13" customHeight="1" s="497">
      <c r="A366" s="89" t="n"/>
    </row>
    <row r="367" ht="13" customHeight="1" s="497">
      <c r="A367" s="89" t="n"/>
    </row>
    <row r="368" ht="13" customHeight="1" s="497">
      <c r="A368" s="89" t="n"/>
    </row>
    <row r="369" ht="13" customHeight="1" s="497">
      <c r="A369" s="89" t="n"/>
    </row>
    <row r="370" ht="13" customHeight="1" s="497">
      <c r="A370" s="89" t="n"/>
    </row>
    <row r="371" ht="13" customHeight="1" s="497">
      <c r="A371" s="89" t="n"/>
    </row>
    <row r="372" ht="13" customHeight="1" s="497">
      <c r="A372" s="89" t="n"/>
    </row>
    <row r="373" ht="13" customHeight="1" s="497">
      <c r="A373" s="89" t="n"/>
    </row>
    <row r="374" ht="13" customHeight="1" s="497">
      <c r="A374" s="89" t="n"/>
    </row>
    <row r="375" ht="13" customHeight="1" s="497">
      <c r="A375" s="89" t="n"/>
    </row>
    <row r="376" ht="13" customHeight="1" s="497">
      <c r="A376" s="89" t="n"/>
    </row>
    <row r="377" ht="13" customHeight="1" s="497">
      <c r="A377" s="89" t="n"/>
    </row>
    <row r="378" ht="13" customHeight="1" s="497">
      <c r="A378" s="89" t="n"/>
    </row>
    <row r="379" ht="13" customHeight="1" s="497">
      <c r="A379" s="89" t="n"/>
    </row>
    <row r="380" ht="13" customHeight="1" s="497">
      <c r="A380" s="89" t="n"/>
    </row>
    <row r="381" ht="13" customHeight="1" s="497">
      <c r="A381" s="89" t="n"/>
    </row>
    <row r="382" ht="13" customHeight="1" s="497">
      <c r="A382" s="89" t="n"/>
    </row>
    <row r="383" ht="13" customHeight="1" s="497">
      <c r="A383" s="89" t="n"/>
    </row>
    <row r="384" ht="13" customHeight="1" s="497">
      <c r="A384" s="89" t="n"/>
    </row>
    <row r="385" ht="13" customHeight="1" s="497">
      <c r="A385" s="89" t="n"/>
    </row>
    <row r="386" ht="13" customHeight="1" s="497">
      <c r="A386" s="89" t="n"/>
    </row>
    <row r="387" ht="13" customHeight="1" s="497">
      <c r="A387" s="89" t="n"/>
    </row>
    <row r="388" ht="13" customHeight="1" s="497">
      <c r="A388" s="89" t="n"/>
    </row>
    <row r="389" ht="13" customHeight="1" s="497">
      <c r="A389" s="89" t="n"/>
    </row>
    <row r="390" ht="13" customHeight="1" s="497">
      <c r="A390" s="89" t="n"/>
    </row>
    <row r="391" ht="13" customHeight="1" s="497">
      <c r="A391" s="89" t="n"/>
    </row>
    <row r="392" ht="13" customHeight="1" s="497">
      <c r="A392" s="89" t="n"/>
    </row>
    <row r="393" ht="13" customHeight="1" s="497">
      <c r="A393" s="89" t="n"/>
    </row>
    <row r="394" ht="13" customHeight="1" s="497">
      <c r="A394" s="89" t="n"/>
    </row>
    <row r="395" ht="13" customHeight="1" s="497">
      <c r="A395" s="89" t="n"/>
    </row>
    <row r="396" ht="13" customHeight="1" s="497">
      <c r="A396" s="89" t="n"/>
    </row>
    <row r="397" ht="13" customHeight="1" s="497">
      <c r="A397" s="89" t="n"/>
    </row>
    <row r="398" ht="13" customHeight="1" s="497">
      <c r="A398" s="89" t="n"/>
    </row>
    <row r="399" ht="13" customHeight="1" s="497">
      <c r="A399" s="89" t="n"/>
    </row>
    <row r="400" ht="13" customHeight="1" s="497">
      <c r="A400" s="89" t="n"/>
    </row>
    <row r="401" ht="13" customHeight="1" s="497">
      <c r="A401" s="89" t="n"/>
    </row>
    <row r="402" ht="13" customHeight="1" s="497">
      <c r="A402" s="89" t="n"/>
    </row>
    <row r="403" ht="13" customHeight="1" s="497">
      <c r="A403" s="89" t="n"/>
    </row>
    <row r="404" ht="13" customHeight="1" s="497">
      <c r="A404" s="89" t="n"/>
    </row>
    <row r="405" ht="13" customHeight="1" s="497">
      <c r="A405" s="89" t="n"/>
    </row>
    <row r="406" ht="13" customHeight="1" s="497">
      <c r="A406" s="89" t="n"/>
    </row>
    <row r="407" ht="13" customHeight="1" s="497">
      <c r="A407" s="89" t="n"/>
    </row>
    <row r="408" ht="13" customHeight="1" s="497">
      <c r="A408" s="89" t="n"/>
    </row>
    <row r="409" ht="13" customHeight="1" s="497">
      <c r="A409" s="89" t="n"/>
    </row>
    <row r="410" ht="13" customHeight="1" s="497">
      <c r="A410" s="89" t="n"/>
    </row>
    <row r="411" ht="13" customHeight="1" s="497">
      <c r="A411" s="89" t="n"/>
    </row>
    <row r="412" ht="13" customHeight="1" s="497">
      <c r="A412" s="89" t="n"/>
    </row>
    <row r="413" ht="13" customHeight="1" s="497">
      <c r="A413" s="89" t="n"/>
    </row>
    <row r="414" ht="13" customHeight="1" s="497">
      <c r="A414" s="89" t="n"/>
    </row>
    <row r="415" ht="13" customHeight="1" s="497">
      <c r="A415" s="89" t="n"/>
    </row>
    <row r="416" ht="13" customHeight="1" s="497">
      <c r="A416" s="89" t="n"/>
    </row>
    <row r="417" ht="13" customHeight="1" s="497">
      <c r="A417" s="89" t="n"/>
    </row>
    <row r="418" ht="13" customHeight="1" s="497">
      <c r="A418" s="89" t="n"/>
    </row>
    <row r="419" ht="13" customHeight="1" s="497">
      <c r="A419" s="89" t="n"/>
    </row>
    <row r="420" ht="13" customHeight="1" s="497">
      <c r="A420" s="89" t="n"/>
    </row>
    <row r="421" ht="13" customHeight="1" s="497">
      <c r="A421" s="89" t="n"/>
    </row>
    <row r="422" ht="13" customHeight="1" s="497">
      <c r="A422" s="89" t="n"/>
    </row>
    <row r="423" ht="13" customHeight="1" s="497">
      <c r="A423" s="89" t="n"/>
    </row>
    <row r="424" ht="13" customHeight="1" s="497">
      <c r="A424" s="89" t="n"/>
    </row>
    <row r="425" ht="13" customHeight="1" s="497">
      <c r="A425" s="89" t="n"/>
    </row>
    <row r="426" ht="13" customHeight="1" s="497">
      <c r="A426" s="89" t="n"/>
    </row>
    <row r="427" ht="13" customHeight="1" s="497">
      <c r="A427" s="89" t="n"/>
    </row>
    <row r="428" ht="13" customHeight="1" s="497">
      <c r="A428" s="89" t="n"/>
    </row>
    <row r="429" ht="13" customHeight="1" s="497">
      <c r="A429" s="89" t="n"/>
    </row>
    <row r="430" ht="13" customHeight="1" s="497">
      <c r="A430" s="89" t="n"/>
    </row>
    <row r="431" ht="13" customHeight="1" s="497">
      <c r="A431" s="89" t="n"/>
    </row>
    <row r="432" ht="13" customHeight="1" s="497">
      <c r="A432" s="89" t="n"/>
    </row>
    <row r="433" ht="13" customHeight="1" s="497">
      <c r="A433" s="89" t="n"/>
    </row>
    <row r="434" ht="13" customHeight="1" s="497">
      <c r="A434" s="89" t="n"/>
    </row>
    <row r="435" ht="13" customHeight="1" s="497">
      <c r="A435" s="89" t="n"/>
    </row>
    <row r="436" ht="13" customHeight="1" s="497">
      <c r="A436" s="89" t="n"/>
    </row>
    <row r="437" ht="13" customHeight="1" s="497">
      <c r="A437" s="89" t="n"/>
    </row>
    <row r="438" ht="13" customHeight="1" s="497">
      <c r="A438" s="89" t="n"/>
    </row>
    <row r="439" ht="13" customHeight="1" s="497">
      <c r="A439" s="89" t="n"/>
    </row>
    <row r="440" ht="13" customHeight="1" s="497">
      <c r="A440" s="89" t="n"/>
    </row>
    <row r="441" ht="13" customHeight="1" s="497">
      <c r="A441" s="89" t="n"/>
    </row>
    <row r="442" ht="13" customHeight="1" s="497">
      <c r="A442" s="89" t="n"/>
    </row>
    <row r="443" ht="13" customHeight="1" s="497">
      <c r="A443" s="89" t="n"/>
    </row>
    <row r="444" ht="13" customHeight="1" s="497">
      <c r="A444" s="89" t="n"/>
    </row>
    <row r="445" ht="13" customHeight="1" s="497">
      <c r="A445" s="89" t="n"/>
    </row>
    <row r="446" ht="13" customHeight="1" s="497">
      <c r="A446" s="89" t="n"/>
    </row>
    <row r="447" ht="13" customHeight="1" s="497">
      <c r="A447" s="89" t="n"/>
    </row>
    <row r="448" ht="13" customHeight="1" s="497">
      <c r="A448" s="89" t="n"/>
    </row>
    <row r="449" ht="13" customHeight="1" s="497">
      <c r="A449" s="89" t="n"/>
    </row>
    <row r="450" ht="13" customHeight="1" s="497">
      <c r="A450" s="89" t="n"/>
    </row>
    <row r="451" ht="13" customHeight="1" s="497">
      <c r="A451" s="89" t="n"/>
    </row>
    <row r="452" ht="13" customHeight="1" s="497">
      <c r="A452" s="89" t="n"/>
    </row>
    <row r="453" ht="13" customHeight="1" s="497">
      <c r="A453" s="89" t="n"/>
    </row>
    <row r="454" ht="13" customHeight="1" s="497">
      <c r="A454" s="89" t="n"/>
    </row>
    <row r="455" ht="13" customHeight="1" s="497">
      <c r="A455" s="89" t="n"/>
    </row>
    <row r="456" ht="13" customHeight="1" s="497">
      <c r="A456" s="89" t="n"/>
    </row>
    <row r="457" ht="13" customHeight="1" s="497">
      <c r="A457" s="89" t="n"/>
    </row>
    <row r="458" ht="13" customHeight="1" s="497">
      <c r="A458" s="89" t="n"/>
    </row>
    <row r="459" ht="13" customHeight="1" s="497">
      <c r="A459" s="89" t="n"/>
    </row>
    <row r="460" ht="13" customHeight="1" s="497">
      <c r="A460" s="89" t="n"/>
    </row>
    <row r="461" ht="13" customHeight="1" s="497">
      <c r="A461" s="89" t="n"/>
    </row>
    <row r="462" ht="13" customHeight="1" s="497">
      <c r="A462" s="89" t="n"/>
    </row>
    <row r="463" ht="13" customHeight="1" s="497">
      <c r="A463" s="89" t="n"/>
    </row>
    <row r="464" ht="13" customHeight="1" s="497">
      <c r="A464" s="89" t="n"/>
    </row>
    <row r="465" ht="13" customHeight="1" s="497">
      <c r="A465" s="89" t="n"/>
    </row>
    <row r="466" ht="13" customHeight="1" s="497">
      <c r="A466" s="89" t="n"/>
    </row>
    <row r="467" ht="13" customHeight="1" s="497">
      <c r="A467" s="89" t="n"/>
    </row>
    <row r="468" ht="13" customHeight="1" s="497">
      <c r="A468" s="89" t="n"/>
    </row>
    <row r="469" ht="13" customHeight="1" s="497">
      <c r="A469" s="89" t="n"/>
    </row>
    <row r="470" ht="13" customHeight="1" s="497">
      <c r="A470" s="89" t="n"/>
    </row>
    <row r="471" ht="13" customHeight="1" s="497">
      <c r="A471" s="89" t="n"/>
    </row>
    <row r="472" ht="13" customHeight="1" s="497">
      <c r="A472" s="89" t="n"/>
    </row>
    <row r="473" ht="13" customHeight="1" s="497">
      <c r="A473" s="89" t="n"/>
    </row>
    <row r="474" ht="13" customHeight="1" s="497">
      <c r="A474" s="89" t="n"/>
    </row>
    <row r="475" ht="13" customHeight="1" s="497">
      <c r="A475" s="89" t="n"/>
    </row>
    <row r="476" ht="13" customHeight="1" s="497">
      <c r="A476" s="89" t="n"/>
    </row>
    <row r="477" ht="13" customHeight="1" s="497">
      <c r="A477" s="89" t="n"/>
    </row>
    <row r="478" ht="13" customHeight="1" s="497">
      <c r="A478" s="89" t="n"/>
    </row>
    <row r="479" ht="13" customHeight="1" s="497">
      <c r="A479" s="89" t="n"/>
    </row>
    <row r="480" ht="13" customHeight="1" s="497">
      <c r="A480" s="89" t="n"/>
    </row>
    <row r="481" ht="13" customHeight="1" s="497">
      <c r="A481" s="89" t="n"/>
    </row>
    <row r="482" ht="13" customHeight="1" s="497">
      <c r="A482" s="89" t="n"/>
    </row>
    <row r="483" ht="13" customHeight="1" s="497">
      <c r="A483" s="89" t="n"/>
    </row>
    <row r="484" ht="13" customHeight="1" s="497">
      <c r="A484" s="89" t="n"/>
    </row>
    <row r="485" ht="13" customHeight="1" s="497">
      <c r="A485" s="89" t="n"/>
    </row>
    <row r="486" ht="13" customHeight="1" s="497">
      <c r="A486" s="89" t="n"/>
    </row>
    <row r="487" ht="13" customHeight="1" s="497">
      <c r="A487" s="89" t="n"/>
    </row>
    <row r="488" ht="13" customHeight="1" s="497">
      <c r="A488" s="89" t="n"/>
    </row>
    <row r="489" ht="13" customHeight="1" s="497">
      <c r="A489" s="89" t="n"/>
    </row>
    <row r="490" ht="13" customHeight="1" s="497">
      <c r="A490" s="89" t="n"/>
    </row>
    <row r="491" ht="13" customHeight="1" s="497">
      <c r="A491" s="89" t="n"/>
    </row>
    <row r="492" ht="13" customHeight="1" s="497">
      <c r="A492" s="89" t="n"/>
    </row>
    <row r="493" ht="13" customHeight="1" s="497">
      <c r="A493" s="89" t="n"/>
    </row>
    <row r="494" ht="13" customHeight="1" s="497">
      <c r="A494" s="89" t="n"/>
    </row>
    <row r="495" ht="13" customHeight="1" s="497">
      <c r="A495" s="89" t="n"/>
    </row>
    <row r="496" ht="13" customHeight="1" s="497">
      <c r="A496" s="89" t="n"/>
    </row>
    <row r="497" ht="13" customHeight="1" s="497">
      <c r="A497" s="89" t="n"/>
    </row>
    <row r="498" ht="13" customHeight="1" s="497">
      <c r="A498" s="89" t="n"/>
    </row>
    <row r="499" ht="13" customHeight="1" s="497">
      <c r="A499" s="89" t="n"/>
    </row>
    <row r="500" ht="13" customHeight="1" s="497">
      <c r="A500" s="89" t="n"/>
    </row>
    <row r="501" ht="13" customHeight="1" s="497">
      <c r="A501" s="89" t="n"/>
    </row>
    <row r="502" ht="13" customHeight="1" s="497">
      <c r="A502" s="89" t="n"/>
    </row>
    <row r="503" ht="13" customHeight="1" s="497">
      <c r="A503" s="89" t="n"/>
    </row>
    <row r="504" ht="13" customHeight="1" s="497">
      <c r="A504" s="89" t="n"/>
    </row>
    <row r="505" ht="13" customHeight="1" s="497">
      <c r="A505" s="89" t="n"/>
    </row>
    <row r="506" ht="13" customHeight="1" s="497">
      <c r="A506" s="89" t="n"/>
    </row>
    <row r="507" ht="13" customHeight="1" s="497">
      <c r="A507" s="89" t="n"/>
    </row>
    <row r="508" ht="13" customHeight="1" s="497">
      <c r="A508" s="89" t="n"/>
    </row>
    <row r="509" ht="13" customHeight="1" s="497">
      <c r="A509" s="89" t="n"/>
    </row>
    <row r="510" ht="13" customHeight="1" s="497">
      <c r="A510" s="89" t="n"/>
    </row>
    <row r="511" ht="13" customHeight="1" s="497">
      <c r="A511" s="89" t="n"/>
    </row>
    <row r="512" ht="13" customHeight="1" s="497">
      <c r="A512" s="89" t="n"/>
    </row>
    <row r="513" ht="13" customHeight="1" s="497">
      <c r="A513" s="89" t="n"/>
    </row>
    <row r="514" ht="13" customHeight="1" s="497">
      <c r="A514" s="89" t="n"/>
    </row>
    <row r="515" ht="13" customHeight="1" s="497">
      <c r="A515" s="89" t="n"/>
    </row>
    <row r="516" ht="13" customHeight="1" s="497">
      <c r="A516" s="89" t="n"/>
    </row>
    <row r="517" ht="13" customHeight="1" s="497">
      <c r="A517" s="89" t="n"/>
    </row>
    <row r="518" ht="13" customHeight="1" s="497">
      <c r="A518" s="89" t="n"/>
    </row>
    <row r="519" ht="13" customHeight="1" s="497">
      <c r="A519" s="89" t="n"/>
    </row>
    <row r="520" ht="13" customHeight="1" s="497">
      <c r="A520" s="89" t="n"/>
    </row>
    <row r="521" ht="13" customHeight="1" s="497">
      <c r="A521" s="89" t="n"/>
    </row>
    <row r="522" ht="13" customHeight="1" s="497">
      <c r="A522" s="89" t="n"/>
    </row>
    <row r="523" ht="13" customHeight="1" s="497">
      <c r="A523" s="89" t="n"/>
    </row>
    <row r="524" ht="13" customHeight="1" s="497">
      <c r="A524" s="89" t="n"/>
    </row>
    <row r="525" ht="13" customHeight="1" s="497">
      <c r="A525" s="89" t="n"/>
    </row>
    <row r="526" ht="13" customHeight="1" s="497">
      <c r="A526" s="89" t="n"/>
    </row>
    <row r="527" ht="13" customHeight="1" s="497">
      <c r="A527" s="89" t="n"/>
    </row>
    <row r="528" ht="13" customHeight="1" s="497">
      <c r="A528" s="89" t="n"/>
    </row>
    <row r="529" ht="13" customHeight="1" s="497">
      <c r="A529" s="89" t="n"/>
    </row>
    <row r="530" ht="13" customHeight="1" s="497">
      <c r="A530" s="89" t="n"/>
    </row>
    <row r="531" ht="13" customHeight="1" s="497">
      <c r="A531" s="89" t="n"/>
    </row>
    <row r="532" ht="13" customHeight="1" s="497">
      <c r="A532" s="89" t="n"/>
    </row>
    <row r="533" ht="13" customHeight="1" s="497">
      <c r="A533" s="89" t="n"/>
    </row>
    <row r="534" ht="13" customHeight="1" s="497">
      <c r="A534" s="89" t="n"/>
    </row>
    <row r="535" ht="13" customHeight="1" s="497">
      <c r="A535" s="89" t="n"/>
    </row>
    <row r="536" ht="13" customHeight="1" s="497">
      <c r="A536" s="89" t="n"/>
    </row>
    <row r="537" ht="13" customHeight="1" s="497">
      <c r="A537" s="89" t="n"/>
    </row>
    <row r="538" ht="13" customHeight="1" s="497">
      <c r="A538" s="89" t="n"/>
    </row>
    <row r="539" ht="13" customHeight="1" s="497">
      <c r="A539" s="89" t="n"/>
    </row>
    <row r="540" ht="13" customHeight="1" s="497">
      <c r="A540" s="89" t="n"/>
    </row>
    <row r="541" ht="13" customHeight="1" s="497">
      <c r="A541" s="89" t="n"/>
    </row>
    <row r="542" ht="13" customHeight="1" s="497">
      <c r="A542" s="89" t="n"/>
    </row>
    <row r="543" ht="13" customHeight="1" s="497">
      <c r="A543" s="89" t="n"/>
    </row>
    <row r="544" ht="13" customHeight="1" s="497">
      <c r="A544" s="89" t="n"/>
    </row>
    <row r="545" ht="13" customHeight="1" s="497">
      <c r="A545" s="89" t="n"/>
    </row>
    <row r="546" ht="13" customHeight="1" s="497">
      <c r="A546" s="89" t="n"/>
    </row>
    <row r="547" ht="13" customHeight="1" s="497">
      <c r="A547" s="89" t="n"/>
    </row>
    <row r="548" ht="13" customHeight="1" s="497">
      <c r="A548" s="89" t="n"/>
    </row>
    <row r="549" ht="13" customHeight="1" s="497">
      <c r="A549" s="89" t="n"/>
    </row>
    <row r="550" ht="13" customHeight="1" s="497">
      <c r="A550" s="89" t="n"/>
    </row>
    <row r="551" ht="13" customHeight="1" s="497">
      <c r="A551" s="89" t="n"/>
    </row>
    <row r="552" ht="13" customHeight="1" s="497">
      <c r="A552" s="89" t="n"/>
    </row>
    <row r="553" ht="13" customHeight="1" s="497">
      <c r="A553" s="89" t="n"/>
    </row>
    <row r="554" ht="13" customHeight="1" s="497">
      <c r="A554" s="89" t="n"/>
    </row>
    <row r="555" ht="13" customHeight="1" s="497">
      <c r="A555" s="89" t="n"/>
    </row>
    <row r="556" ht="13" customHeight="1" s="497">
      <c r="A556" s="89" t="n"/>
    </row>
    <row r="557" ht="13" customHeight="1" s="497">
      <c r="A557" s="89" t="n"/>
    </row>
    <row r="558" ht="13" customHeight="1" s="497">
      <c r="A558" s="89" t="n"/>
    </row>
    <row r="559" ht="13" customHeight="1" s="497">
      <c r="A559" s="89" t="n"/>
    </row>
    <row r="560" ht="13" customHeight="1" s="497">
      <c r="A560" s="89" t="n"/>
    </row>
    <row r="561" ht="13" customHeight="1" s="497">
      <c r="A561" s="89" t="n"/>
    </row>
    <row r="562" ht="13" customHeight="1" s="497">
      <c r="A562" s="89" t="n"/>
    </row>
    <row r="563" ht="13" customHeight="1" s="497">
      <c r="A563" s="89" t="n"/>
    </row>
    <row r="564" ht="13" customHeight="1" s="497">
      <c r="A564" s="89" t="n"/>
    </row>
    <row r="565" ht="13" customHeight="1" s="497">
      <c r="A565" s="89" t="n"/>
    </row>
    <row r="566" ht="13" customHeight="1" s="497">
      <c r="A566" s="89" t="n"/>
    </row>
    <row r="567" ht="13" customHeight="1" s="497">
      <c r="A567" s="89" t="n"/>
    </row>
    <row r="568" ht="13" customHeight="1" s="497">
      <c r="A568" s="89" t="n"/>
    </row>
    <row r="569" ht="13" customHeight="1" s="497">
      <c r="A569" s="89" t="n"/>
    </row>
    <row r="570" ht="13" customHeight="1" s="497">
      <c r="A570" s="89" t="n"/>
    </row>
    <row r="571" ht="13" customHeight="1" s="497">
      <c r="A571" s="89" t="n"/>
    </row>
    <row r="572" ht="13" customHeight="1" s="497">
      <c r="A572" s="89" t="n"/>
    </row>
    <row r="573" ht="13" customHeight="1" s="497">
      <c r="A573" s="89" t="n"/>
    </row>
    <row r="574" ht="13" customHeight="1" s="497">
      <c r="A574" s="89" t="n"/>
    </row>
    <row r="575" ht="13" customHeight="1" s="497">
      <c r="A575" s="89" t="n"/>
    </row>
    <row r="576" ht="13" customHeight="1" s="497">
      <c r="A576" s="89" t="n"/>
    </row>
    <row r="577" ht="13" customHeight="1" s="497">
      <c r="A577" s="89" t="n"/>
    </row>
    <row r="578" ht="13" customHeight="1" s="497">
      <c r="A578" s="89" t="n"/>
    </row>
    <row r="579" ht="13" customHeight="1" s="497">
      <c r="A579" s="89" t="n"/>
    </row>
    <row r="580" ht="13" customHeight="1" s="497">
      <c r="A580" s="89" t="n"/>
    </row>
    <row r="581" ht="13" customHeight="1" s="497">
      <c r="A581" s="89" t="n"/>
    </row>
    <row r="582" ht="13" customHeight="1" s="497">
      <c r="A582" s="89" t="n"/>
    </row>
    <row r="583" ht="13" customHeight="1" s="497">
      <c r="A583" s="89" t="n"/>
    </row>
    <row r="584" ht="13" customHeight="1" s="497">
      <c r="A584" s="89" t="n"/>
    </row>
    <row r="585" ht="13" customHeight="1" s="497">
      <c r="A585" s="89" t="n"/>
    </row>
    <row r="586" ht="13" customHeight="1" s="497">
      <c r="A586" s="89" t="n"/>
    </row>
    <row r="587" ht="13" customHeight="1" s="497">
      <c r="A587" s="89" t="n"/>
    </row>
    <row r="588" ht="13" customHeight="1" s="497">
      <c r="A588" s="89" t="n"/>
    </row>
    <row r="589" ht="13" customHeight="1" s="497">
      <c r="A589" s="89" t="n"/>
    </row>
    <row r="590" ht="13" customHeight="1" s="497">
      <c r="A590" s="89" t="n"/>
    </row>
    <row r="591" ht="13" customHeight="1" s="497">
      <c r="A591" s="89" t="n"/>
    </row>
    <row r="592" ht="13" customHeight="1" s="497">
      <c r="A592" s="89" t="n"/>
    </row>
    <row r="593" ht="13" customHeight="1" s="497">
      <c r="A593" s="89" t="n"/>
    </row>
    <row r="594" ht="13" customHeight="1" s="497">
      <c r="A594" s="89" t="n"/>
    </row>
    <row r="595" ht="13" customHeight="1" s="497">
      <c r="A595" s="89" t="n"/>
    </row>
    <row r="596" ht="13" customHeight="1" s="497">
      <c r="A596" s="89" t="n"/>
    </row>
    <row r="597" ht="13" customHeight="1" s="497">
      <c r="A597" s="89" t="n"/>
    </row>
    <row r="598" ht="13" customHeight="1" s="497">
      <c r="A598" s="89" t="n"/>
    </row>
    <row r="599" ht="13" customHeight="1" s="497">
      <c r="A599" s="89" t="n"/>
    </row>
    <row r="600" ht="13" customHeight="1" s="497">
      <c r="A600" s="89" t="n"/>
    </row>
    <row r="601" ht="13" customHeight="1" s="497">
      <c r="A601" s="89" t="n"/>
    </row>
    <row r="602" ht="13" customHeight="1" s="497">
      <c r="A602" s="89" t="n"/>
    </row>
    <row r="603" ht="13" customHeight="1" s="497">
      <c r="A603" s="89" t="n"/>
    </row>
    <row r="604" ht="13" customHeight="1" s="497">
      <c r="A604" s="89" t="n"/>
    </row>
    <row r="605" ht="13" customHeight="1" s="497">
      <c r="A605" s="89" t="n"/>
    </row>
    <row r="606" ht="13" customHeight="1" s="497">
      <c r="A606" s="89" t="n"/>
    </row>
    <row r="607" ht="13" customHeight="1" s="497">
      <c r="A607" s="89" t="n"/>
    </row>
    <row r="608" ht="13" customHeight="1" s="497">
      <c r="A608" s="89" t="n"/>
    </row>
    <row r="609" ht="13" customHeight="1" s="497">
      <c r="A609" s="89" t="n"/>
    </row>
    <row r="610" ht="13" customHeight="1" s="497">
      <c r="A610" s="89" t="n"/>
    </row>
    <row r="611" ht="13" customHeight="1" s="497">
      <c r="A611" s="89" t="n"/>
    </row>
    <row r="612" ht="13" customHeight="1" s="497">
      <c r="A612" s="89" t="n"/>
    </row>
    <row r="613" ht="13" customHeight="1" s="497">
      <c r="A613" s="89" t="n"/>
    </row>
    <row r="614" ht="13" customHeight="1" s="497">
      <c r="A614" s="89" t="n"/>
    </row>
    <row r="615" ht="13" customHeight="1" s="497">
      <c r="A615" s="89" t="n"/>
    </row>
    <row r="616" ht="13" customHeight="1" s="497">
      <c r="A616" s="89" t="n"/>
    </row>
    <row r="617" ht="13" customHeight="1" s="497">
      <c r="A617" s="89" t="n"/>
    </row>
    <row r="618" ht="13" customHeight="1" s="497">
      <c r="A618" s="89" t="n"/>
    </row>
    <row r="619" ht="13" customHeight="1" s="497">
      <c r="A619" s="89" t="n"/>
    </row>
    <row r="620" ht="13" customHeight="1" s="497">
      <c r="A620" s="89" t="n"/>
    </row>
    <row r="621" ht="13" customHeight="1" s="497">
      <c r="A621" s="89" t="n"/>
    </row>
    <row r="622" ht="13" customHeight="1" s="497">
      <c r="A622" s="89" t="n"/>
    </row>
    <row r="623" ht="13" customHeight="1" s="497">
      <c r="A623" s="89" t="n"/>
    </row>
    <row r="624" ht="13" customHeight="1" s="497">
      <c r="A624" s="89" t="n"/>
    </row>
    <row r="625" ht="13" customHeight="1" s="497">
      <c r="A625" s="89" t="n"/>
    </row>
    <row r="626" ht="13" customHeight="1" s="497">
      <c r="A626" s="89" t="n"/>
    </row>
    <row r="627" ht="13" customHeight="1" s="497">
      <c r="A627" s="89" t="n"/>
    </row>
    <row r="628" ht="13" customHeight="1" s="497">
      <c r="A628" s="89" t="n"/>
    </row>
    <row r="629" ht="13" customHeight="1" s="497">
      <c r="A629" s="89" t="n"/>
    </row>
    <row r="630" ht="13" customHeight="1" s="497">
      <c r="A630" s="89" t="n"/>
    </row>
    <row r="631" ht="13" customHeight="1" s="497">
      <c r="A631" s="89" t="n"/>
    </row>
    <row r="632" ht="13" customHeight="1" s="497">
      <c r="A632" s="89" t="n"/>
    </row>
    <row r="633" ht="13" customHeight="1" s="497">
      <c r="A633" s="89" t="n"/>
    </row>
    <row r="634" ht="13" customHeight="1" s="497">
      <c r="A634" s="89" t="n"/>
    </row>
    <row r="635" ht="13" customHeight="1" s="497">
      <c r="A635" s="89" t="n"/>
    </row>
    <row r="636" ht="13" customHeight="1" s="497">
      <c r="A636" s="89" t="n"/>
    </row>
    <row r="637" ht="13" customHeight="1" s="497">
      <c r="A637" s="89" t="n"/>
    </row>
    <row r="638" ht="13" customHeight="1" s="497">
      <c r="A638" s="89" t="n"/>
    </row>
    <row r="639" ht="13" customHeight="1" s="497">
      <c r="A639" s="89" t="n"/>
    </row>
    <row r="640" ht="13" customHeight="1" s="497">
      <c r="A640" s="89" t="n"/>
    </row>
    <row r="641" ht="13" customHeight="1" s="497">
      <c r="A641" s="89" t="n"/>
    </row>
    <row r="642" ht="13" customHeight="1" s="497">
      <c r="A642" s="89" t="n"/>
    </row>
    <row r="643" ht="13" customHeight="1" s="497">
      <c r="A643" s="89" t="n"/>
    </row>
    <row r="644" ht="13" customHeight="1" s="497">
      <c r="A644" s="89" t="n"/>
    </row>
    <row r="645" ht="13" customHeight="1" s="497">
      <c r="A645" s="89" t="n"/>
    </row>
    <row r="646" ht="13" customHeight="1" s="497">
      <c r="A646" s="89" t="n"/>
    </row>
    <row r="647" ht="13" customHeight="1" s="497">
      <c r="A647" s="89" t="n"/>
    </row>
    <row r="648" ht="13" customHeight="1" s="497">
      <c r="A648" s="89" t="n"/>
    </row>
    <row r="649" ht="13" customHeight="1" s="497">
      <c r="A649" s="89" t="n"/>
    </row>
    <row r="650" ht="13" customHeight="1" s="497">
      <c r="A650" s="89" t="n"/>
    </row>
    <row r="651" ht="13" customHeight="1" s="497">
      <c r="A651" s="89" t="n"/>
    </row>
    <row r="652" ht="13" customHeight="1" s="497">
      <c r="A652" s="89" t="n"/>
    </row>
    <row r="653" ht="13" customHeight="1" s="497">
      <c r="A653" s="89" t="n"/>
    </row>
    <row r="654" ht="13" customHeight="1" s="497">
      <c r="A654" s="89" t="n"/>
    </row>
    <row r="655" ht="13" customHeight="1" s="497">
      <c r="A655" s="89" t="n"/>
    </row>
    <row r="656" ht="13" customHeight="1" s="497">
      <c r="A656" s="89" t="n"/>
    </row>
    <row r="657" ht="13" customHeight="1" s="497">
      <c r="A657" s="89" t="n"/>
    </row>
    <row r="658" ht="13" customHeight="1" s="497">
      <c r="A658" s="89" t="n"/>
    </row>
    <row r="659" ht="13" customHeight="1" s="497">
      <c r="A659" s="89" t="n"/>
    </row>
    <row r="660" ht="13" customHeight="1" s="497">
      <c r="A660" s="89" t="n"/>
    </row>
    <row r="661" ht="13" customHeight="1" s="497">
      <c r="A661" s="89" t="n"/>
    </row>
    <row r="662" ht="13" customHeight="1" s="497">
      <c r="A662" s="89" t="n"/>
    </row>
    <row r="663" ht="13" customHeight="1" s="497">
      <c r="A663" s="89" t="n"/>
    </row>
    <row r="664" ht="13" customHeight="1" s="497">
      <c r="A664" s="89" t="n"/>
    </row>
    <row r="665" ht="13" customHeight="1" s="497">
      <c r="A665" s="89" t="n"/>
    </row>
    <row r="666" ht="13" customHeight="1" s="497">
      <c r="A666" s="89" t="n"/>
    </row>
    <row r="667" ht="13" customHeight="1" s="497">
      <c r="A667" s="89" t="n"/>
    </row>
    <row r="668" ht="13" customHeight="1" s="497">
      <c r="A668" s="89" t="n"/>
    </row>
    <row r="669" ht="13" customHeight="1" s="497">
      <c r="A669" s="89" t="n"/>
    </row>
    <row r="670" ht="13" customHeight="1" s="497">
      <c r="A670" s="89" t="n"/>
    </row>
    <row r="671" ht="13" customHeight="1" s="497">
      <c r="A671" s="89" t="n"/>
    </row>
    <row r="672" ht="13" customHeight="1" s="497">
      <c r="A672" s="89" t="n"/>
    </row>
    <row r="673" ht="13" customHeight="1" s="497">
      <c r="A673" s="89" t="n"/>
    </row>
    <row r="674" ht="13" customHeight="1" s="497">
      <c r="A674" s="89" t="n"/>
    </row>
    <row r="675" ht="13" customHeight="1" s="497">
      <c r="A675" s="89" t="n"/>
    </row>
    <row r="676" ht="13" customHeight="1" s="497">
      <c r="A676" s="89" t="n"/>
    </row>
    <row r="677" ht="13" customHeight="1" s="497">
      <c r="A677" s="89" t="n"/>
    </row>
    <row r="678" ht="13" customHeight="1" s="497">
      <c r="A678" s="89" t="n"/>
    </row>
    <row r="679" ht="13" customHeight="1" s="497">
      <c r="A679" s="89" t="n"/>
    </row>
    <row r="680" ht="13" customHeight="1" s="497">
      <c r="A680" s="89" t="n"/>
    </row>
    <row r="681" ht="13" customHeight="1" s="497">
      <c r="A681" s="89" t="n"/>
    </row>
    <row r="682" ht="13" customHeight="1" s="497">
      <c r="A682" s="89" t="n"/>
    </row>
    <row r="683" ht="13" customHeight="1" s="497">
      <c r="A683" s="89" t="n"/>
    </row>
    <row r="684" ht="13" customHeight="1" s="497">
      <c r="A684" s="89" t="n"/>
    </row>
    <row r="685" ht="13" customHeight="1" s="497">
      <c r="A685" s="89" t="n"/>
    </row>
    <row r="686" ht="13" customHeight="1" s="497">
      <c r="A686" s="89" t="n"/>
    </row>
    <row r="687" ht="13" customHeight="1" s="497">
      <c r="A687" s="89" t="n"/>
    </row>
    <row r="688" ht="13" customHeight="1" s="497">
      <c r="A688" s="89" t="n"/>
    </row>
    <row r="689" ht="13" customHeight="1" s="497">
      <c r="A689" s="89" t="n"/>
    </row>
    <row r="690" ht="13" customHeight="1" s="497">
      <c r="A690" s="89" t="n"/>
    </row>
    <row r="691" ht="13" customHeight="1" s="497">
      <c r="A691" s="89" t="n"/>
    </row>
    <row r="692" ht="13" customHeight="1" s="497">
      <c r="A692" s="89" t="n"/>
    </row>
    <row r="693" ht="13" customHeight="1" s="497">
      <c r="A693" s="89" t="n"/>
    </row>
    <row r="694" ht="13" customHeight="1" s="497">
      <c r="A694" s="89" t="n"/>
    </row>
    <row r="695" ht="13" customHeight="1" s="497">
      <c r="A695" s="89" t="n"/>
    </row>
    <row r="696" ht="13" customHeight="1" s="497">
      <c r="A696" s="89" t="n"/>
    </row>
    <row r="697" ht="13" customHeight="1" s="497">
      <c r="A697" s="89" t="n"/>
    </row>
    <row r="698" ht="13" customHeight="1" s="497">
      <c r="A698" s="89" t="n"/>
    </row>
    <row r="699" ht="13" customHeight="1" s="497">
      <c r="A699" s="89" t="n"/>
    </row>
    <row r="700" ht="13" customHeight="1" s="497">
      <c r="A700" s="89" t="n"/>
    </row>
    <row r="701" ht="13" customHeight="1" s="497">
      <c r="A701" s="89" t="n"/>
    </row>
    <row r="702" ht="13" customHeight="1" s="497">
      <c r="A702" s="89" t="n"/>
    </row>
    <row r="703" ht="13" customHeight="1" s="497">
      <c r="A703" s="89" t="n"/>
    </row>
    <row r="704" ht="13" customHeight="1" s="497">
      <c r="A704" s="89" t="n"/>
    </row>
    <row r="705" ht="13" customHeight="1" s="497">
      <c r="A705" s="89" t="n"/>
    </row>
    <row r="706" ht="13" customHeight="1" s="497">
      <c r="A706" s="89" t="n"/>
    </row>
    <row r="707" ht="13" customHeight="1" s="497">
      <c r="A707" s="89" t="n"/>
    </row>
    <row r="708" ht="13" customHeight="1" s="497">
      <c r="A708" s="89" t="n"/>
    </row>
    <row r="709" ht="13" customHeight="1" s="497">
      <c r="A709" s="89" t="n"/>
    </row>
    <row r="710" ht="13" customHeight="1" s="497">
      <c r="A710" s="89" t="n"/>
    </row>
    <row r="711" ht="13" customHeight="1" s="497">
      <c r="A711" s="89" t="n"/>
    </row>
    <row r="712" ht="13" customHeight="1" s="497">
      <c r="A712" s="89" t="n"/>
    </row>
    <row r="713" ht="13" customHeight="1" s="497">
      <c r="A713" s="89" t="n"/>
    </row>
    <row r="714" ht="13" customHeight="1" s="497">
      <c r="A714" s="89" t="n"/>
    </row>
    <row r="715" ht="13" customHeight="1" s="497">
      <c r="A715" s="89" t="n"/>
    </row>
    <row r="716" ht="13" customHeight="1" s="497">
      <c r="A716" s="89" t="n"/>
    </row>
    <row r="717" ht="13" customHeight="1" s="497">
      <c r="A717" s="89" t="n"/>
    </row>
    <row r="718" ht="13" customHeight="1" s="497">
      <c r="A718" s="89" t="n"/>
    </row>
    <row r="719" ht="13" customHeight="1" s="497">
      <c r="A719" s="89" t="n"/>
    </row>
    <row r="720" ht="13" customHeight="1" s="497">
      <c r="A720" s="89" t="n"/>
    </row>
    <row r="721" ht="13" customHeight="1" s="497">
      <c r="A721" s="89" t="n"/>
    </row>
    <row r="722" ht="13" customHeight="1" s="497">
      <c r="A722" s="89" t="n"/>
    </row>
    <row r="723" ht="13" customHeight="1" s="497">
      <c r="A723" s="89" t="n"/>
    </row>
    <row r="724" ht="13" customHeight="1" s="497">
      <c r="A724" s="89" t="n"/>
    </row>
    <row r="725" ht="13" customHeight="1" s="497">
      <c r="A725" s="89" t="n"/>
    </row>
    <row r="726" ht="13" customHeight="1" s="497">
      <c r="A726" s="89" t="n"/>
    </row>
    <row r="727" ht="13" customHeight="1" s="497">
      <c r="A727" s="89" t="n"/>
    </row>
    <row r="728" ht="13" customHeight="1" s="497">
      <c r="A728" s="89" t="n"/>
    </row>
    <row r="729" ht="13" customHeight="1" s="497">
      <c r="A729" s="89" t="n"/>
    </row>
    <row r="730" ht="13" customHeight="1" s="497">
      <c r="A730" s="89" t="n"/>
    </row>
    <row r="731" ht="13" customHeight="1" s="497">
      <c r="A731" s="89" t="n"/>
    </row>
    <row r="732" ht="13" customHeight="1" s="497">
      <c r="A732" s="89" t="n"/>
    </row>
    <row r="733" ht="13" customHeight="1" s="497">
      <c r="A733" s="89" t="n"/>
    </row>
    <row r="734" ht="13" customHeight="1" s="497">
      <c r="A734" s="89" t="n"/>
    </row>
    <row r="735" ht="13" customHeight="1" s="497">
      <c r="A735" s="89" t="n"/>
    </row>
    <row r="736" ht="13" customHeight="1" s="497">
      <c r="A736" s="89" t="n"/>
    </row>
    <row r="737" ht="13" customHeight="1" s="497">
      <c r="A737" s="89" t="n"/>
    </row>
    <row r="738" ht="13" customHeight="1" s="497">
      <c r="A738" s="89" t="n"/>
    </row>
    <row r="739" ht="13" customHeight="1" s="497">
      <c r="A739" s="89" t="n"/>
    </row>
    <row r="740" ht="13" customHeight="1" s="497">
      <c r="A740" s="89" t="n"/>
    </row>
    <row r="741" ht="13" customHeight="1" s="497">
      <c r="A741" s="89" t="n"/>
    </row>
    <row r="742" ht="13" customHeight="1" s="497">
      <c r="A742" s="89" t="n"/>
    </row>
    <row r="743" ht="13" customHeight="1" s="497">
      <c r="A743" s="89" t="n"/>
    </row>
    <row r="744" ht="13" customHeight="1" s="497">
      <c r="A744" s="89" t="n"/>
    </row>
    <row r="745" ht="13" customHeight="1" s="497">
      <c r="A745" s="89" t="n"/>
    </row>
    <row r="746" ht="13" customHeight="1" s="497">
      <c r="A746" s="89" t="n"/>
    </row>
    <row r="747" ht="13" customHeight="1" s="497">
      <c r="A747" s="89" t="n"/>
    </row>
    <row r="748" ht="13" customHeight="1" s="497">
      <c r="A748" s="89" t="n"/>
    </row>
    <row r="749" ht="13" customHeight="1" s="497">
      <c r="A749" s="89" t="n"/>
    </row>
    <row r="750" ht="13" customHeight="1" s="497">
      <c r="A750" s="89" t="n"/>
    </row>
    <row r="751" ht="13" customHeight="1" s="497">
      <c r="A751" s="89" t="n"/>
    </row>
    <row r="752" ht="13" customHeight="1" s="497">
      <c r="A752" s="89" t="n"/>
    </row>
    <row r="753" ht="13" customHeight="1" s="497">
      <c r="A753" s="89" t="n"/>
    </row>
    <row r="754" ht="13" customHeight="1" s="497">
      <c r="A754" s="89" t="n"/>
    </row>
    <row r="755" ht="13" customHeight="1" s="497">
      <c r="A755" s="89" t="n"/>
    </row>
    <row r="756" ht="13" customHeight="1" s="497">
      <c r="A756" s="89" t="n"/>
    </row>
    <row r="757" ht="13" customHeight="1" s="497">
      <c r="A757" s="89" t="n"/>
    </row>
    <row r="758" ht="13" customHeight="1" s="497">
      <c r="A758" s="89" t="n"/>
    </row>
    <row r="759" ht="13" customHeight="1" s="497">
      <c r="A759" s="89" t="n"/>
    </row>
    <row r="760" ht="13" customHeight="1" s="497">
      <c r="A760" s="89" t="n"/>
    </row>
    <row r="761" ht="13" customHeight="1" s="497">
      <c r="A761" s="89" t="n"/>
    </row>
    <row r="762" ht="13" customHeight="1" s="497">
      <c r="A762" s="89" t="n"/>
    </row>
    <row r="763" ht="13" customHeight="1" s="497">
      <c r="A763" s="89" t="n"/>
    </row>
    <row r="764" ht="13" customHeight="1" s="497">
      <c r="A764" s="89" t="n"/>
    </row>
    <row r="765" ht="13" customHeight="1" s="497">
      <c r="A765" s="89" t="n"/>
    </row>
    <row r="766" ht="13" customHeight="1" s="497">
      <c r="A766" s="89" t="n"/>
    </row>
    <row r="767" ht="13" customHeight="1" s="497">
      <c r="A767" s="89" t="n"/>
    </row>
    <row r="768" ht="13" customHeight="1" s="497">
      <c r="A768" s="89" t="n"/>
    </row>
    <row r="769" ht="13" customHeight="1" s="497">
      <c r="A769" s="89" t="n"/>
    </row>
    <row r="770" ht="13" customHeight="1" s="497">
      <c r="A770" s="89" t="n"/>
    </row>
    <row r="771" ht="13" customHeight="1" s="497">
      <c r="A771" s="89" t="n"/>
    </row>
    <row r="772" ht="13" customHeight="1" s="497">
      <c r="A772" s="89" t="n"/>
    </row>
    <row r="773" ht="13" customHeight="1" s="497">
      <c r="A773" s="89" t="n"/>
    </row>
    <row r="774" ht="13" customHeight="1" s="497">
      <c r="A774" s="89" t="n"/>
    </row>
    <row r="775" ht="13" customHeight="1" s="497">
      <c r="A775" s="89" t="n"/>
    </row>
    <row r="776" ht="13" customHeight="1" s="497">
      <c r="A776" s="89" t="n"/>
    </row>
    <row r="777" ht="13" customHeight="1" s="497">
      <c r="A777" s="89" t="n"/>
    </row>
    <row r="778" ht="13" customHeight="1" s="497">
      <c r="A778" s="89" t="n"/>
    </row>
    <row r="779" ht="13" customHeight="1" s="497">
      <c r="A779" s="89" t="n"/>
    </row>
    <row r="780" ht="13" customHeight="1" s="497">
      <c r="A780" s="89" t="n"/>
    </row>
    <row r="781" ht="13" customHeight="1" s="497">
      <c r="A781" s="89" t="n"/>
    </row>
    <row r="782" ht="13" customHeight="1" s="497">
      <c r="A782" s="89" t="n"/>
    </row>
    <row r="783" ht="13" customHeight="1" s="497">
      <c r="A783" s="89" t="n"/>
    </row>
    <row r="784" ht="13" customHeight="1" s="497">
      <c r="A784" s="89" t="n"/>
    </row>
    <row r="785" ht="13" customHeight="1" s="497">
      <c r="A785" s="89" t="n"/>
    </row>
    <row r="786" ht="13" customHeight="1" s="497">
      <c r="A786" s="89" t="n"/>
    </row>
    <row r="787" ht="13" customHeight="1" s="497">
      <c r="A787" s="89" t="n"/>
    </row>
    <row r="788" ht="13" customHeight="1" s="497">
      <c r="A788" s="89" t="n"/>
    </row>
    <row r="789" ht="13" customHeight="1" s="497">
      <c r="A789" s="89" t="n"/>
    </row>
    <row r="790" ht="13" customHeight="1" s="497">
      <c r="A790" s="89" t="n"/>
    </row>
    <row r="791" ht="13" customHeight="1" s="497">
      <c r="A791" s="89" t="n"/>
    </row>
    <row r="792" ht="13" customHeight="1" s="497">
      <c r="A792" s="89" t="n"/>
    </row>
    <row r="793" ht="13" customHeight="1" s="497">
      <c r="A793" s="89" t="n"/>
    </row>
    <row r="794" ht="13" customHeight="1" s="497">
      <c r="A794" s="89" t="n"/>
    </row>
    <row r="795" ht="13" customHeight="1" s="497">
      <c r="A795" s="89" t="n"/>
    </row>
    <row r="796" ht="13" customHeight="1" s="497">
      <c r="A796" s="89" t="n"/>
    </row>
    <row r="797" ht="13" customHeight="1" s="497">
      <c r="A797" s="89" t="n"/>
    </row>
    <row r="798" ht="13" customHeight="1" s="497">
      <c r="A798" s="89" t="n"/>
    </row>
    <row r="799" ht="13" customHeight="1" s="497">
      <c r="A799" s="89" t="n"/>
    </row>
    <row r="800" ht="13" customHeight="1" s="497">
      <c r="A800" s="89" t="n"/>
    </row>
    <row r="801" ht="13" customHeight="1" s="497">
      <c r="A801" s="89" t="n"/>
    </row>
    <row r="802" ht="13" customHeight="1" s="497">
      <c r="A802" s="89" t="n"/>
    </row>
    <row r="803" ht="13" customHeight="1" s="497">
      <c r="A803" s="89" t="n"/>
    </row>
    <row r="804" ht="13" customHeight="1" s="497">
      <c r="A804" s="89" t="n"/>
    </row>
    <row r="805" ht="13" customHeight="1" s="497">
      <c r="A805" s="89" t="n"/>
    </row>
    <row r="806" ht="13" customHeight="1" s="497">
      <c r="A806" s="89" t="n"/>
    </row>
    <row r="807" ht="13" customHeight="1" s="497">
      <c r="A807" s="89" t="n"/>
    </row>
    <row r="808" ht="13" customHeight="1" s="497">
      <c r="A808" s="89" t="n"/>
    </row>
    <row r="809" ht="13" customHeight="1" s="497">
      <c r="A809" s="89" t="n"/>
    </row>
    <row r="810" ht="13" customHeight="1" s="497">
      <c r="A810" s="89" t="n"/>
    </row>
    <row r="811" ht="13" customHeight="1" s="497">
      <c r="A811" s="89" t="n"/>
    </row>
    <row r="812" ht="13" customHeight="1" s="497">
      <c r="A812" s="89" t="n"/>
    </row>
    <row r="813" ht="13" customHeight="1" s="497">
      <c r="A813" s="89" t="n"/>
    </row>
    <row r="814" ht="13" customHeight="1" s="497">
      <c r="A814" s="89" t="n"/>
    </row>
    <row r="815" ht="13" customHeight="1" s="497">
      <c r="A815" s="89" t="n"/>
    </row>
    <row r="816" ht="13" customHeight="1" s="497">
      <c r="A816" s="89" t="n"/>
    </row>
    <row r="817" ht="13" customHeight="1" s="497">
      <c r="A817" s="89" t="n"/>
    </row>
    <row r="818" ht="13" customHeight="1" s="497">
      <c r="A818" s="89" t="n"/>
    </row>
    <row r="819" ht="13" customHeight="1" s="497">
      <c r="A819" s="89" t="n"/>
    </row>
    <row r="820" ht="13" customHeight="1" s="497">
      <c r="A820" s="89" t="n"/>
    </row>
    <row r="821" ht="13" customHeight="1" s="497">
      <c r="A821" s="89" t="n"/>
    </row>
    <row r="822" ht="13" customHeight="1" s="497">
      <c r="A822" s="89" t="n"/>
    </row>
    <row r="823" ht="13" customHeight="1" s="497">
      <c r="A823" s="89" t="n"/>
    </row>
    <row r="824" ht="13" customHeight="1" s="497">
      <c r="A824" s="89" t="n"/>
    </row>
    <row r="825" ht="13" customHeight="1" s="497">
      <c r="A825" s="89" t="n"/>
    </row>
    <row r="826" ht="13" customHeight="1" s="497">
      <c r="A826" s="89" t="n"/>
    </row>
    <row r="827" ht="13" customHeight="1" s="497">
      <c r="A827" s="89" t="n"/>
    </row>
    <row r="828" ht="13" customHeight="1" s="497">
      <c r="A828" s="89" t="n"/>
    </row>
    <row r="829" ht="13" customHeight="1" s="497">
      <c r="A829" s="89" t="n"/>
    </row>
    <row r="830" ht="13" customHeight="1" s="497">
      <c r="A830" s="89" t="n"/>
    </row>
    <row r="831" ht="13" customHeight="1" s="497">
      <c r="A831" s="89" t="n"/>
    </row>
    <row r="832" ht="13" customHeight="1" s="497">
      <c r="A832" s="89" t="n"/>
    </row>
    <row r="833" ht="13" customHeight="1" s="497">
      <c r="A833" s="89" t="n"/>
    </row>
    <row r="834" ht="13" customHeight="1" s="497">
      <c r="A834" s="89" t="n"/>
    </row>
    <row r="835" ht="13" customHeight="1" s="497">
      <c r="A835" s="89" t="n"/>
    </row>
    <row r="836" ht="13" customHeight="1" s="497">
      <c r="A836" s="89" t="n"/>
    </row>
    <row r="837" ht="13" customHeight="1" s="497">
      <c r="A837" s="89" t="n"/>
    </row>
    <row r="838" ht="13" customHeight="1" s="497">
      <c r="A838" s="89" t="n"/>
    </row>
    <row r="839" ht="13" customHeight="1" s="497">
      <c r="A839" s="89" t="n"/>
    </row>
    <row r="840" ht="13" customHeight="1" s="497">
      <c r="A840" s="89" t="n"/>
    </row>
    <row r="841" ht="13" customHeight="1" s="497">
      <c r="A841" s="89" t="n"/>
    </row>
    <row r="842" ht="13" customHeight="1" s="497">
      <c r="A842" s="89" t="n"/>
    </row>
    <row r="843" ht="13" customHeight="1" s="497">
      <c r="A843" s="89" t="n"/>
    </row>
    <row r="844" ht="13" customHeight="1" s="497">
      <c r="A844" s="89" t="n"/>
    </row>
    <row r="845" ht="13" customHeight="1" s="497">
      <c r="A845" s="89" t="n"/>
    </row>
    <row r="846" ht="13" customHeight="1" s="497">
      <c r="A846" s="89" t="n"/>
    </row>
    <row r="847" ht="13" customHeight="1" s="497">
      <c r="A847" s="89" t="n"/>
    </row>
    <row r="848" ht="13" customHeight="1" s="497">
      <c r="A848" s="89" t="n"/>
    </row>
    <row r="849" ht="13" customHeight="1" s="497">
      <c r="A849" s="89" t="n"/>
    </row>
    <row r="850" ht="13" customHeight="1" s="497">
      <c r="A850" s="89" t="n"/>
    </row>
    <row r="851" ht="13" customHeight="1" s="497">
      <c r="A851" s="89" t="n"/>
    </row>
    <row r="852" ht="13" customHeight="1" s="497">
      <c r="A852" s="89" t="n"/>
    </row>
    <row r="853" ht="13" customHeight="1" s="497">
      <c r="A853" s="89" t="n"/>
    </row>
    <row r="854" ht="13" customHeight="1" s="497">
      <c r="A854" s="89" t="n"/>
    </row>
    <row r="855" ht="13" customHeight="1" s="497">
      <c r="A855" s="89" t="n"/>
    </row>
    <row r="856" ht="13" customHeight="1" s="497">
      <c r="A856" s="89" t="n"/>
    </row>
    <row r="857" ht="13" customHeight="1" s="497">
      <c r="A857" s="89" t="n"/>
    </row>
    <row r="858" ht="13" customHeight="1" s="497">
      <c r="A858" s="89" t="n"/>
    </row>
    <row r="859" ht="13" customHeight="1" s="497">
      <c r="A859" s="89" t="n"/>
    </row>
    <row r="860" ht="13" customHeight="1" s="497">
      <c r="A860" s="89" t="n"/>
    </row>
    <row r="861" ht="13" customHeight="1" s="497">
      <c r="A861" s="89" t="n"/>
    </row>
    <row r="862" ht="13" customHeight="1" s="497">
      <c r="A862" s="89" t="n"/>
    </row>
    <row r="863" ht="13" customHeight="1" s="497">
      <c r="A863" s="89" t="n"/>
    </row>
    <row r="864" ht="13" customHeight="1" s="497">
      <c r="A864" s="89" t="n"/>
    </row>
    <row r="865" ht="13" customHeight="1" s="497">
      <c r="A865" s="89" t="n"/>
    </row>
    <row r="866" ht="13" customHeight="1" s="497">
      <c r="A866" s="89" t="n"/>
    </row>
    <row r="867" ht="13" customHeight="1" s="497">
      <c r="A867" s="89" t="n"/>
    </row>
    <row r="868" ht="13" customHeight="1" s="497">
      <c r="A868" s="89" t="n"/>
    </row>
    <row r="869" ht="13" customHeight="1" s="497">
      <c r="A869" s="89" t="n"/>
    </row>
    <row r="870" ht="13" customHeight="1" s="497">
      <c r="A870" s="89" t="n"/>
    </row>
    <row r="871" ht="13" customHeight="1" s="497">
      <c r="A871" s="89" t="n"/>
    </row>
    <row r="872" ht="13" customHeight="1" s="497">
      <c r="A872" s="89" t="n"/>
    </row>
    <row r="873" ht="13" customHeight="1" s="497">
      <c r="A873" s="89" t="n"/>
    </row>
    <row r="874" ht="13" customHeight="1" s="497">
      <c r="A874" s="89" t="n"/>
    </row>
    <row r="875" ht="13" customHeight="1" s="497">
      <c r="A875" s="89" t="n"/>
    </row>
    <row r="876" ht="13" customHeight="1" s="497">
      <c r="A876" s="89" t="n"/>
    </row>
    <row r="877" ht="13" customHeight="1" s="497">
      <c r="A877" s="89" t="n"/>
    </row>
    <row r="878" ht="13" customHeight="1" s="497">
      <c r="A878" s="89" t="n"/>
    </row>
    <row r="879" ht="13" customHeight="1" s="497">
      <c r="A879" s="89" t="n"/>
    </row>
    <row r="880" ht="13" customHeight="1" s="497">
      <c r="A880" s="89" t="n"/>
    </row>
    <row r="881" ht="13" customHeight="1" s="497">
      <c r="A881" s="89" t="n"/>
    </row>
    <row r="882" ht="13" customHeight="1" s="497">
      <c r="A882" s="89" t="n"/>
    </row>
    <row r="883" ht="13" customHeight="1" s="497">
      <c r="A883" s="89" t="n"/>
    </row>
    <row r="884" ht="13" customHeight="1" s="497">
      <c r="A884" s="89" t="n"/>
    </row>
    <row r="885" ht="13" customHeight="1" s="497">
      <c r="A885" s="89" t="n"/>
    </row>
    <row r="886" ht="13" customHeight="1" s="497">
      <c r="A886" s="89" t="n"/>
    </row>
    <row r="887" ht="13" customHeight="1" s="497">
      <c r="A887" s="89" t="n"/>
    </row>
    <row r="888" ht="13" customHeight="1" s="497">
      <c r="A888" s="89" t="n"/>
    </row>
    <row r="889" ht="13" customHeight="1" s="497">
      <c r="A889" s="89" t="n"/>
    </row>
    <row r="890" ht="13" customHeight="1" s="497">
      <c r="A890" s="89" t="n"/>
    </row>
    <row r="891" ht="13" customHeight="1" s="497">
      <c r="A891" s="89" t="n"/>
    </row>
    <row r="892" ht="13" customHeight="1" s="497">
      <c r="A892" s="89" t="n"/>
    </row>
    <row r="893" ht="13" customHeight="1" s="497">
      <c r="A893" s="89" t="n"/>
    </row>
    <row r="894" ht="13" customHeight="1" s="497">
      <c r="A894" s="89" t="n"/>
    </row>
    <row r="895" ht="13" customHeight="1" s="497">
      <c r="A895" s="89" t="n"/>
    </row>
    <row r="896" ht="13" customHeight="1" s="497">
      <c r="A896" s="89" t="n"/>
    </row>
    <row r="897" ht="13" customHeight="1" s="497">
      <c r="A897" s="89" t="n"/>
    </row>
    <row r="898" ht="13" customHeight="1" s="497">
      <c r="A898" s="89" t="n"/>
    </row>
    <row r="899" ht="13" customHeight="1" s="497">
      <c r="A899" s="89" t="n"/>
    </row>
    <row r="900" ht="13" customHeight="1" s="497">
      <c r="A900" s="89" t="n"/>
    </row>
    <row r="901" ht="13" customHeight="1" s="497">
      <c r="A901" s="89" t="n"/>
    </row>
    <row r="902" ht="13" customHeight="1" s="497">
      <c r="A902" s="89" t="n"/>
    </row>
    <row r="903" ht="13" customHeight="1" s="497">
      <c r="A903" s="89" t="n"/>
    </row>
    <row r="904" ht="13" customHeight="1" s="497">
      <c r="A904" s="89" t="n"/>
    </row>
    <row r="905" ht="13" customHeight="1" s="497">
      <c r="A905" s="89" t="n"/>
    </row>
    <row r="906" ht="13" customHeight="1" s="497">
      <c r="A906" s="89" t="n"/>
    </row>
    <row r="907" ht="13" customHeight="1" s="497">
      <c r="A907" s="89" t="n"/>
    </row>
    <row r="908" ht="13" customHeight="1" s="497">
      <c r="A908" s="89" t="n"/>
    </row>
    <row r="909" ht="13" customHeight="1" s="497">
      <c r="A909" s="89" t="n"/>
    </row>
    <row r="910" ht="13" customHeight="1" s="497">
      <c r="A910" s="89" t="n"/>
    </row>
    <row r="911" ht="13" customHeight="1" s="497">
      <c r="A911" s="89" t="n"/>
    </row>
    <row r="912" ht="13" customHeight="1" s="497">
      <c r="A912" s="89" t="n"/>
    </row>
    <row r="913" ht="13" customHeight="1" s="497">
      <c r="A913" s="89" t="n"/>
    </row>
    <row r="914" ht="13" customHeight="1" s="497">
      <c r="A914" s="89" t="n"/>
    </row>
    <row r="915" ht="13" customHeight="1" s="497">
      <c r="A915" s="89" t="n"/>
    </row>
    <row r="916" ht="13" customHeight="1" s="497">
      <c r="A916" s="89" t="n"/>
    </row>
    <row r="917" ht="13" customHeight="1" s="497">
      <c r="A917" s="89" t="n"/>
    </row>
    <row r="918" ht="13" customHeight="1" s="497">
      <c r="A918" s="89" t="n"/>
    </row>
    <row r="919" ht="13" customHeight="1" s="497">
      <c r="A919" s="89" t="n"/>
    </row>
    <row r="920" ht="13" customHeight="1" s="497">
      <c r="A920" s="89" t="n"/>
    </row>
    <row r="921" ht="13" customHeight="1" s="497">
      <c r="A921" s="89" t="n"/>
    </row>
    <row r="922" ht="13" customHeight="1" s="497">
      <c r="A922" s="89" t="n"/>
    </row>
    <row r="923" ht="13" customHeight="1" s="497">
      <c r="A923" s="89" t="n"/>
    </row>
    <row r="924" ht="13" customHeight="1" s="497">
      <c r="A924" s="89" t="n"/>
    </row>
    <row r="925" ht="13" customHeight="1" s="497">
      <c r="A925" s="89" t="n"/>
    </row>
    <row r="926" ht="13" customHeight="1" s="497">
      <c r="A926" s="89" t="n"/>
    </row>
    <row r="927" ht="13" customHeight="1" s="497">
      <c r="A927" s="89" t="n"/>
    </row>
    <row r="928" ht="13" customHeight="1" s="497">
      <c r="A928" s="89" t="n"/>
    </row>
    <row r="929" ht="13" customHeight="1" s="497">
      <c r="A929" s="89" t="n"/>
    </row>
    <row r="930" ht="13" customHeight="1" s="497">
      <c r="A930" s="89" t="n"/>
    </row>
    <row r="931" ht="13" customHeight="1" s="497">
      <c r="A931" s="89" t="n"/>
    </row>
    <row r="932" ht="13" customHeight="1" s="497">
      <c r="A932" s="89" t="n"/>
    </row>
    <row r="933" ht="13" customHeight="1" s="497">
      <c r="A933" s="89" t="n"/>
    </row>
    <row r="934" ht="13" customHeight="1" s="497">
      <c r="A934" s="89" t="n"/>
    </row>
    <row r="935" ht="13" customHeight="1" s="497">
      <c r="A935" s="89" t="n"/>
    </row>
    <row r="936" ht="13" customHeight="1" s="497">
      <c r="A936" s="89" t="n"/>
    </row>
    <row r="937" ht="13" customHeight="1" s="497">
      <c r="A937" s="89" t="n"/>
    </row>
    <row r="938" ht="13" customHeight="1" s="497">
      <c r="A938" s="89" t="n"/>
    </row>
    <row r="939" ht="13" customHeight="1" s="497">
      <c r="A939" s="89" t="n"/>
    </row>
    <row r="940" ht="13" customHeight="1" s="497">
      <c r="A940" s="89" t="n"/>
    </row>
    <row r="941" ht="13" customHeight="1" s="497">
      <c r="A941" s="89" t="n"/>
    </row>
    <row r="942" ht="13" customHeight="1" s="497">
      <c r="A942" s="89" t="n"/>
    </row>
    <row r="943" ht="13" customHeight="1" s="497">
      <c r="A943" s="89" t="n"/>
    </row>
    <row r="944" ht="13" customHeight="1" s="497">
      <c r="A944" s="89" t="n"/>
    </row>
    <row r="945" ht="13" customHeight="1" s="497">
      <c r="A945" s="89" t="n"/>
    </row>
    <row r="946" ht="13" customHeight="1" s="497">
      <c r="A946" s="89" t="n"/>
    </row>
    <row r="947" ht="13" customHeight="1" s="497">
      <c r="A947" s="89" t="n"/>
    </row>
    <row r="948" ht="13" customHeight="1" s="497">
      <c r="A948" s="89" t="n"/>
    </row>
    <row r="949" ht="13" customHeight="1" s="497">
      <c r="A949" s="89" t="n"/>
    </row>
    <row r="950" ht="13" customHeight="1" s="497">
      <c r="A950" s="89" t="n"/>
    </row>
    <row r="951" ht="13" customHeight="1" s="497">
      <c r="A951" s="89" t="n"/>
    </row>
    <row r="952" ht="13" customHeight="1" s="497">
      <c r="A952" s="89" t="n"/>
    </row>
    <row r="953" ht="13" customHeight="1" s="497">
      <c r="A953" s="89" t="n"/>
    </row>
    <row r="954" ht="13" customHeight="1" s="497">
      <c r="A954" s="89" t="n"/>
    </row>
    <row r="955" ht="13" customHeight="1" s="497">
      <c r="A955" s="89" t="n"/>
    </row>
    <row r="956" ht="13" customHeight="1" s="497">
      <c r="A956" s="89" t="n"/>
    </row>
    <row r="957" ht="13" customHeight="1" s="497">
      <c r="A957" s="89" t="n"/>
    </row>
    <row r="958" ht="13" customHeight="1" s="497">
      <c r="A958" s="89" t="n"/>
    </row>
    <row r="959" ht="13" customHeight="1" s="497">
      <c r="A959" s="89" t="n"/>
    </row>
    <row r="960" ht="13" customHeight="1" s="497">
      <c r="A960" s="89" t="n"/>
    </row>
    <row r="961" ht="13" customHeight="1" s="497">
      <c r="A961" s="89" t="n"/>
    </row>
    <row r="962" ht="13" customHeight="1" s="497">
      <c r="A962" s="89" t="n"/>
    </row>
    <row r="963" ht="13" customHeight="1" s="497">
      <c r="A963" s="89" t="n"/>
    </row>
    <row r="964" ht="13" customHeight="1" s="497">
      <c r="A964" s="89" t="n"/>
    </row>
    <row r="965" ht="13" customHeight="1" s="497">
      <c r="A965" s="89" t="n"/>
    </row>
    <row r="966" ht="13" customHeight="1" s="497">
      <c r="A966" s="89" t="n"/>
    </row>
    <row r="967" ht="13" customHeight="1" s="497">
      <c r="A967" s="89" t="n"/>
    </row>
    <row r="968" ht="13" customHeight="1" s="497">
      <c r="A968" s="89" t="n"/>
    </row>
    <row r="969" ht="13" customHeight="1" s="497">
      <c r="A969" s="89" t="n"/>
    </row>
  </sheetData>
  <pageMargins left="0.25" right="0.25" top="0.75" bottom="0.75" header="0.3" footer="0.3"/>
  <pageSetup orientation="portrait" scale="16"/>
</worksheet>
</file>

<file path=xl/worksheets/sheet14.xml><?xml version="1.0" encoding="utf-8"?>
<worksheet xmlns="http://schemas.openxmlformats.org/spreadsheetml/2006/main">
  <sheetPr>
    <tabColor rgb="FF92D050"/>
    <outlinePr summaryBelow="1" summaryRight="1"/>
    <pageSetUpPr/>
  </sheetPr>
  <dimension ref="A1:BI36"/>
  <sheetViews>
    <sheetView showGridLines="0" zoomScale="130" zoomScaleNormal="130" workbookViewId="0">
      <pane xSplit="1" ySplit="5" topLeftCell="BC6" activePane="bottomRight" state="frozen"/>
      <selection pane="topRight" activeCell="A2" sqref="A2"/>
      <selection pane="bottomLeft" activeCell="A2" sqref="A2"/>
      <selection pane="bottomRight" activeCell="BI51" sqref="BI51"/>
    </sheetView>
  </sheetViews>
  <sheetFormatPr baseColWidth="10" defaultColWidth="8.83203125" defaultRowHeight="13"/>
  <cols>
    <col width="39.5" bestFit="1" customWidth="1" style="4" min="1" max="1"/>
    <col width="11.5" bestFit="1" customWidth="1" style="4" min="2" max="4"/>
    <col width="12.33203125" bestFit="1" customWidth="1" style="4" min="5" max="19"/>
    <col width="13.5" bestFit="1" customWidth="1" style="4" min="20" max="52"/>
    <col width="14.33203125" bestFit="1" customWidth="1" style="4" min="53" max="61"/>
    <col width="8.83203125" customWidth="1" style="4" min="62" max="16384"/>
  </cols>
  <sheetData>
    <row r="1" ht="26.25" customFormat="1" customHeight="1" s="106">
      <c r="A1" s="104" t="inlineStr">
        <is>
          <t>DVS</t>
        </is>
      </c>
      <c r="B1" s="105" t="n"/>
      <c r="C1" s="112" t="n"/>
      <c r="D1" s="112" t="n"/>
      <c r="E1" s="112" t="n"/>
      <c r="F1" s="113" t="n"/>
      <c r="G1" s="105" t="n"/>
      <c r="H1" s="105" t="n"/>
      <c r="I1" s="105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  <c r="AZ1" s="114" t="n"/>
      <c r="BA1" s="114" t="n"/>
      <c r="BB1" s="114" t="n"/>
      <c r="BC1" s="114" t="n"/>
      <c r="BD1" s="114" t="n"/>
      <c r="BE1" s="114" t="n"/>
      <c r="BF1" s="114" t="n"/>
    </row>
    <row r="2" customFormat="1" s="108">
      <c r="A2" s="107" t="inlineStr">
        <is>
          <t>Monthly Cash Flow Statement</t>
        </is>
      </c>
    </row>
    <row r="3" customFormat="1" s="108">
      <c r="A3" s="109" t="inlineStr">
        <is>
          <t>Amounts in €</t>
        </is>
      </c>
      <c r="B3" s="116">
        <f>YEAR(B5)</f>
        <v/>
      </c>
      <c r="C3" s="116">
        <f>YEAR(C5)</f>
        <v/>
      </c>
      <c r="D3" s="116">
        <f>YEAR(D5)</f>
        <v/>
      </c>
      <c r="E3" s="116">
        <f>YEAR(E5)</f>
        <v/>
      </c>
      <c r="F3" s="116">
        <f>YEAR(F5)</f>
        <v/>
      </c>
      <c r="G3" s="116">
        <f>YEAR(G5)</f>
        <v/>
      </c>
      <c r="H3" s="116">
        <f>YEAR(H5)</f>
        <v/>
      </c>
      <c r="I3" s="116">
        <f>YEAR(I5)</f>
        <v/>
      </c>
      <c r="J3" s="116">
        <f>YEAR(J5)</f>
        <v/>
      </c>
      <c r="K3" s="116">
        <f>YEAR(K5)</f>
        <v/>
      </c>
      <c r="L3" s="116">
        <f>YEAR(L5)</f>
        <v/>
      </c>
      <c r="M3" s="116">
        <f>YEAR(M5)</f>
        <v/>
      </c>
      <c r="N3" s="116">
        <f>YEAR(N5)</f>
        <v/>
      </c>
      <c r="O3" s="116">
        <f>YEAR(O5)</f>
        <v/>
      </c>
      <c r="P3" s="116">
        <f>YEAR(P5)</f>
        <v/>
      </c>
      <c r="Q3" s="116">
        <f>YEAR(Q5)</f>
        <v/>
      </c>
      <c r="R3" s="116">
        <f>YEAR(R5)</f>
        <v/>
      </c>
      <c r="S3" s="116">
        <f>YEAR(S5)</f>
        <v/>
      </c>
      <c r="T3" s="116">
        <f>YEAR(T5)</f>
        <v/>
      </c>
      <c r="U3" s="116">
        <f>YEAR(U5)</f>
        <v/>
      </c>
      <c r="V3" s="116">
        <f>YEAR(V5)</f>
        <v/>
      </c>
      <c r="W3" s="116">
        <f>YEAR(W5)</f>
        <v/>
      </c>
      <c r="X3" s="116">
        <f>YEAR(X5)</f>
        <v/>
      </c>
      <c r="Y3" s="116">
        <f>YEAR(Y5)</f>
        <v/>
      </c>
      <c r="Z3" s="116">
        <f>YEAR(Z5)</f>
        <v/>
      </c>
      <c r="AA3" s="116">
        <f>YEAR(AA5)</f>
        <v/>
      </c>
      <c r="AB3" s="116">
        <f>YEAR(AB5)</f>
        <v/>
      </c>
      <c r="AC3" s="116">
        <f>YEAR(AC5)</f>
        <v/>
      </c>
      <c r="AD3" s="116">
        <f>YEAR(AD5)</f>
        <v/>
      </c>
      <c r="AE3" s="116">
        <f>YEAR(AE5)</f>
        <v/>
      </c>
      <c r="AF3" s="116">
        <f>YEAR(AF5)</f>
        <v/>
      </c>
      <c r="AG3" s="116">
        <f>YEAR(AG5)</f>
        <v/>
      </c>
      <c r="AH3" s="116">
        <f>YEAR(AH5)</f>
        <v/>
      </c>
      <c r="AI3" s="116">
        <f>YEAR(AI5)</f>
        <v/>
      </c>
      <c r="AJ3" s="116">
        <f>YEAR(AJ5)</f>
        <v/>
      </c>
      <c r="AK3" s="116">
        <f>YEAR(AK5)</f>
        <v/>
      </c>
      <c r="AL3" s="116">
        <f>YEAR(AL5)</f>
        <v/>
      </c>
      <c r="AM3" s="116">
        <f>YEAR(AM5)</f>
        <v/>
      </c>
      <c r="AN3" s="116">
        <f>YEAR(AN5)</f>
        <v/>
      </c>
      <c r="AO3" s="116">
        <f>YEAR(AO5)</f>
        <v/>
      </c>
      <c r="AP3" s="116">
        <f>YEAR(AP5)</f>
        <v/>
      </c>
      <c r="AQ3" s="116">
        <f>YEAR(AQ5)</f>
        <v/>
      </c>
      <c r="AR3" s="116">
        <f>YEAR(AR5)</f>
        <v/>
      </c>
      <c r="AS3" s="116">
        <f>YEAR(AS5)</f>
        <v/>
      </c>
      <c r="AT3" s="116">
        <f>YEAR(AT5)</f>
        <v/>
      </c>
      <c r="AU3" s="116">
        <f>YEAR(AU5)</f>
        <v/>
      </c>
      <c r="AV3" s="116">
        <f>YEAR(AV5)</f>
        <v/>
      </c>
      <c r="AW3" s="116">
        <f>YEAR(AW5)</f>
        <v/>
      </c>
      <c r="AX3" s="116">
        <f>YEAR(AX5)</f>
        <v/>
      </c>
      <c r="AY3" s="116">
        <f>YEAR(AY5)</f>
        <v/>
      </c>
      <c r="AZ3" s="116">
        <f>YEAR(AZ5)</f>
        <v/>
      </c>
      <c r="BA3" s="116">
        <f>YEAR(BA5)</f>
        <v/>
      </c>
      <c r="BB3" s="116">
        <f>YEAR(BB5)</f>
        <v/>
      </c>
      <c r="BC3" s="116">
        <f>YEAR(BC5)</f>
        <v/>
      </c>
      <c r="BD3" s="116">
        <f>YEAR(BD5)</f>
        <v/>
      </c>
      <c r="BE3" s="116">
        <f>YEAR(BE5)</f>
        <v/>
      </c>
      <c r="BF3" s="116">
        <f>YEAR(BF5)</f>
        <v/>
      </c>
      <c r="BG3" s="116">
        <f>YEAR(BG5)</f>
        <v/>
      </c>
      <c r="BH3" s="116">
        <f>YEAR(BH5)</f>
        <v/>
      </c>
      <c r="BI3" s="116">
        <f>YEAR(BI5)</f>
        <v/>
      </c>
    </row>
    <row r="4" ht="11" customFormat="1" customHeight="1" s="5">
      <c r="B4" s="530" t="n">
        <v>1</v>
      </c>
      <c r="C4" s="530">
        <f>B4+1</f>
        <v/>
      </c>
      <c r="D4" s="530">
        <f>C4+1</f>
        <v/>
      </c>
      <c r="E4" s="530">
        <f>D4+1</f>
        <v/>
      </c>
      <c r="F4" s="530">
        <f>E4+1</f>
        <v/>
      </c>
      <c r="G4" s="530">
        <f>F4+1</f>
        <v/>
      </c>
      <c r="H4" s="530">
        <f>G4+1</f>
        <v/>
      </c>
      <c r="I4" s="530">
        <f>H4+1</f>
        <v/>
      </c>
      <c r="J4" s="530">
        <f>I4+1</f>
        <v/>
      </c>
      <c r="K4" s="530">
        <f>J4+1</f>
        <v/>
      </c>
      <c r="L4" s="530">
        <f>K4+1</f>
        <v/>
      </c>
      <c r="M4" s="530">
        <f>L4+1</f>
        <v/>
      </c>
      <c r="N4" s="530">
        <f>M4+1</f>
        <v/>
      </c>
      <c r="O4" s="530">
        <f>N4+1</f>
        <v/>
      </c>
      <c r="P4" s="530">
        <f>O4+1</f>
        <v/>
      </c>
      <c r="Q4" s="530">
        <f>P4+1</f>
        <v/>
      </c>
      <c r="R4" s="530">
        <f>Q4+1</f>
        <v/>
      </c>
      <c r="S4" s="530">
        <f>R4+1</f>
        <v/>
      </c>
      <c r="T4" s="530">
        <f>S4+1</f>
        <v/>
      </c>
      <c r="U4" s="530">
        <f>T4+1</f>
        <v/>
      </c>
      <c r="V4" s="530">
        <f>U4+1</f>
        <v/>
      </c>
      <c r="W4" s="530">
        <f>V4+1</f>
        <v/>
      </c>
      <c r="X4" s="530">
        <f>W4+1</f>
        <v/>
      </c>
      <c r="Y4" s="530">
        <f>X4+1</f>
        <v/>
      </c>
      <c r="Z4" s="530">
        <f>Y4+1</f>
        <v/>
      </c>
      <c r="AA4" s="530">
        <f>Z4+1</f>
        <v/>
      </c>
      <c r="AB4" s="530">
        <f>AA4+1</f>
        <v/>
      </c>
      <c r="AC4" s="530">
        <f>AB4+1</f>
        <v/>
      </c>
      <c r="AD4" s="530">
        <f>AC4+1</f>
        <v/>
      </c>
      <c r="AE4" s="530">
        <f>AD4+1</f>
        <v/>
      </c>
      <c r="AF4" s="530">
        <f>AE4+1</f>
        <v/>
      </c>
      <c r="AG4" s="530">
        <f>AF4+1</f>
        <v/>
      </c>
      <c r="AH4" s="530">
        <f>AG4+1</f>
        <v/>
      </c>
      <c r="AI4" s="530">
        <f>AH4+1</f>
        <v/>
      </c>
      <c r="AJ4" s="530">
        <f>AI4+1</f>
        <v/>
      </c>
      <c r="AK4" s="530">
        <f>AJ4+1</f>
        <v/>
      </c>
      <c r="AL4" s="530">
        <f>AK4+1</f>
        <v/>
      </c>
      <c r="AM4" s="530">
        <f>AL4+1</f>
        <v/>
      </c>
      <c r="AN4" s="530">
        <f>AM4+1</f>
        <v/>
      </c>
      <c r="AO4" s="530">
        <f>AN4+1</f>
        <v/>
      </c>
      <c r="AP4" s="530">
        <f>AO4+1</f>
        <v/>
      </c>
      <c r="AQ4" s="530">
        <f>AP4+1</f>
        <v/>
      </c>
      <c r="AR4" s="530">
        <f>AQ4+1</f>
        <v/>
      </c>
      <c r="AS4" s="530">
        <f>AR4+1</f>
        <v/>
      </c>
      <c r="AT4" s="530">
        <f>AS4+1</f>
        <v/>
      </c>
      <c r="AU4" s="530">
        <f>AT4+1</f>
        <v/>
      </c>
      <c r="AV4" s="530">
        <f>AU4+1</f>
        <v/>
      </c>
      <c r="AW4" s="530">
        <f>AV4+1</f>
        <v/>
      </c>
      <c r="AX4" s="530">
        <f>AW4+1</f>
        <v/>
      </c>
      <c r="AY4" s="530">
        <f>AX4+1</f>
        <v/>
      </c>
      <c r="AZ4" s="530">
        <f>AY4+1</f>
        <v/>
      </c>
      <c r="BA4" s="530">
        <f>AZ4+1</f>
        <v/>
      </c>
      <c r="BB4" s="530">
        <f>BA4+1</f>
        <v/>
      </c>
      <c r="BC4" s="530">
        <f>BB4+1</f>
        <v/>
      </c>
      <c r="BD4" s="530">
        <f>BC4+1</f>
        <v/>
      </c>
      <c r="BE4" s="530">
        <f>BD4+1</f>
        <v/>
      </c>
      <c r="BF4" s="530">
        <f>BE4+1</f>
        <v/>
      </c>
      <c r="BG4" s="530">
        <f>BF4+1</f>
        <v/>
      </c>
      <c r="BH4" s="530">
        <f>BG4+1</f>
        <v/>
      </c>
      <c r="BI4" s="530">
        <f>BH4+1</f>
        <v/>
      </c>
    </row>
    <row r="5" ht="12" customFormat="1" customHeight="1" s="108">
      <c r="A5" s="110" t="inlineStr">
        <is>
          <t>Assumptions for the Monthly Period</t>
        </is>
      </c>
      <c r="B5" s="111">
        <f>'Revenue Asumptions'!B5</f>
        <v/>
      </c>
      <c r="C5" s="111">
        <f>'Revenue Asumptions'!C5</f>
        <v/>
      </c>
      <c r="D5" s="111">
        <f>'Revenue Asumptions'!D5</f>
        <v/>
      </c>
      <c r="E5" s="111">
        <f>'Revenue Asumptions'!E5</f>
        <v/>
      </c>
      <c r="F5" s="111">
        <f>'Revenue Asumptions'!F5</f>
        <v/>
      </c>
      <c r="G5" s="111">
        <f>'Revenue Asumptions'!G5</f>
        <v/>
      </c>
      <c r="H5" s="111">
        <f>'Revenue Asumptions'!H5</f>
        <v/>
      </c>
      <c r="I5" s="111">
        <f>'Revenue Asumptions'!I5</f>
        <v/>
      </c>
      <c r="J5" s="111">
        <f>'Revenue Asumptions'!J5</f>
        <v/>
      </c>
      <c r="K5" s="111">
        <f>'Revenue Asumptions'!K5</f>
        <v/>
      </c>
      <c r="L5" s="111">
        <f>'Revenue Asumptions'!L5</f>
        <v/>
      </c>
      <c r="M5" s="111">
        <f>'Revenue Asumptions'!M5</f>
        <v/>
      </c>
      <c r="N5" s="111">
        <f>'Revenue Asumptions'!N5</f>
        <v/>
      </c>
      <c r="O5" s="111">
        <f>'Revenue Asumptions'!O5</f>
        <v/>
      </c>
      <c r="P5" s="111">
        <f>'Revenue Asumptions'!P5</f>
        <v/>
      </c>
      <c r="Q5" s="111">
        <f>'Revenue Asumptions'!Q5</f>
        <v/>
      </c>
      <c r="R5" s="111">
        <f>'Revenue Asumptions'!R5</f>
        <v/>
      </c>
      <c r="S5" s="111">
        <f>'Revenue Asumptions'!S5</f>
        <v/>
      </c>
      <c r="T5" s="111">
        <f>'Revenue Asumptions'!T5</f>
        <v/>
      </c>
      <c r="U5" s="111">
        <f>'Revenue Asumptions'!U5</f>
        <v/>
      </c>
      <c r="V5" s="111">
        <f>'Revenue Asumptions'!V5</f>
        <v/>
      </c>
      <c r="W5" s="111">
        <f>'Revenue Asumptions'!W5</f>
        <v/>
      </c>
      <c r="X5" s="111">
        <f>'Revenue Asumptions'!X5</f>
        <v/>
      </c>
      <c r="Y5" s="111">
        <f>'Revenue Asumptions'!Y5</f>
        <v/>
      </c>
      <c r="Z5" s="111">
        <f>'Revenue Asumptions'!Z5</f>
        <v/>
      </c>
      <c r="AA5" s="111">
        <f>'Revenue Asumptions'!AA5</f>
        <v/>
      </c>
      <c r="AB5" s="111">
        <f>'Revenue Asumptions'!AB5</f>
        <v/>
      </c>
      <c r="AC5" s="111">
        <f>'Revenue Asumptions'!AC5</f>
        <v/>
      </c>
      <c r="AD5" s="111">
        <f>'Revenue Asumptions'!AD5</f>
        <v/>
      </c>
      <c r="AE5" s="111">
        <f>'Revenue Asumptions'!AE5</f>
        <v/>
      </c>
      <c r="AF5" s="111">
        <f>'Revenue Asumptions'!AF5</f>
        <v/>
      </c>
      <c r="AG5" s="111">
        <f>'Revenue Asumptions'!AG5</f>
        <v/>
      </c>
      <c r="AH5" s="111">
        <f>'Revenue Asumptions'!AH5</f>
        <v/>
      </c>
      <c r="AI5" s="111">
        <f>'Revenue Asumptions'!AI5</f>
        <v/>
      </c>
      <c r="AJ5" s="111">
        <f>'Revenue Asumptions'!AJ5</f>
        <v/>
      </c>
      <c r="AK5" s="111">
        <f>'Revenue Asumptions'!AK5</f>
        <v/>
      </c>
      <c r="AL5" s="111">
        <f>'Revenue Asumptions'!AL5</f>
        <v/>
      </c>
      <c r="AM5" s="111">
        <f>'Revenue Asumptions'!AM5</f>
        <v/>
      </c>
      <c r="AN5" s="111">
        <f>'Revenue Asumptions'!AN5</f>
        <v/>
      </c>
      <c r="AO5" s="111">
        <f>'Revenue Asumptions'!AO5</f>
        <v/>
      </c>
      <c r="AP5" s="111">
        <f>'Revenue Asumptions'!AP5</f>
        <v/>
      </c>
      <c r="AQ5" s="111">
        <f>'Revenue Asumptions'!AQ5</f>
        <v/>
      </c>
      <c r="AR5" s="111">
        <f>'Revenue Asumptions'!AR5</f>
        <v/>
      </c>
      <c r="AS5" s="111">
        <f>'Revenue Asumptions'!AS5</f>
        <v/>
      </c>
      <c r="AT5" s="111">
        <f>'Revenue Asumptions'!AT5</f>
        <v/>
      </c>
      <c r="AU5" s="111">
        <f>'Revenue Asumptions'!AU5</f>
        <v/>
      </c>
      <c r="AV5" s="111">
        <f>'Revenue Asumptions'!AV5</f>
        <v/>
      </c>
      <c r="AW5" s="111">
        <f>'Revenue Asumptions'!AW5</f>
        <v/>
      </c>
      <c r="AX5" s="111">
        <f>'Revenue Asumptions'!AX5</f>
        <v/>
      </c>
      <c r="AY5" s="111">
        <f>'Revenue Asumptions'!AY5</f>
        <v/>
      </c>
      <c r="AZ5" s="111">
        <f>'Revenue Asumptions'!AZ5</f>
        <v/>
      </c>
      <c r="BA5" s="111">
        <f>'Revenue Asumptions'!BA5</f>
        <v/>
      </c>
      <c r="BB5" s="111">
        <f>'Revenue Asumptions'!BB5</f>
        <v/>
      </c>
      <c r="BC5" s="111">
        <f>'Revenue Asumptions'!BC5</f>
        <v/>
      </c>
      <c r="BD5" s="111">
        <f>'Revenue Asumptions'!BD5</f>
        <v/>
      </c>
      <c r="BE5" s="111">
        <f>'Revenue Asumptions'!BE5</f>
        <v/>
      </c>
      <c r="BF5" s="111">
        <f>'Revenue Asumptions'!BF5</f>
        <v/>
      </c>
      <c r="BG5" s="111">
        <f>'Revenue Asumptions'!BG5</f>
        <v/>
      </c>
      <c r="BH5" s="111">
        <f>'Revenue Asumptions'!BH5</f>
        <v/>
      </c>
      <c r="BI5" s="111">
        <f>'Revenue Asumptions'!BI5</f>
        <v/>
      </c>
    </row>
    <row r="6" customFormat="1" s="640">
      <c r="A6" s="4" t="n"/>
    </row>
    <row r="7" customFormat="1" s="640">
      <c r="A7" s="7" t="inlineStr">
        <is>
          <t>Cash flow from Operating Activities</t>
        </is>
      </c>
    </row>
    <row r="8" customFormat="1" s="640">
      <c r="A8" s="78" t="inlineStr">
        <is>
          <t>Profit before Tax</t>
        </is>
      </c>
      <c r="B8" s="641">
        <f>'Monthly P&amp;L'!B64</f>
        <v/>
      </c>
      <c r="C8" s="641">
        <f>'Monthly P&amp;L'!C64</f>
        <v/>
      </c>
      <c r="D8" s="641">
        <f>'Monthly P&amp;L'!D64</f>
        <v/>
      </c>
      <c r="E8" s="641">
        <f>'Monthly P&amp;L'!E64</f>
        <v/>
      </c>
      <c r="F8" s="641">
        <f>'Monthly P&amp;L'!F64</f>
        <v/>
      </c>
      <c r="G8" s="641">
        <f>'Monthly P&amp;L'!G64</f>
        <v/>
      </c>
      <c r="H8" s="641">
        <f>'Monthly P&amp;L'!H64</f>
        <v/>
      </c>
      <c r="I8" s="641">
        <f>'Monthly P&amp;L'!I64</f>
        <v/>
      </c>
      <c r="J8" s="641">
        <f>'Monthly P&amp;L'!J64</f>
        <v/>
      </c>
      <c r="K8" s="641">
        <f>'Monthly P&amp;L'!K64</f>
        <v/>
      </c>
      <c r="L8" s="641">
        <f>'Monthly P&amp;L'!L64</f>
        <v/>
      </c>
      <c r="M8" s="641">
        <f>'Monthly P&amp;L'!M64</f>
        <v/>
      </c>
      <c r="N8" s="641">
        <f>'Monthly P&amp;L'!N64</f>
        <v/>
      </c>
      <c r="O8" s="641">
        <f>'Monthly P&amp;L'!O64</f>
        <v/>
      </c>
      <c r="P8" s="641">
        <f>'Monthly P&amp;L'!P64</f>
        <v/>
      </c>
      <c r="Q8" s="641">
        <f>'Monthly P&amp;L'!Q64</f>
        <v/>
      </c>
      <c r="R8" s="641">
        <f>'Monthly P&amp;L'!R64</f>
        <v/>
      </c>
      <c r="S8" s="641">
        <f>'Monthly P&amp;L'!S64</f>
        <v/>
      </c>
      <c r="T8" s="641">
        <f>'Monthly P&amp;L'!T64</f>
        <v/>
      </c>
      <c r="U8" s="641">
        <f>'Monthly P&amp;L'!U64</f>
        <v/>
      </c>
      <c r="V8" s="641">
        <f>'Monthly P&amp;L'!V64</f>
        <v/>
      </c>
      <c r="W8" s="641">
        <f>'Monthly P&amp;L'!W64</f>
        <v/>
      </c>
      <c r="X8" s="641">
        <f>'Monthly P&amp;L'!X64</f>
        <v/>
      </c>
      <c r="Y8" s="641">
        <f>'Monthly P&amp;L'!Y64</f>
        <v/>
      </c>
      <c r="Z8" s="641">
        <f>'Monthly P&amp;L'!Z64</f>
        <v/>
      </c>
      <c r="AA8" s="641">
        <f>'Monthly P&amp;L'!AA64</f>
        <v/>
      </c>
      <c r="AB8" s="641">
        <f>'Monthly P&amp;L'!AB64</f>
        <v/>
      </c>
      <c r="AC8" s="641">
        <f>'Monthly P&amp;L'!AC64</f>
        <v/>
      </c>
      <c r="AD8" s="641">
        <f>'Monthly P&amp;L'!AD64</f>
        <v/>
      </c>
      <c r="AE8" s="641">
        <f>'Monthly P&amp;L'!AE64</f>
        <v/>
      </c>
      <c r="AF8" s="641">
        <f>'Monthly P&amp;L'!AF64</f>
        <v/>
      </c>
      <c r="AG8" s="641">
        <f>'Monthly P&amp;L'!AG64</f>
        <v/>
      </c>
      <c r="AH8" s="641">
        <f>'Monthly P&amp;L'!AH64</f>
        <v/>
      </c>
      <c r="AI8" s="641">
        <f>'Monthly P&amp;L'!AI64</f>
        <v/>
      </c>
      <c r="AJ8" s="641">
        <f>'Monthly P&amp;L'!AJ64</f>
        <v/>
      </c>
      <c r="AK8" s="641">
        <f>'Monthly P&amp;L'!AK64</f>
        <v/>
      </c>
      <c r="AL8" s="641">
        <f>'Monthly P&amp;L'!AL64</f>
        <v/>
      </c>
      <c r="AM8" s="641">
        <f>'Monthly P&amp;L'!AM64</f>
        <v/>
      </c>
      <c r="AN8" s="641">
        <f>'Monthly P&amp;L'!AN64</f>
        <v/>
      </c>
      <c r="AO8" s="641">
        <f>'Monthly P&amp;L'!AO64</f>
        <v/>
      </c>
      <c r="AP8" s="641">
        <f>'Monthly P&amp;L'!AP64</f>
        <v/>
      </c>
      <c r="AQ8" s="641">
        <f>'Monthly P&amp;L'!AQ64</f>
        <v/>
      </c>
      <c r="AR8" s="641">
        <f>'Monthly P&amp;L'!AR64</f>
        <v/>
      </c>
      <c r="AS8" s="641">
        <f>'Monthly P&amp;L'!AS64</f>
        <v/>
      </c>
      <c r="AT8" s="641">
        <f>'Monthly P&amp;L'!AT64</f>
        <v/>
      </c>
      <c r="AU8" s="641">
        <f>'Monthly P&amp;L'!AU64</f>
        <v/>
      </c>
      <c r="AV8" s="641">
        <f>'Monthly P&amp;L'!AV64</f>
        <v/>
      </c>
      <c r="AW8" s="641">
        <f>'Monthly P&amp;L'!AW64</f>
        <v/>
      </c>
      <c r="AX8" s="641">
        <f>'Monthly P&amp;L'!AX64</f>
        <v/>
      </c>
      <c r="AY8" s="641">
        <f>'Monthly P&amp;L'!AY64</f>
        <v/>
      </c>
      <c r="AZ8" s="641">
        <f>'Monthly P&amp;L'!AZ64</f>
        <v/>
      </c>
      <c r="BA8" s="641">
        <f>'Monthly P&amp;L'!BA64</f>
        <v/>
      </c>
      <c r="BB8" s="641">
        <f>'Monthly P&amp;L'!BB64</f>
        <v/>
      </c>
      <c r="BC8" s="641">
        <f>'Monthly P&amp;L'!BC64</f>
        <v/>
      </c>
      <c r="BD8" s="641">
        <f>'Monthly P&amp;L'!BD64</f>
        <v/>
      </c>
      <c r="BE8" s="641">
        <f>'Monthly P&amp;L'!BE64</f>
        <v/>
      </c>
      <c r="BF8" s="641">
        <f>'Monthly P&amp;L'!BF64</f>
        <v/>
      </c>
      <c r="BG8" s="641">
        <f>'Monthly P&amp;L'!BG64</f>
        <v/>
      </c>
      <c r="BH8" s="641">
        <f>'Monthly P&amp;L'!BH64</f>
        <v/>
      </c>
      <c r="BI8" s="641">
        <f>'Monthly P&amp;L'!BI64</f>
        <v/>
      </c>
    </row>
    <row r="9" customFormat="1" s="640">
      <c r="A9" s="86" t="inlineStr">
        <is>
          <t>Adjustments for:</t>
        </is>
      </c>
    </row>
    <row r="10" customFormat="1" s="640">
      <c r="A10" s="78" t="inlineStr">
        <is>
          <t>Add: Depreciation &amp; Amortization</t>
        </is>
      </c>
      <c r="B10" s="641">
        <f>+'Monthly P&amp;L'!B61</f>
        <v/>
      </c>
      <c r="C10" s="641">
        <f>+'Monthly P&amp;L'!C61</f>
        <v/>
      </c>
      <c r="D10" s="641">
        <f>+'Monthly P&amp;L'!D61</f>
        <v/>
      </c>
      <c r="E10" s="641">
        <f>+'Monthly P&amp;L'!E61</f>
        <v/>
      </c>
      <c r="F10" s="641">
        <f>+'Monthly P&amp;L'!F61</f>
        <v/>
      </c>
      <c r="G10" s="641">
        <f>+'Monthly P&amp;L'!G61</f>
        <v/>
      </c>
      <c r="H10" s="641">
        <f>+'Monthly P&amp;L'!H61</f>
        <v/>
      </c>
      <c r="I10" s="641">
        <f>+'Monthly P&amp;L'!I61</f>
        <v/>
      </c>
      <c r="J10" s="641">
        <f>+'Monthly P&amp;L'!J61</f>
        <v/>
      </c>
      <c r="K10" s="641">
        <f>+'Monthly P&amp;L'!K61</f>
        <v/>
      </c>
      <c r="L10" s="641">
        <f>+'Monthly P&amp;L'!L61</f>
        <v/>
      </c>
      <c r="M10" s="641">
        <f>+'Monthly P&amp;L'!M61</f>
        <v/>
      </c>
      <c r="N10" s="641">
        <f>+'Monthly P&amp;L'!N61</f>
        <v/>
      </c>
      <c r="O10" s="641">
        <f>+'Monthly P&amp;L'!O61</f>
        <v/>
      </c>
      <c r="P10" s="641">
        <f>+'Monthly P&amp;L'!P61</f>
        <v/>
      </c>
      <c r="Q10" s="641">
        <f>+'Monthly P&amp;L'!Q61</f>
        <v/>
      </c>
      <c r="R10" s="641">
        <f>+'Monthly P&amp;L'!R61</f>
        <v/>
      </c>
      <c r="S10" s="641">
        <f>+'Monthly P&amp;L'!S61</f>
        <v/>
      </c>
      <c r="T10" s="641">
        <f>+'Monthly P&amp;L'!T61</f>
        <v/>
      </c>
      <c r="U10" s="641">
        <f>+'Monthly P&amp;L'!U61</f>
        <v/>
      </c>
      <c r="V10" s="641">
        <f>+'Monthly P&amp;L'!V61</f>
        <v/>
      </c>
      <c r="W10" s="641">
        <f>+'Monthly P&amp;L'!W61</f>
        <v/>
      </c>
      <c r="X10" s="641">
        <f>+'Monthly P&amp;L'!X61</f>
        <v/>
      </c>
      <c r="Y10" s="641">
        <f>+'Monthly P&amp;L'!Y61</f>
        <v/>
      </c>
      <c r="Z10" s="641">
        <f>+'Monthly P&amp;L'!Z61</f>
        <v/>
      </c>
      <c r="AA10" s="641">
        <f>+'Monthly P&amp;L'!AA61</f>
        <v/>
      </c>
      <c r="AB10" s="641">
        <f>+'Monthly P&amp;L'!AB61</f>
        <v/>
      </c>
      <c r="AC10" s="641">
        <f>+'Monthly P&amp;L'!AC61</f>
        <v/>
      </c>
      <c r="AD10" s="641">
        <f>+'Monthly P&amp;L'!AD61</f>
        <v/>
      </c>
      <c r="AE10" s="641">
        <f>+'Monthly P&amp;L'!AE61</f>
        <v/>
      </c>
      <c r="AF10" s="641">
        <f>+'Monthly P&amp;L'!AF61</f>
        <v/>
      </c>
      <c r="AG10" s="641">
        <f>+'Monthly P&amp;L'!AG61</f>
        <v/>
      </c>
      <c r="AH10" s="641">
        <f>+'Monthly P&amp;L'!AH61</f>
        <v/>
      </c>
      <c r="AI10" s="641">
        <f>+'Monthly P&amp;L'!AI61</f>
        <v/>
      </c>
      <c r="AJ10" s="641">
        <f>+'Monthly P&amp;L'!AJ61</f>
        <v/>
      </c>
      <c r="AK10" s="641">
        <f>+'Monthly P&amp;L'!AK61</f>
        <v/>
      </c>
      <c r="AL10" s="641">
        <f>+'Monthly P&amp;L'!AL61</f>
        <v/>
      </c>
      <c r="AM10" s="641">
        <f>+'Monthly P&amp;L'!AM61</f>
        <v/>
      </c>
      <c r="AN10" s="641">
        <f>+'Monthly P&amp;L'!AN61</f>
        <v/>
      </c>
      <c r="AO10" s="641">
        <f>+'Monthly P&amp;L'!AO61</f>
        <v/>
      </c>
      <c r="AP10" s="641">
        <f>+'Monthly P&amp;L'!AP61</f>
        <v/>
      </c>
      <c r="AQ10" s="641">
        <f>+'Monthly P&amp;L'!AQ61</f>
        <v/>
      </c>
      <c r="AR10" s="641">
        <f>+'Monthly P&amp;L'!AR61</f>
        <v/>
      </c>
      <c r="AS10" s="641">
        <f>+'Monthly P&amp;L'!AS61</f>
        <v/>
      </c>
      <c r="AT10" s="641">
        <f>+'Monthly P&amp;L'!AT61</f>
        <v/>
      </c>
      <c r="AU10" s="641">
        <f>+'Monthly P&amp;L'!AU61</f>
        <v/>
      </c>
      <c r="AV10" s="641">
        <f>+'Monthly P&amp;L'!AV61</f>
        <v/>
      </c>
      <c r="AW10" s="641">
        <f>+'Monthly P&amp;L'!AW61</f>
        <v/>
      </c>
      <c r="AX10" s="641">
        <f>+'Monthly P&amp;L'!AX61</f>
        <v/>
      </c>
      <c r="AY10" s="641">
        <f>+'Monthly P&amp;L'!AY61</f>
        <v/>
      </c>
      <c r="AZ10" s="641">
        <f>+'Monthly P&amp;L'!AZ61</f>
        <v/>
      </c>
      <c r="BA10" s="641">
        <f>+'Monthly P&amp;L'!BA61</f>
        <v/>
      </c>
      <c r="BB10" s="641">
        <f>+'Monthly P&amp;L'!BB61</f>
        <v/>
      </c>
      <c r="BC10" s="641">
        <f>+'Monthly P&amp;L'!BC61</f>
        <v/>
      </c>
      <c r="BD10" s="641">
        <f>+'Monthly P&amp;L'!BD61</f>
        <v/>
      </c>
      <c r="BE10" s="641">
        <f>+'Monthly P&amp;L'!BE61</f>
        <v/>
      </c>
      <c r="BF10" s="641">
        <f>+'Monthly P&amp;L'!BF61</f>
        <v/>
      </c>
      <c r="BG10" s="641">
        <f>+'Monthly P&amp;L'!BG61</f>
        <v/>
      </c>
      <c r="BH10" s="641">
        <f>+'Monthly P&amp;L'!BH61</f>
        <v/>
      </c>
      <c r="BI10" s="641">
        <f>+'Monthly P&amp;L'!BI61</f>
        <v/>
      </c>
    </row>
    <row r="11" customFormat="1" s="640">
      <c r="A11" s="78" t="inlineStr">
        <is>
          <t>Sub: Increase in Inventory</t>
        </is>
      </c>
      <c r="B11" s="641">
        <f>-(' Balance Sheet'!D9-' Balance Sheet'!C9)</f>
        <v/>
      </c>
      <c r="C11" s="641">
        <f>-(' Balance Sheet'!E9-' Balance Sheet'!D9)</f>
        <v/>
      </c>
      <c r="D11" s="641">
        <f>-(' Balance Sheet'!F9-' Balance Sheet'!E9)</f>
        <v/>
      </c>
      <c r="E11" s="641">
        <f>-(' Balance Sheet'!G9-' Balance Sheet'!F9)</f>
        <v/>
      </c>
      <c r="F11" s="641">
        <f>-(' Balance Sheet'!H9-' Balance Sheet'!G9)</f>
        <v/>
      </c>
      <c r="G11" s="641">
        <f>-(' Balance Sheet'!I9-' Balance Sheet'!H9)</f>
        <v/>
      </c>
      <c r="H11" s="641">
        <f>-(' Balance Sheet'!J9-' Balance Sheet'!I9)</f>
        <v/>
      </c>
      <c r="I11" s="641">
        <f>-(' Balance Sheet'!K9-' Balance Sheet'!J9)</f>
        <v/>
      </c>
      <c r="J11" s="641">
        <f>-(' Balance Sheet'!L9-' Balance Sheet'!K9)</f>
        <v/>
      </c>
      <c r="K11" s="641">
        <f>-(' Balance Sheet'!M9-' Balance Sheet'!L9)</f>
        <v/>
      </c>
      <c r="L11" s="641">
        <f>-(' Balance Sheet'!N9-' Balance Sheet'!M9)</f>
        <v/>
      </c>
      <c r="M11" s="641">
        <f>-(' Balance Sheet'!O9-' Balance Sheet'!N9)</f>
        <v/>
      </c>
      <c r="N11" s="641">
        <f>-(' Balance Sheet'!P9-' Balance Sheet'!O9)</f>
        <v/>
      </c>
      <c r="O11" s="641">
        <f>-(' Balance Sheet'!Q9-' Balance Sheet'!P9)</f>
        <v/>
      </c>
      <c r="P11" s="641">
        <f>-(' Balance Sheet'!R9-' Balance Sheet'!Q9)</f>
        <v/>
      </c>
      <c r="Q11" s="641">
        <f>-(' Balance Sheet'!S9-' Balance Sheet'!R9)</f>
        <v/>
      </c>
      <c r="R11" s="641">
        <f>-(' Balance Sheet'!T9-' Balance Sheet'!S9)</f>
        <v/>
      </c>
      <c r="S11" s="641">
        <f>-(' Balance Sheet'!U9-' Balance Sheet'!T9)</f>
        <v/>
      </c>
      <c r="T11" s="641">
        <f>-(' Balance Sheet'!V9-' Balance Sheet'!U9)</f>
        <v/>
      </c>
      <c r="U11" s="641">
        <f>-(' Balance Sheet'!W9-' Balance Sheet'!V9)</f>
        <v/>
      </c>
      <c r="V11" s="641">
        <f>-(' Balance Sheet'!X9-' Balance Sheet'!W9)</f>
        <v/>
      </c>
      <c r="W11" s="641">
        <f>-(' Balance Sheet'!Y9-' Balance Sheet'!X9)</f>
        <v/>
      </c>
      <c r="X11" s="641">
        <f>-(' Balance Sheet'!Z9-' Balance Sheet'!Y9)</f>
        <v/>
      </c>
      <c r="Y11" s="641">
        <f>-(' Balance Sheet'!AA9-' Balance Sheet'!Z9)</f>
        <v/>
      </c>
      <c r="Z11" s="641">
        <f>-(' Balance Sheet'!AB9-' Balance Sheet'!AA9)</f>
        <v/>
      </c>
      <c r="AA11" s="641">
        <f>-(' Balance Sheet'!AC9-' Balance Sheet'!AB9)</f>
        <v/>
      </c>
      <c r="AB11" s="641">
        <f>-(' Balance Sheet'!AD9-' Balance Sheet'!AC9)</f>
        <v/>
      </c>
      <c r="AC11" s="641">
        <f>-(' Balance Sheet'!AE9-' Balance Sheet'!AD9)</f>
        <v/>
      </c>
      <c r="AD11" s="641">
        <f>-(' Balance Sheet'!AF9-' Balance Sheet'!AE9)</f>
        <v/>
      </c>
      <c r="AE11" s="641">
        <f>-(' Balance Sheet'!AG9-' Balance Sheet'!AF9)</f>
        <v/>
      </c>
      <c r="AF11" s="641">
        <f>-(' Balance Sheet'!AH9-' Balance Sheet'!AG9)</f>
        <v/>
      </c>
      <c r="AG11" s="641">
        <f>-(' Balance Sheet'!AI9-' Balance Sheet'!AH9)</f>
        <v/>
      </c>
      <c r="AH11" s="641">
        <f>-(' Balance Sheet'!AJ9-' Balance Sheet'!AI9)</f>
        <v/>
      </c>
      <c r="AI11" s="641">
        <f>-(' Balance Sheet'!AK9-' Balance Sheet'!AJ9)</f>
        <v/>
      </c>
      <c r="AJ11" s="641">
        <f>-(' Balance Sheet'!AL9-' Balance Sheet'!AK9)</f>
        <v/>
      </c>
      <c r="AK11" s="641">
        <f>-(' Balance Sheet'!AM9-' Balance Sheet'!AL9)</f>
        <v/>
      </c>
      <c r="AL11" s="641">
        <f>-(' Balance Sheet'!AN9-' Balance Sheet'!AM9)</f>
        <v/>
      </c>
      <c r="AM11" s="641">
        <f>-(' Balance Sheet'!AO9-' Balance Sheet'!AN9)</f>
        <v/>
      </c>
      <c r="AN11" s="641">
        <f>-(' Balance Sheet'!AP9-' Balance Sheet'!AO9)</f>
        <v/>
      </c>
      <c r="AO11" s="641">
        <f>-(' Balance Sheet'!AQ9-' Balance Sheet'!AP9)</f>
        <v/>
      </c>
      <c r="AP11" s="641">
        <f>-(' Balance Sheet'!AR9-' Balance Sheet'!AQ9)</f>
        <v/>
      </c>
      <c r="AQ11" s="641">
        <f>-(' Balance Sheet'!AS9-' Balance Sheet'!AR9)</f>
        <v/>
      </c>
      <c r="AR11" s="641">
        <f>-(' Balance Sheet'!AT9-' Balance Sheet'!AS9)</f>
        <v/>
      </c>
      <c r="AS11" s="641">
        <f>-(' Balance Sheet'!AU9-' Balance Sheet'!AT9)</f>
        <v/>
      </c>
      <c r="AT11" s="641">
        <f>-(' Balance Sheet'!AV9-' Balance Sheet'!AU9)</f>
        <v/>
      </c>
      <c r="AU11" s="641">
        <f>-(' Balance Sheet'!AW9-' Balance Sheet'!AV9)</f>
        <v/>
      </c>
      <c r="AV11" s="641">
        <f>-(' Balance Sheet'!AX9-' Balance Sheet'!AW9)</f>
        <v/>
      </c>
      <c r="AW11" s="641">
        <f>-(' Balance Sheet'!AY9-' Balance Sheet'!AX9)</f>
        <v/>
      </c>
      <c r="AX11" s="641">
        <f>-(' Balance Sheet'!AZ9-' Balance Sheet'!AY9)</f>
        <v/>
      </c>
      <c r="AY11" s="641">
        <f>-(' Balance Sheet'!BA9-' Balance Sheet'!AZ9)</f>
        <v/>
      </c>
      <c r="AZ11" s="641">
        <f>-(' Balance Sheet'!BB9-' Balance Sheet'!BA9)</f>
        <v/>
      </c>
      <c r="BA11" s="641">
        <f>-(' Balance Sheet'!BC9-' Balance Sheet'!BB9)</f>
        <v/>
      </c>
      <c r="BB11" s="641">
        <f>-(' Balance Sheet'!BD9-' Balance Sheet'!BC9)</f>
        <v/>
      </c>
      <c r="BC11" s="641">
        <f>-(' Balance Sheet'!BE9-' Balance Sheet'!BD9)</f>
        <v/>
      </c>
      <c r="BD11" s="641">
        <f>-(' Balance Sheet'!BF9-' Balance Sheet'!BE9)</f>
        <v/>
      </c>
      <c r="BE11" s="641">
        <f>-(' Balance Sheet'!BG9-' Balance Sheet'!BF9)</f>
        <v/>
      </c>
      <c r="BF11" s="641">
        <f>-(' Balance Sheet'!BH9-' Balance Sheet'!BG9)</f>
        <v/>
      </c>
      <c r="BG11" s="641">
        <f>-(' Balance Sheet'!BI9-' Balance Sheet'!BH9)</f>
        <v/>
      </c>
      <c r="BH11" s="641">
        <f>-(' Balance Sheet'!BJ9-' Balance Sheet'!BI9)</f>
        <v/>
      </c>
      <c r="BI11" s="641">
        <f>-(' Balance Sheet'!BK9-' Balance Sheet'!BJ9)</f>
        <v/>
      </c>
    </row>
    <row r="12" customFormat="1" s="640">
      <c r="A12" s="78" t="inlineStr">
        <is>
          <t>Sub: Increase in Trade Receivables</t>
        </is>
      </c>
      <c r="B12" s="641">
        <f>-(' Balance Sheet'!D10-' Balance Sheet'!C10)</f>
        <v/>
      </c>
      <c r="C12" s="641">
        <f>-(' Balance Sheet'!E10-' Balance Sheet'!D10)</f>
        <v/>
      </c>
      <c r="D12" s="641">
        <f>-(' Balance Sheet'!F10-' Balance Sheet'!E10)</f>
        <v/>
      </c>
      <c r="E12" s="641">
        <f>-(' Balance Sheet'!G10-' Balance Sheet'!F10)</f>
        <v/>
      </c>
      <c r="F12" s="641">
        <f>-(' Balance Sheet'!H10-' Balance Sheet'!G10)</f>
        <v/>
      </c>
      <c r="G12" s="641">
        <f>-(' Balance Sheet'!I10-' Balance Sheet'!H10)</f>
        <v/>
      </c>
      <c r="H12" s="641">
        <f>-(' Balance Sheet'!J10-' Balance Sheet'!I10)</f>
        <v/>
      </c>
      <c r="I12" s="641">
        <f>-(' Balance Sheet'!K10-' Balance Sheet'!J10)</f>
        <v/>
      </c>
      <c r="J12" s="641">
        <f>-(' Balance Sheet'!L10-' Balance Sheet'!K10)</f>
        <v/>
      </c>
      <c r="K12" s="641">
        <f>-(' Balance Sheet'!M10-' Balance Sheet'!L10)</f>
        <v/>
      </c>
      <c r="L12" s="641">
        <f>-(' Balance Sheet'!N10-' Balance Sheet'!M10)</f>
        <v/>
      </c>
      <c r="M12" s="641">
        <f>-(' Balance Sheet'!O10-' Balance Sheet'!N10)</f>
        <v/>
      </c>
      <c r="N12" s="641">
        <f>-(' Balance Sheet'!P10-' Balance Sheet'!O10)</f>
        <v/>
      </c>
      <c r="O12" s="641">
        <f>-(' Balance Sheet'!Q10-' Balance Sheet'!P10)</f>
        <v/>
      </c>
      <c r="P12" s="641">
        <f>-(' Balance Sheet'!R10-' Balance Sheet'!Q10)</f>
        <v/>
      </c>
      <c r="Q12" s="641">
        <f>-(' Balance Sheet'!S10-' Balance Sheet'!R10)</f>
        <v/>
      </c>
      <c r="R12" s="641">
        <f>-(' Balance Sheet'!T10-' Balance Sheet'!S10)</f>
        <v/>
      </c>
      <c r="S12" s="641">
        <f>-(' Balance Sheet'!U10-' Balance Sheet'!T10)</f>
        <v/>
      </c>
      <c r="T12" s="641">
        <f>-(' Balance Sheet'!V10-' Balance Sheet'!U10)</f>
        <v/>
      </c>
      <c r="U12" s="641">
        <f>-(' Balance Sheet'!W10-' Balance Sheet'!V10)</f>
        <v/>
      </c>
      <c r="V12" s="641">
        <f>-(' Balance Sheet'!X10-' Balance Sheet'!W10)</f>
        <v/>
      </c>
      <c r="W12" s="641">
        <f>-(' Balance Sheet'!Y10-' Balance Sheet'!X10)</f>
        <v/>
      </c>
      <c r="X12" s="641">
        <f>-(' Balance Sheet'!Z10-' Balance Sheet'!Y10)</f>
        <v/>
      </c>
      <c r="Y12" s="641">
        <f>-(' Balance Sheet'!AA10-' Balance Sheet'!Z10)</f>
        <v/>
      </c>
      <c r="Z12" s="641">
        <f>-(' Balance Sheet'!AB10-' Balance Sheet'!AA10)</f>
        <v/>
      </c>
      <c r="AA12" s="641">
        <f>-(' Balance Sheet'!AC10-' Balance Sheet'!AB10)</f>
        <v/>
      </c>
      <c r="AB12" s="641">
        <f>-(' Balance Sheet'!AD10-' Balance Sheet'!AC10)</f>
        <v/>
      </c>
      <c r="AC12" s="641">
        <f>-(' Balance Sheet'!AE10-' Balance Sheet'!AD10)</f>
        <v/>
      </c>
      <c r="AD12" s="641">
        <f>-(' Balance Sheet'!AF10-' Balance Sheet'!AE10)</f>
        <v/>
      </c>
      <c r="AE12" s="641">
        <f>-(' Balance Sheet'!AG10-' Balance Sheet'!AF10)</f>
        <v/>
      </c>
      <c r="AF12" s="641">
        <f>-(' Balance Sheet'!AH10-' Balance Sheet'!AG10)</f>
        <v/>
      </c>
      <c r="AG12" s="641">
        <f>-(' Balance Sheet'!AI10-' Balance Sheet'!AH10)</f>
        <v/>
      </c>
      <c r="AH12" s="641">
        <f>-(' Balance Sheet'!AJ10-' Balance Sheet'!AI10)</f>
        <v/>
      </c>
      <c r="AI12" s="641">
        <f>-(' Balance Sheet'!AK10-' Balance Sheet'!AJ10)</f>
        <v/>
      </c>
      <c r="AJ12" s="641">
        <f>-(' Balance Sheet'!AL10-' Balance Sheet'!AK10)</f>
        <v/>
      </c>
      <c r="AK12" s="641">
        <f>-(' Balance Sheet'!AM10-' Balance Sheet'!AL10)</f>
        <v/>
      </c>
      <c r="AL12" s="641">
        <f>-(' Balance Sheet'!AN10-' Balance Sheet'!AM10)</f>
        <v/>
      </c>
      <c r="AM12" s="641">
        <f>-(' Balance Sheet'!AO10-' Balance Sheet'!AN10)</f>
        <v/>
      </c>
      <c r="AN12" s="641">
        <f>-(' Balance Sheet'!AP10-' Balance Sheet'!AO10)</f>
        <v/>
      </c>
      <c r="AO12" s="641">
        <f>-(' Balance Sheet'!AQ10-' Balance Sheet'!AP10)</f>
        <v/>
      </c>
      <c r="AP12" s="641">
        <f>-(' Balance Sheet'!AR10-' Balance Sheet'!AQ10)</f>
        <v/>
      </c>
      <c r="AQ12" s="641">
        <f>-(' Balance Sheet'!AS10-' Balance Sheet'!AR10)</f>
        <v/>
      </c>
      <c r="AR12" s="641">
        <f>-(' Balance Sheet'!AT10-' Balance Sheet'!AS10)</f>
        <v/>
      </c>
      <c r="AS12" s="641">
        <f>-(' Balance Sheet'!AU10-' Balance Sheet'!AT10)</f>
        <v/>
      </c>
      <c r="AT12" s="641">
        <f>-(' Balance Sheet'!AV10-' Balance Sheet'!AU10)</f>
        <v/>
      </c>
      <c r="AU12" s="641">
        <f>-(' Balance Sheet'!AW10-' Balance Sheet'!AV10)</f>
        <v/>
      </c>
      <c r="AV12" s="641">
        <f>-(' Balance Sheet'!AX10-' Balance Sheet'!AW10)</f>
        <v/>
      </c>
      <c r="AW12" s="641">
        <f>-(' Balance Sheet'!AY10-' Balance Sheet'!AX10)</f>
        <v/>
      </c>
      <c r="AX12" s="641">
        <f>-(' Balance Sheet'!AZ10-' Balance Sheet'!AY10)</f>
        <v/>
      </c>
      <c r="AY12" s="641">
        <f>-(' Balance Sheet'!BA10-' Balance Sheet'!AZ10)</f>
        <v/>
      </c>
      <c r="AZ12" s="641">
        <f>-(' Balance Sheet'!BB10-' Balance Sheet'!BA10)</f>
        <v/>
      </c>
      <c r="BA12" s="641">
        <f>-(' Balance Sheet'!BC10-' Balance Sheet'!BB10)</f>
        <v/>
      </c>
      <c r="BB12" s="641">
        <f>-(' Balance Sheet'!BD10-' Balance Sheet'!BC10)</f>
        <v/>
      </c>
      <c r="BC12" s="641">
        <f>-(' Balance Sheet'!BE10-' Balance Sheet'!BD10)</f>
        <v/>
      </c>
      <c r="BD12" s="641">
        <f>-(' Balance Sheet'!BF10-' Balance Sheet'!BE10)</f>
        <v/>
      </c>
      <c r="BE12" s="641">
        <f>-(' Balance Sheet'!BG10-' Balance Sheet'!BF10)</f>
        <v/>
      </c>
      <c r="BF12" s="641">
        <f>-(' Balance Sheet'!BH10-' Balance Sheet'!BG10)</f>
        <v/>
      </c>
      <c r="BG12" s="641">
        <f>-(' Balance Sheet'!BI10-' Balance Sheet'!BH10)</f>
        <v/>
      </c>
      <c r="BH12" s="641">
        <f>-(' Balance Sheet'!BJ10-' Balance Sheet'!BI10)</f>
        <v/>
      </c>
      <c r="BI12" s="641">
        <f>-(' Balance Sheet'!BK10-' Balance Sheet'!BJ10)</f>
        <v/>
      </c>
    </row>
    <row r="13" customFormat="1" s="640">
      <c r="A13" s="78" t="n"/>
      <c r="B13" s="641" t="n"/>
      <c r="C13" s="641" t="n"/>
      <c r="D13" s="641" t="n"/>
      <c r="E13" s="641" t="n"/>
      <c r="F13" s="641" t="n"/>
      <c r="G13" s="641" t="n"/>
      <c r="H13" s="641" t="n"/>
      <c r="I13" s="641" t="n"/>
      <c r="J13" s="641" t="n"/>
      <c r="K13" s="641" t="n"/>
      <c r="L13" s="641" t="n"/>
      <c r="M13" s="641" t="n"/>
      <c r="N13" s="641" t="n"/>
      <c r="O13" s="641" t="n"/>
      <c r="P13" s="641" t="n"/>
      <c r="Q13" s="641" t="n"/>
      <c r="R13" s="641" t="n"/>
      <c r="S13" s="641" t="n"/>
      <c r="T13" s="641" t="n"/>
      <c r="U13" s="641" t="n"/>
      <c r="V13" s="641" t="n"/>
      <c r="W13" s="641" t="n"/>
      <c r="X13" s="641" t="n"/>
      <c r="Y13" s="641" t="n"/>
      <c r="Z13" s="641" t="n"/>
      <c r="AA13" s="641" t="n"/>
      <c r="AB13" s="641" t="n"/>
      <c r="AC13" s="641" t="n"/>
      <c r="AD13" s="641" t="n"/>
      <c r="AE13" s="641" t="n"/>
      <c r="AF13" s="641" t="n"/>
      <c r="AG13" s="641" t="n"/>
      <c r="AH13" s="641" t="n"/>
      <c r="AI13" s="641" t="n"/>
      <c r="AJ13" s="641" t="n"/>
      <c r="AK13" s="641" t="n"/>
      <c r="AL13" s="641" t="n"/>
      <c r="AM13" s="641" t="n"/>
      <c r="AN13" s="641" t="n"/>
      <c r="AO13" s="641" t="n"/>
      <c r="AP13" s="641" t="n"/>
      <c r="AQ13" s="641" t="n"/>
      <c r="AR13" s="641" t="n"/>
      <c r="AS13" s="641" t="n"/>
      <c r="AT13" s="641" t="n"/>
      <c r="AU13" s="641" t="n"/>
      <c r="AV13" s="641" t="n"/>
      <c r="AW13" s="641" t="n"/>
      <c r="AX13" s="641" t="n"/>
      <c r="AY13" s="641" t="n"/>
      <c r="AZ13" s="641" t="n"/>
      <c r="BA13" s="641" t="n"/>
      <c r="BB13" s="641" t="n"/>
      <c r="BC13" s="641" t="n"/>
      <c r="BD13" s="641" t="n"/>
      <c r="BE13" s="641" t="n"/>
      <c r="BF13" s="641" t="n"/>
      <c r="BG13" s="641" t="n"/>
      <c r="BH13" s="641" t="n"/>
      <c r="BI13" s="641" t="n"/>
    </row>
    <row r="14" customFormat="1" s="640">
      <c r="A14" s="87" t="inlineStr">
        <is>
          <t>Sub: Taxes paid</t>
        </is>
      </c>
      <c r="B14" s="641">
        <f>-'Monthly P&amp;L'!B65</f>
        <v/>
      </c>
      <c r="C14" s="641">
        <f>-'Monthly P&amp;L'!C65</f>
        <v/>
      </c>
      <c r="D14" s="641">
        <f>-'Monthly P&amp;L'!D65</f>
        <v/>
      </c>
      <c r="E14" s="641">
        <f>-'Monthly P&amp;L'!E65</f>
        <v/>
      </c>
      <c r="F14" s="641">
        <f>-'Monthly P&amp;L'!F65</f>
        <v/>
      </c>
      <c r="G14" s="641">
        <f>-'Monthly P&amp;L'!G65</f>
        <v/>
      </c>
      <c r="H14" s="641">
        <f>-'Monthly P&amp;L'!H65</f>
        <v/>
      </c>
      <c r="I14" s="641">
        <f>-'Monthly P&amp;L'!I65</f>
        <v/>
      </c>
      <c r="J14" s="641">
        <f>-'Monthly P&amp;L'!J65</f>
        <v/>
      </c>
      <c r="K14" s="641">
        <f>-'Monthly P&amp;L'!K65</f>
        <v/>
      </c>
      <c r="L14" s="641">
        <f>-'Monthly P&amp;L'!L65</f>
        <v/>
      </c>
      <c r="M14" s="641">
        <f>-'Monthly P&amp;L'!M65</f>
        <v/>
      </c>
      <c r="N14" s="641">
        <f>-'Monthly P&amp;L'!N65</f>
        <v/>
      </c>
      <c r="O14" s="641">
        <f>-'Monthly P&amp;L'!O65</f>
        <v/>
      </c>
      <c r="P14" s="641">
        <f>-'Monthly P&amp;L'!P65</f>
        <v/>
      </c>
      <c r="Q14" s="641">
        <f>-'Monthly P&amp;L'!Q65</f>
        <v/>
      </c>
      <c r="R14" s="641">
        <f>-'Monthly P&amp;L'!R65</f>
        <v/>
      </c>
      <c r="S14" s="641">
        <f>-'Monthly P&amp;L'!S65</f>
        <v/>
      </c>
      <c r="T14" s="641">
        <f>-'Monthly P&amp;L'!T65</f>
        <v/>
      </c>
      <c r="U14" s="641">
        <f>-'Monthly P&amp;L'!U65</f>
        <v/>
      </c>
      <c r="V14" s="641">
        <f>-'Monthly P&amp;L'!V65</f>
        <v/>
      </c>
      <c r="W14" s="641">
        <f>-'Monthly P&amp;L'!W65</f>
        <v/>
      </c>
      <c r="X14" s="641">
        <f>-'Monthly P&amp;L'!X65</f>
        <v/>
      </c>
      <c r="Y14" s="641">
        <f>-'Monthly P&amp;L'!Y65</f>
        <v/>
      </c>
      <c r="Z14" s="641">
        <f>-'Monthly P&amp;L'!Z65</f>
        <v/>
      </c>
      <c r="AA14" s="641">
        <f>-'Monthly P&amp;L'!AA65</f>
        <v/>
      </c>
      <c r="AB14" s="641">
        <f>-'Monthly P&amp;L'!AB65</f>
        <v/>
      </c>
      <c r="AC14" s="641">
        <f>-'Monthly P&amp;L'!AC65</f>
        <v/>
      </c>
      <c r="AD14" s="641">
        <f>-'Monthly P&amp;L'!AD65</f>
        <v/>
      </c>
      <c r="AE14" s="641">
        <f>-'Monthly P&amp;L'!AE65</f>
        <v/>
      </c>
      <c r="AF14" s="641">
        <f>-'Monthly P&amp;L'!AF65</f>
        <v/>
      </c>
      <c r="AG14" s="641">
        <f>-'Monthly P&amp;L'!AG65</f>
        <v/>
      </c>
      <c r="AH14" s="641">
        <f>-'Monthly P&amp;L'!AH65</f>
        <v/>
      </c>
      <c r="AI14" s="641">
        <f>-'Monthly P&amp;L'!AI65</f>
        <v/>
      </c>
      <c r="AJ14" s="641">
        <f>-'Monthly P&amp;L'!AJ65</f>
        <v/>
      </c>
      <c r="AK14" s="641">
        <f>-'Monthly P&amp;L'!AK65</f>
        <v/>
      </c>
      <c r="AL14" s="641">
        <f>-'Monthly P&amp;L'!AL65</f>
        <v/>
      </c>
      <c r="AM14" s="641">
        <f>-'Monthly P&amp;L'!AM65</f>
        <v/>
      </c>
      <c r="AN14" s="641">
        <f>-'Monthly P&amp;L'!AN65</f>
        <v/>
      </c>
      <c r="AO14" s="641">
        <f>-'Monthly P&amp;L'!AO65</f>
        <v/>
      </c>
      <c r="AP14" s="641">
        <f>-'Monthly P&amp;L'!AP65</f>
        <v/>
      </c>
      <c r="AQ14" s="641">
        <f>-'Monthly P&amp;L'!AQ65</f>
        <v/>
      </c>
      <c r="AR14" s="641">
        <f>-'Monthly P&amp;L'!AR65</f>
        <v/>
      </c>
      <c r="AS14" s="641">
        <f>-'Monthly P&amp;L'!AS65</f>
        <v/>
      </c>
      <c r="AT14" s="641">
        <f>-'Monthly P&amp;L'!AT65</f>
        <v/>
      </c>
      <c r="AU14" s="641">
        <f>-'Monthly P&amp;L'!AU65</f>
        <v/>
      </c>
      <c r="AV14" s="641">
        <f>-'Monthly P&amp;L'!AV65</f>
        <v/>
      </c>
      <c r="AW14" s="641">
        <f>-'Monthly P&amp;L'!AW65</f>
        <v/>
      </c>
      <c r="AX14" s="641">
        <f>-'Monthly P&amp;L'!AX65</f>
        <v/>
      </c>
      <c r="AY14" s="641">
        <f>-'Monthly P&amp;L'!AY65</f>
        <v/>
      </c>
      <c r="AZ14" s="641">
        <f>-'Monthly P&amp;L'!AZ65</f>
        <v/>
      </c>
      <c r="BA14" s="641">
        <f>-'Monthly P&amp;L'!BA65</f>
        <v/>
      </c>
      <c r="BB14" s="641">
        <f>-'Monthly P&amp;L'!BB65</f>
        <v/>
      </c>
      <c r="BC14" s="641">
        <f>-'Monthly P&amp;L'!BC65</f>
        <v/>
      </c>
      <c r="BD14" s="641">
        <f>-'Monthly P&amp;L'!BD65</f>
        <v/>
      </c>
      <c r="BE14" s="641">
        <f>-'Monthly P&amp;L'!BE65</f>
        <v/>
      </c>
      <c r="BF14" s="641">
        <f>-'Monthly P&amp;L'!BF65</f>
        <v/>
      </c>
      <c r="BG14" s="641">
        <f>-'Monthly P&amp;L'!BG65</f>
        <v/>
      </c>
      <c r="BH14" s="641">
        <f>-'Monthly P&amp;L'!BH65</f>
        <v/>
      </c>
      <c r="BI14" s="641">
        <f>-'Monthly P&amp;L'!BI65</f>
        <v/>
      </c>
    </row>
    <row r="15" customFormat="1" s="640">
      <c r="A15" s="3" t="n"/>
    </row>
    <row r="16" customFormat="1" s="640">
      <c r="A16" s="13" t="inlineStr">
        <is>
          <t>Net Cash generated from Operating Activities</t>
        </is>
      </c>
      <c r="B16" s="642">
        <f>SUM(B8:B15)</f>
        <v/>
      </c>
      <c r="C16" s="642">
        <f>SUM(C8:C15)</f>
        <v/>
      </c>
      <c r="D16" s="642">
        <f>SUM(D8:D15)</f>
        <v/>
      </c>
      <c r="E16" s="642">
        <f>SUM(E8:E15)</f>
        <v/>
      </c>
      <c r="F16" s="642">
        <f>SUM(F8:F15)</f>
        <v/>
      </c>
      <c r="G16" s="642">
        <f>SUM(G8:G15)</f>
        <v/>
      </c>
      <c r="H16" s="642">
        <f>SUM(H8:H15)</f>
        <v/>
      </c>
      <c r="I16" s="642">
        <f>SUM(I8:I15)</f>
        <v/>
      </c>
      <c r="J16" s="642">
        <f>SUM(J8:J15)</f>
        <v/>
      </c>
      <c r="K16" s="642">
        <f>SUM(K8:K15)</f>
        <v/>
      </c>
      <c r="L16" s="642">
        <f>SUM(L8:L15)</f>
        <v/>
      </c>
      <c r="M16" s="642">
        <f>SUM(M8:M15)</f>
        <v/>
      </c>
      <c r="N16" s="642">
        <f>SUM(N8:N15)</f>
        <v/>
      </c>
      <c r="O16" s="642">
        <f>SUM(O8:O15)</f>
        <v/>
      </c>
      <c r="P16" s="642">
        <f>SUM(P8:P15)</f>
        <v/>
      </c>
      <c r="Q16" s="642">
        <f>SUM(Q8:Q15)</f>
        <v/>
      </c>
      <c r="R16" s="642">
        <f>SUM(R8:R15)</f>
        <v/>
      </c>
      <c r="S16" s="642">
        <f>SUM(S8:S15)</f>
        <v/>
      </c>
      <c r="T16" s="642">
        <f>SUM(T8:T15)</f>
        <v/>
      </c>
      <c r="U16" s="642">
        <f>SUM(U8:U15)</f>
        <v/>
      </c>
      <c r="V16" s="642">
        <f>SUM(V8:V15)</f>
        <v/>
      </c>
      <c r="W16" s="642">
        <f>SUM(W8:W15)</f>
        <v/>
      </c>
      <c r="X16" s="642">
        <f>SUM(X8:X15)</f>
        <v/>
      </c>
      <c r="Y16" s="642">
        <f>SUM(Y8:Y15)</f>
        <v/>
      </c>
      <c r="Z16" s="642">
        <f>SUM(Z8:Z15)</f>
        <v/>
      </c>
      <c r="AA16" s="642">
        <f>SUM(AA8:AA15)</f>
        <v/>
      </c>
      <c r="AB16" s="642">
        <f>SUM(AB8:AB15)</f>
        <v/>
      </c>
      <c r="AC16" s="642">
        <f>SUM(AC8:AC15)</f>
        <v/>
      </c>
      <c r="AD16" s="642">
        <f>SUM(AD8:AD15)</f>
        <v/>
      </c>
      <c r="AE16" s="642">
        <f>SUM(AE8:AE15)</f>
        <v/>
      </c>
      <c r="AF16" s="642">
        <f>SUM(AF8:AF15)</f>
        <v/>
      </c>
      <c r="AG16" s="642">
        <f>SUM(AG8:AG15)</f>
        <v/>
      </c>
      <c r="AH16" s="642">
        <f>SUM(AH8:AH15)</f>
        <v/>
      </c>
      <c r="AI16" s="642">
        <f>SUM(AI8:AI15)</f>
        <v/>
      </c>
      <c r="AJ16" s="642">
        <f>SUM(AJ8:AJ15)</f>
        <v/>
      </c>
      <c r="AK16" s="642">
        <f>SUM(AK8:AK15)</f>
        <v/>
      </c>
      <c r="AL16" s="642">
        <f>SUM(AL8:AL15)</f>
        <v/>
      </c>
      <c r="AM16" s="642">
        <f>SUM(AM8:AM15)</f>
        <v/>
      </c>
      <c r="AN16" s="642">
        <f>SUM(AN8:AN15)</f>
        <v/>
      </c>
      <c r="AO16" s="642">
        <f>SUM(AO8:AO15)</f>
        <v/>
      </c>
      <c r="AP16" s="642">
        <f>SUM(AP8:AP15)</f>
        <v/>
      </c>
      <c r="AQ16" s="642">
        <f>SUM(AQ8:AQ15)</f>
        <v/>
      </c>
      <c r="AR16" s="642">
        <f>SUM(AR8:AR15)</f>
        <v/>
      </c>
      <c r="AS16" s="642">
        <f>SUM(AS8:AS15)</f>
        <v/>
      </c>
      <c r="AT16" s="642">
        <f>SUM(AT8:AT15)</f>
        <v/>
      </c>
      <c r="AU16" s="642">
        <f>SUM(AU8:AU15)</f>
        <v/>
      </c>
      <c r="AV16" s="642">
        <f>SUM(AV8:AV15)</f>
        <v/>
      </c>
      <c r="AW16" s="642">
        <f>SUM(AW8:AW15)</f>
        <v/>
      </c>
      <c r="AX16" s="642">
        <f>SUM(AX8:AX15)</f>
        <v/>
      </c>
      <c r="AY16" s="642">
        <f>SUM(AY8:AY15)</f>
        <v/>
      </c>
      <c r="AZ16" s="642">
        <f>SUM(AZ8:AZ15)</f>
        <v/>
      </c>
      <c r="BA16" s="642">
        <f>SUM(BA8:BA15)</f>
        <v/>
      </c>
      <c r="BB16" s="642">
        <f>SUM(BB8:BB15)</f>
        <v/>
      </c>
      <c r="BC16" s="642">
        <f>SUM(BC8:BC15)</f>
        <v/>
      </c>
      <c r="BD16" s="642">
        <f>SUM(BD8:BD15)</f>
        <v/>
      </c>
      <c r="BE16" s="642">
        <f>SUM(BE8:BE15)</f>
        <v/>
      </c>
      <c r="BF16" s="642">
        <f>SUM(BF8:BF15)</f>
        <v/>
      </c>
      <c r="BG16" s="642">
        <f>SUM(BG8:BG15)</f>
        <v/>
      </c>
      <c r="BH16" s="642">
        <f>SUM(BH8:BH15)</f>
        <v/>
      </c>
      <c r="BI16" s="642">
        <f>SUM(BI8:BI15)</f>
        <v/>
      </c>
    </row>
    <row r="17" customFormat="1" s="640">
      <c r="A17" s="1" t="n"/>
    </row>
    <row r="18" customFormat="1" s="640">
      <c r="A18" s="7" t="inlineStr">
        <is>
          <t>Cash flow from Investing Activities</t>
        </is>
      </c>
    </row>
    <row r="19" customFormat="1" s="640">
      <c r="A19" s="78" t="inlineStr">
        <is>
          <t>Purchase of Fixed Assets</t>
        </is>
      </c>
      <c r="B19" s="641">
        <f>-'Fixed Asset Schedules'!B8</f>
        <v/>
      </c>
      <c r="C19" s="641">
        <f>-'Fixed Asset Schedules'!C8</f>
        <v/>
      </c>
      <c r="D19" s="641">
        <f>-'Fixed Asset Schedules'!D8</f>
        <v/>
      </c>
      <c r="E19" s="641">
        <f>-'Fixed Asset Schedules'!E8</f>
        <v/>
      </c>
      <c r="F19" s="641">
        <f>-'Fixed Asset Schedules'!F8</f>
        <v/>
      </c>
      <c r="G19" s="641">
        <f>-'Fixed Asset Schedules'!G8</f>
        <v/>
      </c>
      <c r="H19" s="641">
        <f>-'Fixed Asset Schedules'!H8</f>
        <v/>
      </c>
      <c r="I19" s="641">
        <f>-'Fixed Asset Schedules'!I8</f>
        <v/>
      </c>
      <c r="J19" s="641">
        <f>-'Fixed Asset Schedules'!J8</f>
        <v/>
      </c>
      <c r="K19" s="641">
        <f>-'Fixed Asset Schedules'!K8</f>
        <v/>
      </c>
      <c r="L19" s="641">
        <f>-'Fixed Asset Schedules'!L8</f>
        <v/>
      </c>
      <c r="M19" s="641">
        <f>-'Fixed Asset Schedules'!M8</f>
        <v/>
      </c>
      <c r="N19" s="641">
        <f>-'Fixed Asset Schedules'!N8</f>
        <v/>
      </c>
      <c r="O19" s="641">
        <f>-'Fixed Asset Schedules'!O8</f>
        <v/>
      </c>
      <c r="P19" s="641">
        <f>-'Fixed Asset Schedules'!P8</f>
        <v/>
      </c>
      <c r="Q19" s="641">
        <f>-'Fixed Asset Schedules'!Q8</f>
        <v/>
      </c>
      <c r="R19" s="641">
        <f>-'Fixed Asset Schedules'!R8</f>
        <v/>
      </c>
      <c r="S19" s="641">
        <f>-'Fixed Asset Schedules'!S8</f>
        <v/>
      </c>
      <c r="T19" s="641">
        <f>-'Fixed Asset Schedules'!T8</f>
        <v/>
      </c>
      <c r="U19" s="641">
        <f>-'Fixed Asset Schedules'!U8</f>
        <v/>
      </c>
      <c r="V19" s="641">
        <f>-'Fixed Asset Schedules'!V8</f>
        <v/>
      </c>
      <c r="W19" s="641">
        <f>-'Fixed Asset Schedules'!W8</f>
        <v/>
      </c>
      <c r="X19" s="641">
        <f>-'Fixed Asset Schedules'!X8</f>
        <v/>
      </c>
      <c r="Y19" s="641">
        <f>-'Fixed Asset Schedules'!Y8</f>
        <v/>
      </c>
      <c r="Z19" s="641">
        <f>-'Fixed Asset Schedules'!Z8</f>
        <v/>
      </c>
      <c r="AA19" s="641">
        <f>-'Fixed Asset Schedules'!AA8</f>
        <v/>
      </c>
      <c r="AB19" s="641">
        <f>-'Fixed Asset Schedules'!AB8</f>
        <v/>
      </c>
      <c r="AC19" s="641">
        <f>-'Fixed Asset Schedules'!AC8</f>
        <v/>
      </c>
      <c r="AD19" s="641">
        <f>-'Fixed Asset Schedules'!AD8</f>
        <v/>
      </c>
      <c r="AE19" s="641">
        <f>-'Fixed Asset Schedules'!AE8</f>
        <v/>
      </c>
      <c r="AF19" s="641">
        <f>-'Fixed Asset Schedules'!AF8</f>
        <v/>
      </c>
      <c r="AG19" s="641">
        <f>-'Fixed Asset Schedules'!AG8</f>
        <v/>
      </c>
      <c r="AH19" s="641">
        <f>-'Fixed Asset Schedules'!AH8</f>
        <v/>
      </c>
      <c r="AI19" s="641">
        <f>-'Fixed Asset Schedules'!AI8</f>
        <v/>
      </c>
      <c r="AJ19" s="641">
        <f>-'Fixed Asset Schedules'!AJ8</f>
        <v/>
      </c>
      <c r="AK19" s="641">
        <f>-'Fixed Asset Schedules'!AK8</f>
        <v/>
      </c>
      <c r="AL19" s="641">
        <f>-'Fixed Asset Schedules'!AL8</f>
        <v/>
      </c>
      <c r="AM19" s="641">
        <f>-'Fixed Asset Schedules'!AM8</f>
        <v/>
      </c>
      <c r="AN19" s="641">
        <f>-'Fixed Asset Schedules'!AN8</f>
        <v/>
      </c>
      <c r="AO19" s="641">
        <f>-'Fixed Asset Schedules'!AO8</f>
        <v/>
      </c>
      <c r="AP19" s="641">
        <f>-'Fixed Asset Schedules'!AP8</f>
        <v/>
      </c>
      <c r="AQ19" s="641">
        <f>-'Fixed Asset Schedules'!AQ8</f>
        <v/>
      </c>
      <c r="AR19" s="641">
        <f>-'Fixed Asset Schedules'!AR8</f>
        <v/>
      </c>
      <c r="AS19" s="641">
        <f>-'Fixed Asset Schedules'!AS8</f>
        <v/>
      </c>
      <c r="AT19" s="641">
        <f>-'Fixed Asset Schedules'!AT8</f>
        <v/>
      </c>
      <c r="AU19" s="641">
        <f>-'Fixed Asset Schedules'!AU8</f>
        <v/>
      </c>
      <c r="AV19" s="641">
        <f>-'Fixed Asset Schedules'!AV8</f>
        <v/>
      </c>
      <c r="AW19" s="641">
        <f>-'Fixed Asset Schedules'!AW8</f>
        <v/>
      </c>
      <c r="AX19" s="641">
        <f>-'Fixed Asset Schedules'!AX8</f>
        <v/>
      </c>
      <c r="AY19" s="641">
        <f>-'Fixed Asset Schedules'!AY8</f>
        <v/>
      </c>
      <c r="AZ19" s="641">
        <f>-'Fixed Asset Schedules'!AZ8</f>
        <v/>
      </c>
      <c r="BA19" s="641">
        <f>-'Fixed Asset Schedules'!BA8</f>
        <v/>
      </c>
      <c r="BB19" s="641">
        <f>-'Fixed Asset Schedules'!BB8</f>
        <v/>
      </c>
      <c r="BC19" s="641">
        <f>-'Fixed Asset Schedules'!BC8</f>
        <v/>
      </c>
      <c r="BD19" s="641">
        <f>-'Fixed Asset Schedules'!BD8</f>
        <v/>
      </c>
      <c r="BE19" s="641">
        <f>-'Fixed Asset Schedules'!BE8</f>
        <v/>
      </c>
      <c r="BF19" s="641">
        <f>-'Fixed Asset Schedules'!BF8</f>
        <v/>
      </c>
      <c r="BG19" s="641">
        <f>-'Fixed Asset Schedules'!BG8</f>
        <v/>
      </c>
      <c r="BH19" s="641">
        <f>-'Fixed Asset Schedules'!BH8</f>
        <v/>
      </c>
      <c r="BI19" s="641">
        <f>-'Fixed Asset Schedules'!BI8</f>
        <v/>
      </c>
    </row>
    <row r="20" customFormat="1" s="640">
      <c r="A20" s="1" t="n"/>
    </row>
    <row r="21" customFormat="1" s="640">
      <c r="A21" s="13" t="inlineStr">
        <is>
          <t>Net Cash used in Investing Activities</t>
        </is>
      </c>
      <c r="B21" s="642">
        <f>+B19</f>
        <v/>
      </c>
      <c r="C21" s="642">
        <f>+C19</f>
        <v/>
      </c>
      <c r="D21" s="642">
        <f>+D19</f>
        <v/>
      </c>
      <c r="E21" s="642">
        <f>+E19</f>
        <v/>
      </c>
      <c r="F21" s="642">
        <f>+F19</f>
        <v/>
      </c>
      <c r="G21" s="642">
        <f>+G19</f>
        <v/>
      </c>
      <c r="H21" s="642">
        <f>+H19</f>
        <v/>
      </c>
      <c r="I21" s="642">
        <f>+I19</f>
        <v/>
      </c>
      <c r="J21" s="642">
        <f>+J19</f>
        <v/>
      </c>
      <c r="K21" s="642">
        <f>+K19</f>
        <v/>
      </c>
      <c r="L21" s="642">
        <f>+L19</f>
        <v/>
      </c>
      <c r="M21" s="642">
        <f>+M19</f>
        <v/>
      </c>
      <c r="N21" s="642">
        <f>+N19</f>
        <v/>
      </c>
      <c r="O21" s="642">
        <f>+O19</f>
        <v/>
      </c>
      <c r="P21" s="642">
        <f>+P19</f>
        <v/>
      </c>
      <c r="Q21" s="642">
        <f>+Q19</f>
        <v/>
      </c>
      <c r="R21" s="642">
        <f>+R19</f>
        <v/>
      </c>
      <c r="S21" s="642">
        <f>+S19</f>
        <v/>
      </c>
      <c r="T21" s="642">
        <f>+T19</f>
        <v/>
      </c>
      <c r="U21" s="642">
        <f>+U19</f>
        <v/>
      </c>
      <c r="V21" s="642">
        <f>+V19</f>
        <v/>
      </c>
      <c r="W21" s="642">
        <f>+W19</f>
        <v/>
      </c>
      <c r="X21" s="642">
        <f>+X19</f>
        <v/>
      </c>
      <c r="Y21" s="642">
        <f>+Y19</f>
        <v/>
      </c>
      <c r="Z21" s="642">
        <f>+Z19</f>
        <v/>
      </c>
      <c r="AA21" s="642">
        <f>+AA19</f>
        <v/>
      </c>
      <c r="AB21" s="642">
        <f>+AB19</f>
        <v/>
      </c>
      <c r="AC21" s="642">
        <f>+AC19</f>
        <v/>
      </c>
      <c r="AD21" s="642">
        <f>+AD19</f>
        <v/>
      </c>
      <c r="AE21" s="642">
        <f>+AE19</f>
        <v/>
      </c>
      <c r="AF21" s="642">
        <f>+AF19</f>
        <v/>
      </c>
      <c r="AG21" s="642">
        <f>+AG19</f>
        <v/>
      </c>
      <c r="AH21" s="642">
        <f>+AH19</f>
        <v/>
      </c>
      <c r="AI21" s="642">
        <f>+AI19</f>
        <v/>
      </c>
      <c r="AJ21" s="642">
        <f>+AJ19</f>
        <v/>
      </c>
      <c r="AK21" s="642">
        <f>+AK19</f>
        <v/>
      </c>
      <c r="AL21" s="642">
        <f>+AL19</f>
        <v/>
      </c>
      <c r="AM21" s="642">
        <f>+AM19</f>
        <v/>
      </c>
      <c r="AN21" s="642">
        <f>+AN19</f>
        <v/>
      </c>
      <c r="AO21" s="642">
        <f>+AO19</f>
        <v/>
      </c>
      <c r="AP21" s="642">
        <f>+AP19</f>
        <v/>
      </c>
      <c r="AQ21" s="642">
        <f>+AQ19</f>
        <v/>
      </c>
      <c r="AR21" s="642">
        <f>+AR19</f>
        <v/>
      </c>
      <c r="AS21" s="642">
        <f>+AS19</f>
        <v/>
      </c>
      <c r="AT21" s="642">
        <f>+AT19</f>
        <v/>
      </c>
      <c r="AU21" s="642">
        <f>+AU19</f>
        <v/>
      </c>
      <c r="AV21" s="642">
        <f>+AV19</f>
        <v/>
      </c>
      <c r="AW21" s="642">
        <f>+AW19</f>
        <v/>
      </c>
      <c r="AX21" s="642">
        <f>+AX19</f>
        <v/>
      </c>
      <c r="AY21" s="642">
        <f>+AY19</f>
        <v/>
      </c>
      <c r="AZ21" s="642">
        <f>+AZ19</f>
        <v/>
      </c>
      <c r="BA21" s="642">
        <f>+BA19</f>
        <v/>
      </c>
      <c r="BB21" s="642">
        <f>+BB19</f>
        <v/>
      </c>
      <c r="BC21" s="642">
        <f>+BC19</f>
        <v/>
      </c>
      <c r="BD21" s="642">
        <f>+BD19</f>
        <v/>
      </c>
      <c r="BE21" s="642">
        <f>+BE19</f>
        <v/>
      </c>
      <c r="BF21" s="642">
        <f>+BF19</f>
        <v/>
      </c>
      <c r="BG21" s="642">
        <f>+BG19</f>
        <v/>
      </c>
      <c r="BH21" s="642">
        <f>+BH19</f>
        <v/>
      </c>
      <c r="BI21" s="642">
        <f>+BI19</f>
        <v/>
      </c>
    </row>
    <row r="22" customFormat="1" s="640">
      <c r="A22" s="1" t="n"/>
    </row>
    <row r="23" customFormat="1" s="640">
      <c r="A23" s="7" t="inlineStr">
        <is>
          <t>Cash flow from Financing Activities</t>
        </is>
      </c>
    </row>
    <row r="24" customFormat="1" s="640">
      <c r="A24" s="78" t="inlineStr">
        <is>
          <t>Issuance of Equity Share Capital</t>
        </is>
      </c>
      <c r="B24" s="643" t="n">
        <v>2000000</v>
      </c>
      <c r="C24" s="643" t="n">
        <v>0</v>
      </c>
      <c r="D24" s="643" t="n">
        <v>0</v>
      </c>
      <c r="E24" s="643" t="n">
        <v>0</v>
      </c>
      <c r="F24" s="643" t="n">
        <v>0</v>
      </c>
      <c r="G24" s="643" t="n">
        <v>0</v>
      </c>
      <c r="H24" s="643" t="n">
        <v>0</v>
      </c>
      <c r="I24" s="643" t="n">
        <v>0</v>
      </c>
      <c r="J24" s="643" t="n">
        <v>0</v>
      </c>
      <c r="K24" s="643" t="n">
        <v>0</v>
      </c>
      <c r="L24" s="643" t="n">
        <v>0</v>
      </c>
      <c r="M24" s="643" t="n">
        <v>0</v>
      </c>
      <c r="N24" s="643" t="n">
        <v>0</v>
      </c>
      <c r="O24" s="643" t="n">
        <v>0</v>
      </c>
      <c r="P24" s="643" t="n">
        <v>0</v>
      </c>
      <c r="Q24" s="643" t="n">
        <v>0</v>
      </c>
      <c r="R24" s="643" t="n">
        <v>0</v>
      </c>
      <c r="S24" s="643" t="n">
        <v>0</v>
      </c>
      <c r="T24" s="643" t="n">
        <v>0</v>
      </c>
      <c r="U24" s="643" t="n">
        <v>0</v>
      </c>
      <c r="V24" s="643" t="n">
        <v>0</v>
      </c>
      <c r="W24" s="643" t="n">
        <v>0</v>
      </c>
      <c r="X24" s="643" t="n">
        <v>0</v>
      </c>
      <c r="Y24" s="643" t="n">
        <v>0</v>
      </c>
      <c r="Z24" s="643" t="n">
        <v>0</v>
      </c>
      <c r="AA24" s="643" t="n">
        <v>0</v>
      </c>
      <c r="AB24" s="643" t="n">
        <v>0</v>
      </c>
      <c r="AC24" s="643" t="n">
        <v>0</v>
      </c>
      <c r="AD24" s="643" t="n">
        <v>0</v>
      </c>
      <c r="AE24" s="643" t="n">
        <v>0</v>
      </c>
      <c r="AF24" s="643" t="n">
        <v>0</v>
      </c>
      <c r="AG24" s="643" t="n">
        <v>0</v>
      </c>
      <c r="AH24" s="643" t="n">
        <v>0</v>
      </c>
      <c r="AI24" s="643" t="n">
        <v>0</v>
      </c>
      <c r="AJ24" s="643" t="n">
        <v>0</v>
      </c>
      <c r="AK24" s="643" t="n">
        <v>0</v>
      </c>
      <c r="AL24" s="643" t="n">
        <v>0</v>
      </c>
      <c r="AM24" s="643" t="n">
        <v>0</v>
      </c>
      <c r="AN24" s="643" t="n">
        <v>0</v>
      </c>
      <c r="AO24" s="643" t="n">
        <v>0</v>
      </c>
      <c r="AP24" s="643" t="n">
        <v>0</v>
      </c>
      <c r="AQ24" s="643" t="n">
        <v>0</v>
      </c>
      <c r="AR24" s="643" t="n">
        <v>0</v>
      </c>
      <c r="AS24" s="643" t="n">
        <v>0</v>
      </c>
      <c r="AT24" s="643" t="n">
        <v>0</v>
      </c>
      <c r="AU24" s="643" t="n">
        <v>0</v>
      </c>
      <c r="AV24" s="643" t="n">
        <v>0</v>
      </c>
      <c r="AW24" s="643" t="n">
        <v>0</v>
      </c>
      <c r="AX24" s="643" t="n">
        <v>0</v>
      </c>
      <c r="AY24" s="643" t="n">
        <v>0</v>
      </c>
      <c r="AZ24" s="643" t="n">
        <v>0</v>
      </c>
      <c r="BA24" s="643" t="n">
        <v>0</v>
      </c>
      <c r="BB24" s="643" t="n">
        <v>0</v>
      </c>
      <c r="BC24" s="643" t="n">
        <v>0</v>
      </c>
      <c r="BD24" s="643" t="n">
        <v>0</v>
      </c>
      <c r="BE24" s="643" t="n">
        <v>0</v>
      </c>
      <c r="BF24" s="643" t="n">
        <v>0</v>
      </c>
      <c r="BG24" s="643" t="n">
        <v>0</v>
      </c>
      <c r="BH24" s="643" t="n">
        <v>0</v>
      </c>
      <c r="BI24" s="643" t="n">
        <v>0</v>
      </c>
    </row>
    <row r="25" customFormat="1" s="640">
      <c r="A25" s="78" t="inlineStr">
        <is>
          <t>Issuance of Debt</t>
        </is>
      </c>
      <c r="B25" s="640" t="n">
        <v>0</v>
      </c>
      <c r="AL25" s="640" t="n">
        <v>0</v>
      </c>
      <c r="AX25" s="640" t="n">
        <v>0</v>
      </c>
    </row>
    <row r="26" customFormat="1" s="640">
      <c r="A26" s="78" t="inlineStr">
        <is>
          <t>Debt repayment</t>
        </is>
      </c>
      <c r="B26" s="640" t="n">
        <v>0</v>
      </c>
      <c r="C26" s="640" t="n">
        <v>0</v>
      </c>
      <c r="D26" s="640" t="n">
        <v>0</v>
      </c>
      <c r="E26" s="640" t="n">
        <v>0</v>
      </c>
      <c r="F26" s="640" t="n">
        <v>0</v>
      </c>
      <c r="G26" s="640" t="n">
        <v>0</v>
      </c>
      <c r="H26" s="640" t="n">
        <v>0</v>
      </c>
      <c r="I26" s="640" t="n">
        <v>0</v>
      </c>
      <c r="J26" s="640" t="n">
        <v>0</v>
      </c>
      <c r="K26" s="640" t="n">
        <v>0</v>
      </c>
      <c r="L26" s="640" t="n">
        <v>0</v>
      </c>
      <c r="M26" s="640" t="n">
        <v>0</v>
      </c>
      <c r="N26" s="640" t="n">
        <v>0</v>
      </c>
      <c r="O26" s="640" t="n">
        <v>0</v>
      </c>
      <c r="P26" s="640" t="n">
        <v>0</v>
      </c>
      <c r="Q26" s="640" t="n">
        <v>0</v>
      </c>
      <c r="R26" s="640" t="n">
        <v>0</v>
      </c>
      <c r="S26" s="640" t="n">
        <v>0</v>
      </c>
      <c r="T26" s="640" t="n">
        <v>0</v>
      </c>
      <c r="U26" s="640" t="n">
        <v>0</v>
      </c>
      <c r="V26" s="640" t="n">
        <v>0</v>
      </c>
      <c r="W26" s="640" t="n">
        <v>0</v>
      </c>
      <c r="X26" s="640" t="n">
        <v>0</v>
      </c>
      <c r="Y26" s="640" t="n">
        <v>0</v>
      </c>
      <c r="Z26" s="640" t="n">
        <v>0</v>
      </c>
      <c r="AA26" s="640" t="n">
        <v>0</v>
      </c>
      <c r="AB26" s="640" t="n">
        <v>0</v>
      </c>
      <c r="AC26" s="640" t="n">
        <v>0</v>
      </c>
      <c r="AD26" s="640" t="n">
        <v>0</v>
      </c>
      <c r="AE26" s="640" t="n">
        <v>0</v>
      </c>
      <c r="AF26" s="640" t="n">
        <v>0</v>
      </c>
      <c r="AG26" s="640" t="n">
        <v>0</v>
      </c>
      <c r="AH26" s="640" t="n">
        <v>0</v>
      </c>
      <c r="AI26" s="640" t="n">
        <v>0</v>
      </c>
      <c r="AJ26" s="640" t="n">
        <v>0</v>
      </c>
      <c r="AK26" s="640" t="n">
        <v>0</v>
      </c>
      <c r="AL26" s="640" t="n">
        <v>0</v>
      </c>
      <c r="AM26" s="640" t="n">
        <v>0</v>
      </c>
      <c r="AN26" s="640" t="n">
        <v>0</v>
      </c>
      <c r="AO26" s="640" t="n">
        <v>0</v>
      </c>
      <c r="AP26" s="640" t="n">
        <v>0</v>
      </c>
      <c r="AQ26" s="640" t="n">
        <v>0</v>
      </c>
      <c r="AR26" s="640" t="n">
        <v>0</v>
      </c>
      <c r="AS26" s="640" t="n">
        <v>0</v>
      </c>
      <c r="AT26" s="640" t="n">
        <v>0</v>
      </c>
      <c r="AU26" s="640" t="n">
        <v>0</v>
      </c>
      <c r="AV26" s="640" t="n">
        <v>0</v>
      </c>
      <c r="AW26" s="640" t="n">
        <v>0</v>
      </c>
      <c r="AX26" s="640" t="n">
        <v>0</v>
      </c>
      <c r="AY26" s="640" t="n">
        <v>0</v>
      </c>
      <c r="AZ26" s="640" t="n">
        <v>0</v>
      </c>
      <c r="BA26" s="640" t="n">
        <v>0</v>
      </c>
      <c r="BB26" s="640" t="n">
        <v>0</v>
      </c>
      <c r="BC26" s="640" t="n">
        <v>0</v>
      </c>
      <c r="BD26" s="640" t="n">
        <v>0</v>
      </c>
      <c r="BE26" s="640" t="n">
        <v>0</v>
      </c>
      <c r="BF26" s="640" t="n">
        <v>0</v>
      </c>
      <c r="BG26" s="640" t="n">
        <v>0</v>
      </c>
      <c r="BH26" s="640" t="n">
        <v>0</v>
      </c>
      <c r="BI26" s="640" t="n">
        <v>0</v>
      </c>
    </row>
    <row r="27" customFormat="1" s="640">
      <c r="A27" s="12" t="n"/>
    </row>
    <row r="28" customFormat="1" s="640">
      <c r="A28" s="12" t="n"/>
    </row>
    <row r="29" customFormat="1" s="640">
      <c r="A29" s="13" t="inlineStr">
        <is>
          <t>Net Cash generated from Financing Activities</t>
        </is>
      </c>
      <c r="B29" s="642">
        <f>SUM(B24:B28)</f>
        <v/>
      </c>
      <c r="C29" s="642">
        <f>SUM(C24:C28)</f>
        <v/>
      </c>
      <c r="D29" s="642">
        <f>SUM(D24:D28)</f>
        <v/>
      </c>
      <c r="E29" s="642">
        <f>SUM(E24:E28)</f>
        <v/>
      </c>
      <c r="F29" s="642">
        <f>SUM(F24:F28)</f>
        <v/>
      </c>
      <c r="G29" s="642">
        <f>SUM(G24:G28)</f>
        <v/>
      </c>
      <c r="H29" s="642">
        <f>SUM(H24:H28)</f>
        <v/>
      </c>
      <c r="I29" s="642">
        <f>SUM(I24:I28)</f>
        <v/>
      </c>
      <c r="J29" s="642">
        <f>SUM(J24:J28)</f>
        <v/>
      </c>
      <c r="K29" s="642">
        <f>SUM(K24:K28)</f>
        <v/>
      </c>
      <c r="L29" s="642">
        <f>SUM(L24:L28)</f>
        <v/>
      </c>
      <c r="M29" s="642">
        <f>SUM(M24:M28)</f>
        <v/>
      </c>
      <c r="N29" s="642">
        <f>SUM(N24:N28)</f>
        <v/>
      </c>
      <c r="O29" s="642">
        <f>SUM(O24:O28)</f>
        <v/>
      </c>
      <c r="P29" s="642">
        <f>SUM(P24:P28)</f>
        <v/>
      </c>
      <c r="Q29" s="642">
        <f>SUM(Q24:Q28)</f>
        <v/>
      </c>
      <c r="R29" s="642">
        <f>SUM(R24:R28)</f>
        <v/>
      </c>
      <c r="S29" s="642">
        <f>SUM(S24:S28)</f>
        <v/>
      </c>
      <c r="T29" s="642">
        <f>SUM(T24:T28)</f>
        <v/>
      </c>
      <c r="U29" s="642">
        <f>SUM(U24:U28)</f>
        <v/>
      </c>
      <c r="V29" s="642">
        <f>SUM(V24:V28)</f>
        <v/>
      </c>
      <c r="W29" s="642">
        <f>SUM(W24:W28)</f>
        <v/>
      </c>
      <c r="X29" s="642">
        <f>SUM(X24:X28)</f>
        <v/>
      </c>
      <c r="Y29" s="642">
        <f>SUM(Y24:Y28)</f>
        <v/>
      </c>
      <c r="Z29" s="642">
        <f>SUM(Z24:Z28)</f>
        <v/>
      </c>
      <c r="AA29" s="642">
        <f>SUM(AA24:AA28)</f>
        <v/>
      </c>
      <c r="AB29" s="642">
        <f>SUM(AB24:AB28)</f>
        <v/>
      </c>
      <c r="AC29" s="642">
        <f>SUM(AC24:AC28)</f>
        <v/>
      </c>
      <c r="AD29" s="642">
        <f>SUM(AD24:AD28)</f>
        <v/>
      </c>
      <c r="AE29" s="642">
        <f>SUM(AE24:AE28)</f>
        <v/>
      </c>
      <c r="AF29" s="642">
        <f>SUM(AF24:AF28)</f>
        <v/>
      </c>
      <c r="AG29" s="642">
        <f>SUM(AG24:AG28)</f>
        <v/>
      </c>
      <c r="AH29" s="642">
        <f>SUM(AH24:AH28)</f>
        <v/>
      </c>
      <c r="AI29" s="642">
        <f>SUM(AI24:AI28)</f>
        <v/>
      </c>
      <c r="AJ29" s="642">
        <f>SUM(AJ24:AJ28)</f>
        <v/>
      </c>
      <c r="AK29" s="642">
        <f>SUM(AK24:AK28)</f>
        <v/>
      </c>
      <c r="AL29" s="642">
        <f>SUM(AL24:AL28)</f>
        <v/>
      </c>
      <c r="AM29" s="642">
        <f>SUM(AM24:AM28)</f>
        <v/>
      </c>
      <c r="AN29" s="642">
        <f>SUM(AN24:AN28)</f>
        <v/>
      </c>
      <c r="AO29" s="642">
        <f>SUM(AO24:AO28)</f>
        <v/>
      </c>
      <c r="AP29" s="642">
        <f>SUM(AP24:AP28)</f>
        <v/>
      </c>
      <c r="AQ29" s="642">
        <f>SUM(AQ24:AQ28)</f>
        <v/>
      </c>
      <c r="AR29" s="642">
        <f>SUM(AR24:AR28)</f>
        <v/>
      </c>
      <c r="AS29" s="642">
        <f>SUM(AS24:AS28)</f>
        <v/>
      </c>
      <c r="AT29" s="642">
        <f>SUM(AT24:AT28)</f>
        <v/>
      </c>
      <c r="AU29" s="642">
        <f>SUM(AU24:AU28)</f>
        <v/>
      </c>
      <c r="AV29" s="642">
        <f>SUM(AV24:AV28)</f>
        <v/>
      </c>
      <c r="AW29" s="642">
        <f>SUM(AW24:AW28)</f>
        <v/>
      </c>
      <c r="AX29" s="642">
        <f>SUM(AX24:AX28)</f>
        <v/>
      </c>
      <c r="AY29" s="642">
        <f>SUM(AY24:AY28)</f>
        <v/>
      </c>
      <c r="AZ29" s="642">
        <f>SUM(AZ24:AZ28)</f>
        <v/>
      </c>
      <c r="BA29" s="642">
        <f>SUM(BA24:BA28)</f>
        <v/>
      </c>
      <c r="BB29" s="642">
        <f>SUM(BB24:BB28)</f>
        <v/>
      </c>
      <c r="BC29" s="642">
        <f>SUM(BC24:BC28)</f>
        <v/>
      </c>
      <c r="BD29" s="642">
        <f>SUM(BD24:BD28)</f>
        <v/>
      </c>
      <c r="BE29" s="642">
        <f>SUM(BE24:BE28)</f>
        <v/>
      </c>
      <c r="BF29" s="642">
        <f>SUM(BF24:BF28)</f>
        <v/>
      </c>
      <c r="BG29" s="642">
        <f>SUM(BG24:BG28)</f>
        <v/>
      </c>
      <c r="BH29" s="642">
        <f>SUM(BH24:BH28)</f>
        <v/>
      </c>
      <c r="BI29" s="642">
        <f>SUM(BI24:BI28)</f>
        <v/>
      </c>
    </row>
    <row r="30" customFormat="1" s="640">
      <c r="A30" s="1" t="n"/>
    </row>
    <row r="31" customFormat="1" s="640">
      <c r="A31" s="13" t="inlineStr">
        <is>
          <t>Net change in Cash &amp; Cash Equivalents</t>
        </is>
      </c>
      <c r="B31" s="642">
        <f>+B16+B21+B29</f>
        <v/>
      </c>
      <c r="C31" s="642">
        <f>+C16+C21+C29</f>
        <v/>
      </c>
      <c r="D31" s="642">
        <f>+D16+D21+D29</f>
        <v/>
      </c>
      <c r="E31" s="642">
        <f>+E16+E21+E29</f>
        <v/>
      </c>
      <c r="F31" s="642">
        <f>+F16+F21+F29</f>
        <v/>
      </c>
      <c r="G31" s="642">
        <f>+G16+G21+G29</f>
        <v/>
      </c>
      <c r="H31" s="642">
        <f>+H16+H21+H29</f>
        <v/>
      </c>
      <c r="I31" s="642">
        <f>+I16+I21+I29</f>
        <v/>
      </c>
      <c r="J31" s="642">
        <f>+J16+J21+J29</f>
        <v/>
      </c>
      <c r="K31" s="642">
        <f>+K16+K21+K29</f>
        <v/>
      </c>
      <c r="L31" s="642">
        <f>+L16+L21+L29</f>
        <v/>
      </c>
      <c r="M31" s="642">
        <f>+M16+M21+M29</f>
        <v/>
      </c>
      <c r="N31" s="642">
        <f>+N16+N21+N29</f>
        <v/>
      </c>
      <c r="O31" s="642">
        <f>+O16+O21+O29</f>
        <v/>
      </c>
      <c r="P31" s="642">
        <f>+P16+P21+P29</f>
        <v/>
      </c>
      <c r="Q31" s="642">
        <f>+Q16+Q21+Q29</f>
        <v/>
      </c>
      <c r="R31" s="642">
        <f>+R16+R21+R29</f>
        <v/>
      </c>
      <c r="S31" s="642">
        <f>+S16+S21+S29</f>
        <v/>
      </c>
      <c r="T31" s="642">
        <f>+T16+T21+T29</f>
        <v/>
      </c>
      <c r="U31" s="642">
        <f>+U16+U21+U29</f>
        <v/>
      </c>
      <c r="V31" s="642">
        <f>+V16+V21+V29</f>
        <v/>
      </c>
      <c r="W31" s="642">
        <f>+W16+W21+W29</f>
        <v/>
      </c>
      <c r="X31" s="642">
        <f>+X16+X21+X29</f>
        <v/>
      </c>
      <c r="Y31" s="642">
        <f>+Y16+Y21+Y29</f>
        <v/>
      </c>
      <c r="Z31" s="642">
        <f>+Z16+Z21+Z29</f>
        <v/>
      </c>
      <c r="AA31" s="642">
        <f>+AA16+AA21+AA29</f>
        <v/>
      </c>
      <c r="AB31" s="642">
        <f>+AB16+AB21+AB29</f>
        <v/>
      </c>
      <c r="AC31" s="642">
        <f>+AC16+AC21+AC29</f>
        <v/>
      </c>
      <c r="AD31" s="642">
        <f>+AD16+AD21+AD29</f>
        <v/>
      </c>
      <c r="AE31" s="642">
        <f>+AE16+AE21+AE29</f>
        <v/>
      </c>
      <c r="AF31" s="642">
        <f>+AF16+AF21+AF29</f>
        <v/>
      </c>
      <c r="AG31" s="642">
        <f>+AG16+AG21+AG29</f>
        <v/>
      </c>
      <c r="AH31" s="642">
        <f>+AH16+AH21+AH29</f>
        <v/>
      </c>
      <c r="AI31" s="642">
        <f>+AI16+AI21+AI29</f>
        <v/>
      </c>
      <c r="AJ31" s="642">
        <f>+AJ16+AJ21+AJ29</f>
        <v/>
      </c>
      <c r="AK31" s="642">
        <f>+AK16+AK21+AK29</f>
        <v/>
      </c>
      <c r="AL31" s="642">
        <f>+AL16+AL21+AL29</f>
        <v/>
      </c>
      <c r="AM31" s="642">
        <f>+AM16+AM21+AM29</f>
        <v/>
      </c>
      <c r="AN31" s="642">
        <f>+AN16+AN21+AN29</f>
        <v/>
      </c>
      <c r="AO31" s="642">
        <f>+AO16+AO21+AO29</f>
        <v/>
      </c>
      <c r="AP31" s="642">
        <f>+AP16+AP21+AP29</f>
        <v/>
      </c>
      <c r="AQ31" s="642">
        <f>+AQ16+AQ21+AQ29</f>
        <v/>
      </c>
      <c r="AR31" s="642">
        <f>+AR16+AR21+AR29</f>
        <v/>
      </c>
      <c r="AS31" s="642">
        <f>+AS16+AS21+AS29</f>
        <v/>
      </c>
      <c r="AT31" s="642">
        <f>+AT16+AT21+AT29</f>
        <v/>
      </c>
      <c r="AU31" s="642">
        <f>+AU16+AU21+AU29</f>
        <v/>
      </c>
      <c r="AV31" s="642">
        <f>+AV16+AV21+AV29</f>
        <v/>
      </c>
      <c r="AW31" s="642">
        <f>+AW16+AW21+AW29</f>
        <v/>
      </c>
      <c r="AX31" s="642">
        <f>+AX16+AX21+AX29</f>
        <v/>
      </c>
      <c r="AY31" s="642">
        <f>+AY16+AY21+AY29</f>
        <v/>
      </c>
      <c r="AZ31" s="642">
        <f>+AZ16+AZ21+AZ29</f>
        <v/>
      </c>
      <c r="BA31" s="642">
        <f>+BA16+BA21+BA29</f>
        <v/>
      </c>
      <c r="BB31" s="642">
        <f>+BB16+BB21+BB29</f>
        <v/>
      </c>
      <c r="BC31" s="642">
        <f>+BC16+BC21+BC29</f>
        <v/>
      </c>
      <c r="BD31" s="642">
        <f>+BD16+BD21+BD29</f>
        <v/>
      </c>
      <c r="BE31" s="642">
        <f>+BE16+BE21+BE29</f>
        <v/>
      </c>
      <c r="BF31" s="642">
        <f>+BF16+BF21+BF29</f>
        <v/>
      </c>
      <c r="BG31" s="642">
        <f>+BG16+BG21+BG29</f>
        <v/>
      </c>
      <c r="BH31" s="642">
        <f>+BH16+BH21+BH29</f>
        <v/>
      </c>
      <c r="BI31" s="642">
        <f>+BI16+BI21+BI29</f>
        <v/>
      </c>
    </row>
    <row r="32" customFormat="1" s="640">
      <c r="A32" s="1" t="n"/>
    </row>
    <row r="33" customFormat="1" s="640">
      <c r="A33" s="1" t="inlineStr">
        <is>
          <t>Opening Cash &amp; Cash Equivalents</t>
        </is>
      </c>
      <c r="B33" s="641">
        <f>' Balance Sheet'!C8</f>
        <v/>
      </c>
      <c r="C33" s="641">
        <f>+B35</f>
        <v/>
      </c>
      <c r="D33" s="641">
        <f>+C35</f>
        <v/>
      </c>
      <c r="E33" s="641">
        <f>+D35</f>
        <v/>
      </c>
      <c r="F33" s="641">
        <f>+E35</f>
        <v/>
      </c>
      <c r="G33" s="641">
        <f>+F35</f>
        <v/>
      </c>
      <c r="H33" s="641">
        <f>+G35</f>
        <v/>
      </c>
      <c r="I33" s="641">
        <f>+H35</f>
        <v/>
      </c>
      <c r="J33" s="641">
        <f>+I35</f>
        <v/>
      </c>
      <c r="K33" s="641">
        <f>+J35</f>
        <v/>
      </c>
      <c r="L33" s="641">
        <f>+K35</f>
        <v/>
      </c>
      <c r="M33" s="641">
        <f>+L35</f>
        <v/>
      </c>
      <c r="N33" s="641">
        <f>+M35</f>
        <v/>
      </c>
      <c r="O33" s="641">
        <f>+N35</f>
        <v/>
      </c>
      <c r="P33" s="641">
        <f>+O35</f>
        <v/>
      </c>
      <c r="Q33" s="641">
        <f>+P35</f>
        <v/>
      </c>
      <c r="R33" s="641">
        <f>+Q35</f>
        <v/>
      </c>
      <c r="S33" s="641">
        <f>+R35</f>
        <v/>
      </c>
      <c r="T33" s="641">
        <f>+S35</f>
        <v/>
      </c>
      <c r="U33" s="641">
        <f>+T35</f>
        <v/>
      </c>
      <c r="V33" s="641">
        <f>+U35</f>
        <v/>
      </c>
      <c r="W33" s="641">
        <f>+V35</f>
        <v/>
      </c>
      <c r="X33" s="641">
        <f>+W35</f>
        <v/>
      </c>
      <c r="Y33" s="641">
        <f>+X35</f>
        <v/>
      </c>
      <c r="Z33" s="641">
        <f>+Y35</f>
        <v/>
      </c>
      <c r="AA33" s="641">
        <f>+Z35</f>
        <v/>
      </c>
      <c r="AB33" s="641">
        <f>+AA35</f>
        <v/>
      </c>
      <c r="AC33" s="641">
        <f>+AB35</f>
        <v/>
      </c>
      <c r="AD33" s="641">
        <f>+AC35</f>
        <v/>
      </c>
      <c r="AE33" s="641">
        <f>+AD35</f>
        <v/>
      </c>
      <c r="AF33" s="641">
        <f>+AE35</f>
        <v/>
      </c>
      <c r="AG33" s="641">
        <f>+AF35</f>
        <v/>
      </c>
      <c r="AH33" s="641">
        <f>+AG35</f>
        <v/>
      </c>
      <c r="AI33" s="641">
        <f>+AH35</f>
        <v/>
      </c>
      <c r="AJ33" s="641">
        <f>+AI35</f>
        <v/>
      </c>
      <c r="AK33" s="641">
        <f>+AJ35</f>
        <v/>
      </c>
      <c r="AL33" s="641">
        <f>+AK35</f>
        <v/>
      </c>
      <c r="AM33" s="641">
        <f>+AL35</f>
        <v/>
      </c>
      <c r="AN33" s="641">
        <f>+AM35</f>
        <v/>
      </c>
      <c r="AO33" s="641">
        <f>+AN35</f>
        <v/>
      </c>
      <c r="AP33" s="641">
        <f>+AO35</f>
        <v/>
      </c>
      <c r="AQ33" s="641">
        <f>+AP35</f>
        <v/>
      </c>
      <c r="AR33" s="641">
        <f>+AQ35</f>
        <v/>
      </c>
      <c r="AS33" s="641">
        <f>+AR35</f>
        <v/>
      </c>
      <c r="AT33" s="641">
        <f>+AS35</f>
        <v/>
      </c>
      <c r="AU33" s="641">
        <f>+AT35</f>
        <v/>
      </c>
      <c r="AV33" s="641">
        <f>+AU35</f>
        <v/>
      </c>
      <c r="AW33" s="641">
        <f>+AV35</f>
        <v/>
      </c>
      <c r="AX33" s="641">
        <f>+AW35</f>
        <v/>
      </c>
      <c r="AY33" s="641">
        <f>+AX35</f>
        <v/>
      </c>
      <c r="AZ33" s="641">
        <f>+AY35</f>
        <v/>
      </c>
      <c r="BA33" s="641">
        <f>+AZ35</f>
        <v/>
      </c>
      <c r="BB33" s="641">
        <f>+BA35</f>
        <v/>
      </c>
      <c r="BC33" s="641">
        <f>+BB35</f>
        <v/>
      </c>
      <c r="BD33" s="641">
        <f>+BC35</f>
        <v/>
      </c>
      <c r="BE33" s="641">
        <f>+BD35</f>
        <v/>
      </c>
      <c r="BF33" s="641">
        <f>+BE35</f>
        <v/>
      </c>
      <c r="BG33" s="641">
        <f>+BF35</f>
        <v/>
      </c>
      <c r="BH33" s="641">
        <f>+BG35</f>
        <v/>
      </c>
      <c r="BI33" s="641">
        <f>+BH35</f>
        <v/>
      </c>
    </row>
    <row r="34" customFormat="1" s="640">
      <c r="A34" s="1" t="n"/>
    </row>
    <row r="35" ht="14" customFormat="1" customHeight="1" s="640" thickBot="1">
      <c r="A35" s="11" t="inlineStr">
        <is>
          <t>Closing Cash &amp; Cash Equivalents</t>
        </is>
      </c>
      <c r="B35" s="644">
        <f>+B31+B33</f>
        <v/>
      </c>
      <c r="C35" s="644">
        <f>+C31+C33</f>
        <v/>
      </c>
      <c r="D35" s="644">
        <f>+D31+D33</f>
        <v/>
      </c>
      <c r="E35" s="644">
        <f>+E31+E33</f>
        <v/>
      </c>
      <c r="F35" s="644">
        <f>+F31+F33</f>
        <v/>
      </c>
      <c r="G35" s="644">
        <f>+G31+G33</f>
        <v/>
      </c>
      <c r="H35" s="644">
        <f>+H31+H33</f>
        <v/>
      </c>
      <c r="I35" s="644">
        <f>+I31+I33</f>
        <v/>
      </c>
      <c r="J35" s="644">
        <f>+J31+J33</f>
        <v/>
      </c>
      <c r="K35" s="644">
        <f>+K31+K33</f>
        <v/>
      </c>
      <c r="L35" s="644">
        <f>+L31+L33</f>
        <v/>
      </c>
      <c r="M35" s="644">
        <f>+M31+M33</f>
        <v/>
      </c>
      <c r="N35" s="644">
        <f>+N31+N33</f>
        <v/>
      </c>
      <c r="O35" s="644">
        <f>+O31+O33</f>
        <v/>
      </c>
      <c r="P35" s="644">
        <f>+P31+P33</f>
        <v/>
      </c>
      <c r="Q35" s="644">
        <f>+Q31+Q33</f>
        <v/>
      </c>
      <c r="R35" s="644">
        <f>+R31+R33</f>
        <v/>
      </c>
      <c r="S35" s="644">
        <f>+S31+S33</f>
        <v/>
      </c>
      <c r="T35" s="644">
        <f>+T31+T33</f>
        <v/>
      </c>
      <c r="U35" s="644">
        <f>+U31+U33</f>
        <v/>
      </c>
      <c r="V35" s="644">
        <f>+V31+V33</f>
        <v/>
      </c>
      <c r="W35" s="644">
        <f>+W31+W33</f>
        <v/>
      </c>
      <c r="X35" s="644">
        <f>+X31+X33</f>
        <v/>
      </c>
      <c r="Y35" s="644">
        <f>+Y31+Y33</f>
        <v/>
      </c>
      <c r="Z35" s="644">
        <f>+Z31+Z33</f>
        <v/>
      </c>
      <c r="AA35" s="644">
        <f>+AA31+AA33</f>
        <v/>
      </c>
      <c r="AB35" s="644">
        <f>+AB31+AB33</f>
        <v/>
      </c>
      <c r="AC35" s="645">
        <f>+AC31+AC33</f>
        <v/>
      </c>
      <c r="AD35" s="645">
        <f>+AD31+AD33</f>
        <v/>
      </c>
      <c r="AE35" s="645">
        <f>+AE31+AE33</f>
        <v/>
      </c>
      <c r="AF35" s="645">
        <f>+AF31+AF33</f>
        <v/>
      </c>
      <c r="AG35" s="645">
        <f>+AG31+AG33</f>
        <v/>
      </c>
      <c r="AH35" s="644">
        <f>+AH31+AH33</f>
        <v/>
      </c>
      <c r="AI35" s="645">
        <f>+AI31+AI33</f>
        <v/>
      </c>
      <c r="AJ35" s="644">
        <f>+AJ31+AJ33</f>
        <v/>
      </c>
      <c r="AK35" s="644">
        <f>+AK31+AK33</f>
        <v/>
      </c>
      <c r="AL35" s="644">
        <f>+AL31+AL33</f>
        <v/>
      </c>
      <c r="AM35" s="644">
        <f>+AM31+AM33</f>
        <v/>
      </c>
      <c r="AN35" s="644">
        <f>+AN31+AN33</f>
        <v/>
      </c>
      <c r="AO35" s="644">
        <f>+AO31+AO33</f>
        <v/>
      </c>
      <c r="AP35" s="644">
        <f>+AP31+AP33</f>
        <v/>
      </c>
      <c r="AQ35" s="644">
        <f>+AQ31+AQ33</f>
        <v/>
      </c>
      <c r="AR35" s="644">
        <f>+AR31+AR33</f>
        <v/>
      </c>
      <c r="AS35" s="644">
        <f>+AS31+AS33</f>
        <v/>
      </c>
      <c r="AT35" s="644">
        <f>+AT31+AT33</f>
        <v/>
      </c>
      <c r="AU35" s="644">
        <f>+AU31+AU33</f>
        <v/>
      </c>
      <c r="AV35" s="644">
        <f>+AV31+AV33</f>
        <v/>
      </c>
      <c r="AW35" s="644">
        <f>+AW31+AW33</f>
        <v/>
      </c>
      <c r="AX35" s="644">
        <f>+AX31+AX33</f>
        <v/>
      </c>
      <c r="AY35" s="644">
        <f>+AY31+AY33</f>
        <v/>
      </c>
      <c r="AZ35" s="644">
        <f>+AZ31+AZ33</f>
        <v/>
      </c>
      <c r="BA35" s="644">
        <f>+BA31+BA33</f>
        <v/>
      </c>
      <c r="BB35" s="644">
        <f>+BB31+BB33</f>
        <v/>
      </c>
      <c r="BC35" s="644">
        <f>+BC31+BC33</f>
        <v/>
      </c>
      <c r="BD35" s="644">
        <f>+BD31+BD33</f>
        <v/>
      </c>
      <c r="BE35" s="644">
        <f>+BE31+BE33</f>
        <v/>
      </c>
      <c r="BF35" s="644">
        <f>+BF31+BF33</f>
        <v/>
      </c>
      <c r="BG35" s="644">
        <f>+BG31+BG33</f>
        <v/>
      </c>
      <c r="BH35" s="644">
        <f>+BH31+BH33</f>
        <v/>
      </c>
      <c r="BI35" s="644">
        <f>+BI31+BI33</f>
        <v/>
      </c>
    </row>
    <row r="36" ht="14" customHeight="1" s="497" thickTop="1">
      <c r="AB36" s="254" t="inlineStr">
        <is>
          <t>TO BE COVERED BY R&amp;D SUBSIDIES STRATEGY</t>
        </is>
      </c>
      <c r="AC36" s="254" t="n"/>
      <c r="AD36" s="254" t="n"/>
      <c r="AE36" s="254" t="inlineStr">
        <is>
          <t>TO BE COVERED BY R&amp;D SUBSIDIES STRATEGY</t>
        </is>
      </c>
      <c r="AF36" s="254" t="n"/>
      <c r="AG36" s="254" t="n"/>
      <c r="AH36" s="254" t="inlineStr">
        <is>
          <t>TO BE COVERED BY R&amp;D SUBSIDIES STRATEGY</t>
        </is>
      </c>
      <c r="AI36" s="254" t="n"/>
      <c r="AJ36" s="254" t="n"/>
    </row>
  </sheetData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 codeName="Sheet13">
    <tabColor rgb="FF92D050"/>
    <outlinePr summaryBelow="1" summaryRight="1"/>
    <pageSetUpPr/>
  </sheetPr>
  <dimension ref="A1:BI38"/>
  <sheetViews>
    <sheetView showGridLines="0" zoomScale="130" zoomScaleNormal="130" workbookViewId="0">
      <pane xSplit="1" ySplit="5" topLeftCell="B9" activePane="bottomRight" state="frozen"/>
      <selection pane="topRight" activeCell="B11" sqref="B11"/>
      <selection pane="bottomLeft" activeCell="B11" sqref="B11"/>
      <selection pane="bottomRight" activeCell="J52" sqref="J52"/>
    </sheetView>
  </sheetViews>
  <sheetFormatPr baseColWidth="10" defaultColWidth="8.83203125" defaultRowHeight="13"/>
  <cols>
    <col width="39.5" bestFit="1" customWidth="1" style="4" min="1" max="1"/>
    <col width="13" customWidth="1" style="4" min="2" max="2"/>
    <col width="15.5" bestFit="1" customWidth="1" style="4" min="3" max="6"/>
    <col width="8.83203125" customWidth="1" style="4" min="7" max="7"/>
    <col width="15.5" bestFit="1" customWidth="1" style="4" min="8" max="8"/>
    <col width="12.1640625" bestFit="1" customWidth="1" style="4" min="9" max="9"/>
    <col width="18.33203125" customWidth="1" style="4" min="10" max="10"/>
    <col width="8.83203125" customWidth="1" style="4" min="11" max="16384"/>
  </cols>
  <sheetData>
    <row r="1" ht="26.25" customFormat="1" customHeight="1" s="106">
      <c r="A1" s="104" t="inlineStr">
        <is>
          <t>DVS</t>
        </is>
      </c>
      <c r="B1" s="105" t="n"/>
      <c r="C1" s="112" t="n"/>
      <c r="D1" s="112" t="n"/>
      <c r="E1" s="112" t="n"/>
      <c r="F1" s="113" t="n"/>
      <c r="G1" s="105" t="n"/>
      <c r="H1" s="105" t="n"/>
      <c r="I1" s="114" t="n"/>
      <c r="J1" s="114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  <c r="AZ1" s="114" t="n"/>
      <c r="BA1" s="114" t="n"/>
      <c r="BB1" s="114" t="n"/>
      <c r="BC1" s="114" t="n"/>
      <c r="BD1" s="114" t="n"/>
      <c r="BE1" s="114" t="n"/>
    </row>
    <row r="2" customFormat="1" s="108">
      <c r="A2" s="107" t="inlineStr">
        <is>
          <t>Annual Cash Flow Statement</t>
        </is>
      </c>
    </row>
    <row r="3" customFormat="1" s="108">
      <c r="A3" s="109" t="inlineStr">
        <is>
          <t>Amounts in €</t>
        </is>
      </c>
    </row>
    <row r="4" ht="12" customFormat="1" customHeight="1" s="7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</row>
    <row r="5" ht="12" customFormat="1" customHeight="1" s="108">
      <c r="A5" s="110" t="inlineStr">
        <is>
          <t>Assumptions for the Annual Period</t>
        </is>
      </c>
      <c r="B5" s="116">
        <f>Controls!B5</f>
        <v/>
      </c>
      <c r="C5" s="116">
        <f>Controls!C5</f>
        <v/>
      </c>
      <c r="D5" s="116">
        <f>Controls!D5</f>
        <v/>
      </c>
      <c r="E5" s="116">
        <f>Controls!E5</f>
        <v/>
      </c>
      <c r="F5" s="116">
        <f>Controls!F5</f>
        <v/>
      </c>
    </row>
    <row r="6"/>
    <row r="7">
      <c r="A7" s="7" t="inlineStr">
        <is>
          <t>Cash flow from Operating Activities</t>
        </is>
      </c>
      <c r="B7" s="640" t="n"/>
      <c r="C7" s="640" t="n"/>
      <c r="D7" s="640" t="n"/>
      <c r="E7" s="640" t="n"/>
      <c r="F7" s="640" t="n"/>
      <c r="G7" s="640" t="n"/>
      <c r="H7" s="640" t="n"/>
    </row>
    <row r="8">
      <c r="A8" s="77" t="inlineStr">
        <is>
          <t>Profit before Tax</t>
        </is>
      </c>
      <c r="B8" s="641">
        <f>SUMIF('Monthly CFS'!$B$3:$BI$3,B$5,'Monthly CFS'!$B8:$BI8)</f>
        <v/>
      </c>
      <c r="C8" s="641">
        <f>SUMIF('Monthly CFS'!$B$3:$BI$3,C$5,'Monthly CFS'!$B8:$BI8)</f>
        <v/>
      </c>
      <c r="D8" s="641">
        <f>SUMIF('Monthly CFS'!$B$3:$BI$3,D$5,'Monthly CFS'!$B8:$BI8)</f>
        <v/>
      </c>
      <c r="E8" s="641">
        <f>SUMIF('Monthly CFS'!$B$3:$BI$3,E$5,'Monthly CFS'!$B8:$BI8)</f>
        <v/>
      </c>
      <c r="F8" s="641">
        <f>SUMIF('Monthly CFS'!$B$3:$BI$3,F$5,'Monthly CFS'!$B8:$BI8)</f>
        <v/>
      </c>
      <c r="G8" s="640" t="n"/>
      <c r="H8" s="640" t="n"/>
    </row>
    <row r="9">
      <c r="A9" s="83" t="inlineStr">
        <is>
          <t>Adjustments for:</t>
        </is>
      </c>
      <c r="B9" s="640" t="n"/>
      <c r="C9" s="640" t="n"/>
      <c r="D9" s="640" t="n"/>
      <c r="E9" s="640" t="n"/>
      <c r="F9" s="640" t="n"/>
      <c r="G9" s="640" t="n"/>
      <c r="H9" s="640" t="n"/>
    </row>
    <row r="10">
      <c r="A10" s="77" t="inlineStr">
        <is>
          <t>Add: Depreciation &amp; Amortization</t>
        </is>
      </c>
      <c r="B10" s="641">
        <f>SUMIF('Monthly CFS'!$B$3:$BI$3,B$5,'Monthly CFS'!$B10:$BI10)</f>
        <v/>
      </c>
      <c r="C10" s="641">
        <f>SUMIF('Monthly CFS'!$B$3:$BI$3,C$5,'Monthly CFS'!$B10:$BI10)</f>
        <v/>
      </c>
      <c r="D10" s="641">
        <f>SUMIF('Monthly CFS'!$B$3:$BI$3,D$5,'Monthly CFS'!$B10:$BI10)</f>
        <v/>
      </c>
      <c r="E10" s="641">
        <f>SUMIF('Monthly CFS'!$B$3:$BI$3,E$5,'Monthly CFS'!$B10:$BI10)</f>
        <v/>
      </c>
      <c r="F10" s="641">
        <f>SUMIF('Monthly CFS'!$B$3:$BI$3,F$5,'Monthly CFS'!$B10:$BI10)</f>
        <v/>
      </c>
      <c r="G10" s="640" t="n"/>
      <c r="H10" s="640" t="n"/>
    </row>
    <row r="11">
      <c r="A11" s="77" t="inlineStr">
        <is>
          <t>Sub: Increase in Inventory</t>
        </is>
      </c>
      <c r="B11" s="641">
        <f>SUMIF('Monthly CFS'!$B$3:$BI$3,B$5,'Monthly CFS'!$B11:$BI11)</f>
        <v/>
      </c>
      <c r="C11" s="641">
        <f>SUMIF('Monthly CFS'!$B$3:$BI$3,C$5,'Monthly CFS'!$B11:$BI11)</f>
        <v/>
      </c>
      <c r="D11" s="641">
        <f>SUMIF('Monthly CFS'!$B$3:$BI$3,D$5,'Monthly CFS'!$B11:$BI11)</f>
        <v/>
      </c>
      <c r="E11" s="641">
        <f>SUMIF('Monthly CFS'!$B$3:$BI$3,E$5,'Monthly CFS'!$B11:$BI11)</f>
        <v/>
      </c>
      <c r="F11" s="641">
        <f>SUMIF('Monthly CFS'!$B$3:$BI$3,F$5,'Monthly CFS'!$B11:$BI11)</f>
        <v/>
      </c>
      <c r="G11" s="640" t="n"/>
      <c r="H11" s="640" t="n"/>
    </row>
    <row r="12">
      <c r="A12" s="77" t="inlineStr">
        <is>
          <t>Sub: Increase in Trade Receivables</t>
        </is>
      </c>
      <c r="B12" s="641">
        <f>SUMIF('Monthly CFS'!$B$3:$BI$3,B$5,'Monthly CFS'!$B12:$BI12)</f>
        <v/>
      </c>
      <c r="C12" s="641">
        <f>SUMIF('Monthly CFS'!$B$3:$BI$3,C$5,'Monthly CFS'!$B12:$BI12)</f>
        <v/>
      </c>
      <c r="D12" s="641">
        <f>SUMIF('Monthly CFS'!$B$3:$BI$3,D$5,'Monthly CFS'!$B12:$BI12)</f>
        <v/>
      </c>
      <c r="E12" s="641">
        <f>SUMIF('Monthly CFS'!$B$3:$BI$3,E$5,'Monthly CFS'!$B12:$BI12)</f>
        <v/>
      </c>
      <c r="F12" s="641">
        <f>SUMIF('Monthly CFS'!$B$3:$BI$3,F$5,'Monthly CFS'!$B12:$BI12)</f>
        <v/>
      </c>
      <c r="G12" s="640" t="n"/>
      <c r="H12" s="640" t="n"/>
    </row>
    <row r="13">
      <c r="A13" s="77" t="n"/>
      <c r="B13" s="641" t="n"/>
      <c r="C13" s="641" t="n"/>
      <c r="D13" s="641" t="n"/>
      <c r="E13" s="641" t="n"/>
      <c r="F13" s="641" t="n"/>
      <c r="G13" s="640" t="n"/>
      <c r="H13" s="640" t="n"/>
    </row>
    <row r="14">
      <c r="A14" s="84" t="inlineStr">
        <is>
          <t>Sub: Taxes paid</t>
        </is>
      </c>
      <c r="B14" s="641">
        <f>SUMIF('Monthly CFS'!$B$3:$BI$3,B$5,'Monthly CFS'!$B14:$BI14)</f>
        <v/>
      </c>
      <c r="C14" s="641">
        <f>SUMIF('Monthly CFS'!$B$3:$BI$3,C$5,'Monthly CFS'!$B14:$BI14)</f>
        <v/>
      </c>
      <c r="D14" s="641">
        <f>SUMIF('Monthly CFS'!$B$3:$BI$3,D$5,'Monthly CFS'!$B14:$BI14)</f>
        <v/>
      </c>
      <c r="E14" s="641">
        <f>SUMIF('Monthly CFS'!$B$3:$BI$3,E$5,'Monthly CFS'!$B14:$BI14)</f>
        <v/>
      </c>
      <c r="F14" s="641">
        <f>SUMIF('Monthly CFS'!$B$3:$BI$3,F$5,'Monthly CFS'!$B14:$BI14)</f>
        <v/>
      </c>
      <c r="G14" s="640" t="n"/>
      <c r="H14" s="640" t="n"/>
    </row>
    <row r="15">
      <c r="A15" s="3" t="n"/>
      <c r="B15" s="640" t="n"/>
      <c r="C15" s="640" t="n"/>
      <c r="D15" s="640" t="n"/>
      <c r="E15" s="640" t="n"/>
      <c r="F15" s="640" t="n"/>
      <c r="G15" s="640" t="n"/>
      <c r="H15" s="640" t="n"/>
    </row>
    <row r="16">
      <c r="A16" s="13" t="inlineStr">
        <is>
          <t>Net Cash generated from Operating Activities</t>
        </is>
      </c>
      <c r="B16" s="642">
        <f>SUM(B8:B15)</f>
        <v/>
      </c>
      <c r="C16" s="642">
        <f>SUM(C8:C15)</f>
        <v/>
      </c>
      <c r="D16" s="642">
        <f>SUM(D8:D15)</f>
        <v/>
      </c>
      <c r="E16" s="642">
        <f>SUM(E8:E15)</f>
        <v/>
      </c>
      <c r="F16" s="642">
        <f>SUM(F8:F15)</f>
        <v/>
      </c>
      <c r="G16" s="640" t="n"/>
      <c r="H16" s="640" t="n"/>
      <c r="J16" s="646" t="n"/>
    </row>
    <row r="17">
      <c r="A17" s="1" t="n"/>
      <c r="B17" s="640" t="n"/>
      <c r="C17" s="640" t="n"/>
      <c r="D17" s="640" t="n"/>
      <c r="E17" s="640" t="n"/>
      <c r="F17" s="640" t="n"/>
      <c r="G17" s="640" t="n"/>
      <c r="H17" s="640" t="n"/>
    </row>
    <row r="18">
      <c r="A18" s="7" t="inlineStr">
        <is>
          <t>Cash flow from Investing Activities</t>
        </is>
      </c>
      <c r="B18" s="640" t="n"/>
      <c r="C18" s="640" t="n"/>
      <c r="D18" s="640" t="n"/>
      <c r="E18" s="640" t="n"/>
      <c r="F18" s="640" t="n"/>
      <c r="G18" s="640" t="n"/>
      <c r="H18" s="640" t="n"/>
    </row>
    <row r="19">
      <c r="A19" s="85" t="inlineStr">
        <is>
          <t>Purchase of Fixed Assets</t>
        </is>
      </c>
      <c r="B19" s="641">
        <f>SUMIF('Monthly CFS'!$B$3:$BI$3,B$5,'Monthly CFS'!$B19:$BI19)</f>
        <v/>
      </c>
      <c r="C19" s="641">
        <f>SUMIF('Monthly CFS'!$B$3:$BI$3,C$5,'Monthly CFS'!$B19:$BI19)</f>
        <v/>
      </c>
      <c r="D19" s="641">
        <f>SUMIF('Monthly CFS'!$B$3:$BI$3,D$5,'Monthly CFS'!$B19:$BI19)</f>
        <v/>
      </c>
      <c r="E19" s="641">
        <f>SUMIF('Monthly CFS'!$B$3:$BI$3,E$5,'Monthly CFS'!$B19:$BI19)</f>
        <v/>
      </c>
      <c r="F19" s="641">
        <f>SUMIF('Monthly CFS'!$B$3:$BI$3,F$5,'Monthly CFS'!$B19:$BI19)</f>
        <v/>
      </c>
      <c r="G19" s="640" t="n"/>
      <c r="H19" s="640" t="n"/>
    </row>
    <row r="20">
      <c r="A20" s="1" t="n"/>
      <c r="B20" s="640" t="n"/>
      <c r="C20" s="640" t="n"/>
      <c r="D20" s="640" t="n"/>
      <c r="E20" s="640" t="n"/>
      <c r="F20" s="640" t="n"/>
      <c r="G20" s="640" t="n"/>
      <c r="H20" s="640" t="n"/>
    </row>
    <row r="21">
      <c r="A21" s="13" t="inlineStr">
        <is>
          <t>Net Cash used in Investing Activities</t>
        </is>
      </c>
      <c r="B21" s="642">
        <f>+B19</f>
        <v/>
      </c>
      <c r="C21" s="642">
        <f>+C19</f>
        <v/>
      </c>
      <c r="D21" s="642">
        <f>+D19</f>
        <v/>
      </c>
      <c r="E21" s="642">
        <f>+E19</f>
        <v/>
      </c>
      <c r="F21" s="642">
        <f>+F19</f>
        <v/>
      </c>
      <c r="G21" s="640" t="n"/>
      <c r="H21" s="640" t="n"/>
    </row>
    <row r="22">
      <c r="A22" s="1" t="n"/>
      <c r="B22" s="640" t="n"/>
      <c r="C22" s="640" t="n"/>
      <c r="D22" s="640" t="n"/>
      <c r="E22" s="640" t="n"/>
      <c r="F22" s="640" t="n"/>
      <c r="G22" s="640" t="n"/>
      <c r="H22" s="640" t="n"/>
    </row>
    <row r="23">
      <c r="A23" s="7" t="inlineStr">
        <is>
          <t>Cash flow from Financing Activities</t>
        </is>
      </c>
      <c r="B23" s="640" t="n"/>
      <c r="C23" s="640" t="n"/>
      <c r="D23" s="640" t="n"/>
      <c r="E23" s="640" t="n"/>
      <c r="F23" s="640" t="n"/>
      <c r="G23" s="640" t="n"/>
      <c r="H23" s="640" t="n"/>
    </row>
    <row r="24">
      <c r="A24" s="77" t="inlineStr">
        <is>
          <t xml:space="preserve">Issuance of Equity Share Capital </t>
        </is>
      </c>
      <c r="B24" s="641">
        <f>SUMIF('Monthly CFS'!$B$3:$BI$3,B$5,'Monthly CFS'!$B24:$BI24)</f>
        <v/>
      </c>
      <c r="C24" s="641">
        <f>SUMIF('Monthly CFS'!$B$3:$BI$3,C$5,'Monthly CFS'!$B24:$BI24)</f>
        <v/>
      </c>
      <c r="D24" s="641">
        <f>SUMIF('Monthly CFS'!$B$3:$BI$3,D$5,'Monthly CFS'!$B24:$BI24)</f>
        <v/>
      </c>
      <c r="E24" s="641">
        <f>SUMIF('Monthly CFS'!$B$3:$BI$3,E$5,'Monthly CFS'!$B24:$BI24)</f>
        <v/>
      </c>
      <c r="F24" s="641">
        <f>SUMIF('Monthly CFS'!$B$3:$BI$3,F$5,'Monthly CFS'!$B24:$BI24)</f>
        <v/>
      </c>
      <c r="G24" s="640" t="n"/>
      <c r="H24" s="640" t="n"/>
    </row>
    <row r="25">
      <c r="A25" s="78" t="inlineStr">
        <is>
          <t>Issuance of Debt</t>
        </is>
      </c>
      <c r="B25" s="641">
        <f>SUMIF('Monthly CFS'!$B$3:$BI$3,B$5,'Monthly CFS'!$B25:$BI25)</f>
        <v/>
      </c>
      <c r="C25" s="641">
        <f>SUMIF('Monthly CFS'!$B$3:$BI$3,C$5,'Monthly CFS'!$B25:$BI25)</f>
        <v/>
      </c>
      <c r="D25" s="641">
        <f>SUMIF('Monthly CFS'!$B$3:$BI$3,D$5,'Monthly CFS'!$B25:$BI25)</f>
        <v/>
      </c>
      <c r="E25" s="641">
        <f>SUMIF('Monthly CFS'!$B$3:$BI$3,E$5,'Monthly CFS'!$B25:$BI25)</f>
        <v/>
      </c>
      <c r="F25" s="641">
        <f>SUMIF('Monthly CFS'!$B$3:$BI$3,F$5,'Monthly CFS'!$B25:$BI25)</f>
        <v/>
      </c>
      <c r="G25" s="640" t="n"/>
      <c r="H25" s="640" t="n"/>
    </row>
    <row r="26">
      <c r="A26" s="78" t="inlineStr">
        <is>
          <t>Debt Repayment</t>
        </is>
      </c>
      <c r="B26" s="641">
        <f>SUMIF('Monthly CFS'!$B$3:$BI$3,B$5,'Monthly CFS'!$B26:$BI26)</f>
        <v/>
      </c>
      <c r="C26" s="641">
        <f>SUMIF('Monthly CFS'!$B$3:$BI$3,C$5,'Monthly CFS'!$B26:$BI26)</f>
        <v/>
      </c>
      <c r="D26" s="641">
        <f>SUMIF('Monthly CFS'!$B$3:$BI$3,D$5,'Monthly CFS'!$B26:$BI26)</f>
        <v/>
      </c>
      <c r="E26" s="641">
        <f>SUMIF('Monthly CFS'!$B$3:$BI$3,E$5,'Monthly CFS'!$B26:$BI26)</f>
        <v/>
      </c>
      <c r="F26" s="641">
        <f>SUMIF('Monthly CFS'!$B$3:$BI$3,F$5,'Monthly CFS'!$B26:$BI26)</f>
        <v/>
      </c>
      <c r="G26" s="640" t="n"/>
      <c r="H26" s="640" t="n"/>
    </row>
    <row r="27">
      <c r="A27" s="12" t="n"/>
      <c r="B27" s="640" t="n"/>
      <c r="C27" s="640" t="n"/>
      <c r="D27" s="640" t="n"/>
      <c r="E27" s="640" t="n"/>
      <c r="F27" s="640" t="n"/>
      <c r="G27" s="640" t="n"/>
      <c r="H27" s="640" t="n"/>
    </row>
    <row r="28">
      <c r="A28" s="12" t="n"/>
      <c r="B28" s="640" t="n"/>
      <c r="C28" s="640" t="n"/>
      <c r="D28" s="640" t="n"/>
      <c r="E28" s="640" t="n"/>
      <c r="F28" s="640" t="n"/>
      <c r="G28" s="640" t="n"/>
      <c r="H28" s="640" t="n"/>
    </row>
    <row r="29">
      <c r="A29" s="13" t="inlineStr">
        <is>
          <t>Net Cash generated from Financing Activities</t>
        </is>
      </c>
      <c r="B29" s="642">
        <f>SUM(B24:B28)</f>
        <v/>
      </c>
      <c r="C29" s="642">
        <f>SUM(C24:C28)</f>
        <v/>
      </c>
      <c r="D29" s="642">
        <f>SUM(D24:D28)</f>
        <v/>
      </c>
      <c r="E29" s="642">
        <f>SUM(E24:E28)</f>
        <v/>
      </c>
      <c r="F29" s="642">
        <f>SUM(F24:F28)</f>
        <v/>
      </c>
      <c r="G29" s="640" t="n"/>
      <c r="H29" s="640" t="n"/>
    </row>
    <row r="30">
      <c r="A30" s="1" t="n"/>
      <c r="B30" s="640" t="n"/>
      <c r="C30" s="640" t="n"/>
      <c r="D30" s="640" t="n"/>
      <c r="E30" s="640" t="n"/>
      <c r="F30" s="640" t="n"/>
      <c r="G30" s="640" t="n"/>
      <c r="H30" s="640" t="n"/>
    </row>
    <row r="31">
      <c r="A31" s="13" t="inlineStr">
        <is>
          <t>Net change in Cash &amp; Cash Equivalents</t>
        </is>
      </c>
      <c r="B31" s="642">
        <f>+B16+B21+B29</f>
        <v/>
      </c>
      <c r="C31" s="642">
        <f>+C16+C21+C29</f>
        <v/>
      </c>
      <c r="D31" s="642">
        <f>+D16+D21+D29</f>
        <v/>
      </c>
      <c r="E31" s="642">
        <f>+E16+E21+E29</f>
        <v/>
      </c>
      <c r="F31" s="642">
        <f>+F16+F21+F29</f>
        <v/>
      </c>
      <c r="G31" s="640" t="n"/>
      <c r="H31" s="640" t="n"/>
      <c r="J31" s="646" t="n"/>
    </row>
    <row r="32">
      <c r="A32" s="1" t="n"/>
      <c r="B32" s="640" t="n"/>
      <c r="C32" s="640" t="n"/>
      <c r="D32" s="640" t="n"/>
      <c r="E32" s="640" t="n"/>
      <c r="F32" s="640" t="n"/>
      <c r="G32" s="640" t="n"/>
      <c r="H32" s="640" t="n"/>
    </row>
    <row r="33">
      <c r="A33" s="1" t="inlineStr">
        <is>
          <t>Opening Cash &amp; Cash Equivalents</t>
        </is>
      </c>
      <c r="B33" s="641">
        <f>'Monthly CFS'!B33</f>
        <v/>
      </c>
      <c r="C33" s="641">
        <f>+B35</f>
        <v/>
      </c>
      <c r="D33" s="641">
        <f>+C35</f>
        <v/>
      </c>
      <c r="E33" s="641">
        <f>+D35</f>
        <v/>
      </c>
      <c r="F33" s="641">
        <f>+E35</f>
        <v/>
      </c>
      <c r="G33" s="640" t="n"/>
      <c r="H33" s="640" t="n"/>
    </row>
    <row r="34">
      <c r="A34" s="1" t="n"/>
      <c r="B34" s="640" t="n"/>
      <c r="C34" s="640" t="n"/>
      <c r="D34" s="640" t="n"/>
      <c r="E34" s="640" t="n"/>
      <c r="F34" s="640" t="n"/>
      <c r="G34" s="640" t="n"/>
      <c r="H34" s="640" t="n"/>
    </row>
    <row r="35" ht="14" customHeight="1" s="497" thickBot="1">
      <c r="A35" s="11" t="inlineStr">
        <is>
          <t>Closing Cash &amp; Cash Equivalents</t>
        </is>
      </c>
      <c r="B35" s="644">
        <f>+B31+B33</f>
        <v/>
      </c>
      <c r="C35" s="644">
        <f>+C31+C33</f>
        <v/>
      </c>
      <c r="D35" s="644">
        <f>+D31+D33</f>
        <v/>
      </c>
      <c r="E35" s="644">
        <f>+E31+E33</f>
        <v/>
      </c>
      <c r="F35" s="644">
        <f>+F31+F33</f>
        <v/>
      </c>
      <c r="G35" s="640" t="n"/>
      <c r="H35" s="640" t="n"/>
      <c r="J35" s="646" t="n"/>
    </row>
    <row r="36" ht="14" customHeight="1" s="497" thickTop="1">
      <c r="B36" s="640" t="n"/>
      <c r="C36" s="640" t="n"/>
      <c r="D36" s="640" t="n"/>
      <c r="E36" s="640" t="n"/>
      <c r="F36" s="640" t="n"/>
      <c r="G36" s="640" t="n"/>
      <c r="H36" s="640" t="n"/>
    </row>
    <row r="37">
      <c r="B37" s="640" t="n"/>
      <c r="C37" s="640" t="n"/>
      <c r="D37" s="640" t="n"/>
      <c r="E37" s="640" t="n"/>
      <c r="F37" s="640" t="n"/>
      <c r="G37" s="640" t="n"/>
      <c r="H37" s="640" t="n"/>
    </row>
    <row r="38">
      <c r="B38" s="640" t="n"/>
      <c r="C38" s="640" t="n"/>
      <c r="D38" s="640" t="n"/>
      <c r="E38" s="640" t="n"/>
      <c r="F38" s="640" t="n"/>
      <c r="G38" s="640" t="n"/>
      <c r="H38" s="640" t="n"/>
    </row>
  </sheetData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>
    <tabColor rgb="FF92D050"/>
    <outlinePr summaryBelow="1" summaryRight="1"/>
    <pageSetUpPr/>
  </sheetPr>
  <dimension ref="A1:BK26"/>
  <sheetViews>
    <sheetView showGridLines="0" zoomScale="150" zoomScaleNormal="150" workbookViewId="0">
      <pane xSplit="1" ySplit="5" topLeftCell="BA12" activePane="bottomRight" state="frozen"/>
      <selection pane="topRight" activeCell="A2" sqref="A2"/>
      <selection pane="bottomLeft" activeCell="A2" sqref="A2"/>
      <selection pane="bottomRight" activeCell="A33" sqref="A33"/>
    </sheetView>
  </sheetViews>
  <sheetFormatPr baseColWidth="10" defaultColWidth="8.83203125" defaultRowHeight="13"/>
  <cols>
    <col width="39.1640625" customWidth="1" style="4" min="1" max="1"/>
    <col hidden="1" width="14.1640625" customWidth="1" style="4" min="2" max="3"/>
    <col width="14.1640625" customWidth="1" style="4" min="4" max="63"/>
    <col width="8.83203125" customWidth="1" style="4" min="64" max="16384"/>
  </cols>
  <sheetData>
    <row r="1" ht="26.25" customFormat="1" customHeight="1" s="106">
      <c r="A1" s="104" t="inlineStr">
        <is>
          <t>DVS</t>
        </is>
      </c>
      <c r="B1" s="105" t="n"/>
      <c r="C1" s="105" t="n"/>
      <c r="D1" s="112" t="n"/>
      <c r="E1" s="112" t="n"/>
      <c r="F1" s="112" t="n"/>
      <c r="G1" s="113" t="n"/>
      <c r="H1" s="105" t="n"/>
      <c r="I1" s="105" t="n"/>
      <c r="J1" s="105" t="n"/>
      <c r="K1" s="114" t="n"/>
      <c r="L1" s="114" t="n"/>
      <c r="M1" s="114" t="n"/>
      <c r="N1" s="114" t="n"/>
      <c r="O1" s="114" t="n"/>
      <c r="P1" s="114" t="n"/>
      <c r="Q1" s="114" t="n"/>
      <c r="R1" s="114" t="n"/>
      <c r="S1" s="114" t="n"/>
      <c r="T1" s="114" t="n"/>
      <c r="U1" s="114" t="n"/>
      <c r="V1" s="114" t="n"/>
      <c r="W1" s="114" t="n"/>
      <c r="X1" s="114" t="n"/>
      <c r="Y1" s="114" t="n"/>
      <c r="Z1" s="114" t="n"/>
      <c r="AA1" s="114" t="n"/>
      <c r="AB1" s="114" t="n"/>
      <c r="AC1" s="114" t="n"/>
      <c r="AD1" s="114" t="n"/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14" t="n"/>
      <c r="AO1" s="114" t="n"/>
      <c r="AP1" s="114" t="n"/>
      <c r="AQ1" s="114" t="n"/>
      <c r="AR1" s="114" t="n"/>
      <c r="AS1" s="114" t="n"/>
      <c r="AT1" s="114" t="n"/>
      <c r="AU1" s="114" t="n"/>
      <c r="AV1" s="114" t="n"/>
      <c r="AW1" s="114" t="n"/>
      <c r="AX1" s="114" t="n"/>
      <c r="AY1" s="114" t="n"/>
      <c r="AZ1" s="114" t="n"/>
      <c r="BA1" s="114" t="n"/>
      <c r="BB1" s="114" t="n"/>
      <c r="BC1" s="114" t="n"/>
      <c r="BD1" s="114" t="n"/>
      <c r="BE1" s="114" t="n"/>
      <c r="BF1" s="114" t="n"/>
      <c r="BG1" s="114" t="n"/>
    </row>
    <row r="2" customFormat="1" s="108">
      <c r="A2" s="107" t="inlineStr">
        <is>
          <t>Balance Sheet</t>
        </is>
      </c>
    </row>
    <row r="3" customFormat="1" s="108">
      <c r="A3" s="109" t="inlineStr">
        <is>
          <t>Amounts in €</t>
        </is>
      </c>
      <c r="D3" s="115" t="inlineStr">
        <is>
          <t>Month 1</t>
        </is>
      </c>
      <c r="E3" s="115" t="inlineStr">
        <is>
          <t>Month 2</t>
        </is>
      </c>
      <c r="F3" s="115" t="inlineStr">
        <is>
          <t>Month 3</t>
        </is>
      </c>
      <c r="G3" s="115" t="inlineStr">
        <is>
          <t>Month 4</t>
        </is>
      </c>
      <c r="H3" s="115" t="inlineStr">
        <is>
          <t>Month 5</t>
        </is>
      </c>
      <c r="I3" s="115" t="inlineStr">
        <is>
          <t>Month 6</t>
        </is>
      </c>
      <c r="J3" s="115" t="inlineStr">
        <is>
          <t>Month 7</t>
        </is>
      </c>
      <c r="K3" s="115" t="inlineStr">
        <is>
          <t>Month 8</t>
        </is>
      </c>
      <c r="L3" s="115" t="inlineStr">
        <is>
          <t>Month 9</t>
        </is>
      </c>
      <c r="M3" s="115" t="inlineStr">
        <is>
          <t>Month 10</t>
        </is>
      </c>
      <c r="N3" s="115" t="inlineStr">
        <is>
          <t>Month 11</t>
        </is>
      </c>
      <c r="O3" s="115" t="inlineStr">
        <is>
          <t>Month 12</t>
        </is>
      </c>
      <c r="P3" s="115" t="inlineStr">
        <is>
          <t>Month 13</t>
        </is>
      </c>
      <c r="Q3" s="115" t="inlineStr">
        <is>
          <t>Month 14</t>
        </is>
      </c>
      <c r="R3" s="115" t="inlineStr">
        <is>
          <t>Month 15</t>
        </is>
      </c>
      <c r="S3" s="115" t="inlineStr">
        <is>
          <t>Month 16</t>
        </is>
      </c>
      <c r="T3" s="115" t="inlineStr">
        <is>
          <t>Month 17</t>
        </is>
      </c>
      <c r="U3" s="115" t="inlineStr">
        <is>
          <t>Month 18</t>
        </is>
      </c>
      <c r="V3" s="115" t="inlineStr">
        <is>
          <t>Month 19</t>
        </is>
      </c>
      <c r="W3" s="115" t="inlineStr">
        <is>
          <t>Month 20</t>
        </is>
      </c>
      <c r="X3" s="115" t="inlineStr">
        <is>
          <t>Month 21</t>
        </is>
      </c>
      <c r="Y3" s="115" t="inlineStr">
        <is>
          <t>Month 22</t>
        </is>
      </c>
      <c r="Z3" s="115" t="inlineStr">
        <is>
          <t>Month 23</t>
        </is>
      </c>
      <c r="AA3" s="115" t="inlineStr">
        <is>
          <t>Month 24</t>
        </is>
      </c>
      <c r="AB3" s="115" t="inlineStr">
        <is>
          <t>Month 25</t>
        </is>
      </c>
      <c r="AC3" s="115" t="inlineStr">
        <is>
          <t>Month 26</t>
        </is>
      </c>
      <c r="AD3" s="115" t="inlineStr">
        <is>
          <t>Month 27</t>
        </is>
      </c>
      <c r="AE3" s="115" t="inlineStr">
        <is>
          <t>Month 28</t>
        </is>
      </c>
      <c r="AF3" s="115" t="inlineStr">
        <is>
          <t>Month 29</t>
        </is>
      </c>
      <c r="AG3" s="115" t="inlineStr">
        <is>
          <t>Month 30</t>
        </is>
      </c>
      <c r="AH3" s="115" t="inlineStr">
        <is>
          <t>Month 31</t>
        </is>
      </c>
      <c r="AI3" s="115" t="inlineStr">
        <is>
          <t>Month 32</t>
        </is>
      </c>
      <c r="AJ3" s="115" t="inlineStr">
        <is>
          <t>Month 33</t>
        </is>
      </c>
      <c r="AK3" s="115" t="inlineStr">
        <is>
          <t>Month 34</t>
        </is>
      </c>
      <c r="AL3" s="115" t="inlineStr">
        <is>
          <t>Month 35</t>
        </is>
      </c>
      <c r="AM3" s="115" t="inlineStr">
        <is>
          <t>Month 36</t>
        </is>
      </c>
      <c r="AN3" s="115" t="inlineStr">
        <is>
          <t>Month 37</t>
        </is>
      </c>
      <c r="AO3" s="115" t="inlineStr">
        <is>
          <t>Month 38</t>
        </is>
      </c>
      <c r="AP3" s="115" t="inlineStr">
        <is>
          <t>Month 39</t>
        </is>
      </c>
      <c r="AQ3" s="115" t="inlineStr">
        <is>
          <t>Month 40</t>
        </is>
      </c>
      <c r="AR3" s="115" t="inlineStr">
        <is>
          <t>Month 41</t>
        </is>
      </c>
      <c r="AS3" s="115" t="inlineStr">
        <is>
          <t>Month 42</t>
        </is>
      </c>
      <c r="AT3" s="115" t="inlineStr">
        <is>
          <t>Month 43</t>
        </is>
      </c>
      <c r="AU3" s="115" t="inlineStr">
        <is>
          <t>Month 44</t>
        </is>
      </c>
      <c r="AV3" s="115" t="inlineStr">
        <is>
          <t>Month 45</t>
        </is>
      </c>
      <c r="AW3" s="115" t="inlineStr">
        <is>
          <t>Month 46</t>
        </is>
      </c>
      <c r="AX3" s="115" t="inlineStr">
        <is>
          <t>Month 47</t>
        </is>
      </c>
      <c r="AY3" s="115" t="inlineStr">
        <is>
          <t>Month 48</t>
        </is>
      </c>
      <c r="AZ3" s="115" t="inlineStr">
        <is>
          <t>Month 49</t>
        </is>
      </c>
      <c r="BA3" s="115" t="inlineStr">
        <is>
          <t>Month 50</t>
        </is>
      </c>
      <c r="BB3" s="115" t="inlineStr">
        <is>
          <t>Month 51</t>
        </is>
      </c>
      <c r="BC3" s="115" t="inlineStr">
        <is>
          <t>Month 52</t>
        </is>
      </c>
      <c r="BD3" s="115" t="inlineStr">
        <is>
          <t>Month 53</t>
        </is>
      </c>
      <c r="BE3" s="115" t="inlineStr">
        <is>
          <t>Month 54</t>
        </is>
      </c>
      <c r="BF3" s="115" t="inlineStr">
        <is>
          <t>Month 55</t>
        </is>
      </c>
      <c r="BG3" s="115" t="inlineStr">
        <is>
          <t>Month 56</t>
        </is>
      </c>
      <c r="BH3" s="115" t="inlineStr">
        <is>
          <t>Month 57</t>
        </is>
      </c>
      <c r="BI3" s="115" t="inlineStr">
        <is>
          <t>Month 58</t>
        </is>
      </c>
      <c r="BJ3" s="115" t="inlineStr">
        <is>
          <t>Month 59</t>
        </is>
      </c>
      <c r="BK3" s="115" t="inlineStr">
        <is>
          <t>Month 60</t>
        </is>
      </c>
    </row>
    <row r="4">
      <c r="A4" s="82" t="n"/>
      <c r="B4" s="4" t="inlineStr">
        <is>
          <t xml:space="preserve"> </t>
        </is>
      </c>
      <c r="D4" s="6">
        <f>YEAR(D5)</f>
        <v/>
      </c>
      <c r="E4" s="6">
        <f>YEAR(E5)</f>
        <v/>
      </c>
      <c r="F4" s="6">
        <f>YEAR(F5)</f>
        <v/>
      </c>
      <c r="G4" s="6">
        <f>YEAR(G5)</f>
        <v/>
      </c>
      <c r="H4" s="6">
        <f>YEAR(H5)</f>
        <v/>
      </c>
      <c r="I4" s="6">
        <f>YEAR(I5)</f>
        <v/>
      </c>
      <c r="J4" s="6">
        <f>YEAR(J5)</f>
        <v/>
      </c>
      <c r="K4" s="6">
        <f>YEAR(K5)</f>
        <v/>
      </c>
      <c r="L4" s="6">
        <f>YEAR(L5)</f>
        <v/>
      </c>
      <c r="M4" s="6">
        <f>YEAR(M5)</f>
        <v/>
      </c>
      <c r="N4" s="6">
        <f>YEAR(N5)</f>
        <v/>
      </c>
      <c r="O4" s="6">
        <f>YEAR(O5)</f>
        <v/>
      </c>
      <c r="P4" s="6">
        <f>YEAR(P5)</f>
        <v/>
      </c>
      <c r="Q4" s="6">
        <f>YEAR(Q5)</f>
        <v/>
      </c>
      <c r="R4" s="6">
        <f>YEAR(R5)</f>
        <v/>
      </c>
      <c r="S4" s="6">
        <f>YEAR(S5)</f>
        <v/>
      </c>
      <c r="T4" s="6">
        <f>YEAR(T5)</f>
        <v/>
      </c>
      <c r="U4" s="6">
        <f>YEAR(U5)</f>
        <v/>
      </c>
      <c r="V4" s="6">
        <f>YEAR(V5)</f>
        <v/>
      </c>
      <c r="W4" s="6">
        <f>YEAR(W5)</f>
        <v/>
      </c>
      <c r="X4" s="6">
        <f>YEAR(X5)</f>
        <v/>
      </c>
      <c r="Y4" s="6">
        <f>YEAR(Y5)</f>
        <v/>
      </c>
      <c r="Z4" s="6">
        <f>YEAR(Z5)</f>
        <v/>
      </c>
      <c r="AA4" s="6">
        <f>YEAR(AA5)</f>
        <v/>
      </c>
      <c r="AB4" s="6">
        <f>YEAR(AB5)</f>
        <v/>
      </c>
      <c r="AC4" s="6">
        <f>YEAR(AC5)</f>
        <v/>
      </c>
      <c r="AD4" s="6">
        <f>YEAR(AD5)</f>
        <v/>
      </c>
      <c r="AE4" s="6">
        <f>YEAR(AE5)</f>
        <v/>
      </c>
      <c r="AF4" s="6">
        <f>YEAR(AF5)</f>
        <v/>
      </c>
      <c r="AG4" s="6">
        <f>YEAR(AG5)</f>
        <v/>
      </c>
      <c r="AH4" s="6">
        <f>YEAR(AH5)</f>
        <v/>
      </c>
      <c r="AI4" s="6">
        <f>YEAR(AI5)</f>
        <v/>
      </c>
      <c r="AJ4" s="6">
        <f>YEAR(AJ5)</f>
        <v/>
      </c>
      <c r="AK4" s="6">
        <f>YEAR(AK5)</f>
        <v/>
      </c>
      <c r="AL4" s="6">
        <f>YEAR(AL5)</f>
        <v/>
      </c>
      <c r="AM4" s="6">
        <f>YEAR(AM5)</f>
        <v/>
      </c>
      <c r="AN4" s="6">
        <f>YEAR(AN5)</f>
        <v/>
      </c>
      <c r="AO4" s="6">
        <f>YEAR(AO5)</f>
        <v/>
      </c>
      <c r="AP4" s="6">
        <f>YEAR(AP5)</f>
        <v/>
      </c>
      <c r="AQ4" s="6">
        <f>YEAR(AQ5)</f>
        <v/>
      </c>
      <c r="AR4" s="6">
        <f>YEAR(AR5)</f>
        <v/>
      </c>
      <c r="AS4" s="6">
        <f>YEAR(AS5)</f>
        <v/>
      </c>
      <c r="AT4" s="6">
        <f>YEAR(AT5)</f>
        <v/>
      </c>
      <c r="AU4" s="6">
        <f>YEAR(AU5)</f>
        <v/>
      </c>
      <c r="AV4" s="6">
        <f>YEAR(AV5)</f>
        <v/>
      </c>
      <c r="AW4" s="6">
        <f>YEAR(AW5)</f>
        <v/>
      </c>
      <c r="AX4" s="6">
        <f>YEAR(AX5)</f>
        <v/>
      </c>
      <c r="AY4" s="6">
        <f>YEAR(AY5)</f>
        <v/>
      </c>
      <c r="AZ4" s="6">
        <f>YEAR(AZ5)</f>
        <v/>
      </c>
      <c r="BA4" s="6">
        <f>YEAR(BA5)</f>
        <v/>
      </c>
      <c r="BB4" s="6">
        <f>YEAR(BB5)</f>
        <v/>
      </c>
      <c r="BC4" s="6">
        <f>YEAR(BC5)</f>
        <v/>
      </c>
      <c r="BD4" s="6">
        <f>YEAR(BD5)</f>
        <v/>
      </c>
      <c r="BE4" s="6">
        <f>YEAR(BE5)</f>
        <v/>
      </c>
      <c r="BF4" s="6">
        <f>YEAR(BF5)</f>
        <v/>
      </c>
      <c r="BG4" s="6">
        <f>YEAR(BG5)</f>
        <v/>
      </c>
      <c r="BH4" s="6">
        <f>YEAR(BH5)</f>
        <v/>
      </c>
      <c r="BI4" s="6">
        <f>YEAR(BI5)</f>
        <v/>
      </c>
      <c r="BJ4" s="129">
        <f>+YEAR(BJ5)</f>
        <v/>
      </c>
      <c r="BK4" s="129">
        <f>+YEAR(BK5)</f>
        <v/>
      </c>
    </row>
    <row r="5" ht="12" customFormat="1" customHeight="1" s="108">
      <c r="A5" s="110" t="inlineStr">
        <is>
          <t>Assumptions for the Monthly Period</t>
        </is>
      </c>
      <c r="B5" s="111" t="n"/>
      <c r="C5" s="111" t="n"/>
      <c r="D5" s="111">
        <f>'Revenue Asumptions'!B5</f>
        <v/>
      </c>
      <c r="E5" s="111">
        <f>'Revenue Asumptions'!C5</f>
        <v/>
      </c>
      <c r="F5" s="111">
        <f>'Revenue Asumptions'!D5</f>
        <v/>
      </c>
      <c r="G5" s="111">
        <f>'Revenue Asumptions'!E5</f>
        <v/>
      </c>
      <c r="H5" s="111">
        <f>'Revenue Asumptions'!F5</f>
        <v/>
      </c>
      <c r="I5" s="111">
        <f>'Revenue Asumptions'!G5</f>
        <v/>
      </c>
      <c r="J5" s="111">
        <f>'Revenue Asumptions'!H5</f>
        <v/>
      </c>
      <c r="K5" s="111">
        <f>'Revenue Asumptions'!I5</f>
        <v/>
      </c>
      <c r="L5" s="111">
        <f>'Revenue Asumptions'!J5</f>
        <v/>
      </c>
      <c r="M5" s="111">
        <f>'Revenue Asumptions'!K5</f>
        <v/>
      </c>
      <c r="N5" s="111">
        <f>'Revenue Asumptions'!L5</f>
        <v/>
      </c>
      <c r="O5" s="111">
        <f>'Revenue Asumptions'!M5</f>
        <v/>
      </c>
      <c r="P5" s="111">
        <f>'Revenue Asumptions'!N5</f>
        <v/>
      </c>
      <c r="Q5" s="111">
        <f>'Revenue Asumptions'!O5</f>
        <v/>
      </c>
      <c r="R5" s="111">
        <f>'Revenue Asumptions'!P5</f>
        <v/>
      </c>
      <c r="S5" s="111">
        <f>'Revenue Asumptions'!Q5</f>
        <v/>
      </c>
      <c r="T5" s="111">
        <f>'Revenue Asumptions'!R5</f>
        <v/>
      </c>
      <c r="U5" s="111">
        <f>'Revenue Asumptions'!S5</f>
        <v/>
      </c>
      <c r="V5" s="111">
        <f>'Revenue Asumptions'!T5</f>
        <v/>
      </c>
      <c r="W5" s="111">
        <f>'Revenue Asumptions'!U5</f>
        <v/>
      </c>
      <c r="X5" s="111">
        <f>'Revenue Asumptions'!V5</f>
        <v/>
      </c>
      <c r="Y5" s="111">
        <f>'Revenue Asumptions'!W5</f>
        <v/>
      </c>
      <c r="Z5" s="111">
        <f>'Revenue Asumptions'!X5</f>
        <v/>
      </c>
      <c r="AA5" s="111">
        <f>'Revenue Asumptions'!Y5</f>
        <v/>
      </c>
      <c r="AB5" s="111">
        <f>'Revenue Asumptions'!Z5</f>
        <v/>
      </c>
      <c r="AC5" s="111">
        <f>'Revenue Asumptions'!AA5</f>
        <v/>
      </c>
      <c r="AD5" s="111">
        <f>'Revenue Asumptions'!AB5</f>
        <v/>
      </c>
      <c r="AE5" s="111">
        <f>'Revenue Asumptions'!AC5</f>
        <v/>
      </c>
      <c r="AF5" s="111">
        <f>'Revenue Asumptions'!AD5</f>
        <v/>
      </c>
      <c r="AG5" s="111">
        <f>'Revenue Asumptions'!AE5</f>
        <v/>
      </c>
      <c r="AH5" s="111">
        <f>'Revenue Asumptions'!AF5</f>
        <v/>
      </c>
      <c r="AI5" s="111">
        <f>'Revenue Asumptions'!AG5</f>
        <v/>
      </c>
      <c r="AJ5" s="111">
        <f>'Revenue Asumptions'!AH5</f>
        <v/>
      </c>
      <c r="AK5" s="111">
        <f>'Revenue Asumptions'!AI5</f>
        <v/>
      </c>
      <c r="AL5" s="111">
        <f>'Revenue Asumptions'!AJ5</f>
        <v/>
      </c>
      <c r="AM5" s="111">
        <f>'Revenue Asumptions'!AK5</f>
        <v/>
      </c>
      <c r="AN5" s="111">
        <f>'Revenue Asumptions'!AL5</f>
        <v/>
      </c>
      <c r="AO5" s="111">
        <f>'Revenue Asumptions'!AM5</f>
        <v/>
      </c>
      <c r="AP5" s="111">
        <f>'Revenue Asumptions'!AN5</f>
        <v/>
      </c>
      <c r="AQ5" s="111">
        <f>'Revenue Asumptions'!AO5</f>
        <v/>
      </c>
      <c r="AR5" s="111">
        <f>'Revenue Asumptions'!AP5</f>
        <v/>
      </c>
      <c r="AS5" s="111">
        <f>'Revenue Asumptions'!AQ5</f>
        <v/>
      </c>
      <c r="AT5" s="111">
        <f>'Revenue Asumptions'!AR5</f>
        <v/>
      </c>
      <c r="AU5" s="111">
        <f>'Revenue Asumptions'!AS5</f>
        <v/>
      </c>
      <c r="AV5" s="111">
        <f>'Revenue Asumptions'!AT5</f>
        <v/>
      </c>
      <c r="AW5" s="111">
        <f>'Revenue Asumptions'!AU5</f>
        <v/>
      </c>
      <c r="AX5" s="111">
        <f>'Revenue Asumptions'!AV5</f>
        <v/>
      </c>
      <c r="AY5" s="111">
        <f>'Revenue Asumptions'!AW5</f>
        <v/>
      </c>
      <c r="AZ5" s="111">
        <f>'Revenue Asumptions'!AX5</f>
        <v/>
      </c>
      <c r="BA5" s="111">
        <f>'Revenue Asumptions'!AY5</f>
        <v/>
      </c>
      <c r="BB5" s="111">
        <f>'Revenue Asumptions'!AZ5</f>
        <v/>
      </c>
      <c r="BC5" s="111">
        <f>'Revenue Asumptions'!BA5</f>
        <v/>
      </c>
      <c r="BD5" s="111">
        <f>'Revenue Asumptions'!BB5</f>
        <v/>
      </c>
      <c r="BE5" s="111">
        <f>'Revenue Asumptions'!BC5</f>
        <v/>
      </c>
      <c r="BF5" s="111">
        <f>'Revenue Asumptions'!BD5</f>
        <v/>
      </c>
      <c r="BG5" s="111">
        <f>'Revenue Asumptions'!BE5</f>
        <v/>
      </c>
      <c r="BH5" s="111">
        <f>'Revenue Asumptions'!BF5</f>
        <v/>
      </c>
      <c r="BI5" s="111">
        <f>'Revenue Asumptions'!BG5</f>
        <v/>
      </c>
      <c r="BJ5" s="111">
        <f>'Revenue Asumptions'!BH5</f>
        <v/>
      </c>
      <c r="BK5" s="111">
        <f>'Revenue Asumptions'!BI5</f>
        <v/>
      </c>
    </row>
    <row r="6">
      <c r="A6" s="7" t="inlineStr">
        <is>
          <t>ASSETS</t>
        </is>
      </c>
    </row>
    <row r="7" customFormat="1" s="647">
      <c r="A7" s="7" t="inlineStr">
        <is>
          <t>Current Assets</t>
        </is>
      </c>
      <c r="B7" s="648" t="n"/>
      <c r="C7" s="579">
        <f>C8</f>
        <v/>
      </c>
      <c r="D7" s="579">
        <f>SUM(D8:D10)</f>
        <v/>
      </c>
      <c r="E7" s="579">
        <f>SUM(E8:E10)</f>
        <v/>
      </c>
      <c r="F7" s="579">
        <f>SUM(F8:F10)</f>
        <v/>
      </c>
      <c r="G7" s="579">
        <f>SUM(G8:G10)</f>
        <v/>
      </c>
      <c r="H7" s="579">
        <f>SUM(H8:H10)</f>
        <v/>
      </c>
      <c r="I7" s="579">
        <f>SUM(I8:I10)</f>
        <v/>
      </c>
      <c r="J7" s="579">
        <f>SUM(J8:J10)</f>
        <v/>
      </c>
      <c r="K7" s="579">
        <f>SUM(K8:K10)</f>
        <v/>
      </c>
      <c r="L7" s="579">
        <f>SUM(L8:L10)</f>
        <v/>
      </c>
      <c r="M7" s="579">
        <f>SUM(M8:M10)</f>
        <v/>
      </c>
      <c r="N7" s="579">
        <f>SUM(N8:N10)</f>
        <v/>
      </c>
      <c r="O7" s="579">
        <f>SUM(O8:O10)</f>
        <v/>
      </c>
      <c r="P7" s="579">
        <f>SUM(P8:P10)</f>
        <v/>
      </c>
      <c r="Q7" s="579">
        <f>SUM(Q8:Q10)</f>
        <v/>
      </c>
      <c r="R7" s="579">
        <f>SUM(R8:R10)</f>
        <v/>
      </c>
      <c r="S7" s="579">
        <f>SUM(S8:S10)</f>
        <v/>
      </c>
      <c r="T7" s="579">
        <f>SUM(T8:T10)</f>
        <v/>
      </c>
      <c r="U7" s="579">
        <f>SUM(U8:U10)</f>
        <v/>
      </c>
      <c r="V7" s="579">
        <f>SUM(V8:V10)</f>
        <v/>
      </c>
      <c r="W7" s="579">
        <f>SUM(W8:W10)</f>
        <v/>
      </c>
      <c r="X7" s="579">
        <f>SUM(X8:X10)</f>
        <v/>
      </c>
      <c r="Y7" s="579">
        <f>SUM(Y8:Y10)</f>
        <v/>
      </c>
      <c r="Z7" s="579">
        <f>SUM(Z8:Z10)</f>
        <v/>
      </c>
      <c r="AA7" s="579">
        <f>SUM(AA8:AA10)</f>
        <v/>
      </c>
      <c r="AB7" s="579">
        <f>SUM(AB8:AB10)</f>
        <v/>
      </c>
      <c r="AC7" s="579">
        <f>SUM(AC8:AC10)</f>
        <v/>
      </c>
      <c r="AD7" s="579">
        <f>SUM(AD8:AD10)</f>
        <v/>
      </c>
      <c r="AE7" s="579">
        <f>SUM(AE8:AE10)</f>
        <v/>
      </c>
      <c r="AF7" s="579">
        <f>SUM(AF8:AF10)</f>
        <v/>
      </c>
      <c r="AG7" s="579">
        <f>SUM(AG8:AG10)</f>
        <v/>
      </c>
      <c r="AH7" s="579">
        <f>SUM(AH8:AH10)</f>
        <v/>
      </c>
      <c r="AI7" s="579">
        <f>SUM(AI8:AI10)</f>
        <v/>
      </c>
      <c r="AJ7" s="579">
        <f>SUM(AJ8:AJ10)</f>
        <v/>
      </c>
      <c r="AK7" s="579">
        <f>SUM(AK8:AK10)</f>
        <v/>
      </c>
      <c r="AL7" s="579">
        <f>SUM(AL8:AL10)</f>
        <v/>
      </c>
      <c r="AM7" s="579">
        <f>SUM(AM8:AM10)</f>
        <v/>
      </c>
      <c r="AN7" s="579">
        <f>SUM(AN8:AN10)</f>
        <v/>
      </c>
      <c r="AO7" s="579">
        <f>SUM(AO8:AO10)</f>
        <v/>
      </c>
      <c r="AP7" s="579">
        <f>SUM(AP8:AP10)</f>
        <v/>
      </c>
      <c r="AQ7" s="579">
        <f>SUM(AQ8:AQ10)</f>
        <v/>
      </c>
      <c r="AR7" s="579">
        <f>SUM(AR8:AR10)</f>
        <v/>
      </c>
      <c r="AS7" s="579">
        <f>SUM(AS8:AS10)</f>
        <v/>
      </c>
      <c r="AT7" s="579">
        <f>SUM(AT8:AT10)</f>
        <v/>
      </c>
      <c r="AU7" s="579">
        <f>SUM(AU8:AU10)</f>
        <v/>
      </c>
      <c r="AV7" s="579">
        <f>SUM(AV8:AV10)</f>
        <v/>
      </c>
      <c r="AW7" s="579">
        <f>SUM(AW8:AW10)</f>
        <v/>
      </c>
      <c r="AX7" s="579">
        <f>SUM(AX8:AX10)</f>
        <v/>
      </c>
      <c r="AY7" s="579">
        <f>SUM(AY8:AY10)</f>
        <v/>
      </c>
      <c r="AZ7" s="579">
        <f>SUM(AZ8:AZ10)</f>
        <v/>
      </c>
      <c r="BA7" s="579">
        <f>SUM(BA8:BA10)</f>
        <v/>
      </c>
      <c r="BB7" s="579">
        <f>SUM(BB8:BB10)</f>
        <v/>
      </c>
      <c r="BC7" s="579">
        <f>SUM(BC8:BC10)</f>
        <v/>
      </c>
      <c r="BD7" s="579">
        <f>SUM(BD8:BD10)</f>
        <v/>
      </c>
      <c r="BE7" s="579">
        <f>SUM(BE8:BE10)</f>
        <v/>
      </c>
      <c r="BF7" s="579">
        <f>SUM(BF8:BF10)</f>
        <v/>
      </c>
      <c r="BG7" s="579">
        <f>SUM(BG8:BG10)</f>
        <v/>
      </c>
      <c r="BH7" s="579">
        <f>SUM(BH8:BH10)</f>
        <v/>
      </c>
      <c r="BI7" s="579">
        <f>SUM(BI8:BI10)</f>
        <v/>
      </c>
      <c r="BJ7" s="579">
        <f>SUM(BJ8:BJ10)</f>
        <v/>
      </c>
      <c r="BK7" s="579">
        <f>SUM(BK8:BK10)</f>
        <v/>
      </c>
    </row>
    <row r="8" customFormat="1" s="647">
      <c r="A8" s="78" t="inlineStr">
        <is>
          <t>Cash and Cash Equivalents</t>
        </is>
      </c>
      <c r="B8" s="649" t="n"/>
      <c r="C8" s="650" t="n">
        <v>0</v>
      </c>
      <c r="D8" s="651">
        <f>+'Monthly CFS'!B35</f>
        <v/>
      </c>
      <c r="E8" s="651">
        <f>+'Monthly CFS'!C35</f>
        <v/>
      </c>
      <c r="F8" s="651">
        <f>+'Monthly CFS'!D35</f>
        <v/>
      </c>
      <c r="G8" s="651">
        <f>+'Monthly CFS'!E35</f>
        <v/>
      </c>
      <c r="H8" s="651">
        <f>+'Monthly CFS'!F35</f>
        <v/>
      </c>
      <c r="I8" s="651">
        <f>+'Monthly CFS'!G35</f>
        <v/>
      </c>
      <c r="J8" s="651">
        <f>+'Monthly CFS'!H35</f>
        <v/>
      </c>
      <c r="K8" s="651">
        <f>+'Monthly CFS'!I35</f>
        <v/>
      </c>
      <c r="L8" s="651">
        <f>+'Monthly CFS'!J35</f>
        <v/>
      </c>
      <c r="M8" s="651">
        <f>+'Monthly CFS'!K35</f>
        <v/>
      </c>
      <c r="N8" s="651">
        <f>+'Monthly CFS'!L35</f>
        <v/>
      </c>
      <c r="O8" s="651">
        <f>+'Monthly CFS'!M35</f>
        <v/>
      </c>
      <c r="P8" s="651">
        <f>+'Monthly CFS'!N35</f>
        <v/>
      </c>
      <c r="Q8" s="651">
        <f>+'Monthly CFS'!O35</f>
        <v/>
      </c>
      <c r="R8" s="651">
        <f>+'Monthly CFS'!P35</f>
        <v/>
      </c>
      <c r="S8" s="651">
        <f>+'Monthly CFS'!Q35</f>
        <v/>
      </c>
      <c r="T8" s="651">
        <f>+'Monthly CFS'!R35</f>
        <v/>
      </c>
      <c r="U8" s="651">
        <f>+'Monthly CFS'!S35</f>
        <v/>
      </c>
      <c r="V8" s="651">
        <f>+'Monthly CFS'!T35</f>
        <v/>
      </c>
      <c r="W8" s="651">
        <f>+'Monthly CFS'!U35</f>
        <v/>
      </c>
      <c r="X8" s="651">
        <f>+'Monthly CFS'!V35</f>
        <v/>
      </c>
      <c r="Y8" s="651">
        <f>+'Monthly CFS'!W35</f>
        <v/>
      </c>
      <c r="Z8" s="651">
        <f>+'Monthly CFS'!X35</f>
        <v/>
      </c>
      <c r="AA8" s="651">
        <f>+'Monthly CFS'!Y35</f>
        <v/>
      </c>
      <c r="AB8" s="651">
        <f>+'Monthly CFS'!Z35</f>
        <v/>
      </c>
      <c r="AC8" s="651">
        <f>+'Monthly CFS'!AA35</f>
        <v/>
      </c>
      <c r="AD8" s="651">
        <f>+'Monthly CFS'!AB35</f>
        <v/>
      </c>
      <c r="AE8" s="651">
        <f>+'Monthly CFS'!AC35</f>
        <v/>
      </c>
      <c r="AF8" s="651">
        <f>+'Monthly CFS'!AD35</f>
        <v/>
      </c>
      <c r="AG8" s="651">
        <f>+'Monthly CFS'!AE35</f>
        <v/>
      </c>
      <c r="AH8" s="651">
        <f>+'Monthly CFS'!AF35</f>
        <v/>
      </c>
      <c r="AI8" s="651">
        <f>+'Monthly CFS'!AG35</f>
        <v/>
      </c>
      <c r="AJ8" s="651">
        <f>+'Monthly CFS'!AH35</f>
        <v/>
      </c>
      <c r="AK8" s="651">
        <f>+'Monthly CFS'!AI35</f>
        <v/>
      </c>
      <c r="AL8" s="651">
        <f>+'Monthly CFS'!AJ35</f>
        <v/>
      </c>
      <c r="AM8" s="651">
        <f>+'Monthly CFS'!AK35</f>
        <v/>
      </c>
      <c r="AN8" s="651">
        <f>+'Monthly CFS'!AL35</f>
        <v/>
      </c>
      <c r="AO8" s="651">
        <f>+'Monthly CFS'!AM35</f>
        <v/>
      </c>
      <c r="AP8" s="651">
        <f>+'Monthly CFS'!AN35</f>
        <v/>
      </c>
      <c r="AQ8" s="651">
        <f>+'Monthly CFS'!AO35</f>
        <v/>
      </c>
      <c r="AR8" s="651">
        <f>+'Monthly CFS'!AP35</f>
        <v/>
      </c>
      <c r="AS8" s="651">
        <f>+'Monthly CFS'!AQ35</f>
        <v/>
      </c>
      <c r="AT8" s="651">
        <f>+'Monthly CFS'!AR35</f>
        <v/>
      </c>
      <c r="AU8" s="651">
        <f>+'Monthly CFS'!AS35</f>
        <v/>
      </c>
      <c r="AV8" s="651">
        <f>+'Monthly CFS'!AT35</f>
        <v/>
      </c>
      <c r="AW8" s="651">
        <f>+'Monthly CFS'!AU35</f>
        <v/>
      </c>
      <c r="AX8" s="651">
        <f>+'Monthly CFS'!AV35</f>
        <v/>
      </c>
      <c r="AY8" s="651">
        <f>+'Monthly CFS'!AW35</f>
        <v/>
      </c>
      <c r="AZ8" s="651">
        <f>+'Monthly CFS'!AX35</f>
        <v/>
      </c>
      <c r="BA8" s="651">
        <f>+'Monthly CFS'!AY35</f>
        <v/>
      </c>
      <c r="BB8" s="651">
        <f>+'Monthly CFS'!AZ35</f>
        <v/>
      </c>
      <c r="BC8" s="651">
        <f>+'Monthly CFS'!BA35</f>
        <v/>
      </c>
      <c r="BD8" s="651">
        <f>+'Monthly CFS'!BB35</f>
        <v/>
      </c>
      <c r="BE8" s="651">
        <f>+'Monthly CFS'!BC35</f>
        <v/>
      </c>
      <c r="BF8" s="651">
        <f>+'Monthly CFS'!BD35</f>
        <v/>
      </c>
      <c r="BG8" s="651">
        <f>+'Monthly CFS'!BE35</f>
        <v/>
      </c>
      <c r="BH8" s="651">
        <f>+'Monthly CFS'!BF35</f>
        <v/>
      </c>
      <c r="BI8" s="651">
        <f>+'Monthly CFS'!BG35</f>
        <v/>
      </c>
      <c r="BJ8" s="651">
        <f>+'Monthly CFS'!BH35</f>
        <v/>
      </c>
      <c r="BK8" s="651">
        <f>+'Monthly CFS'!BI35</f>
        <v/>
      </c>
    </row>
    <row r="9" customFormat="1" s="647">
      <c r="A9" s="78" t="inlineStr">
        <is>
          <t>Inventory</t>
        </is>
      </c>
      <c r="B9" s="649" t="n"/>
      <c r="C9" s="650" t="n">
        <v>0</v>
      </c>
      <c r="D9" s="651" t="n">
        <v>0</v>
      </c>
      <c r="E9" s="651" t="n">
        <v>0</v>
      </c>
      <c r="F9" s="651" t="n">
        <v>0</v>
      </c>
      <c r="G9" s="651" t="n">
        <v>0</v>
      </c>
      <c r="H9" s="651" t="n">
        <v>0</v>
      </c>
      <c r="I9" s="651" t="n">
        <v>0</v>
      </c>
      <c r="J9" s="651" t="n">
        <v>0</v>
      </c>
      <c r="K9" s="651" t="n">
        <v>0</v>
      </c>
      <c r="L9" s="651" t="n">
        <v>0</v>
      </c>
      <c r="M9" s="651" t="n">
        <v>0</v>
      </c>
      <c r="N9" s="651" t="n">
        <v>0</v>
      </c>
      <c r="O9" s="651" t="n">
        <v>0</v>
      </c>
      <c r="P9" s="651" t="n">
        <v>0</v>
      </c>
      <c r="Q9" s="651" t="n">
        <v>0</v>
      </c>
      <c r="R9" s="651" t="n">
        <v>0</v>
      </c>
      <c r="S9" s="651" t="n">
        <v>0</v>
      </c>
      <c r="T9" s="651" t="n">
        <v>0</v>
      </c>
      <c r="U9" s="651" t="n">
        <v>0</v>
      </c>
      <c r="V9" s="651" t="n">
        <v>0</v>
      </c>
      <c r="W9" s="651" t="n">
        <v>0</v>
      </c>
      <c r="X9" s="651" t="n">
        <v>0</v>
      </c>
      <c r="Y9" s="651" t="n">
        <v>0</v>
      </c>
      <c r="Z9" s="651" t="n">
        <v>0</v>
      </c>
      <c r="AA9" s="651" t="n">
        <v>0</v>
      </c>
      <c r="AB9" s="651" t="n">
        <v>0</v>
      </c>
      <c r="AC9" s="651" t="n">
        <v>0</v>
      </c>
      <c r="AD9" s="651" t="n">
        <v>0</v>
      </c>
      <c r="AE9" s="651" t="n">
        <v>0</v>
      </c>
      <c r="AF9" s="651" t="n">
        <v>0</v>
      </c>
      <c r="AG9" s="651" t="n">
        <v>0</v>
      </c>
      <c r="AH9" s="651" t="n">
        <v>0</v>
      </c>
      <c r="AI9" s="651" t="n">
        <v>0</v>
      </c>
      <c r="AJ9" s="651" t="n">
        <v>0</v>
      </c>
      <c r="AK9" s="651" t="n">
        <v>0</v>
      </c>
      <c r="AL9" s="651" t="n">
        <v>0</v>
      </c>
      <c r="AM9" s="651" t="n">
        <v>0</v>
      </c>
      <c r="AN9" s="651" t="n">
        <v>0</v>
      </c>
      <c r="AO9" s="651" t="n">
        <v>0</v>
      </c>
      <c r="AP9" s="651" t="n">
        <v>0</v>
      </c>
      <c r="AQ9" s="651" t="n">
        <v>0</v>
      </c>
      <c r="AR9" s="651" t="n">
        <v>0</v>
      </c>
      <c r="AS9" s="651" t="n">
        <v>0</v>
      </c>
      <c r="AT9" s="651" t="n">
        <v>0</v>
      </c>
      <c r="AU9" s="651" t="n">
        <v>0</v>
      </c>
      <c r="AV9" s="651" t="n">
        <v>0</v>
      </c>
      <c r="AW9" s="651" t="n">
        <v>0</v>
      </c>
      <c r="AX9" s="651" t="n">
        <v>0</v>
      </c>
      <c r="AY9" s="651" t="n">
        <v>0</v>
      </c>
      <c r="AZ9" s="651" t="n">
        <v>0</v>
      </c>
      <c r="BA9" s="651" t="n">
        <v>0</v>
      </c>
      <c r="BB9" s="651" t="n">
        <v>0</v>
      </c>
      <c r="BC9" s="651" t="n">
        <v>0</v>
      </c>
      <c r="BD9" s="651" t="n">
        <v>0</v>
      </c>
      <c r="BE9" s="651" t="n">
        <v>0</v>
      </c>
      <c r="BF9" s="651" t="n">
        <v>0</v>
      </c>
      <c r="BG9" s="651" t="n">
        <v>0</v>
      </c>
      <c r="BH9" s="651" t="n">
        <v>0</v>
      </c>
      <c r="BI9" s="651" t="n">
        <v>0</v>
      </c>
      <c r="BJ9" s="651" t="n">
        <v>0</v>
      </c>
      <c r="BK9" s="651" t="n">
        <v>0</v>
      </c>
    </row>
    <row r="10" customFormat="1" s="647">
      <c r="A10" s="78" t="inlineStr">
        <is>
          <t>Trade Receivables</t>
        </is>
      </c>
      <c r="B10" s="649" t="n"/>
      <c r="C10" s="650" t="n">
        <v>0</v>
      </c>
      <c r="D10" s="651" t="n">
        <v>0</v>
      </c>
      <c r="E10" s="651" t="n">
        <v>0</v>
      </c>
      <c r="F10" s="651" t="n">
        <v>0</v>
      </c>
      <c r="G10" s="651" t="n">
        <v>0</v>
      </c>
      <c r="H10" s="651" t="n">
        <v>0</v>
      </c>
      <c r="I10" s="651" t="n">
        <v>0</v>
      </c>
      <c r="J10" s="651" t="n">
        <v>0</v>
      </c>
      <c r="K10" s="651" t="n">
        <v>0</v>
      </c>
      <c r="L10" s="651" t="n">
        <v>0</v>
      </c>
      <c r="M10" s="651" t="n">
        <v>0</v>
      </c>
      <c r="N10" s="651" t="n">
        <v>0</v>
      </c>
      <c r="O10" s="651" t="n">
        <v>0</v>
      </c>
      <c r="P10" s="651" t="n">
        <v>0</v>
      </c>
      <c r="Q10" s="651" t="n">
        <v>0</v>
      </c>
      <c r="R10" s="651" t="n">
        <v>0</v>
      </c>
      <c r="S10" s="651" t="n">
        <v>0</v>
      </c>
      <c r="T10" s="651" t="n">
        <v>0</v>
      </c>
      <c r="U10" s="651" t="n">
        <v>0</v>
      </c>
      <c r="V10" s="651" t="n">
        <v>0</v>
      </c>
      <c r="W10" s="651" t="n">
        <v>0</v>
      </c>
      <c r="X10" s="651" t="n">
        <v>0</v>
      </c>
      <c r="Y10" s="651" t="n">
        <v>0</v>
      </c>
      <c r="Z10" s="651" t="n">
        <v>0</v>
      </c>
      <c r="AA10" s="651" t="n">
        <v>0</v>
      </c>
      <c r="AB10" s="651" t="n">
        <v>0</v>
      </c>
      <c r="AC10" s="651" t="n">
        <v>0</v>
      </c>
      <c r="AD10" s="651" t="n">
        <v>0</v>
      </c>
      <c r="AE10" s="651" t="n">
        <v>0</v>
      </c>
      <c r="AF10" s="651" t="n">
        <v>0</v>
      </c>
      <c r="AG10" s="651" t="n">
        <v>0</v>
      </c>
      <c r="AH10" s="651" t="n">
        <v>0</v>
      </c>
      <c r="AI10" s="651" t="n">
        <v>0</v>
      </c>
      <c r="AJ10" s="651" t="n">
        <v>0</v>
      </c>
      <c r="AK10" s="651" t="n">
        <v>0</v>
      </c>
      <c r="AL10" s="651" t="n">
        <v>0</v>
      </c>
      <c r="AM10" s="651" t="n">
        <v>0</v>
      </c>
      <c r="AN10" s="651" t="n">
        <v>0</v>
      </c>
      <c r="AO10" s="651" t="n">
        <v>0</v>
      </c>
      <c r="AP10" s="651" t="n">
        <v>0</v>
      </c>
      <c r="AQ10" s="651" t="n">
        <v>0</v>
      </c>
      <c r="AR10" s="651" t="n">
        <v>0</v>
      </c>
      <c r="AS10" s="651" t="n">
        <v>0</v>
      </c>
      <c r="AT10" s="651" t="n">
        <v>0</v>
      </c>
      <c r="AU10" s="651" t="n">
        <v>0</v>
      </c>
      <c r="AV10" s="651" t="n">
        <v>0</v>
      </c>
      <c r="AW10" s="651" t="n">
        <v>0</v>
      </c>
      <c r="AX10" s="651" t="n">
        <v>0</v>
      </c>
      <c r="AY10" s="651" t="n">
        <v>0</v>
      </c>
      <c r="AZ10" s="651" t="n">
        <v>0</v>
      </c>
      <c r="BA10" s="651" t="n">
        <v>0</v>
      </c>
      <c r="BB10" s="651" t="n">
        <v>0</v>
      </c>
      <c r="BC10" s="651" t="n">
        <v>0</v>
      </c>
      <c r="BD10" s="651" t="n">
        <v>0</v>
      </c>
      <c r="BE10" s="651" t="n">
        <v>0</v>
      </c>
      <c r="BF10" s="651" t="n">
        <v>0</v>
      </c>
      <c r="BG10" s="651" t="n">
        <v>0</v>
      </c>
      <c r="BH10" s="651" t="n">
        <v>0</v>
      </c>
      <c r="BI10" s="651" t="n">
        <v>0</v>
      </c>
      <c r="BJ10" s="651" t="n">
        <v>0</v>
      </c>
      <c r="BK10" s="651" t="n">
        <v>0</v>
      </c>
    </row>
    <row r="11" customFormat="1" s="647">
      <c r="A11" s="10" t="n"/>
      <c r="B11" s="4" t="n"/>
      <c r="C11" s="640" t="n"/>
      <c r="D11" s="640" t="n"/>
      <c r="E11" s="640" t="n"/>
      <c r="F11" s="640" t="n"/>
      <c r="G11" s="640" t="n"/>
      <c r="H11" s="640" t="n"/>
      <c r="I11" s="640" t="n"/>
      <c r="J11" s="640" t="n"/>
      <c r="K11" s="640" t="n"/>
      <c r="L11" s="640" t="n"/>
      <c r="M11" s="640" t="n"/>
      <c r="N11" s="640" t="n"/>
      <c r="O11" s="640" t="n"/>
      <c r="P11" s="640" t="n"/>
      <c r="Q11" s="640" t="n"/>
      <c r="R11" s="640" t="n"/>
      <c r="S11" s="640" t="n"/>
      <c r="T11" s="640" t="n"/>
      <c r="U11" s="640" t="n"/>
      <c r="V11" s="640" t="n"/>
      <c r="W11" s="640" t="n"/>
      <c r="X11" s="640" t="n"/>
      <c r="Y11" s="640" t="n"/>
      <c r="Z11" s="640" t="n"/>
      <c r="AA11" s="640" t="n"/>
      <c r="AB11" s="640" t="n"/>
      <c r="AC11" s="640" t="n"/>
      <c r="AD11" s="640" t="n"/>
      <c r="AE11" s="640" t="n"/>
      <c r="AF11" s="640" t="n"/>
      <c r="AG11" s="640" t="n"/>
      <c r="AH11" s="640" t="n"/>
      <c r="AI11" s="640" t="n"/>
      <c r="AJ11" s="640" t="n"/>
      <c r="AK11" s="640" t="n"/>
      <c r="AL11" s="640" t="n"/>
      <c r="AM11" s="640" t="n"/>
      <c r="AN11" s="640" t="n"/>
      <c r="AO11" s="640" t="n"/>
      <c r="AP11" s="640" t="n"/>
      <c r="AQ11" s="640" t="n"/>
      <c r="AR11" s="640" t="n"/>
      <c r="AS11" s="640" t="n"/>
      <c r="AT11" s="640" t="n"/>
      <c r="AU11" s="640" t="n"/>
      <c r="AV11" s="640" t="n"/>
      <c r="AW11" s="640" t="n"/>
      <c r="AX11" s="640" t="n"/>
      <c r="AY11" s="640" t="n"/>
      <c r="AZ11" s="640" t="n"/>
      <c r="BA11" s="640" t="n"/>
      <c r="BB11" s="640" t="n"/>
      <c r="BC11" s="640" t="n"/>
      <c r="BD11" s="640" t="n"/>
      <c r="BE11" s="640" t="n"/>
      <c r="BF11" s="640" t="n"/>
      <c r="BG11" s="640" t="n"/>
      <c r="BH11" s="640" t="n"/>
      <c r="BI11" s="640" t="n"/>
      <c r="BJ11" s="640" t="n"/>
      <c r="BK11" s="640" t="n"/>
    </row>
    <row r="12" customFormat="1" s="647">
      <c r="A12" s="7" t="inlineStr">
        <is>
          <t>Non-Current Assets</t>
        </is>
      </c>
      <c r="B12" s="652" t="n"/>
      <c r="C12" s="653">
        <f>SUM(C13:C13)</f>
        <v/>
      </c>
      <c r="D12" s="653">
        <f>SUM(D13:D13)</f>
        <v/>
      </c>
      <c r="E12" s="653">
        <f>SUM(E13:E13)</f>
        <v/>
      </c>
      <c r="F12" s="653">
        <f>SUM(F13:F13)</f>
        <v/>
      </c>
      <c r="G12" s="653">
        <f>SUM(G13:G13)</f>
        <v/>
      </c>
      <c r="H12" s="653">
        <f>SUM(H13:H13)</f>
        <v/>
      </c>
      <c r="I12" s="653">
        <f>SUM(I13:I13)</f>
        <v/>
      </c>
      <c r="J12" s="653">
        <f>SUM(J13:J13)</f>
        <v/>
      </c>
      <c r="K12" s="653">
        <f>SUM(K13:K13)</f>
        <v/>
      </c>
      <c r="L12" s="653">
        <f>SUM(L13:L13)</f>
        <v/>
      </c>
      <c r="M12" s="653">
        <f>SUM(M13:M13)</f>
        <v/>
      </c>
      <c r="N12" s="653">
        <f>SUM(N13:N13)</f>
        <v/>
      </c>
      <c r="O12" s="653">
        <f>SUM(O13:O13)</f>
        <v/>
      </c>
      <c r="P12" s="653">
        <f>SUM(P13:P13)</f>
        <v/>
      </c>
      <c r="Q12" s="653">
        <f>SUM(Q13:Q13)</f>
        <v/>
      </c>
      <c r="R12" s="653">
        <f>SUM(R13:R13)</f>
        <v/>
      </c>
      <c r="S12" s="653">
        <f>SUM(S13:S13)</f>
        <v/>
      </c>
      <c r="T12" s="653">
        <f>SUM(T13:T13)</f>
        <v/>
      </c>
      <c r="U12" s="653">
        <f>SUM(U13:U13)</f>
        <v/>
      </c>
      <c r="V12" s="653">
        <f>SUM(V13:V13)</f>
        <v/>
      </c>
      <c r="W12" s="653">
        <f>SUM(W13:W13)</f>
        <v/>
      </c>
      <c r="X12" s="653">
        <f>SUM(X13:X13)</f>
        <v/>
      </c>
      <c r="Y12" s="653">
        <f>SUM(Y13:Y13)</f>
        <v/>
      </c>
      <c r="Z12" s="653">
        <f>SUM(Z13:Z13)</f>
        <v/>
      </c>
      <c r="AA12" s="653">
        <f>SUM(AA13:AA13)</f>
        <v/>
      </c>
      <c r="AB12" s="653">
        <f>SUM(AB13:AB13)</f>
        <v/>
      </c>
      <c r="AC12" s="653">
        <f>SUM(AC13:AC13)</f>
        <v/>
      </c>
      <c r="AD12" s="653">
        <f>SUM(AD13:AD13)</f>
        <v/>
      </c>
      <c r="AE12" s="653">
        <f>SUM(AE13:AE13)</f>
        <v/>
      </c>
      <c r="AF12" s="653">
        <f>SUM(AF13:AF13)</f>
        <v/>
      </c>
      <c r="AG12" s="653">
        <f>SUM(AG13:AG13)</f>
        <v/>
      </c>
      <c r="AH12" s="653">
        <f>SUM(AH13:AH13)</f>
        <v/>
      </c>
      <c r="AI12" s="653">
        <f>SUM(AI13:AI13)</f>
        <v/>
      </c>
      <c r="AJ12" s="653">
        <f>SUM(AJ13:AJ13)</f>
        <v/>
      </c>
      <c r="AK12" s="653">
        <f>SUM(AK13:AK13)</f>
        <v/>
      </c>
      <c r="AL12" s="653">
        <f>SUM(AL13:AL13)</f>
        <v/>
      </c>
      <c r="AM12" s="653">
        <f>SUM(AM13:AM13)</f>
        <v/>
      </c>
      <c r="AN12" s="653">
        <f>SUM(AN13:AN13)</f>
        <v/>
      </c>
      <c r="AO12" s="653">
        <f>SUM(AO13:AO13)</f>
        <v/>
      </c>
      <c r="AP12" s="653">
        <f>SUM(AP13:AP13)</f>
        <v/>
      </c>
      <c r="AQ12" s="653">
        <f>SUM(AQ13:AQ13)</f>
        <v/>
      </c>
      <c r="AR12" s="653">
        <f>SUM(AR13:AR13)</f>
        <v/>
      </c>
      <c r="AS12" s="653">
        <f>SUM(AS13:AS13)</f>
        <v/>
      </c>
      <c r="AT12" s="653">
        <f>SUM(AT13:AT13)</f>
        <v/>
      </c>
      <c r="AU12" s="653">
        <f>SUM(AU13:AU13)</f>
        <v/>
      </c>
      <c r="AV12" s="653">
        <f>SUM(AV13:AV13)</f>
        <v/>
      </c>
      <c r="AW12" s="653">
        <f>SUM(AW13:AW13)</f>
        <v/>
      </c>
      <c r="AX12" s="653">
        <f>SUM(AX13:AX13)</f>
        <v/>
      </c>
      <c r="AY12" s="653">
        <f>SUM(AY13:AY13)</f>
        <v/>
      </c>
      <c r="AZ12" s="653">
        <f>SUM(AZ13:AZ13)</f>
        <v/>
      </c>
      <c r="BA12" s="653">
        <f>SUM(BA13:BA13)</f>
        <v/>
      </c>
      <c r="BB12" s="653">
        <f>SUM(BB13:BB13)</f>
        <v/>
      </c>
      <c r="BC12" s="653">
        <f>SUM(BC13:BC13)</f>
        <v/>
      </c>
      <c r="BD12" s="653">
        <f>SUM(BD13:BD13)</f>
        <v/>
      </c>
      <c r="BE12" s="653">
        <f>SUM(BE13:BE13)</f>
        <v/>
      </c>
      <c r="BF12" s="653">
        <f>SUM(BF13:BF13)</f>
        <v/>
      </c>
      <c r="BG12" s="653">
        <f>SUM(BG13:BG13)</f>
        <v/>
      </c>
      <c r="BH12" s="653">
        <f>SUM(BH13:BH13)</f>
        <v/>
      </c>
      <c r="BI12" s="653">
        <f>SUM(BI13:BI13)</f>
        <v/>
      </c>
      <c r="BJ12" s="653">
        <f>SUM(BJ13:BJ13)</f>
        <v/>
      </c>
      <c r="BK12" s="653">
        <f>SUM(BK13:BK13)</f>
        <v/>
      </c>
    </row>
    <row r="13" customFormat="1" s="647">
      <c r="A13" s="78" t="inlineStr">
        <is>
          <t>Fixed Assets</t>
        </is>
      </c>
      <c r="B13" s="654" t="n"/>
      <c r="C13" s="641">
        <f>'Fixed Asset Schedules'!B7</f>
        <v/>
      </c>
      <c r="D13" s="641">
        <f>'Fixed Asset Schedules'!B10</f>
        <v/>
      </c>
      <c r="E13" s="641">
        <f>'Fixed Asset Schedules'!C10</f>
        <v/>
      </c>
      <c r="F13" s="641">
        <f>'Fixed Asset Schedules'!D10</f>
        <v/>
      </c>
      <c r="G13" s="641">
        <f>'Fixed Asset Schedules'!E10</f>
        <v/>
      </c>
      <c r="H13" s="641">
        <f>'Fixed Asset Schedules'!F10</f>
        <v/>
      </c>
      <c r="I13" s="641">
        <f>'Fixed Asset Schedules'!G10</f>
        <v/>
      </c>
      <c r="J13" s="641">
        <f>'Fixed Asset Schedules'!H10</f>
        <v/>
      </c>
      <c r="K13" s="641">
        <f>'Fixed Asset Schedules'!I10</f>
        <v/>
      </c>
      <c r="L13" s="641">
        <f>'Fixed Asset Schedules'!J10</f>
        <v/>
      </c>
      <c r="M13" s="641">
        <f>'Fixed Asset Schedules'!K10</f>
        <v/>
      </c>
      <c r="N13" s="641">
        <f>'Fixed Asset Schedules'!L10</f>
        <v/>
      </c>
      <c r="O13" s="641">
        <f>'Fixed Asset Schedules'!M10</f>
        <v/>
      </c>
      <c r="P13" s="641">
        <f>'Fixed Asset Schedules'!N10</f>
        <v/>
      </c>
      <c r="Q13" s="641">
        <f>'Fixed Asset Schedules'!O10</f>
        <v/>
      </c>
      <c r="R13" s="641">
        <f>'Fixed Asset Schedules'!P10</f>
        <v/>
      </c>
      <c r="S13" s="641">
        <f>'Fixed Asset Schedules'!Q10</f>
        <v/>
      </c>
      <c r="T13" s="641">
        <f>'Fixed Asset Schedules'!R10</f>
        <v/>
      </c>
      <c r="U13" s="641">
        <f>'Fixed Asset Schedules'!S10</f>
        <v/>
      </c>
      <c r="V13" s="641">
        <f>'Fixed Asset Schedules'!T10</f>
        <v/>
      </c>
      <c r="W13" s="641">
        <f>'Fixed Asset Schedules'!U10</f>
        <v/>
      </c>
      <c r="X13" s="641">
        <f>'Fixed Asset Schedules'!V10</f>
        <v/>
      </c>
      <c r="Y13" s="641">
        <f>'Fixed Asset Schedules'!W10</f>
        <v/>
      </c>
      <c r="Z13" s="641">
        <f>'Fixed Asset Schedules'!X10</f>
        <v/>
      </c>
      <c r="AA13" s="641">
        <f>'Fixed Asset Schedules'!Y10</f>
        <v/>
      </c>
      <c r="AB13" s="641">
        <f>'Fixed Asset Schedules'!Z10</f>
        <v/>
      </c>
      <c r="AC13" s="641">
        <f>'Fixed Asset Schedules'!AA10</f>
        <v/>
      </c>
      <c r="AD13" s="641">
        <f>'Fixed Asset Schedules'!AB10</f>
        <v/>
      </c>
      <c r="AE13" s="641">
        <f>'Fixed Asset Schedules'!AC10</f>
        <v/>
      </c>
      <c r="AF13" s="641">
        <f>'Fixed Asset Schedules'!AD10</f>
        <v/>
      </c>
      <c r="AG13" s="641">
        <f>'Fixed Asset Schedules'!AE10</f>
        <v/>
      </c>
      <c r="AH13" s="641">
        <f>'Fixed Asset Schedules'!AF10</f>
        <v/>
      </c>
      <c r="AI13" s="641">
        <f>'Fixed Asset Schedules'!AG10</f>
        <v/>
      </c>
      <c r="AJ13" s="641">
        <f>'Fixed Asset Schedules'!AH10</f>
        <v/>
      </c>
      <c r="AK13" s="641">
        <f>'Fixed Asset Schedules'!AI10</f>
        <v/>
      </c>
      <c r="AL13" s="641">
        <f>'Fixed Asset Schedules'!AJ10</f>
        <v/>
      </c>
      <c r="AM13" s="641">
        <f>'Fixed Asset Schedules'!AK10</f>
        <v/>
      </c>
      <c r="AN13" s="641">
        <f>'Fixed Asset Schedules'!AL10</f>
        <v/>
      </c>
      <c r="AO13" s="641">
        <f>'Fixed Asset Schedules'!AM10</f>
        <v/>
      </c>
      <c r="AP13" s="641">
        <f>'Fixed Asset Schedules'!AN10</f>
        <v/>
      </c>
      <c r="AQ13" s="641">
        <f>'Fixed Asset Schedules'!AO10</f>
        <v/>
      </c>
      <c r="AR13" s="641">
        <f>'Fixed Asset Schedules'!AP10</f>
        <v/>
      </c>
      <c r="AS13" s="641">
        <f>'Fixed Asset Schedules'!AQ10</f>
        <v/>
      </c>
      <c r="AT13" s="641">
        <f>'Fixed Asset Schedules'!AR10</f>
        <v/>
      </c>
      <c r="AU13" s="641">
        <f>'Fixed Asset Schedules'!AS10</f>
        <v/>
      </c>
      <c r="AV13" s="641">
        <f>'Fixed Asset Schedules'!AT10</f>
        <v/>
      </c>
      <c r="AW13" s="641">
        <f>'Fixed Asset Schedules'!AU10</f>
        <v/>
      </c>
      <c r="AX13" s="641">
        <f>'Fixed Asset Schedules'!AV10</f>
        <v/>
      </c>
      <c r="AY13" s="641">
        <f>'Fixed Asset Schedules'!AW10</f>
        <v/>
      </c>
      <c r="AZ13" s="641">
        <f>'Fixed Asset Schedules'!AX10</f>
        <v/>
      </c>
      <c r="BA13" s="641">
        <f>'Fixed Asset Schedules'!AY10</f>
        <v/>
      </c>
      <c r="BB13" s="641">
        <f>'Fixed Asset Schedules'!AZ10</f>
        <v/>
      </c>
      <c r="BC13" s="641">
        <f>'Fixed Asset Schedules'!BA10</f>
        <v/>
      </c>
      <c r="BD13" s="641">
        <f>'Fixed Asset Schedules'!BB10</f>
        <v/>
      </c>
      <c r="BE13" s="641">
        <f>'Fixed Asset Schedules'!BC10</f>
        <v/>
      </c>
      <c r="BF13" s="641">
        <f>'Fixed Asset Schedules'!BD10</f>
        <v/>
      </c>
      <c r="BG13" s="641">
        <f>'Fixed Asset Schedules'!BE10</f>
        <v/>
      </c>
      <c r="BH13" s="641">
        <f>'Fixed Asset Schedules'!BF10</f>
        <v/>
      </c>
      <c r="BI13" s="641">
        <f>'Fixed Asset Schedules'!BG10</f>
        <v/>
      </c>
      <c r="BJ13" s="641">
        <f>'Fixed Asset Schedules'!BH10</f>
        <v/>
      </c>
      <c r="BK13" s="641">
        <f>'Fixed Asset Schedules'!BI10</f>
        <v/>
      </c>
    </row>
    <row r="14" customFormat="1" s="647">
      <c r="A14" s="82" t="n"/>
      <c r="B14" s="4" t="n"/>
      <c r="C14" s="640" t="n"/>
      <c r="D14" s="640" t="n"/>
      <c r="E14" s="640" t="n"/>
      <c r="F14" s="640" t="n"/>
      <c r="G14" s="640" t="n"/>
      <c r="H14" s="640" t="n"/>
      <c r="I14" s="640" t="n"/>
      <c r="J14" s="640" t="n"/>
      <c r="K14" s="640" t="n"/>
      <c r="L14" s="640" t="n"/>
      <c r="M14" s="640" t="n"/>
      <c r="N14" s="640" t="n"/>
      <c r="O14" s="640" t="n"/>
      <c r="P14" s="640" t="n"/>
      <c r="Q14" s="640" t="n"/>
      <c r="R14" s="640" t="n"/>
      <c r="S14" s="640" t="n"/>
      <c r="T14" s="640" t="n"/>
      <c r="U14" s="640" t="n"/>
      <c r="V14" s="640" t="n"/>
      <c r="W14" s="640" t="n"/>
      <c r="X14" s="640" t="n"/>
      <c r="Y14" s="640" t="n"/>
      <c r="Z14" s="640" t="n"/>
      <c r="AA14" s="640" t="n"/>
      <c r="AB14" s="640" t="n"/>
      <c r="AC14" s="640" t="n"/>
      <c r="AD14" s="640" t="n"/>
      <c r="AE14" s="640" t="n"/>
      <c r="AF14" s="640" t="n"/>
      <c r="AG14" s="640" t="n"/>
      <c r="AH14" s="640" t="n"/>
      <c r="AI14" s="640" t="n"/>
      <c r="AJ14" s="640" t="n"/>
      <c r="AK14" s="640" t="n"/>
      <c r="AL14" s="640" t="n"/>
      <c r="AM14" s="640" t="n"/>
      <c r="AN14" s="640" t="n"/>
      <c r="AO14" s="640" t="n"/>
      <c r="AP14" s="640" t="n"/>
      <c r="AQ14" s="640" t="n"/>
      <c r="AR14" s="640" t="n"/>
      <c r="AS14" s="640" t="n"/>
      <c r="AT14" s="640" t="n"/>
      <c r="AU14" s="640" t="n"/>
      <c r="AV14" s="640" t="n"/>
      <c r="AW14" s="640" t="n"/>
      <c r="AX14" s="640" t="n"/>
      <c r="AY14" s="640" t="n"/>
      <c r="AZ14" s="640" t="n"/>
      <c r="BA14" s="640" t="n"/>
      <c r="BB14" s="640" t="n"/>
      <c r="BC14" s="640" t="n"/>
      <c r="BD14" s="640" t="n"/>
      <c r="BE14" s="640" t="n"/>
      <c r="BF14" s="640" t="n"/>
      <c r="BG14" s="640" t="n"/>
      <c r="BH14" s="640" t="n"/>
      <c r="BI14" s="640" t="n"/>
      <c r="BJ14" s="640" t="n"/>
      <c r="BK14" s="640" t="n"/>
    </row>
    <row r="15" ht="14" customFormat="1" customHeight="1" s="655" thickBot="1">
      <c r="A15" s="134" t="inlineStr">
        <is>
          <t>TOTAL ASSETS</t>
        </is>
      </c>
      <c r="B15" s="656" t="n"/>
      <c r="C15" s="657">
        <f>+C7+C12</f>
        <v/>
      </c>
      <c r="D15" s="657">
        <f>+D7+D12</f>
        <v/>
      </c>
      <c r="E15" s="657">
        <f>+E7+E12</f>
        <v/>
      </c>
      <c r="F15" s="657">
        <f>+F7+F12</f>
        <v/>
      </c>
      <c r="G15" s="657">
        <f>+G7+G12</f>
        <v/>
      </c>
      <c r="H15" s="657">
        <f>+H7+H12</f>
        <v/>
      </c>
      <c r="I15" s="657">
        <f>+I7+I12</f>
        <v/>
      </c>
      <c r="J15" s="657">
        <f>+J7+J12</f>
        <v/>
      </c>
      <c r="K15" s="657">
        <f>+K7+K12</f>
        <v/>
      </c>
      <c r="L15" s="657">
        <f>+L7+L12</f>
        <v/>
      </c>
      <c r="M15" s="657">
        <f>+M7+M12</f>
        <v/>
      </c>
      <c r="N15" s="657">
        <f>+N7+N12</f>
        <v/>
      </c>
      <c r="O15" s="657">
        <f>+O7+O12</f>
        <v/>
      </c>
      <c r="P15" s="657">
        <f>+P7+P12</f>
        <v/>
      </c>
      <c r="Q15" s="657">
        <f>+Q7+Q12</f>
        <v/>
      </c>
      <c r="R15" s="657">
        <f>+R7+R12</f>
        <v/>
      </c>
      <c r="S15" s="657">
        <f>+S7+S12</f>
        <v/>
      </c>
      <c r="T15" s="657">
        <f>+T7+T12</f>
        <v/>
      </c>
      <c r="U15" s="657">
        <f>+U7+U12</f>
        <v/>
      </c>
      <c r="V15" s="657">
        <f>+V7+V12</f>
        <v/>
      </c>
      <c r="W15" s="657">
        <f>+W7+W12</f>
        <v/>
      </c>
      <c r="X15" s="657">
        <f>+X7+X12</f>
        <v/>
      </c>
      <c r="Y15" s="657">
        <f>+Y7+Y12</f>
        <v/>
      </c>
      <c r="Z15" s="657">
        <f>+Z7+Z12</f>
        <v/>
      </c>
      <c r="AA15" s="657">
        <f>+AA7+AA12</f>
        <v/>
      </c>
      <c r="AB15" s="657">
        <f>+AB7+AB12</f>
        <v/>
      </c>
      <c r="AC15" s="657">
        <f>+AC7+AC12</f>
        <v/>
      </c>
      <c r="AD15" s="657">
        <f>+AD7+AD12</f>
        <v/>
      </c>
      <c r="AE15" s="657">
        <f>+AE7+AE12</f>
        <v/>
      </c>
      <c r="AF15" s="657">
        <f>+AF7+AF12</f>
        <v/>
      </c>
      <c r="AG15" s="657">
        <f>+AG7+AG12</f>
        <v/>
      </c>
      <c r="AH15" s="657">
        <f>+AH7+AH12</f>
        <v/>
      </c>
      <c r="AI15" s="657">
        <f>+AI7+AI12</f>
        <v/>
      </c>
      <c r="AJ15" s="657">
        <f>+AJ7+AJ12</f>
        <v/>
      </c>
      <c r="AK15" s="657">
        <f>+AK7+AK12</f>
        <v/>
      </c>
      <c r="AL15" s="657">
        <f>+AL7+AL12</f>
        <v/>
      </c>
      <c r="AM15" s="657">
        <f>+AM7+AM12</f>
        <v/>
      </c>
      <c r="AN15" s="657">
        <f>+AN7+AN12</f>
        <v/>
      </c>
      <c r="AO15" s="657">
        <f>+AO7+AO12</f>
        <v/>
      </c>
      <c r="AP15" s="657">
        <f>+AP7+AP12</f>
        <v/>
      </c>
      <c r="AQ15" s="657">
        <f>+AQ7+AQ12</f>
        <v/>
      </c>
      <c r="AR15" s="657">
        <f>+AR7+AR12</f>
        <v/>
      </c>
      <c r="AS15" s="657">
        <f>+AS7+AS12</f>
        <v/>
      </c>
      <c r="AT15" s="657">
        <f>+AT7+AT12</f>
        <v/>
      </c>
      <c r="AU15" s="657">
        <f>+AU7+AU12</f>
        <v/>
      </c>
      <c r="AV15" s="657">
        <f>+AV7+AV12</f>
        <v/>
      </c>
      <c r="AW15" s="657">
        <f>+AW7+AW12</f>
        <v/>
      </c>
      <c r="AX15" s="657">
        <f>+AX7+AX12</f>
        <v/>
      </c>
      <c r="AY15" s="657">
        <f>+AY7+AY12</f>
        <v/>
      </c>
      <c r="AZ15" s="657">
        <f>+AZ7+AZ12</f>
        <v/>
      </c>
      <c r="BA15" s="657">
        <f>+BA7+BA12</f>
        <v/>
      </c>
      <c r="BB15" s="657">
        <f>+BB7+BB12</f>
        <v/>
      </c>
      <c r="BC15" s="657">
        <f>+BC7+BC12</f>
        <v/>
      </c>
      <c r="BD15" s="657">
        <f>+BD7+BD12</f>
        <v/>
      </c>
      <c r="BE15" s="657">
        <f>+BE7+BE12</f>
        <v/>
      </c>
      <c r="BF15" s="657">
        <f>+BF7+BF12</f>
        <v/>
      </c>
      <c r="BG15" s="657">
        <f>+BG7+BG12</f>
        <v/>
      </c>
      <c r="BH15" s="657">
        <f>+BH7+BH12</f>
        <v/>
      </c>
      <c r="BI15" s="657">
        <f>+BI7+BI12</f>
        <v/>
      </c>
      <c r="BJ15" s="657">
        <f>+BJ7+BJ12</f>
        <v/>
      </c>
      <c r="BK15" s="657">
        <f>+BK7+BK12</f>
        <v/>
      </c>
    </row>
    <row r="16" ht="14" customFormat="1" customHeight="1" s="647" thickTop="1">
      <c r="A16" s="1" t="n"/>
      <c r="B16" s="4" t="n"/>
      <c r="C16" s="640" t="n"/>
      <c r="D16" s="640" t="n"/>
      <c r="E16" s="640" t="n"/>
      <c r="F16" s="640" t="n"/>
      <c r="G16" s="640" t="n"/>
      <c r="H16" s="640" t="n"/>
      <c r="I16" s="640" t="n"/>
      <c r="J16" s="640" t="n"/>
      <c r="K16" s="640" t="n"/>
      <c r="L16" s="640" t="n"/>
      <c r="M16" s="640" t="n"/>
      <c r="N16" s="640" t="n"/>
      <c r="O16" s="640" t="n"/>
      <c r="P16" s="640" t="n"/>
      <c r="Q16" s="640" t="n"/>
      <c r="R16" s="640" t="n"/>
      <c r="S16" s="640" t="n"/>
      <c r="T16" s="640" t="n"/>
      <c r="U16" s="640" t="n"/>
      <c r="V16" s="640" t="n"/>
      <c r="W16" s="640" t="n"/>
      <c r="X16" s="640" t="n"/>
      <c r="Y16" s="640" t="n"/>
      <c r="Z16" s="640" t="n"/>
      <c r="AA16" s="640" t="n"/>
      <c r="AB16" s="640" t="n"/>
      <c r="AC16" s="640" t="n"/>
      <c r="AD16" s="640" t="n"/>
      <c r="AE16" s="640" t="n"/>
      <c r="AF16" s="640" t="n"/>
      <c r="AG16" s="640" t="n"/>
      <c r="AH16" s="640" t="n"/>
      <c r="AI16" s="640" t="n"/>
      <c r="AJ16" s="640" t="n"/>
      <c r="AK16" s="640" t="n"/>
      <c r="AL16" s="640" t="n"/>
      <c r="AM16" s="640" t="n"/>
      <c r="AN16" s="640" t="n"/>
      <c r="AO16" s="640" t="n"/>
      <c r="AP16" s="640" t="n"/>
      <c r="AQ16" s="640" t="n"/>
      <c r="AR16" s="640" t="n"/>
      <c r="AS16" s="640" t="n"/>
      <c r="AT16" s="640" t="n"/>
      <c r="AU16" s="640" t="n"/>
      <c r="AV16" s="640" t="n"/>
      <c r="AW16" s="640" t="n"/>
      <c r="AX16" s="640" t="n"/>
      <c r="AY16" s="640" t="n"/>
      <c r="AZ16" s="640" t="n"/>
      <c r="BA16" s="640" t="n"/>
      <c r="BB16" s="640" t="n"/>
      <c r="BC16" s="640" t="n"/>
      <c r="BD16" s="640" t="n"/>
      <c r="BE16" s="640" t="n"/>
      <c r="BF16" s="640" t="n"/>
      <c r="BG16" s="640" t="n"/>
      <c r="BH16" s="640" t="n"/>
      <c r="BI16" s="640" t="n"/>
      <c r="BJ16" s="640" t="n"/>
      <c r="BK16" s="640" t="n"/>
    </row>
    <row r="17" customFormat="1" s="658">
      <c r="A17" s="7" t="inlineStr">
        <is>
          <t>LIABILITIES</t>
        </is>
      </c>
      <c r="B17" s="649" t="n"/>
      <c r="C17" s="650" t="n">
        <v>0</v>
      </c>
      <c r="D17" s="659">
        <f>D18</f>
        <v/>
      </c>
      <c r="E17" s="659">
        <f>E18</f>
        <v/>
      </c>
      <c r="F17" s="659">
        <f>F18</f>
        <v/>
      </c>
      <c r="G17" s="659">
        <f>G18</f>
        <v/>
      </c>
      <c r="H17" s="659">
        <f>H18</f>
        <v/>
      </c>
      <c r="I17" s="659">
        <f>I18</f>
        <v/>
      </c>
      <c r="J17" s="659">
        <f>J18</f>
        <v/>
      </c>
      <c r="K17" s="659">
        <f>K18</f>
        <v/>
      </c>
      <c r="L17" s="659">
        <f>L18</f>
        <v/>
      </c>
      <c r="M17" s="659">
        <f>M18</f>
        <v/>
      </c>
      <c r="N17" s="659">
        <f>N18</f>
        <v/>
      </c>
      <c r="O17" s="659">
        <f>O18</f>
        <v/>
      </c>
      <c r="P17" s="659">
        <f>P18</f>
        <v/>
      </c>
      <c r="Q17" s="659">
        <f>Q18</f>
        <v/>
      </c>
      <c r="R17" s="659">
        <f>R18</f>
        <v/>
      </c>
      <c r="S17" s="659">
        <f>S18</f>
        <v/>
      </c>
      <c r="T17" s="659">
        <f>T18</f>
        <v/>
      </c>
      <c r="U17" s="659">
        <f>U18</f>
        <v/>
      </c>
      <c r="V17" s="659">
        <f>V18</f>
        <v/>
      </c>
      <c r="W17" s="659">
        <f>W18</f>
        <v/>
      </c>
      <c r="X17" s="659">
        <f>X18</f>
        <v/>
      </c>
      <c r="Y17" s="659">
        <f>Y18</f>
        <v/>
      </c>
      <c r="Z17" s="659">
        <f>Z18</f>
        <v/>
      </c>
      <c r="AA17" s="659">
        <f>AA18</f>
        <v/>
      </c>
      <c r="AB17" s="659">
        <f>AB18</f>
        <v/>
      </c>
      <c r="AC17" s="659">
        <f>AC18</f>
        <v/>
      </c>
      <c r="AD17" s="659">
        <f>AD18</f>
        <v/>
      </c>
      <c r="AE17" s="659">
        <f>AE18</f>
        <v/>
      </c>
      <c r="AF17" s="659">
        <f>AF18</f>
        <v/>
      </c>
      <c r="AG17" s="659">
        <f>AG18</f>
        <v/>
      </c>
      <c r="AH17" s="659">
        <f>AH18</f>
        <v/>
      </c>
      <c r="AI17" s="659">
        <f>AI18</f>
        <v/>
      </c>
      <c r="AJ17" s="659">
        <f>AJ18</f>
        <v/>
      </c>
      <c r="AK17" s="659">
        <f>AK18</f>
        <v/>
      </c>
      <c r="AL17" s="659">
        <f>AL18</f>
        <v/>
      </c>
      <c r="AM17" s="659">
        <f>AM18</f>
        <v/>
      </c>
      <c r="AN17" s="659">
        <f>AN18</f>
        <v/>
      </c>
      <c r="AO17" s="659">
        <f>AO18</f>
        <v/>
      </c>
      <c r="AP17" s="659">
        <f>AP18</f>
        <v/>
      </c>
      <c r="AQ17" s="659">
        <f>AQ18</f>
        <v/>
      </c>
      <c r="AR17" s="659">
        <f>AR18</f>
        <v/>
      </c>
      <c r="AS17" s="659">
        <f>AS18</f>
        <v/>
      </c>
      <c r="AT17" s="659">
        <f>AT18</f>
        <v/>
      </c>
      <c r="AU17" s="659">
        <f>AU18</f>
        <v/>
      </c>
      <c r="AV17" s="659">
        <f>AV18</f>
        <v/>
      </c>
      <c r="AW17" s="659">
        <f>AW18</f>
        <v/>
      </c>
      <c r="AX17" s="659">
        <f>AX18</f>
        <v/>
      </c>
      <c r="AY17" s="659">
        <f>AY18</f>
        <v/>
      </c>
      <c r="AZ17" s="659">
        <f>AZ18</f>
        <v/>
      </c>
      <c r="BA17" s="659">
        <f>BA18</f>
        <v/>
      </c>
      <c r="BB17" s="659">
        <f>BB18</f>
        <v/>
      </c>
      <c r="BC17" s="659">
        <f>BC18</f>
        <v/>
      </c>
      <c r="BD17" s="659">
        <f>BD18</f>
        <v/>
      </c>
      <c r="BE17" s="659">
        <f>BE18</f>
        <v/>
      </c>
      <c r="BF17" s="659">
        <f>BF18</f>
        <v/>
      </c>
      <c r="BG17" s="659">
        <f>BG18</f>
        <v/>
      </c>
      <c r="BH17" s="659">
        <f>BH18</f>
        <v/>
      </c>
      <c r="BI17" s="659">
        <f>BI18</f>
        <v/>
      </c>
      <c r="BJ17" s="659">
        <f>BJ18</f>
        <v/>
      </c>
      <c r="BK17" s="659">
        <f>BK18</f>
        <v/>
      </c>
    </row>
    <row r="18" customFormat="1" s="647">
      <c r="A18" s="7" t="inlineStr">
        <is>
          <t>Long Term Debt</t>
        </is>
      </c>
      <c r="B18" s="4" t="n"/>
      <c r="C18" s="650" t="n">
        <v>0</v>
      </c>
      <c r="D18" s="640" t="n">
        <v>0</v>
      </c>
      <c r="E18" s="640" t="n">
        <v>0</v>
      </c>
      <c r="F18" s="640" t="n">
        <v>0</v>
      </c>
      <c r="G18" s="640" t="n">
        <v>0</v>
      </c>
      <c r="H18" s="640" t="n">
        <v>0</v>
      </c>
      <c r="I18" s="640" t="n">
        <v>0</v>
      </c>
      <c r="J18" s="640" t="n">
        <v>0</v>
      </c>
      <c r="K18" s="640" t="n">
        <v>0</v>
      </c>
      <c r="L18" s="640" t="n">
        <v>0</v>
      </c>
      <c r="M18" s="640" t="n">
        <v>0</v>
      </c>
      <c r="N18" s="640" t="n">
        <v>0</v>
      </c>
      <c r="O18" s="640" t="n">
        <v>0</v>
      </c>
      <c r="P18" s="640" t="n">
        <v>0</v>
      </c>
      <c r="Q18" s="640" t="n">
        <v>0</v>
      </c>
      <c r="R18" s="640" t="n">
        <v>0</v>
      </c>
      <c r="S18" s="640" t="n">
        <v>0</v>
      </c>
      <c r="T18" s="640" t="n">
        <v>0</v>
      </c>
      <c r="U18" s="640" t="n">
        <v>0</v>
      </c>
      <c r="V18" s="640" t="n">
        <v>0</v>
      </c>
      <c r="W18" s="640" t="n">
        <v>0</v>
      </c>
      <c r="X18" s="640" t="n">
        <v>0</v>
      </c>
      <c r="Y18" s="640" t="n">
        <v>0</v>
      </c>
      <c r="Z18" s="640" t="n">
        <v>0</v>
      </c>
      <c r="AA18" s="640" t="n">
        <v>0</v>
      </c>
      <c r="AB18" s="640" t="n">
        <v>0</v>
      </c>
      <c r="AC18" s="640" t="n">
        <v>0</v>
      </c>
      <c r="AD18" s="640" t="n">
        <v>0</v>
      </c>
      <c r="AE18" s="640" t="n">
        <v>0</v>
      </c>
      <c r="AF18" s="640" t="n">
        <v>0</v>
      </c>
      <c r="AG18" s="640" t="n">
        <v>0</v>
      </c>
      <c r="AH18" s="640" t="n">
        <v>0</v>
      </c>
      <c r="AI18" s="640" t="n">
        <v>0</v>
      </c>
      <c r="AJ18" s="640" t="n">
        <v>0</v>
      </c>
      <c r="AK18" s="640" t="n">
        <v>0</v>
      </c>
      <c r="AL18" s="640" t="n">
        <v>0</v>
      </c>
      <c r="AM18" s="640" t="n">
        <v>0</v>
      </c>
      <c r="AN18" s="640" t="n">
        <v>0</v>
      </c>
      <c r="AO18" s="640" t="n">
        <v>0</v>
      </c>
      <c r="AP18" s="640" t="n">
        <v>0</v>
      </c>
      <c r="AQ18" s="640" t="n">
        <v>0</v>
      </c>
      <c r="AR18" s="640" t="n">
        <v>0</v>
      </c>
      <c r="AS18" s="640" t="n">
        <v>0</v>
      </c>
      <c r="AT18" s="640" t="n">
        <v>0</v>
      </c>
      <c r="AU18" s="640" t="n">
        <v>0</v>
      </c>
      <c r="AV18" s="640" t="n">
        <v>0</v>
      </c>
      <c r="AW18" s="640" t="n">
        <v>0</v>
      </c>
      <c r="AX18" s="640" t="n">
        <v>0</v>
      </c>
      <c r="AY18" s="640" t="n">
        <v>0</v>
      </c>
      <c r="AZ18" s="640" t="n">
        <v>0</v>
      </c>
      <c r="BA18" s="640" t="n">
        <v>0</v>
      </c>
      <c r="BB18" s="640" t="n">
        <v>0</v>
      </c>
      <c r="BC18" s="640" t="n">
        <v>0</v>
      </c>
      <c r="BD18" s="640" t="n">
        <v>0</v>
      </c>
      <c r="BE18" s="640" t="n">
        <v>0</v>
      </c>
      <c r="BF18" s="640" t="n">
        <v>0</v>
      </c>
      <c r="BG18" s="640" t="n">
        <v>0</v>
      </c>
      <c r="BH18" s="640" t="n">
        <v>0</v>
      </c>
      <c r="BI18" s="640" t="n">
        <v>0</v>
      </c>
      <c r="BJ18" s="640" t="n">
        <v>0</v>
      </c>
      <c r="BK18" s="640" t="n">
        <v>0</v>
      </c>
    </row>
    <row r="19" customFormat="1" s="647">
      <c r="A19" s="7" t="inlineStr">
        <is>
          <t>Short Term Debt furnisher</t>
        </is>
      </c>
      <c r="B19" s="4" t="n"/>
      <c r="C19" s="640" t="n">
        <v>0</v>
      </c>
      <c r="D19" s="640" t="n">
        <v>0</v>
      </c>
      <c r="E19" s="640" t="n">
        <v>0</v>
      </c>
      <c r="F19" s="640" t="n">
        <v>0</v>
      </c>
      <c r="G19" s="640" t="n">
        <v>0</v>
      </c>
      <c r="H19" s="640" t="n">
        <v>0</v>
      </c>
      <c r="I19" s="640" t="n">
        <v>0</v>
      </c>
      <c r="J19" s="640" t="n">
        <v>0</v>
      </c>
      <c r="K19" s="640" t="n">
        <v>0</v>
      </c>
      <c r="L19" s="640" t="n">
        <v>0</v>
      </c>
      <c r="M19" s="640" t="n">
        <v>0</v>
      </c>
      <c r="N19" s="640" t="n">
        <v>0</v>
      </c>
      <c r="O19" s="640" t="n">
        <v>0</v>
      </c>
      <c r="P19" s="640" t="n">
        <v>0</v>
      </c>
      <c r="Q19" s="640" t="n">
        <v>0</v>
      </c>
      <c r="R19" s="640" t="n">
        <v>0</v>
      </c>
      <c r="S19" s="640" t="n">
        <v>0</v>
      </c>
      <c r="T19" s="640" t="n">
        <v>0</v>
      </c>
      <c r="U19" s="640" t="n">
        <v>0</v>
      </c>
      <c r="V19" s="640" t="n">
        <v>0</v>
      </c>
      <c r="W19" s="640" t="n">
        <v>0</v>
      </c>
      <c r="X19" s="640" t="n">
        <v>0</v>
      </c>
      <c r="Y19" s="640" t="n">
        <v>0</v>
      </c>
      <c r="Z19" s="640" t="n">
        <v>0</v>
      </c>
      <c r="AA19" s="640" t="n">
        <v>0</v>
      </c>
      <c r="AB19" s="640" t="n">
        <v>0</v>
      </c>
      <c r="AC19" s="640" t="n">
        <v>0</v>
      </c>
      <c r="AD19" s="640" t="n">
        <v>0</v>
      </c>
      <c r="AE19" s="640" t="n">
        <v>0</v>
      </c>
      <c r="AF19" s="640" t="n">
        <v>0</v>
      </c>
      <c r="AG19" s="640" t="n">
        <v>0</v>
      </c>
      <c r="AH19" s="640" t="n">
        <v>0</v>
      </c>
      <c r="AI19" s="640" t="n">
        <v>0</v>
      </c>
      <c r="AJ19" s="640" t="n">
        <v>0</v>
      </c>
      <c r="AK19" s="640" t="n">
        <v>0</v>
      </c>
      <c r="AL19" s="640" t="n">
        <v>0</v>
      </c>
      <c r="AM19" s="640" t="n">
        <v>0</v>
      </c>
      <c r="AN19" s="640" t="n">
        <v>0</v>
      </c>
      <c r="AO19" s="640" t="n">
        <v>0</v>
      </c>
      <c r="AP19" s="640" t="n">
        <v>0</v>
      </c>
      <c r="AQ19" s="640" t="n">
        <v>0</v>
      </c>
      <c r="AR19" s="640" t="n">
        <v>0</v>
      </c>
      <c r="AS19" s="640" t="n">
        <v>0</v>
      </c>
      <c r="AT19" s="640" t="n">
        <v>0</v>
      </c>
      <c r="AU19" s="640" t="n">
        <v>0</v>
      </c>
      <c r="AV19" s="640" t="n">
        <v>0</v>
      </c>
      <c r="AW19" s="640" t="n">
        <v>0</v>
      </c>
      <c r="AX19" s="640" t="n">
        <v>0</v>
      </c>
      <c r="AY19" s="640" t="n">
        <v>0</v>
      </c>
      <c r="AZ19" s="640" t="n">
        <v>0</v>
      </c>
      <c r="BA19" s="640" t="n">
        <v>0</v>
      </c>
      <c r="BB19" s="640" t="n">
        <v>0</v>
      </c>
      <c r="BC19" s="640" t="n">
        <v>0</v>
      </c>
      <c r="BD19" s="640" t="n">
        <v>0</v>
      </c>
      <c r="BE19" s="640" t="n">
        <v>0</v>
      </c>
      <c r="BF19" s="640" t="n">
        <v>0</v>
      </c>
      <c r="BG19" s="640" t="n">
        <v>0</v>
      </c>
      <c r="BH19" s="640" t="n">
        <v>0</v>
      </c>
      <c r="BI19" s="640" t="n">
        <v>0</v>
      </c>
      <c r="BJ19" s="640" t="n">
        <v>0</v>
      </c>
      <c r="BK19" s="640" t="n">
        <v>0</v>
      </c>
    </row>
    <row r="20" customFormat="1" s="647">
      <c r="A20" s="7" t="n"/>
      <c r="B20" s="4" t="n"/>
      <c r="C20" s="640" t="n"/>
      <c r="D20" s="640" t="n"/>
      <c r="E20" s="640" t="n"/>
      <c r="F20" s="640" t="n"/>
      <c r="G20" s="640" t="n"/>
      <c r="H20" s="640" t="n"/>
      <c r="I20" s="640" t="n"/>
      <c r="J20" s="640" t="n"/>
      <c r="K20" s="640" t="n"/>
      <c r="L20" s="640" t="n"/>
      <c r="M20" s="640" t="n"/>
      <c r="N20" s="640" t="n"/>
      <c r="O20" s="640" t="n"/>
      <c r="P20" s="640" t="n"/>
      <c r="Q20" s="640" t="n"/>
      <c r="R20" s="640" t="n"/>
      <c r="S20" s="640" t="n"/>
      <c r="T20" s="640" t="n"/>
      <c r="U20" s="640" t="n"/>
      <c r="V20" s="640" t="n"/>
      <c r="W20" s="640" t="n"/>
      <c r="X20" s="640" t="n"/>
      <c r="Y20" s="640" t="n"/>
      <c r="Z20" s="640" t="n"/>
      <c r="AA20" s="640" t="n"/>
      <c r="AB20" s="640" t="n"/>
      <c r="AC20" s="640" t="n"/>
      <c r="AD20" s="640" t="n"/>
      <c r="AE20" s="640" t="n"/>
      <c r="AF20" s="640" t="n"/>
      <c r="AG20" s="640" t="n"/>
      <c r="AH20" s="640" t="n"/>
      <c r="AI20" s="640" t="n"/>
      <c r="AJ20" s="640" t="n"/>
      <c r="AK20" s="640" t="n"/>
      <c r="AL20" s="640" t="n"/>
      <c r="AM20" s="640" t="n"/>
      <c r="AN20" s="640" t="n"/>
      <c r="AO20" s="640" t="n"/>
      <c r="AP20" s="640" t="n"/>
      <c r="AQ20" s="640" t="n"/>
      <c r="AR20" s="640" t="n"/>
      <c r="AS20" s="640" t="n"/>
      <c r="AT20" s="640" t="n"/>
      <c r="AU20" s="640" t="n"/>
      <c r="AV20" s="640" t="n"/>
      <c r="AW20" s="640" t="n"/>
      <c r="AX20" s="640" t="n"/>
      <c r="AY20" s="640" t="n"/>
      <c r="AZ20" s="640" t="n"/>
      <c r="BA20" s="640" t="n"/>
      <c r="BB20" s="640" t="n"/>
      <c r="BC20" s="640" t="n"/>
      <c r="BD20" s="640" t="n"/>
      <c r="BE20" s="640" t="n"/>
      <c r="BF20" s="640" t="n"/>
      <c r="BG20" s="640" t="n"/>
      <c r="BH20" s="640" t="n"/>
      <c r="BI20" s="640" t="n"/>
      <c r="BJ20" s="640" t="n"/>
      <c r="BK20" s="640" t="n"/>
    </row>
    <row r="21" customFormat="1" s="647">
      <c r="A21" s="7" t="inlineStr">
        <is>
          <t>SHAREHOLDER'S EQUITY</t>
        </is>
      </c>
      <c r="B21" s="652" t="n"/>
      <c r="C21" s="653">
        <f>+SUM(C22:C23)</f>
        <v/>
      </c>
      <c r="D21" s="653">
        <f>+SUM(D22:D23)</f>
        <v/>
      </c>
      <c r="E21" s="653">
        <f>+SUM(E22:E23)</f>
        <v/>
      </c>
      <c r="F21" s="653">
        <f>+SUM(F22:F23)</f>
        <v/>
      </c>
      <c r="G21" s="653">
        <f>+SUM(G22:G23)</f>
        <v/>
      </c>
      <c r="H21" s="653">
        <f>+SUM(H22:H23)</f>
        <v/>
      </c>
      <c r="I21" s="653">
        <f>+SUM(I22:I23)</f>
        <v/>
      </c>
      <c r="J21" s="653">
        <f>+SUM(J22:J23)</f>
        <v/>
      </c>
      <c r="K21" s="653">
        <f>+SUM(K22:K23)</f>
        <v/>
      </c>
      <c r="L21" s="653">
        <f>+SUM(L22:L23)</f>
        <v/>
      </c>
      <c r="M21" s="653">
        <f>+SUM(M22:M23)</f>
        <v/>
      </c>
      <c r="N21" s="653">
        <f>+SUM(N22:N23)</f>
        <v/>
      </c>
      <c r="O21" s="653">
        <f>+SUM(O22:O23)</f>
        <v/>
      </c>
      <c r="P21" s="653">
        <f>+SUM(P22:P23)</f>
        <v/>
      </c>
      <c r="Q21" s="653">
        <f>+SUM(Q22:Q23)</f>
        <v/>
      </c>
      <c r="R21" s="653">
        <f>+SUM(R22:R23)</f>
        <v/>
      </c>
      <c r="S21" s="653">
        <f>+SUM(S22:S23)</f>
        <v/>
      </c>
      <c r="T21" s="653">
        <f>+SUM(T22:T23)</f>
        <v/>
      </c>
      <c r="U21" s="653">
        <f>+SUM(U22:U23)</f>
        <v/>
      </c>
      <c r="V21" s="653">
        <f>+SUM(V22:V23)</f>
        <v/>
      </c>
      <c r="W21" s="653">
        <f>+SUM(W22:W23)</f>
        <v/>
      </c>
      <c r="X21" s="653">
        <f>+SUM(X22:X23)</f>
        <v/>
      </c>
      <c r="Y21" s="653">
        <f>+SUM(Y22:Y23)</f>
        <v/>
      </c>
      <c r="Z21" s="653">
        <f>+SUM(Z22:Z23)</f>
        <v/>
      </c>
      <c r="AA21" s="653">
        <f>+SUM(AA22:AA23)</f>
        <v/>
      </c>
      <c r="AB21" s="653">
        <f>+SUM(AB22:AB23)</f>
        <v/>
      </c>
      <c r="AC21" s="653">
        <f>+SUM(AC22:AC23)</f>
        <v/>
      </c>
      <c r="AD21" s="653">
        <f>+SUM(AD22:AD23)</f>
        <v/>
      </c>
      <c r="AE21" s="653">
        <f>+SUM(AE22:AE23)</f>
        <v/>
      </c>
      <c r="AF21" s="653">
        <f>+SUM(AF22:AF23)</f>
        <v/>
      </c>
      <c r="AG21" s="653">
        <f>+SUM(AG22:AG23)</f>
        <v/>
      </c>
      <c r="AH21" s="653">
        <f>+SUM(AH22:AH23)</f>
        <v/>
      </c>
      <c r="AI21" s="653">
        <f>+SUM(AI22:AI23)</f>
        <v/>
      </c>
      <c r="AJ21" s="653">
        <f>+SUM(AJ22:AJ23)</f>
        <v/>
      </c>
      <c r="AK21" s="653">
        <f>+SUM(AK22:AK23)</f>
        <v/>
      </c>
      <c r="AL21" s="653">
        <f>+SUM(AL22:AL23)</f>
        <v/>
      </c>
      <c r="AM21" s="653">
        <f>+SUM(AM22:AM23)</f>
        <v/>
      </c>
      <c r="AN21" s="653">
        <f>+SUM(AN22:AN23)</f>
        <v/>
      </c>
      <c r="AO21" s="653">
        <f>+SUM(AO22:AO23)</f>
        <v/>
      </c>
      <c r="AP21" s="653">
        <f>+SUM(AP22:AP23)</f>
        <v/>
      </c>
      <c r="AQ21" s="653">
        <f>+SUM(AQ22:AQ23)</f>
        <v/>
      </c>
      <c r="AR21" s="653">
        <f>+SUM(AR22:AR23)</f>
        <v/>
      </c>
      <c r="AS21" s="653">
        <f>+SUM(AS22:AS23)</f>
        <v/>
      </c>
      <c r="AT21" s="653">
        <f>+SUM(AT22:AT23)</f>
        <v/>
      </c>
      <c r="AU21" s="653">
        <f>+SUM(AU22:AU23)</f>
        <v/>
      </c>
      <c r="AV21" s="653">
        <f>+SUM(AV22:AV23)</f>
        <v/>
      </c>
      <c r="AW21" s="653">
        <f>+SUM(AW22:AW23)</f>
        <v/>
      </c>
      <c r="AX21" s="653">
        <f>+SUM(AX22:AX23)</f>
        <v/>
      </c>
      <c r="AY21" s="653">
        <f>+SUM(AY22:AY23)</f>
        <v/>
      </c>
      <c r="AZ21" s="653">
        <f>+SUM(AZ22:AZ23)</f>
        <v/>
      </c>
      <c r="BA21" s="653">
        <f>+SUM(BA22:BA23)</f>
        <v/>
      </c>
      <c r="BB21" s="653">
        <f>+SUM(BB22:BB23)</f>
        <v/>
      </c>
      <c r="BC21" s="653">
        <f>+SUM(BC22:BC23)</f>
        <v/>
      </c>
      <c r="BD21" s="653">
        <f>+SUM(BD22:BD23)</f>
        <v/>
      </c>
      <c r="BE21" s="653">
        <f>+SUM(BE22:BE23)</f>
        <v/>
      </c>
      <c r="BF21" s="653">
        <f>+SUM(BF22:BF23)</f>
        <v/>
      </c>
      <c r="BG21" s="653">
        <f>+SUM(BG22:BG23)</f>
        <v/>
      </c>
      <c r="BH21" s="653">
        <f>+SUM(BH22:BH23)</f>
        <v/>
      </c>
      <c r="BI21" s="653">
        <f>+SUM(BI22:BI23)</f>
        <v/>
      </c>
      <c r="BJ21" s="653">
        <f>+SUM(BJ22:BJ23)</f>
        <v/>
      </c>
      <c r="BK21" s="653">
        <f>+SUM(BK22:BK23)</f>
        <v/>
      </c>
    </row>
    <row r="22" customFormat="1" s="658">
      <c r="A22" s="78" t="inlineStr">
        <is>
          <t>Share Capital</t>
        </is>
      </c>
      <c r="B22" s="649" t="n"/>
      <c r="C22" s="650" t="n">
        <v>0</v>
      </c>
      <c r="D22" s="659">
        <f>B22+'Monthly CFS'!B24</f>
        <v/>
      </c>
      <c r="E22" s="659">
        <f>D22+'Monthly CFS'!C24</f>
        <v/>
      </c>
      <c r="F22" s="659">
        <f>E22+'Monthly CFS'!D24</f>
        <v/>
      </c>
      <c r="G22" s="659">
        <f>F22+'Monthly CFS'!E24</f>
        <v/>
      </c>
      <c r="H22" s="659">
        <f>G22+'Monthly CFS'!F24</f>
        <v/>
      </c>
      <c r="I22" s="659">
        <f>H22+'Monthly CFS'!G24</f>
        <v/>
      </c>
      <c r="J22" s="659">
        <f>I22+'Monthly CFS'!H24</f>
        <v/>
      </c>
      <c r="K22" s="659">
        <f>J22+'Monthly CFS'!I24</f>
        <v/>
      </c>
      <c r="L22" s="659">
        <f>K22+'Monthly CFS'!J24</f>
        <v/>
      </c>
      <c r="M22" s="659">
        <f>L22+'Monthly CFS'!K24</f>
        <v/>
      </c>
      <c r="N22" s="659">
        <f>M22+'Monthly CFS'!L24</f>
        <v/>
      </c>
      <c r="O22" s="659">
        <f>N22+'Monthly CFS'!M24</f>
        <v/>
      </c>
      <c r="P22" s="659">
        <f>O22+'Monthly CFS'!N24</f>
        <v/>
      </c>
      <c r="Q22" s="659">
        <f>P22+'Monthly CFS'!O24</f>
        <v/>
      </c>
      <c r="R22" s="659">
        <f>Q22+'Monthly CFS'!P24</f>
        <v/>
      </c>
      <c r="S22" s="659">
        <f>R22+'Monthly CFS'!Q24</f>
        <v/>
      </c>
      <c r="T22" s="659">
        <f>S22+'Monthly CFS'!R24</f>
        <v/>
      </c>
      <c r="U22" s="659">
        <f>T22+'Monthly CFS'!S24</f>
        <v/>
      </c>
      <c r="V22" s="659">
        <f>U22+'Monthly CFS'!T24</f>
        <v/>
      </c>
      <c r="W22" s="659">
        <f>V22+'Monthly CFS'!U24</f>
        <v/>
      </c>
      <c r="X22" s="659">
        <f>W22+'Monthly CFS'!V24</f>
        <v/>
      </c>
      <c r="Y22" s="659">
        <f>X22+'Monthly CFS'!W24</f>
        <v/>
      </c>
      <c r="Z22" s="659">
        <f>Y22+'Monthly CFS'!X24</f>
        <v/>
      </c>
      <c r="AA22" s="659">
        <f>Z22+'Monthly CFS'!Y24</f>
        <v/>
      </c>
      <c r="AB22" s="659">
        <f>AA22+'Monthly CFS'!Z24</f>
        <v/>
      </c>
      <c r="AC22" s="659">
        <f>AB22+'Monthly CFS'!AA24</f>
        <v/>
      </c>
      <c r="AD22" s="659">
        <f>AC22+'Monthly CFS'!AB24</f>
        <v/>
      </c>
      <c r="AE22" s="659">
        <f>AD22+'Monthly CFS'!AC24</f>
        <v/>
      </c>
      <c r="AF22" s="659">
        <f>AE22+'Monthly CFS'!AD24</f>
        <v/>
      </c>
      <c r="AG22" s="659">
        <f>AF22+'Monthly CFS'!AE24</f>
        <v/>
      </c>
      <c r="AH22" s="659">
        <f>AG22+'Monthly CFS'!AF24</f>
        <v/>
      </c>
      <c r="AI22" s="659">
        <f>AH22+'Monthly CFS'!AG24</f>
        <v/>
      </c>
      <c r="AJ22" s="659">
        <f>AI22+'Monthly CFS'!AH24</f>
        <v/>
      </c>
      <c r="AK22" s="659">
        <f>AJ22+'Monthly CFS'!AI24</f>
        <v/>
      </c>
      <c r="AL22" s="659">
        <f>AK22+'Monthly CFS'!AJ24</f>
        <v/>
      </c>
      <c r="AM22" s="659">
        <f>AL22+'Monthly CFS'!AK24</f>
        <v/>
      </c>
      <c r="AN22" s="659">
        <f>AM22+'Monthly CFS'!AL24</f>
        <v/>
      </c>
      <c r="AO22" s="659">
        <f>AN22+'Monthly CFS'!AM24</f>
        <v/>
      </c>
      <c r="AP22" s="659">
        <f>AO22+'Monthly CFS'!AN24</f>
        <v/>
      </c>
      <c r="AQ22" s="659">
        <f>AP22+'Monthly CFS'!AO24</f>
        <v/>
      </c>
      <c r="AR22" s="659">
        <f>AQ22+'Monthly CFS'!AP24</f>
        <v/>
      </c>
      <c r="AS22" s="659">
        <f>AR22+'Monthly CFS'!AQ24</f>
        <v/>
      </c>
      <c r="AT22" s="659">
        <f>AS22+'Monthly CFS'!AR24</f>
        <v/>
      </c>
      <c r="AU22" s="659">
        <f>AT22+'Monthly CFS'!AS24</f>
        <v/>
      </c>
      <c r="AV22" s="659">
        <f>AU22+'Monthly CFS'!AT24</f>
        <v/>
      </c>
      <c r="AW22" s="659">
        <f>AV22+'Monthly CFS'!AU24</f>
        <v/>
      </c>
      <c r="AX22" s="659">
        <f>AW22+'Monthly CFS'!AV24</f>
        <v/>
      </c>
      <c r="AY22" s="659">
        <f>AX22+'Monthly CFS'!AW24</f>
        <v/>
      </c>
      <c r="AZ22" s="659">
        <f>AY22+'Monthly CFS'!AX24</f>
        <v/>
      </c>
      <c r="BA22" s="659">
        <f>AZ22+'Monthly CFS'!AY24</f>
        <v/>
      </c>
      <c r="BB22" s="659">
        <f>BA22+'Monthly CFS'!AZ24</f>
        <v/>
      </c>
      <c r="BC22" s="659">
        <f>BB22+'Monthly CFS'!BA24</f>
        <v/>
      </c>
      <c r="BD22" s="659">
        <f>BC22+'Monthly CFS'!BB24</f>
        <v/>
      </c>
      <c r="BE22" s="659">
        <f>BD22+'Monthly CFS'!BC24</f>
        <v/>
      </c>
      <c r="BF22" s="659">
        <f>BE22+'Monthly CFS'!BD24</f>
        <v/>
      </c>
      <c r="BG22" s="659">
        <f>BF22+'Monthly CFS'!BE24</f>
        <v/>
      </c>
      <c r="BH22" s="659">
        <f>BG22+'Monthly CFS'!BF24</f>
        <v/>
      </c>
      <c r="BI22" s="659">
        <f>BH22+'Monthly CFS'!BG24</f>
        <v/>
      </c>
      <c r="BJ22" s="659">
        <f>BI22+'Monthly CFS'!BH24</f>
        <v/>
      </c>
      <c r="BK22" s="659">
        <f>BJ22+'Monthly CFS'!BI24</f>
        <v/>
      </c>
    </row>
    <row r="23" customFormat="1" s="658">
      <c r="A23" s="88" t="inlineStr">
        <is>
          <t>Retained Earnings</t>
        </is>
      </c>
      <c r="B23" s="649" t="n"/>
      <c r="C23" s="650" t="n">
        <v>0</v>
      </c>
      <c r="D23" s="659">
        <f>C23+'Monthly P&amp;L'!B67</f>
        <v/>
      </c>
      <c r="E23" s="659">
        <f>+D23+'Monthly P&amp;L'!C67</f>
        <v/>
      </c>
      <c r="F23" s="659">
        <f>+E23+'Monthly P&amp;L'!D67</f>
        <v/>
      </c>
      <c r="G23" s="659">
        <f>+F23+'Monthly P&amp;L'!E67</f>
        <v/>
      </c>
      <c r="H23" s="659">
        <f>+G23+'Monthly P&amp;L'!F67</f>
        <v/>
      </c>
      <c r="I23" s="659">
        <f>+H23+'Monthly P&amp;L'!G67</f>
        <v/>
      </c>
      <c r="J23" s="659">
        <f>+I23+'Monthly P&amp;L'!H67</f>
        <v/>
      </c>
      <c r="K23" s="659">
        <f>+J23+'Monthly P&amp;L'!I67</f>
        <v/>
      </c>
      <c r="L23" s="659">
        <f>+K23+'Monthly P&amp;L'!J67</f>
        <v/>
      </c>
      <c r="M23" s="659">
        <f>+L23+'Monthly P&amp;L'!K67</f>
        <v/>
      </c>
      <c r="N23" s="659">
        <f>+M23+'Monthly P&amp;L'!L67</f>
        <v/>
      </c>
      <c r="O23" s="659">
        <f>+N23+'Monthly P&amp;L'!M67</f>
        <v/>
      </c>
      <c r="P23" s="659">
        <f>+O23+'Monthly P&amp;L'!N67</f>
        <v/>
      </c>
      <c r="Q23" s="659">
        <f>+P23+'Monthly P&amp;L'!O67</f>
        <v/>
      </c>
      <c r="R23" s="659">
        <f>+Q23+'Monthly P&amp;L'!P67</f>
        <v/>
      </c>
      <c r="S23" s="659">
        <f>+R23+'Monthly P&amp;L'!Q67</f>
        <v/>
      </c>
      <c r="T23" s="659">
        <f>+S23+'Monthly P&amp;L'!R67</f>
        <v/>
      </c>
      <c r="U23" s="659">
        <f>+T23+'Monthly P&amp;L'!S67</f>
        <v/>
      </c>
      <c r="V23" s="659">
        <f>+U23+'Monthly P&amp;L'!T67</f>
        <v/>
      </c>
      <c r="W23" s="659">
        <f>+V23+'Monthly P&amp;L'!U67</f>
        <v/>
      </c>
      <c r="X23" s="659">
        <f>+W23+'Monthly P&amp;L'!V67</f>
        <v/>
      </c>
      <c r="Y23" s="659">
        <f>+X23+'Monthly P&amp;L'!W67</f>
        <v/>
      </c>
      <c r="Z23" s="659">
        <f>+Y23+'Monthly P&amp;L'!X67</f>
        <v/>
      </c>
      <c r="AA23" s="659">
        <f>+Z23+'Monthly P&amp;L'!Y67</f>
        <v/>
      </c>
      <c r="AB23" s="659">
        <f>+AA23+'Monthly P&amp;L'!Z67</f>
        <v/>
      </c>
      <c r="AC23" s="659">
        <f>+AB23+'Monthly P&amp;L'!AA67</f>
        <v/>
      </c>
      <c r="AD23" s="659">
        <f>+AC23+'Monthly P&amp;L'!AB67</f>
        <v/>
      </c>
      <c r="AE23" s="659">
        <f>+AD23+'Monthly P&amp;L'!AC67</f>
        <v/>
      </c>
      <c r="AF23" s="659">
        <f>+AE23+'Monthly P&amp;L'!AD67</f>
        <v/>
      </c>
      <c r="AG23" s="659">
        <f>+AF23+'Monthly P&amp;L'!AE67</f>
        <v/>
      </c>
      <c r="AH23" s="659">
        <f>+AG23+'Monthly P&amp;L'!AF67</f>
        <v/>
      </c>
      <c r="AI23" s="659">
        <f>+AH23+'Monthly P&amp;L'!AG67</f>
        <v/>
      </c>
      <c r="AJ23" s="659">
        <f>+AI23+'Monthly P&amp;L'!AH67</f>
        <v/>
      </c>
      <c r="AK23" s="659">
        <f>+AJ23+'Monthly P&amp;L'!AI67</f>
        <v/>
      </c>
      <c r="AL23" s="659">
        <f>+AK23+'Monthly P&amp;L'!AJ67</f>
        <v/>
      </c>
      <c r="AM23" s="659">
        <f>+AL23+'Monthly P&amp;L'!AK67</f>
        <v/>
      </c>
      <c r="AN23" s="659">
        <f>+AM23+'Monthly P&amp;L'!AL67</f>
        <v/>
      </c>
      <c r="AO23" s="659">
        <f>+AN23+'Monthly P&amp;L'!AM67</f>
        <v/>
      </c>
      <c r="AP23" s="659">
        <f>+AO23+'Monthly P&amp;L'!AN67</f>
        <v/>
      </c>
      <c r="AQ23" s="659">
        <f>+AP23+'Monthly P&amp;L'!AO67</f>
        <v/>
      </c>
      <c r="AR23" s="659">
        <f>+AQ23+'Monthly P&amp;L'!AP67</f>
        <v/>
      </c>
      <c r="AS23" s="659">
        <f>+AR23+'Monthly P&amp;L'!AQ67</f>
        <v/>
      </c>
      <c r="AT23" s="659">
        <f>+AS23+'Monthly P&amp;L'!AR67</f>
        <v/>
      </c>
      <c r="AU23" s="659">
        <f>+AT23+'Monthly P&amp;L'!AS67</f>
        <v/>
      </c>
      <c r="AV23" s="659">
        <f>+AU23+'Monthly P&amp;L'!AT67</f>
        <v/>
      </c>
      <c r="AW23" s="659">
        <f>+AV23+'Monthly P&amp;L'!AU67</f>
        <v/>
      </c>
      <c r="AX23" s="659">
        <f>+AW23+'Monthly P&amp;L'!AV67</f>
        <v/>
      </c>
      <c r="AY23" s="659">
        <f>+AX23+'Monthly P&amp;L'!AW67</f>
        <v/>
      </c>
      <c r="AZ23" s="659">
        <f>+AY23+'Monthly P&amp;L'!AX67</f>
        <v/>
      </c>
      <c r="BA23" s="659">
        <f>+AZ23+'Monthly P&amp;L'!AY67</f>
        <v/>
      </c>
      <c r="BB23" s="659">
        <f>+BA23+'Monthly P&amp;L'!AZ67</f>
        <v/>
      </c>
      <c r="BC23" s="659">
        <f>+BB23+'Monthly P&amp;L'!BA67</f>
        <v/>
      </c>
      <c r="BD23" s="659">
        <f>+BC23+'Monthly P&amp;L'!BB67</f>
        <v/>
      </c>
      <c r="BE23" s="659">
        <f>+BD23+'Monthly P&amp;L'!BC67</f>
        <v/>
      </c>
      <c r="BF23" s="659">
        <f>+BE23+'Monthly P&amp;L'!BD67</f>
        <v/>
      </c>
      <c r="BG23" s="659">
        <f>+BF23+'Monthly P&amp;L'!BE67</f>
        <v/>
      </c>
      <c r="BH23" s="659">
        <f>+BG23+'Monthly P&amp;L'!BF67</f>
        <v/>
      </c>
      <c r="BI23" s="659">
        <f>+BH23+'Monthly P&amp;L'!BG67</f>
        <v/>
      </c>
      <c r="BJ23" s="659">
        <f>+BI23+'Monthly P&amp;L'!BH67</f>
        <v/>
      </c>
      <c r="BK23" s="659">
        <f>+BJ23+'Monthly P&amp;L'!BI67</f>
        <v/>
      </c>
    </row>
    <row r="24" ht="14" customFormat="1" customHeight="1" s="655" thickBot="1">
      <c r="A24" s="134" t="inlineStr">
        <is>
          <t>TOTAL LIABILITIES &amp; SHAREHOLDER'S EQUITY</t>
        </is>
      </c>
      <c r="B24" s="656" t="n"/>
      <c r="C24" s="657">
        <f>+C17+C21</f>
        <v/>
      </c>
      <c r="D24" s="657">
        <f>+D17+D21</f>
        <v/>
      </c>
      <c r="E24" s="657">
        <f>+E17+E21</f>
        <v/>
      </c>
      <c r="F24" s="657">
        <f>+F17+F21</f>
        <v/>
      </c>
      <c r="G24" s="657">
        <f>+G17+G21</f>
        <v/>
      </c>
      <c r="H24" s="657">
        <f>+H17+H21</f>
        <v/>
      </c>
      <c r="I24" s="657">
        <f>+I17+I21</f>
        <v/>
      </c>
      <c r="J24" s="657">
        <f>+J17+J21</f>
        <v/>
      </c>
      <c r="K24" s="657">
        <f>+K17+K21</f>
        <v/>
      </c>
      <c r="L24" s="657">
        <f>+L17+L21</f>
        <v/>
      </c>
      <c r="M24" s="657">
        <f>+M17+M21</f>
        <v/>
      </c>
      <c r="N24" s="657">
        <f>+N17+N21</f>
        <v/>
      </c>
      <c r="O24" s="657">
        <f>+O17+O21</f>
        <v/>
      </c>
      <c r="P24" s="657">
        <f>+P17+P21</f>
        <v/>
      </c>
      <c r="Q24" s="657">
        <f>+Q17+Q21</f>
        <v/>
      </c>
      <c r="R24" s="657">
        <f>+R17+R21</f>
        <v/>
      </c>
      <c r="S24" s="657">
        <f>+S17+S21</f>
        <v/>
      </c>
      <c r="T24" s="657">
        <f>+T17+T21</f>
        <v/>
      </c>
      <c r="U24" s="657">
        <f>+U17+U21</f>
        <v/>
      </c>
      <c r="V24" s="657">
        <f>+V17+V21</f>
        <v/>
      </c>
      <c r="W24" s="657">
        <f>+W17+W21</f>
        <v/>
      </c>
      <c r="X24" s="657">
        <f>+X17+X21</f>
        <v/>
      </c>
      <c r="Y24" s="657">
        <f>+Y17+Y21</f>
        <v/>
      </c>
      <c r="Z24" s="657">
        <f>+Z17+Z21</f>
        <v/>
      </c>
      <c r="AA24" s="657">
        <f>+AA17+AA21</f>
        <v/>
      </c>
      <c r="AB24" s="657">
        <f>+AB17+AB21</f>
        <v/>
      </c>
      <c r="AC24" s="657">
        <f>+AC17+AC21</f>
        <v/>
      </c>
      <c r="AD24" s="657">
        <f>+AD17+AD21</f>
        <v/>
      </c>
      <c r="AE24" s="657">
        <f>+AE17+AE21</f>
        <v/>
      </c>
      <c r="AF24" s="657">
        <f>+AF17+AF21</f>
        <v/>
      </c>
      <c r="AG24" s="657">
        <f>+AG17+AG21</f>
        <v/>
      </c>
      <c r="AH24" s="657">
        <f>+AH17+AH21</f>
        <v/>
      </c>
      <c r="AI24" s="657">
        <f>+AI17+AI21</f>
        <v/>
      </c>
      <c r="AJ24" s="657">
        <f>+AJ17+AJ21</f>
        <v/>
      </c>
      <c r="AK24" s="657">
        <f>+AK17+AK21</f>
        <v/>
      </c>
      <c r="AL24" s="657">
        <f>+AL17+AL21</f>
        <v/>
      </c>
      <c r="AM24" s="657">
        <f>+AM17+AM21</f>
        <v/>
      </c>
      <c r="AN24" s="657">
        <f>+AN17+AN21</f>
        <v/>
      </c>
      <c r="AO24" s="657">
        <f>+AO17+AO21</f>
        <v/>
      </c>
      <c r="AP24" s="657">
        <f>+AP17+AP21</f>
        <v/>
      </c>
      <c r="AQ24" s="657">
        <f>+AQ17+AQ21</f>
        <v/>
      </c>
      <c r="AR24" s="657">
        <f>+AR17+AR21</f>
        <v/>
      </c>
      <c r="AS24" s="657">
        <f>+AS17+AS21</f>
        <v/>
      </c>
      <c r="AT24" s="657">
        <f>+AT17+AT21</f>
        <v/>
      </c>
      <c r="AU24" s="657">
        <f>+AU17+AU21</f>
        <v/>
      </c>
      <c r="AV24" s="657">
        <f>+AV17+AV21</f>
        <v/>
      </c>
      <c r="AW24" s="657">
        <f>+AW17+AW21</f>
        <v/>
      </c>
      <c r="AX24" s="657">
        <f>+AX17+AX21</f>
        <v/>
      </c>
      <c r="AY24" s="657">
        <f>+AY17+AY21</f>
        <v/>
      </c>
      <c r="AZ24" s="657">
        <f>+AZ17+AZ21</f>
        <v/>
      </c>
      <c r="BA24" s="657">
        <f>+BA17+BA21</f>
        <v/>
      </c>
      <c r="BB24" s="657">
        <f>+BB17+BB21</f>
        <v/>
      </c>
      <c r="BC24" s="657">
        <f>+BC17+BC21</f>
        <v/>
      </c>
      <c r="BD24" s="657">
        <f>+BD17+BD21</f>
        <v/>
      </c>
      <c r="BE24" s="657">
        <f>+BE17+BE21</f>
        <v/>
      </c>
      <c r="BF24" s="657">
        <f>+BF17+BF21</f>
        <v/>
      </c>
      <c r="BG24" s="657">
        <f>+BG17+BG21</f>
        <v/>
      </c>
      <c r="BH24" s="657">
        <f>+BH17+BH21</f>
        <v/>
      </c>
      <c r="BI24" s="657">
        <f>+BI17+BI21</f>
        <v/>
      </c>
      <c r="BJ24" s="657">
        <f>+BJ17+BJ21</f>
        <v/>
      </c>
      <c r="BK24" s="657">
        <f>+BK17+BK21</f>
        <v/>
      </c>
    </row>
    <row r="25" ht="14" customHeight="1" s="497" thickTop="1">
      <c r="A25" s="1" t="n"/>
      <c r="C25" s="640" t="n"/>
      <c r="D25" s="640" t="n"/>
      <c r="E25" s="640" t="n"/>
      <c r="F25" s="640" t="n"/>
      <c r="G25" s="640" t="n"/>
      <c r="H25" s="640" t="n"/>
      <c r="I25" s="640" t="n"/>
      <c r="J25" s="640" t="n"/>
      <c r="K25" s="640" t="n"/>
      <c r="L25" s="640" t="n"/>
      <c r="M25" s="640" t="n"/>
      <c r="N25" s="640" t="n"/>
      <c r="O25" s="640" t="n"/>
      <c r="P25" s="640" t="n"/>
      <c r="Q25" s="640" t="n"/>
      <c r="R25" s="640" t="n"/>
      <c r="S25" s="640" t="n"/>
      <c r="T25" s="640" t="n"/>
      <c r="U25" s="640" t="n"/>
      <c r="V25" s="640" t="n"/>
      <c r="W25" s="640" t="n"/>
      <c r="X25" s="640" t="n"/>
      <c r="Y25" s="640" t="n"/>
      <c r="Z25" s="640" t="n"/>
      <c r="AA25" s="640" t="n"/>
      <c r="AB25" s="640" t="n"/>
      <c r="AC25" s="640" t="n"/>
      <c r="AD25" s="640" t="n"/>
      <c r="AE25" s="640" t="n"/>
      <c r="AF25" s="640" t="n"/>
      <c r="AG25" s="640" t="n"/>
      <c r="AH25" s="640" t="n"/>
      <c r="AI25" s="640" t="n"/>
      <c r="AJ25" s="640" t="n"/>
      <c r="AK25" s="640" t="n"/>
      <c r="AL25" s="640" t="n"/>
      <c r="AM25" s="640" t="n"/>
      <c r="AN25" s="640" t="n"/>
      <c r="AO25" s="640" t="n"/>
      <c r="AP25" s="640" t="n"/>
      <c r="AQ25" s="640" t="n"/>
      <c r="AR25" s="640" t="n"/>
      <c r="AS25" s="640" t="n"/>
      <c r="AT25" s="640" t="n"/>
      <c r="AU25" s="640" t="n"/>
      <c r="AV25" s="640" t="n"/>
      <c r="AW25" s="640" t="n"/>
      <c r="AX25" s="640" t="n"/>
      <c r="AY25" s="640" t="n"/>
      <c r="AZ25" s="640" t="n"/>
      <c r="BA25" s="640" t="n"/>
      <c r="BB25" s="640" t="n"/>
      <c r="BC25" s="640" t="n"/>
      <c r="BD25" s="640" t="n"/>
      <c r="BE25" s="640" t="n"/>
      <c r="BF25" s="640" t="n"/>
      <c r="BG25" s="640" t="n"/>
      <c r="BH25" s="640" t="n"/>
      <c r="BI25" s="640" t="n"/>
      <c r="BJ25" s="640" t="n"/>
      <c r="BK25" s="640" t="n"/>
    </row>
    <row r="26" customFormat="1" s="170">
      <c r="A26" s="51" t="inlineStr">
        <is>
          <t>Check please</t>
        </is>
      </c>
      <c r="B26" s="660" t="n"/>
      <c r="C26" s="661">
        <f>+C15-C24</f>
        <v/>
      </c>
      <c r="D26" s="661">
        <f>+D15-D24</f>
        <v/>
      </c>
      <c r="E26" s="661">
        <f>+E15-E24</f>
        <v/>
      </c>
      <c r="F26" s="661">
        <f>+F15-F24</f>
        <v/>
      </c>
      <c r="G26" s="661">
        <f>+G15-G24</f>
        <v/>
      </c>
      <c r="H26" s="661">
        <f>+H15-H24</f>
        <v/>
      </c>
      <c r="I26" s="661">
        <f>+I15-I24</f>
        <v/>
      </c>
      <c r="J26" s="661">
        <f>+J15-J24</f>
        <v/>
      </c>
      <c r="K26" s="661">
        <f>+K15-K24</f>
        <v/>
      </c>
      <c r="L26" s="661">
        <f>+L15-L24</f>
        <v/>
      </c>
      <c r="M26" s="661">
        <f>+M15-M24</f>
        <v/>
      </c>
      <c r="N26" s="661">
        <f>+N15-N24</f>
        <v/>
      </c>
      <c r="O26" s="661">
        <f>+O15-O24</f>
        <v/>
      </c>
      <c r="P26" s="661">
        <f>+P15-P24</f>
        <v/>
      </c>
      <c r="Q26" s="661">
        <f>+Q15-Q24</f>
        <v/>
      </c>
      <c r="R26" s="661">
        <f>+R15-R24</f>
        <v/>
      </c>
      <c r="S26" s="661">
        <f>+S15-S24</f>
        <v/>
      </c>
      <c r="T26" s="661">
        <f>+T15-T24</f>
        <v/>
      </c>
      <c r="U26" s="661">
        <f>+U15-U24</f>
        <v/>
      </c>
      <c r="V26" s="661">
        <f>+V15-V24</f>
        <v/>
      </c>
      <c r="W26" s="661">
        <f>+W15-W24</f>
        <v/>
      </c>
      <c r="X26" s="661">
        <f>+X15-X24</f>
        <v/>
      </c>
      <c r="Y26" s="661">
        <f>+Y15-Y24</f>
        <v/>
      </c>
      <c r="Z26" s="661">
        <f>+Z15-Z24</f>
        <v/>
      </c>
      <c r="AA26" s="661">
        <f>+AA15-AA24</f>
        <v/>
      </c>
      <c r="AB26" s="661">
        <f>+AB15-AB24</f>
        <v/>
      </c>
      <c r="AC26" s="661">
        <f>+AC15-AC24</f>
        <v/>
      </c>
      <c r="AD26" s="661">
        <f>+AD15-AD24</f>
        <v/>
      </c>
      <c r="AE26" s="661">
        <f>+AE15-AE24</f>
        <v/>
      </c>
      <c r="AF26" s="661">
        <f>+AF15-AF24</f>
        <v/>
      </c>
      <c r="AG26" s="661">
        <f>+AG15-AG24</f>
        <v/>
      </c>
      <c r="AH26" s="661">
        <f>+AH15-AH24</f>
        <v/>
      </c>
      <c r="AI26" s="661">
        <f>+AI15-AI24</f>
        <v/>
      </c>
      <c r="AJ26" s="661">
        <f>+AJ15-AJ24</f>
        <v/>
      </c>
      <c r="AK26" s="661">
        <f>+AK15-AK24</f>
        <v/>
      </c>
      <c r="AL26" s="661">
        <f>+AL15-AL24</f>
        <v/>
      </c>
      <c r="AM26" s="661">
        <f>+AM15-AM24</f>
        <v/>
      </c>
      <c r="AN26" s="661">
        <f>+AN15-AN24</f>
        <v/>
      </c>
      <c r="AO26" s="661">
        <f>+AO15-AO24</f>
        <v/>
      </c>
      <c r="AP26" s="661">
        <f>+AP15-AP24</f>
        <v/>
      </c>
      <c r="AQ26" s="661">
        <f>+AQ15-AQ24</f>
        <v/>
      </c>
      <c r="AR26" s="661">
        <f>+AR15-AR24</f>
        <v/>
      </c>
      <c r="AS26" s="661">
        <f>+AS15-AS24</f>
        <v/>
      </c>
      <c r="AT26" s="661">
        <f>+AT15-AT24</f>
        <v/>
      </c>
      <c r="AU26" s="661">
        <f>+AU15-AU24</f>
        <v/>
      </c>
      <c r="AV26" s="661">
        <f>+AV15-AV24</f>
        <v/>
      </c>
      <c r="AW26" s="661">
        <f>+AW15-AW24</f>
        <v/>
      </c>
      <c r="AX26" s="661">
        <f>+AX15-AX24</f>
        <v/>
      </c>
      <c r="AY26" s="661">
        <f>+AY15-AY24</f>
        <v/>
      </c>
      <c r="AZ26" s="661">
        <f>+AZ15-AZ24</f>
        <v/>
      </c>
      <c r="BA26" s="661">
        <f>+BA15-BA24</f>
        <v/>
      </c>
      <c r="BB26" s="661">
        <f>+BB15-BB24</f>
        <v/>
      </c>
      <c r="BC26" s="661">
        <f>+BC15-BC24</f>
        <v/>
      </c>
      <c r="BD26" s="661">
        <f>+BD15-BD24</f>
        <v/>
      </c>
      <c r="BE26" s="661">
        <f>+BE15-BE24</f>
        <v/>
      </c>
      <c r="BF26" s="661">
        <f>+BF15-BF24</f>
        <v/>
      </c>
      <c r="BG26" s="661">
        <f>+BG15-BG24</f>
        <v/>
      </c>
      <c r="BH26" s="661">
        <f>+BH15-BH24</f>
        <v/>
      </c>
      <c r="BI26" s="661">
        <f>+BI15-BI24</f>
        <v/>
      </c>
      <c r="BJ26" s="661">
        <f>+BJ15-BJ24</f>
        <v/>
      </c>
      <c r="BK26" s="661">
        <f>+BK15-BK24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I71"/>
  <sheetViews>
    <sheetView zoomScale="205" zoomScaleNormal="205" workbookViewId="0">
      <selection activeCell="A38" sqref="A38:A52"/>
    </sheetView>
  </sheetViews>
  <sheetFormatPr baseColWidth="10" defaultColWidth="11.5" defaultRowHeight="13"/>
  <cols>
    <col width="37.83203125" customWidth="1" style="497" min="1" max="1"/>
    <col width="16.5" customWidth="1" style="497" min="2" max="6"/>
    <col width="14.6640625" bestFit="1" customWidth="1" style="497" min="7" max="8"/>
  </cols>
  <sheetData>
    <row r="1" ht="28" customFormat="1" customHeight="1" s="309">
      <c r="A1" s="304" t="inlineStr">
        <is>
          <t>Brevo Motors</t>
        </is>
      </c>
      <c r="B1" s="305" t="n"/>
      <c r="C1" s="305" t="n"/>
      <c r="D1" s="305" t="n"/>
      <c r="E1" s="305" t="n"/>
      <c r="F1" s="305" t="n"/>
      <c r="G1" s="306" t="n"/>
      <c r="H1" s="306" t="n"/>
      <c r="I1" s="307" t="n"/>
      <c r="J1" s="307" t="n"/>
      <c r="K1" s="307" t="n"/>
      <c r="L1" s="307" t="n"/>
      <c r="M1" s="307" t="n"/>
      <c r="N1" s="307" t="n"/>
      <c r="O1" s="307" t="n"/>
      <c r="P1" s="307" t="n"/>
      <c r="Q1" s="307" t="n"/>
      <c r="R1" s="307" t="n"/>
      <c r="S1" s="307" t="n"/>
      <c r="T1" s="307" t="n"/>
      <c r="U1" s="307" t="n"/>
      <c r="V1" s="307" t="n"/>
      <c r="W1" s="307" t="n"/>
      <c r="X1" s="307" t="n"/>
      <c r="Y1" s="307" t="n"/>
      <c r="Z1" s="307" t="n"/>
      <c r="AA1" s="307" t="n"/>
      <c r="AB1" s="307" t="n"/>
      <c r="AC1" s="307" t="n"/>
      <c r="AD1" s="307" t="n"/>
      <c r="AE1" s="307" t="n"/>
      <c r="AF1" s="307" t="n"/>
      <c r="AG1" s="307" t="n"/>
      <c r="AH1" s="307" t="n"/>
      <c r="AI1" s="307" t="n"/>
      <c r="AJ1" s="307" t="n"/>
      <c r="AK1" s="307" t="n"/>
      <c r="AL1" s="307" t="n"/>
      <c r="AM1" s="307" t="n"/>
      <c r="AN1" s="307" t="n"/>
      <c r="AO1" s="307" t="n"/>
      <c r="AP1" s="307" t="n"/>
      <c r="AQ1" s="307" t="n"/>
      <c r="AR1" s="307" t="n"/>
      <c r="AS1" s="307" t="n"/>
      <c r="AT1" s="307" t="n"/>
      <c r="AU1" s="307" t="n"/>
      <c r="AV1" s="307" t="n"/>
      <c r="AW1" s="307" t="n"/>
      <c r="AX1" s="307" t="n"/>
      <c r="AY1" s="307" t="n"/>
      <c r="AZ1" s="307" t="n"/>
      <c r="BA1" s="307" t="n"/>
      <c r="BB1" s="307" t="n"/>
      <c r="BC1" s="307" t="n"/>
      <c r="BD1" s="307" t="n"/>
      <c r="BE1" s="307" t="n"/>
      <c r="BF1" s="308" t="n"/>
      <c r="BG1" s="308" t="n"/>
      <c r="BH1" s="308" t="n"/>
      <c r="BI1" s="308" t="n"/>
    </row>
    <row r="2" customFormat="1" s="309">
      <c r="A2" s="310" t="inlineStr">
        <is>
          <t>Valuation</t>
        </is>
      </c>
      <c r="B2" s="311" t="n"/>
      <c r="C2" s="311" t="n"/>
      <c r="D2" s="311" t="n"/>
      <c r="E2" s="311" t="n"/>
      <c r="F2" s="311" t="n"/>
      <c r="G2" s="311" t="n"/>
      <c r="H2" s="311" t="n"/>
      <c r="I2" s="311" t="n"/>
      <c r="J2" s="311" t="n"/>
      <c r="K2" s="311" t="n"/>
      <c r="L2" s="311" t="n"/>
      <c r="M2" s="311" t="n"/>
      <c r="N2" s="311" t="n"/>
      <c r="O2" s="311" t="n"/>
      <c r="P2" s="311" t="n"/>
      <c r="Q2" s="311" t="n"/>
      <c r="R2" s="311" t="n"/>
      <c r="S2" s="311" t="n"/>
      <c r="T2" s="311" t="n"/>
      <c r="U2" s="311" t="n"/>
      <c r="V2" s="311" t="n"/>
      <c r="W2" s="311" t="n"/>
      <c r="X2" s="311" t="n"/>
      <c r="Y2" s="311" t="n"/>
      <c r="Z2" s="311" t="n"/>
      <c r="AA2" s="311" t="n"/>
      <c r="AB2" s="311" t="n"/>
      <c r="AC2" s="311" t="n"/>
      <c r="AD2" s="311" t="n"/>
      <c r="AE2" s="311" t="n"/>
      <c r="AF2" s="311" t="n"/>
      <c r="AG2" s="311" t="n"/>
      <c r="AH2" s="311" t="n"/>
      <c r="AI2" s="311" t="n"/>
      <c r="AJ2" s="311" t="n"/>
      <c r="AK2" s="311" t="n"/>
      <c r="AL2" s="311" t="n"/>
      <c r="AM2" s="311" t="n"/>
      <c r="AN2" s="311" t="n"/>
      <c r="AO2" s="311" t="n"/>
      <c r="AP2" s="311" t="n"/>
      <c r="AQ2" s="311" t="n"/>
      <c r="AR2" s="311" t="n"/>
      <c r="AS2" s="311" t="n"/>
      <c r="AT2" s="311" t="n"/>
      <c r="AU2" s="311" t="n"/>
      <c r="AV2" s="311" t="n"/>
      <c r="AW2" s="311" t="n"/>
      <c r="AX2" s="311" t="n"/>
      <c r="AY2" s="311" t="n"/>
      <c r="AZ2" s="311" t="n"/>
      <c r="BA2" s="311" t="n"/>
      <c r="BB2" s="311" t="n"/>
      <c r="BC2" s="311" t="n"/>
      <c r="BD2" s="311" t="n"/>
      <c r="BE2" s="311" t="n"/>
      <c r="BF2" s="311" t="n"/>
      <c r="BG2" s="311" t="n"/>
      <c r="BH2" s="311" t="n"/>
      <c r="BI2" s="311" t="n"/>
    </row>
    <row r="3" customFormat="1" s="309">
      <c r="A3" s="312" t="inlineStr">
        <is>
          <t>Amounts in USD</t>
        </is>
      </c>
      <c r="B3" s="311" t="n"/>
      <c r="C3" s="311" t="n"/>
      <c r="D3" s="311" t="n"/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</row>
    <row r="4"/>
    <row r="5" customFormat="1" s="309">
      <c r="A5" s="313" t="inlineStr">
        <is>
          <t>Method of Valuation</t>
        </is>
      </c>
      <c r="B5" s="313" t="inlineStr">
        <is>
          <t>Valuation</t>
        </is>
      </c>
      <c r="C5" s="313" t="inlineStr">
        <is>
          <t>Equity Offered</t>
        </is>
      </c>
      <c r="D5" s="314" t="inlineStr">
        <is>
          <t>Valuation Range</t>
        </is>
      </c>
      <c r="E5" s="314" t="n"/>
      <c r="F5" s="314" t="n"/>
    </row>
    <row r="6">
      <c r="A6" s="315" t="n"/>
      <c r="B6" s="315" t="n"/>
      <c r="C6" s="315" t="n"/>
      <c r="D6" s="316">
        <f>A1&amp;" can be valued between EUR "&amp;ROUND(B13/10^6,2)&amp;" Million and EUR "&amp;ROUND(B14/10^6,2)&amp;" Million"</f>
        <v/>
      </c>
      <c r="E6" s="316" t="n"/>
      <c r="F6" s="316" t="n"/>
    </row>
    <row r="7">
      <c r="A7" s="317" t="inlineStr">
        <is>
          <t>DCF</t>
        </is>
      </c>
      <c r="B7" s="662">
        <f>B34</f>
        <v/>
      </c>
      <c r="C7" s="315" t="n"/>
      <c r="D7" s="316" t="n"/>
      <c r="E7" s="316" t="n"/>
      <c r="F7" s="316" t="n"/>
    </row>
    <row r="8">
      <c r="A8" s="317" t="inlineStr">
        <is>
          <t>Multiple Comparable Method</t>
        </is>
      </c>
      <c r="B8" s="662">
        <f>B71</f>
        <v/>
      </c>
      <c r="C8" s="315" t="n"/>
      <c r="D8" s="192" t="inlineStr">
        <is>
          <t>POTENTIAL OF GRANT/SUBSIDIES IS NOT CONSIDERED IN THIS PLAN</t>
        </is>
      </c>
      <c r="E8" s="316" t="n"/>
      <c r="F8" s="316" t="n"/>
    </row>
    <row r="9">
      <c r="A9" s="317" t="inlineStr">
        <is>
          <t>EV/Revenue</t>
        </is>
      </c>
      <c r="B9" s="662" t="n"/>
      <c r="C9" s="315" t="n"/>
      <c r="D9" s="316" t="n"/>
      <c r="E9" s="316" t="n"/>
      <c r="F9" s="316" t="n"/>
    </row>
    <row r="10">
      <c r="A10" s="317" t="inlineStr">
        <is>
          <t>EV/EBITDA</t>
        </is>
      </c>
      <c r="B10" s="662" t="n"/>
      <c r="C10" s="315" t="n"/>
      <c r="D10" s="316" t="n"/>
      <c r="E10" s="316" t="n"/>
      <c r="F10" s="316" t="n"/>
    </row>
    <row r="11">
      <c r="A11" s="315" t="n"/>
      <c r="B11" s="662" t="n"/>
      <c r="C11" s="315" t="n"/>
      <c r="D11" s="316" t="n"/>
      <c r="E11" s="316" t="n"/>
      <c r="F11" s="316" t="n"/>
    </row>
    <row r="12">
      <c r="A12" s="319" t="inlineStr">
        <is>
          <t>Mean Valuation</t>
        </is>
      </c>
      <c r="B12" s="663">
        <f>AVERAGE(B7:B8)</f>
        <v/>
      </c>
      <c r="C12" s="321" t="n"/>
      <c r="D12" s="664" t="n"/>
      <c r="E12" s="664" t="n"/>
      <c r="F12" s="664" t="n"/>
    </row>
    <row r="13">
      <c r="A13" s="319" t="inlineStr">
        <is>
          <t>Minimum Valuation</t>
        </is>
      </c>
      <c r="B13" s="663">
        <f>MIN(B7:B8)</f>
        <v/>
      </c>
      <c r="C13" s="321" t="n"/>
      <c r="D13" s="664" t="n"/>
      <c r="E13" s="664" t="n"/>
      <c r="F13" s="664" t="n"/>
    </row>
    <row r="14">
      <c r="A14" s="323" t="inlineStr">
        <is>
          <t>Maximum Valuation</t>
        </is>
      </c>
      <c r="B14" s="665">
        <f>MAX(B7:B8)</f>
        <v/>
      </c>
      <c r="C14" s="325" t="n"/>
      <c r="D14" s="664" t="n"/>
      <c r="E14" s="664" t="n"/>
      <c r="F14" s="664" t="n"/>
    </row>
    <row r="15"/>
    <row r="16" customFormat="1" s="327">
      <c r="A16" s="326" t="inlineStr">
        <is>
          <t>Discounted Cash Flow Method (DCF)</t>
        </is>
      </c>
    </row>
    <row r="17"/>
    <row r="18">
      <c r="A18" s="18" t="inlineStr">
        <is>
          <t>Input</t>
        </is>
      </c>
    </row>
    <row r="19">
      <c r="A19" s="328" t="inlineStr">
        <is>
          <t>Continuing Growth Rate market</t>
        </is>
      </c>
      <c r="B19" s="666" t="n">
        <v>0.035</v>
      </c>
      <c r="C19" s="329" t="n"/>
      <c r="D19" s="329" t="n"/>
      <c r="E19" s="329" t="n"/>
      <c r="F19" s="329" t="n"/>
    </row>
    <row r="20">
      <c r="A20" s="328" t="inlineStr">
        <is>
          <t>Discount Rate</t>
        </is>
      </c>
      <c r="B20" s="362" t="n">
        <v>0.15</v>
      </c>
      <c r="C20" s="329" t="n"/>
      <c r="D20" s="329" t="n"/>
      <c r="E20" s="329" t="n"/>
      <c r="F20" s="329" t="n"/>
    </row>
    <row r="21"/>
    <row r="22">
      <c r="B22" s="330" t="inlineStr">
        <is>
          <t>Year 1</t>
        </is>
      </c>
      <c r="C22" s="330" t="inlineStr">
        <is>
          <t>Year 2</t>
        </is>
      </c>
      <c r="D22" s="330" t="inlineStr">
        <is>
          <t>Year 3</t>
        </is>
      </c>
      <c r="E22" s="330" t="inlineStr">
        <is>
          <t>Year 4</t>
        </is>
      </c>
      <c r="F22" s="330" t="inlineStr">
        <is>
          <t>Year 5</t>
        </is>
      </c>
    </row>
    <row r="23">
      <c r="A23" s="331" t="inlineStr">
        <is>
          <t>EBIT</t>
        </is>
      </c>
      <c r="B23" s="667">
        <f>'[2]10 Annual P&amp;L'!B62</f>
        <v/>
      </c>
      <c r="C23" s="667">
        <f>'[2]10 Annual P&amp;L'!C62</f>
        <v/>
      </c>
      <c r="D23" s="667">
        <f>'[2]10 Annual P&amp;L'!D62</f>
        <v/>
      </c>
      <c r="E23" s="667">
        <f>'[2]10 Annual P&amp;L'!E62</f>
        <v/>
      </c>
      <c r="F23" s="667">
        <f>'[2]10 Annual P&amp;L'!F62</f>
        <v/>
      </c>
      <c r="G23" s="668" t="n"/>
    </row>
    <row r="24">
      <c r="A24" s="331" t="inlineStr">
        <is>
          <t>Less: Taxes</t>
        </is>
      </c>
      <c r="B24" s="667">
        <f>-'[2]10 Annual P&amp;L'!B63</f>
        <v/>
      </c>
      <c r="C24" s="667">
        <f>-'[2]10 Annual P&amp;L'!C63</f>
        <v/>
      </c>
      <c r="D24" s="667">
        <f>-'[2]10 Annual P&amp;L'!D63</f>
        <v/>
      </c>
      <c r="E24" s="667">
        <f>-'[2]10 Annual P&amp;L'!E63</f>
        <v/>
      </c>
      <c r="F24" s="667">
        <f>-'[2]10 Annual P&amp;L'!F63</f>
        <v/>
      </c>
      <c r="G24" s="668" t="n"/>
    </row>
    <row r="25">
      <c r="A25" s="331" t="inlineStr">
        <is>
          <t>Add: D&amp;A</t>
        </is>
      </c>
      <c r="B25" s="667">
        <f>'[2]10 Annual P&amp;L'!B59</f>
        <v/>
      </c>
      <c r="C25" s="667">
        <f>'[2]10 Annual P&amp;L'!C59</f>
        <v/>
      </c>
      <c r="D25" s="667">
        <f>'[2]10 Annual P&amp;L'!D59</f>
        <v/>
      </c>
      <c r="E25" s="667">
        <f>'[2]10 Annual P&amp;L'!E59</f>
        <v/>
      </c>
      <c r="F25" s="667">
        <f>'[2]10 Annual P&amp;L'!F59</f>
        <v/>
      </c>
      <c r="G25" s="668" t="n"/>
    </row>
    <row r="26">
      <c r="A26" s="331" t="inlineStr">
        <is>
          <t>Less: CAPEX</t>
        </is>
      </c>
      <c r="B26" s="667">
        <f>'[2]12 Annual CFS'!B19</f>
        <v/>
      </c>
      <c r="C26" s="667">
        <f>'[2]12 Annual CFS'!C19</f>
        <v/>
      </c>
      <c r="D26" s="667">
        <f>'[2]12 Annual CFS'!D19</f>
        <v/>
      </c>
      <c r="E26" s="669">
        <f>'[2]12 Annual CFS'!E19</f>
        <v/>
      </c>
      <c r="F26" s="667">
        <f>'[2]12 Annual CFS'!F19</f>
        <v/>
      </c>
      <c r="G26" s="670" t="inlineStr">
        <is>
          <t>Strategic decision to be owner of facilities</t>
        </is>
      </c>
    </row>
    <row r="27">
      <c r="A27" s="331" t="inlineStr">
        <is>
          <t>Less: Changes in NWC</t>
        </is>
      </c>
      <c r="B27" s="667">
        <f>SUM('[2]12 Annual CFS'!B11:B12)</f>
        <v/>
      </c>
      <c r="C27" s="667">
        <f>SUM('[2]12 Annual CFS'!C11:C12)</f>
        <v/>
      </c>
      <c r="D27" s="667">
        <f>SUM('[2]12 Annual CFS'!D11:D12)</f>
        <v/>
      </c>
      <c r="E27" s="667">
        <f>SUM('[2]12 Annual CFS'!E11:E12)</f>
        <v/>
      </c>
      <c r="F27" s="667">
        <f>SUM('[2]12 Annual CFS'!F11:F12)</f>
        <v/>
      </c>
      <c r="G27" s="668" t="n"/>
    </row>
    <row r="28">
      <c r="A28" s="336" t="inlineStr">
        <is>
          <t>Free Cash Flow (FCF)</t>
        </is>
      </c>
      <c r="B28" s="671">
        <f>SUM(B23:B27)</f>
        <v/>
      </c>
      <c r="C28" s="671">
        <f>SUM(C23:C27)</f>
        <v/>
      </c>
      <c r="D28" s="671">
        <f>SUM(D23:D27)</f>
        <v/>
      </c>
      <c r="E28" s="671">
        <f>SUM(E23:E27)</f>
        <v/>
      </c>
      <c r="F28" s="671">
        <f>SUM(F23:F27)</f>
        <v/>
      </c>
      <c r="G28" s="668" t="n"/>
    </row>
    <row r="29">
      <c r="B29" s="668" t="n"/>
      <c r="C29" s="668" t="n"/>
      <c r="D29" s="668" t="n"/>
      <c r="E29" s="668" t="n"/>
      <c r="F29" s="668" t="n"/>
      <c r="G29" s="668" t="n"/>
    </row>
    <row r="30">
      <c r="A30" s="337" t="inlineStr">
        <is>
          <t>Terminal Value</t>
        </is>
      </c>
      <c r="B30" s="667">
        <f>F28*(1+B19)/(B20-B19)</f>
        <v/>
      </c>
      <c r="C30" s="672" t="n"/>
      <c r="D30" s="672" t="n"/>
      <c r="E30" s="672" t="n"/>
      <c r="F30" s="672" t="n"/>
      <c r="G30" s="668" t="n"/>
    </row>
    <row r="31">
      <c r="B31" s="672" t="n"/>
      <c r="C31" s="672" t="n"/>
      <c r="D31" s="672" t="n"/>
      <c r="E31" s="672" t="n"/>
      <c r="F31" s="672" t="n"/>
      <c r="G31" s="668" t="n"/>
    </row>
    <row r="32">
      <c r="A32" s="338" t="inlineStr">
        <is>
          <t>Total FCF</t>
        </is>
      </c>
      <c r="B32" s="673">
        <f>B28</f>
        <v/>
      </c>
      <c r="C32" s="673">
        <f>C28</f>
        <v/>
      </c>
      <c r="D32" s="673">
        <f>D28</f>
        <v/>
      </c>
      <c r="E32" s="673">
        <f>E28</f>
        <v/>
      </c>
      <c r="F32" s="673">
        <f>F28+B30</f>
        <v/>
      </c>
      <c r="G32" s="668" t="n"/>
    </row>
    <row r="33">
      <c r="B33" s="672" t="n"/>
      <c r="C33" s="672" t="n"/>
      <c r="D33" s="672" t="n"/>
      <c r="E33" s="672" t="n"/>
      <c r="F33" s="672" t="n"/>
    </row>
    <row r="34">
      <c r="A34" s="340" t="inlineStr">
        <is>
          <t>NPV (Net Present Value)</t>
        </is>
      </c>
      <c r="B34" s="674">
        <f>NPV(B20,B32:F32)</f>
        <v/>
      </c>
      <c r="C34" s="672" t="n"/>
      <c r="D34" s="672" t="n"/>
      <c r="E34" s="672" t="n"/>
      <c r="F34" s="672" t="n"/>
    </row>
    <row r="35">
      <c r="A35" s="342" t="n"/>
      <c r="B35" s="675" t="n"/>
    </row>
    <row r="36">
      <c r="C36" s="676" t="inlineStr">
        <is>
          <t>Discount Rate</t>
        </is>
      </c>
    </row>
    <row r="37">
      <c r="A37" s="367" t="inlineStr">
        <is>
          <t>Scenario Analysis of NPV NOT EDITABLE</t>
        </is>
      </c>
      <c r="B37" s="677">
        <f>B34</f>
        <v/>
      </c>
      <c r="C37" s="344" t="n">
        <v>0.05</v>
      </c>
      <c r="D37" s="344" t="n">
        <v>0.1</v>
      </c>
      <c r="E37" s="363" t="n">
        <v>0.15</v>
      </c>
      <c r="F37" s="344" t="n">
        <v>0.2</v>
      </c>
      <c r="G37" s="344" t="n">
        <v>0.25</v>
      </c>
      <c r="H37" s="344" t="n">
        <v>0.3</v>
      </c>
    </row>
    <row r="38">
      <c r="A38" s="678" t="inlineStr">
        <is>
          <t xml:space="preserve">Growth Rate </t>
        </is>
      </c>
      <c r="B38" s="679" t="n">
        <v>0.005</v>
      </c>
      <c r="C38" s="672" t="n">
        <v>24680514.47498761</v>
      </c>
      <c r="D38" s="672" t="n">
        <v>8788145.076926494</v>
      </c>
      <c r="E38" s="672" t="n">
        <v>4228551.846269807</v>
      </c>
      <c r="F38" s="672" t="n">
        <v>2220514.293269807</v>
      </c>
      <c r="G38" s="672" t="n">
        <v>1164332.797213649</v>
      </c>
      <c r="H38" s="672" t="n">
        <v>552650.7468197455</v>
      </c>
    </row>
    <row r="39">
      <c r="B39" s="679" t="n">
        <v>0.01</v>
      </c>
      <c r="C39" s="672" t="n">
        <v>27988499.42062033</v>
      </c>
      <c r="D39" s="672" t="n">
        <v>9366316.164797608</v>
      </c>
      <c r="E39" s="672" t="n">
        <v>4432399.551339921</v>
      </c>
      <c r="F39" s="672" t="n">
        <v>2314720.611128614</v>
      </c>
      <c r="G39" s="672" t="n">
        <v>1214749.663450639</v>
      </c>
      <c r="H39" s="672" t="n">
        <v>582271.7527251608</v>
      </c>
    </row>
    <row r="40">
      <c r="B40" s="679" t="n">
        <v>0.015</v>
      </c>
      <c r="C40" s="672" t="n">
        <v>32241622.92214809</v>
      </c>
      <c r="D40" s="672" t="n">
        <v>10012507.38065356</v>
      </c>
      <c r="E40" s="672" t="n">
        <v>4651347.086415228</v>
      </c>
      <c r="F40" s="672" t="n">
        <v>2414019.162385195</v>
      </c>
      <c r="G40" s="672" t="n">
        <v>1267311.928250906</v>
      </c>
      <c r="H40" s="672" t="n">
        <v>612932.0921711175</v>
      </c>
    </row>
    <row r="41">
      <c r="B41" s="679" t="n">
        <v>0.02</v>
      </c>
      <c r="C41" s="672" t="n">
        <v>37912454.25751846</v>
      </c>
      <c r="D41" s="672" t="n">
        <v>10739472.49849151</v>
      </c>
      <c r="E41" s="672" t="n">
        <v>4887136.739573252</v>
      </c>
      <c r="F41" s="672" t="n">
        <v>2518834.299822696</v>
      </c>
      <c r="G41" s="672" t="n">
        <v>1322159.508912054</v>
      </c>
      <c r="H41" s="672" t="n">
        <v>644687.443740144</v>
      </c>
    </row>
    <row r="42">
      <c r="B42" s="679" t="n">
        <v>0.025</v>
      </c>
      <c r="C42" s="672" t="n">
        <v>45851618.12703696</v>
      </c>
      <c r="D42" s="680" t="n">
        <v>11563366.29870784</v>
      </c>
      <c r="E42" s="680" t="n">
        <v>5141789.564983916</v>
      </c>
      <c r="F42" s="680" t="n">
        <v>2629638.873685198</v>
      </c>
      <c r="G42" s="672" t="n">
        <v>1379444.759824808</v>
      </c>
      <c r="H42" s="672" t="n">
        <v>677597.5353662258</v>
      </c>
    </row>
    <row r="43">
      <c r="B43" s="679" t="n">
        <v>0.03</v>
      </c>
      <c r="C43" s="672" t="n">
        <v>57760363.93131472</v>
      </c>
      <c r="D43" s="680" t="n">
        <v>12504959.2132408</v>
      </c>
      <c r="E43" s="680" t="n">
        <v>5417663.459178804</v>
      </c>
      <c r="F43" s="680" t="n">
        <v>2746961.363657259</v>
      </c>
      <c r="G43" s="672" t="n">
        <v>1439333.885779051</v>
      </c>
      <c r="H43" s="672" t="n">
        <v>711726.5192747549</v>
      </c>
    </row>
    <row r="44">
      <c r="B44" s="681" t="n">
        <v>0.035</v>
      </c>
      <c r="C44" s="672" t="n">
        <v>77608273.605111</v>
      </c>
      <c r="D44" s="680" t="n">
        <v>13591412.57616344</v>
      </c>
      <c r="E44" s="677" t="n">
        <v>5717526.387651508</v>
      </c>
      <c r="F44" s="680" t="n">
        <v>2871394.307567021</v>
      </c>
      <c r="G44" s="672" t="n">
        <v>1502008.552475351</v>
      </c>
      <c r="H44" s="672" t="n">
        <v>747143.3893685117</v>
      </c>
    </row>
    <row r="45">
      <c r="B45" s="679" t="n">
        <v>0.04</v>
      </c>
      <c r="C45" s="672" t="n">
        <v>117304092.9527035</v>
      </c>
      <c r="D45" s="680" t="n">
        <v>14858941.4995732</v>
      </c>
      <c r="E45" s="680" t="n">
        <v>6044649.582349004</v>
      </c>
      <c r="F45" s="680" t="n">
        <v>3003604.310471143</v>
      </c>
      <c r="G45" s="672" t="n">
        <v>1567667.727109572</v>
      </c>
      <c r="H45" s="672" t="n">
        <v>783922.4467735672</v>
      </c>
    </row>
    <row r="46">
      <c r="B46" s="679" t="n">
        <v>0.045</v>
      </c>
      <c r="C46" s="672" t="n">
        <v>236391550.9954809</v>
      </c>
      <c r="D46" s="680" t="n">
        <v>16356930.22723926</v>
      </c>
      <c r="E46" s="680" t="n">
        <v>6402927.367017687</v>
      </c>
      <c r="F46" s="680" t="n">
        <v>3144343.990981982</v>
      </c>
      <c r="G46" s="672" t="n">
        <v>1636529.788311314</v>
      </c>
      <c r="H46" s="672" t="n">
        <v>822143.8201552916</v>
      </c>
    </row>
    <row r="47">
      <c r="B47" s="679" t="n">
        <v>0.05</v>
      </c>
      <c r="C47" s="672" t="n">
        <v>236391550.9954809</v>
      </c>
      <c r="D47" s="672" t="n">
        <v>18154516.70043855</v>
      </c>
      <c r="E47" s="672" t="n">
        <v>6797032.930153241</v>
      </c>
      <c r="F47" s="672" t="n">
        <v>3294466.316860211</v>
      </c>
      <c r="G47" s="672" t="n">
        <v>1708834.952573144</v>
      </c>
      <c r="H47" s="672" t="n">
        <v>861894.0484722843</v>
      </c>
    </row>
    <row r="48">
      <c r="B48" s="679" t="n">
        <v>0.055</v>
      </c>
      <c r="C48" s="672" t="n">
        <v>-239958281.1756294</v>
      </c>
      <c r="D48" s="672" t="n">
        <v>20351566.83434878</v>
      </c>
      <c r="E48" s="672" t="n">
        <v>7232623.289408326</v>
      </c>
      <c r="F48" s="672" t="n">
        <v>3454941.90659211</v>
      </c>
      <c r="G48" s="672" t="n">
        <v>1784848.073976607</v>
      </c>
      <c r="H48" s="672" t="n">
        <v>903266.7350879305</v>
      </c>
    </row>
    <row r="49">
      <c r="B49" s="679" t="n">
        <v>0.06</v>
      </c>
      <c r="C49" s="672" t="n">
        <v>-120870823.1328517</v>
      </c>
      <c r="D49" s="672" t="n">
        <v>23097879.50173658</v>
      </c>
      <c r="E49" s="672" t="n">
        <v>7716612.577469534</v>
      </c>
      <c r="F49" s="672" t="n">
        <v>3626880.038447716</v>
      </c>
      <c r="G49" s="672" t="n">
        <v>1864861.885980252</v>
      </c>
      <c r="H49" s="672" t="n">
        <v>946363.2836458953</v>
      </c>
    </row>
    <row r="50">
      <c r="B50" s="679" t="n">
        <v>0.065</v>
      </c>
      <c r="C50" s="672" t="n">
        <v>-81175003.78525914</v>
      </c>
      <c r="D50" s="672" t="n">
        <v>26628852.93123517</v>
      </c>
      <c r="E50" s="672" t="n">
        <v>8257541.781773233</v>
      </c>
      <c r="F50" s="672" t="n">
        <v>3811554.328218553</v>
      </c>
      <c r="G50" s="672" t="n">
        <v>1949200.768903012</v>
      </c>
      <c r="H50" s="672" t="n">
        <v>991293.7278871768</v>
      </c>
    </row>
    <row r="51">
      <c r="B51" s="679" t="n">
        <v>0.07000000000000001</v>
      </c>
      <c r="C51" s="672" t="n">
        <v>-61327094.11146286</v>
      </c>
      <c r="D51" s="672" t="n">
        <v>31336817.50389997</v>
      </c>
      <c r="E51" s="672" t="n">
        <v>8866087.1366149</v>
      </c>
      <c r="F51" s="672" t="n">
        <v>4010434.332587146</v>
      </c>
      <c r="G51" s="672" t="n">
        <v>2038225.145321482</v>
      </c>
      <c r="H51" s="672" t="n">
        <v>1038177.669704167</v>
      </c>
    </row>
    <row r="52">
      <c r="B52" s="679" t="n">
        <v>0.075</v>
      </c>
      <c r="C52" s="672" t="n">
        <v>-49418348.30718513</v>
      </c>
      <c r="D52" s="672" t="n">
        <v>37927967.90563066</v>
      </c>
      <c r="E52" s="672" t="n">
        <v>9555771.872102117</v>
      </c>
      <c r="F52" s="672" t="n">
        <v>4225224.737305228</v>
      </c>
      <c r="G52" s="672" t="n">
        <v>2132336.628963863</v>
      </c>
      <c r="H52" s="672" t="n">
        <v>1087145.342268579</v>
      </c>
    </row>
    <row r="53"/>
    <row r="54"/>
    <row r="55" customFormat="1" s="327">
      <c r="A55" s="326" t="inlineStr">
        <is>
          <t>Trading Multiples Comparable Method</t>
        </is>
      </c>
    </row>
    <row r="56"/>
    <row r="57">
      <c r="A57" s="346" t="inlineStr">
        <is>
          <t>Company</t>
        </is>
      </c>
      <c r="B57" s="288" t="inlineStr">
        <is>
          <t>EV/Revenue</t>
        </is>
      </c>
      <c r="C57" s="347" t="inlineStr">
        <is>
          <t>EV/EBITDA</t>
        </is>
      </c>
      <c r="D57" s="347" t="inlineStr">
        <is>
          <t>Stock Exchange</t>
        </is>
      </c>
    </row>
    <row r="58">
      <c r="A58" s="348" t="inlineStr">
        <is>
          <t>Piaggio &amp; C. SpA (PIA.MI)</t>
        </is>
      </c>
      <c r="B58" s="349" t="n">
        <v>0.87</v>
      </c>
      <c r="C58" s="350" t="n">
        <v>6.24</v>
      </c>
      <c r="D58" s="348" t="inlineStr">
        <is>
          <t>Milan</t>
        </is>
      </c>
      <c r="E58" s="351" t="inlineStr">
        <is>
          <t>Source</t>
        </is>
      </c>
    </row>
    <row r="59">
      <c r="A59" s="317" t="inlineStr">
        <is>
          <t>Yamaha Motor Co., Ltd. (7272.T)</t>
        </is>
      </c>
      <c r="B59" s="349" t="n">
        <v>0.64</v>
      </c>
      <c r="C59" s="350" t="n">
        <v>4.64</v>
      </c>
      <c r="D59" s="317" t="inlineStr">
        <is>
          <t>Tokyo</t>
        </is>
      </c>
      <c r="E59" s="351" t="inlineStr">
        <is>
          <t>Source</t>
        </is>
      </c>
    </row>
    <row r="60">
      <c r="A60" s="317" t="inlineStr">
        <is>
          <t>Lightning eMotors, Inc. (ZEV)</t>
        </is>
      </c>
      <c r="B60" s="349" t="n">
        <v>2.02</v>
      </c>
      <c r="C60" s="350" t="n">
        <v>1.54</v>
      </c>
      <c r="D60" s="317" t="inlineStr">
        <is>
          <t>NYSE</t>
        </is>
      </c>
      <c r="E60" s="351" t="inlineStr">
        <is>
          <t>Source</t>
        </is>
      </c>
      <c r="F60" s="352" t="inlineStr">
        <is>
          <t>A potentially comparable company that manufactures electric bikes</t>
        </is>
      </c>
    </row>
    <row r="61">
      <c r="A61" s="317" t="inlineStr">
        <is>
          <t>Kawasaki Kisen Kaisha, Ltd. (9107.T)</t>
        </is>
      </c>
      <c r="B61" s="349" t="n">
        <v>0.74</v>
      </c>
      <c r="C61" s="350" t="n">
        <v>0.78</v>
      </c>
      <c r="D61" s="317" t="inlineStr">
        <is>
          <t>Tokyo</t>
        </is>
      </c>
      <c r="E61" s="353" t="inlineStr">
        <is>
          <t>Source</t>
        </is>
      </c>
    </row>
    <row r="62">
      <c r="A62" s="317" t="inlineStr">
        <is>
          <t>Harley-Davidson, Inc. (HOG)</t>
        </is>
      </c>
      <c r="B62" s="349" t="n">
        <v>1.89</v>
      </c>
      <c r="C62" s="350" t="n">
        <v>9.74</v>
      </c>
      <c r="D62" s="317" t="inlineStr">
        <is>
          <t>NYSE</t>
        </is>
      </c>
      <c r="E62" s="353" t="inlineStr">
        <is>
          <t>Source</t>
        </is>
      </c>
      <c r="F62" s="352" t="inlineStr">
        <is>
          <t>Though not directly competing, they are still a major motorcylce manufacturer</t>
        </is>
      </c>
    </row>
    <row r="63">
      <c r="A63" s="354" t="inlineStr">
        <is>
          <t>Hero MotoCorp Limited (HEROMOTOCO.NS)</t>
        </is>
      </c>
      <c r="B63" s="355" t="n">
        <v>1.34</v>
      </c>
      <c r="C63" s="356" t="n">
        <v>10.19</v>
      </c>
      <c r="D63" s="354" t="inlineStr">
        <is>
          <t>NSI</t>
        </is>
      </c>
      <c r="E63" s="351" t="inlineStr">
        <is>
          <t>Source</t>
        </is>
      </c>
    </row>
    <row r="64"/>
    <row r="65">
      <c r="A65" s="89" t="inlineStr">
        <is>
          <t>Median Multiple</t>
        </is>
      </c>
      <c r="B65" s="357">
        <f>MEDIAN(B58:B63)</f>
        <v/>
      </c>
      <c r="C65" s="357">
        <f>MEDIAN(C58:C63)</f>
        <v/>
      </c>
    </row>
    <row r="66"/>
    <row r="67">
      <c r="A67" s="89" t="inlineStr">
        <is>
          <t>Revenue for Year 5</t>
        </is>
      </c>
      <c r="B67" s="672">
        <f>'[2]10 Annual P&amp;L'!F13</f>
        <v/>
      </c>
      <c r="C67" s="672" t="n"/>
    </row>
    <row r="68">
      <c r="A68" s="266" t="inlineStr">
        <is>
          <t>EBITDA For Year 5</t>
        </is>
      </c>
      <c r="B68" s="668" t="n"/>
      <c r="C68" s="672">
        <f>'[2]10 Annual P&amp;L'!F56</f>
        <v/>
      </c>
    </row>
    <row r="69">
      <c r="A69" s="266" t="n"/>
      <c r="B69" s="668" t="n"/>
      <c r="C69" s="672" t="n"/>
    </row>
    <row r="70">
      <c r="A70" s="358" t="inlineStr">
        <is>
          <t>Valuation as of Year 5</t>
        </is>
      </c>
      <c r="B70" s="682">
        <f>B65*B67</f>
        <v/>
      </c>
      <c r="C70" s="682">
        <f>C65*C68</f>
        <v/>
      </c>
    </row>
    <row r="71">
      <c r="A71" s="90" t="inlineStr">
        <is>
          <t>NPV</t>
        </is>
      </c>
      <c r="B71" s="683">
        <f>B70/(1+$B$20)^5</f>
        <v/>
      </c>
      <c r="C71" s="683">
        <f>C70/(1+$B$20)^5</f>
        <v/>
      </c>
    </row>
  </sheetData>
  <mergeCells count="2">
    <mergeCell ref="A38:A52"/>
    <mergeCell ref="C36:H36"/>
  </mergeCells>
  <hyperlinks>
    <hyperlink xmlns:r="http://schemas.openxmlformats.org/officeDocument/2006/relationships" ref="E58" r:id="rId1"/>
    <hyperlink xmlns:r="http://schemas.openxmlformats.org/officeDocument/2006/relationships" ref="E59" r:id="rId2"/>
    <hyperlink xmlns:r="http://schemas.openxmlformats.org/officeDocument/2006/relationships" ref="E60" r:id="rId3"/>
    <hyperlink xmlns:r="http://schemas.openxmlformats.org/officeDocument/2006/relationships" ref="E61" r:id="rId4"/>
    <hyperlink xmlns:r="http://schemas.openxmlformats.org/officeDocument/2006/relationships" ref="E62" r:id="rId5"/>
    <hyperlink xmlns:r="http://schemas.openxmlformats.org/officeDocument/2006/relationships" ref="E63" r:id="rId6"/>
  </hyperlink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Payal</dc:creator>
  <dcterms:created xmlns:dcterms="http://purl.org/dc/terms/" xmlns:xsi="http://www.w3.org/2001/XMLSchema-instance" xsi:type="dcterms:W3CDTF">2020-12-14T04:31:14Z</dcterms:created>
  <dcterms:modified xmlns:dcterms="http://purl.org/dc/terms/" xmlns:xsi="http://www.w3.org/2001/XMLSchema-instance" xsi:type="dcterms:W3CDTF">2026-10-06T13:03:03Z</dcterms:modified>
  <cp:lastModifiedBy>Jean Claude havaux</cp:lastModifiedBy>
  <cp:lastPrinted>2025-10-13T09:02:22Z</cp:lastPrinted>
</cp:coreProperties>
</file>