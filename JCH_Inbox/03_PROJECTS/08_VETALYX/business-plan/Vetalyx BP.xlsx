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chavauxm5/PKA_JCH/JCH_Inbox/03_PROJECTS/08_VETALYX/business-plan/"/>
    </mc:Choice>
  </mc:AlternateContent>
  <xr:revisionPtr revIDLastSave="0" documentId="13_ncr:1_{62A5BE4C-FDC5-5E46-854C-70892E794F73}" xr6:coauthVersionLast="47" xr6:coauthVersionMax="47" xr10:uidLastSave="{00000000-0000-0000-0000-000000000000}"/>
  <workbookProtection workbookAlgorithmName="SHA-512" workbookHashValue="X5O3mdIruRxZZOzNO7zwBaxV5F69xSr31vvJ6ajC1WTzZw+CPkx7n4e0K2clGwKcGjqfMnX/awiUe26O9adyWQ==" workbookSaltValue="1bNX4W/umZ12pX6Ts4zG6g==" workbookSpinCount="100000" lockStructure="1"/>
  <bookViews>
    <workbookView xWindow="0" yWindow="660" windowWidth="30240" windowHeight="17460" tabRatio="906" firstSheet="6" activeTab="12" xr2:uid="{00000000-000D-0000-FFFF-FFFF00000000}"/>
  </bookViews>
  <sheets>
    <sheet name="Index" sheetId="13" r:id="rId1"/>
    <sheet name="DATA Raw" sheetId="41" r:id="rId2"/>
    <sheet name="Competitors" sheetId="45" r:id="rId3"/>
    <sheet name="Controls" sheetId="5" r:id="rId4"/>
    <sheet name="Revenue Asumptions" sheetId="6" r:id="rId5"/>
    <sheet name="Expense Assumptions" sheetId="8" r:id="rId6"/>
    <sheet name="RH TIMELINE" sheetId="40" r:id="rId7"/>
    <sheet name="Payroll Assumptions" sheetId="35" r:id="rId8"/>
    <sheet name="Debt Schedule" sheetId="38" r:id="rId9"/>
    <sheet name="Fixed Asset Schedules" sheetId="29" r:id="rId10"/>
    <sheet name="Working Capital Schedule" sheetId="39" r:id="rId11"/>
    <sheet name="Monthly P&amp;L" sheetId="32" r:id="rId12"/>
    <sheet name="Annual P&amp;L" sheetId="10" r:id="rId13"/>
    <sheet name="Monthly CFS" sheetId="33" r:id="rId14"/>
    <sheet name="Annual CFS" sheetId="19" r:id="rId15"/>
    <sheet name=" Balance Sheet" sheetId="34" r:id="rId16"/>
    <sheet name="Valuation" sheetId="42" r:id="rId17"/>
  </sheets>
  <externalReferences>
    <externalReference r:id="rId18"/>
    <externalReference r:id="rId1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0" l="1"/>
  <c r="E11" i="10"/>
  <c r="F11" i="10"/>
  <c r="G11" i="10"/>
  <c r="C11" i="10"/>
  <c r="D21" i="10"/>
  <c r="E21" i="10"/>
  <c r="F21" i="10"/>
  <c r="G21" i="10"/>
  <c r="C21" i="10"/>
  <c r="D156" i="5"/>
  <c r="C156" i="5"/>
  <c r="B156" i="5"/>
  <c r="E156" i="5"/>
  <c r="F156" i="5"/>
  <c r="D15" i="10"/>
  <c r="E15" i="10"/>
  <c r="F15" i="10"/>
  <c r="G15" i="10"/>
  <c r="C15" i="10"/>
  <c r="D20" i="10"/>
  <c r="E20" i="10"/>
  <c r="F20" i="10"/>
  <c r="G20" i="10"/>
  <c r="C20" i="10"/>
  <c r="D10" i="10"/>
  <c r="E10" i="10"/>
  <c r="F10" i="10"/>
  <c r="G10" i="10"/>
  <c r="C10" i="10"/>
  <c r="C68" i="8"/>
  <c r="D68" i="8"/>
  <c r="E68" i="8"/>
  <c r="F68" i="8"/>
  <c r="B68" i="8"/>
  <c r="C66" i="8"/>
  <c r="D66" i="8"/>
  <c r="E66" i="8"/>
  <c r="F66" i="8"/>
  <c r="B66" i="8"/>
  <c r="D64" i="8"/>
  <c r="E64" i="8"/>
  <c r="F64" i="8"/>
  <c r="C64" i="8"/>
  <c r="D63" i="8"/>
  <c r="E63" i="8"/>
  <c r="F63" i="8"/>
  <c r="C63" i="8"/>
  <c r="D61" i="8"/>
  <c r="E61" i="8"/>
  <c r="F61" i="8"/>
  <c r="C61" i="8"/>
  <c r="D60" i="8"/>
  <c r="E60" i="8"/>
  <c r="F60" i="8"/>
  <c r="F144" i="5"/>
  <c r="E144" i="5"/>
  <c r="D144" i="5"/>
  <c r="D59" i="8"/>
  <c r="E59" i="8"/>
  <c r="F59" i="8"/>
  <c r="C60" i="8"/>
  <c r="C59" i="8"/>
  <c r="F58" i="8"/>
  <c r="E58" i="8"/>
  <c r="D58" i="8"/>
  <c r="C58" i="8"/>
  <c r="D55" i="8"/>
  <c r="E55" i="8"/>
  <c r="F55" i="8"/>
  <c r="C55" i="8"/>
  <c r="D56" i="8"/>
  <c r="E56" i="8" s="1"/>
  <c r="F56" i="8" s="1"/>
  <c r="C47" i="8"/>
  <c r="D47" i="8"/>
  <c r="E47" i="8"/>
  <c r="F47" i="8"/>
  <c r="B47" i="8"/>
  <c r="C46" i="8"/>
  <c r="D46" i="8"/>
  <c r="E46" i="8"/>
  <c r="F46" i="8"/>
  <c r="B46" i="8"/>
  <c r="C45" i="8"/>
  <c r="D45" i="8"/>
  <c r="E45" i="8"/>
  <c r="F45" i="8"/>
  <c r="B45" i="8"/>
  <c r="C44" i="8"/>
  <c r="D44" i="8"/>
  <c r="E44" i="8"/>
  <c r="F44" i="8"/>
  <c r="B44" i="8"/>
  <c r="C43" i="8"/>
  <c r="D43" i="8"/>
  <c r="E43" i="8"/>
  <c r="F43" i="8"/>
  <c r="B43" i="8"/>
  <c r="C42" i="8"/>
  <c r="D42" i="8"/>
  <c r="E42" i="8"/>
  <c r="F42" i="8"/>
  <c r="B42" i="8"/>
  <c r="C41" i="8"/>
  <c r="D41" i="8"/>
  <c r="E41" i="8"/>
  <c r="F41" i="8"/>
  <c r="B41" i="8"/>
  <c r="C40" i="8"/>
  <c r="D40" i="8"/>
  <c r="E40" i="8"/>
  <c r="F40" i="8"/>
  <c r="B40" i="8"/>
  <c r="C39" i="8"/>
  <c r="D39" i="8"/>
  <c r="E39" i="8"/>
  <c r="F39" i="8"/>
  <c r="B39" i="8"/>
  <c r="C38" i="8"/>
  <c r="D38" i="8"/>
  <c r="E38" i="8"/>
  <c r="F38" i="8"/>
  <c r="B38" i="8"/>
  <c r="C37" i="8"/>
  <c r="D37" i="8"/>
  <c r="E37" i="8"/>
  <c r="F37" i="8"/>
  <c r="B37" i="8"/>
  <c r="C36" i="8"/>
  <c r="D36" i="8"/>
  <c r="E36" i="8"/>
  <c r="F36" i="8"/>
  <c r="B36" i="8"/>
  <c r="C35" i="8"/>
  <c r="D35" i="8"/>
  <c r="E35" i="8"/>
  <c r="F35" i="8"/>
  <c r="B35" i="8"/>
  <c r="C32" i="8"/>
  <c r="D32" i="8"/>
  <c r="E32" i="8"/>
  <c r="F32" i="8"/>
  <c r="C33" i="8"/>
  <c r="D33" i="8"/>
  <c r="E33" i="8"/>
  <c r="F33" i="8"/>
  <c r="C34" i="8"/>
  <c r="D34" i="8"/>
  <c r="E34" i="8"/>
  <c r="F34" i="8"/>
  <c r="B34" i="8"/>
  <c r="B33" i="8"/>
  <c r="B32" i="8"/>
  <c r="C26" i="8"/>
  <c r="D26" i="8"/>
  <c r="E26" i="8"/>
  <c r="F26" i="8"/>
  <c r="B26" i="8"/>
  <c r="C25" i="8"/>
  <c r="D25" i="8"/>
  <c r="E25" i="8"/>
  <c r="F25" i="8"/>
  <c r="B25" i="8"/>
  <c r="C24" i="8"/>
  <c r="D24" i="8"/>
  <c r="E24" i="8"/>
  <c r="F24" i="8"/>
  <c r="B24" i="8"/>
  <c r="C9" i="8"/>
  <c r="D9" i="8" s="1"/>
  <c r="E9" i="8" s="1"/>
  <c r="F9" i="8" s="1"/>
  <c r="E148" i="5"/>
  <c r="F148" i="5" s="1"/>
  <c r="D147" i="5"/>
  <c r="E147" i="5" s="1"/>
  <c r="F147" i="5" s="1"/>
  <c r="F142" i="5"/>
  <c r="D138" i="5"/>
  <c r="E138" i="5" s="1"/>
  <c r="F138" i="5" s="1"/>
  <c r="E141" i="5"/>
  <c r="F141" i="5" s="1"/>
  <c r="E137" i="5"/>
  <c r="F137" i="5" s="1"/>
  <c r="B126" i="5"/>
  <c r="B127" i="5" s="1"/>
  <c r="B124" i="5"/>
  <c r="B120" i="5"/>
  <c r="B116" i="5"/>
  <c r="B112" i="5"/>
  <c r="B108" i="5"/>
  <c r="C106" i="5"/>
  <c r="D106" i="5" s="1"/>
  <c r="B104" i="5"/>
  <c r="B100" i="5"/>
  <c r="E96" i="5"/>
  <c r="D96" i="5"/>
  <c r="C96" i="5"/>
  <c r="B96" i="5"/>
  <c r="B92" i="5"/>
  <c r="B88" i="5"/>
  <c r="F84" i="5"/>
  <c r="B84" i="5"/>
  <c r="C80" i="5"/>
  <c r="B80" i="5"/>
  <c r="D68" i="5"/>
  <c r="B76" i="5"/>
  <c r="B72" i="5"/>
  <c r="B68" i="5"/>
  <c r="C64" i="5"/>
  <c r="B64" i="5"/>
  <c r="B70" i="8" l="1"/>
  <c r="D70" i="8"/>
  <c r="F70" i="8"/>
  <c r="E70" i="8"/>
  <c r="B49" i="8"/>
  <c r="F49" i="8"/>
  <c r="C70" i="8"/>
  <c r="D49" i="8"/>
  <c r="C49" i="8"/>
  <c r="E49" i="8"/>
  <c r="B27" i="8"/>
  <c r="F27" i="8"/>
  <c r="D27" i="8"/>
  <c r="E27" i="8"/>
  <c r="C27" i="8"/>
  <c r="E106" i="5"/>
  <c r="D108" i="5"/>
  <c r="C108" i="5"/>
  <c r="E108" i="5" l="1"/>
  <c r="F106" i="5"/>
  <c r="F108" i="5" s="1"/>
  <c r="J36" i="6" l="1"/>
  <c r="J40" i="6" s="1"/>
  <c r="K40" i="6"/>
  <c r="L40" i="6"/>
  <c r="M40" i="6"/>
  <c r="N40" i="6"/>
  <c r="D34" i="5"/>
  <c r="G43" i="5"/>
  <c r="B32" i="5"/>
  <c r="C32" i="5"/>
  <c r="C29" i="5"/>
  <c r="E35" i="5" s="1"/>
  <c r="C28" i="5"/>
  <c r="D28" i="5" s="1"/>
  <c r="E28" i="5" s="1"/>
  <c r="F28" i="5" s="1"/>
  <c r="B27" i="5"/>
  <c r="C27" i="5" s="1"/>
  <c r="C27" i="41"/>
  <c r="C26" i="41"/>
  <c r="C24" i="41"/>
  <c r="C25" i="41" s="1"/>
  <c r="C23" i="41"/>
  <c r="Y46" i="6"/>
  <c r="X46" i="6"/>
  <c r="W46" i="6"/>
  <c r="U46" i="6"/>
  <c r="T46" i="6"/>
  <c r="S46" i="6"/>
  <c r="R46" i="6"/>
  <c r="Q46" i="6"/>
  <c r="P46" i="6"/>
  <c r="O46" i="6"/>
  <c r="N46" i="6"/>
  <c r="M46" i="6"/>
  <c r="L46" i="6"/>
  <c r="K46" i="6"/>
  <c r="I46" i="6"/>
  <c r="H46" i="6"/>
  <c r="G46" i="6"/>
  <c r="F46" i="6"/>
  <c r="E46" i="6"/>
  <c r="D46" i="6"/>
  <c r="C46" i="6"/>
  <c r="B46" i="6"/>
  <c r="C4" i="10"/>
  <c r="D29" i="5" l="1"/>
  <c r="E29" i="5" s="1"/>
  <c r="F29" i="5" s="1"/>
  <c r="D33" i="5"/>
  <c r="D27" i="5"/>
  <c r="F33" i="5" s="1"/>
  <c r="E33" i="5"/>
  <c r="F35" i="5"/>
  <c r="F34" i="5"/>
  <c r="F32" i="5" s="1"/>
  <c r="F43" i="5" s="1"/>
  <c r="AY46" i="6" s="1"/>
  <c r="E34" i="5"/>
  <c r="C26" i="5"/>
  <c r="C45" i="5" s="1"/>
  <c r="C46" i="5" s="1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K19" i="34"/>
  <c r="E32" i="5" l="1"/>
  <c r="E43" i="5" s="1"/>
  <c r="AQ46" i="6" s="1"/>
  <c r="BA46" i="6"/>
  <c r="BC46" i="6"/>
  <c r="BD46" i="6"/>
  <c r="E27" i="5"/>
  <c r="F27" i="5" s="1"/>
  <c r="F26" i="5" s="1"/>
  <c r="F45" i="5" s="1"/>
  <c r="F46" i="5" s="1"/>
  <c r="AZ46" i="6"/>
  <c r="D26" i="5"/>
  <c r="D45" i="5" s="1"/>
  <c r="D46" i="5" s="1"/>
  <c r="F36" i="5"/>
  <c r="C30" i="5"/>
  <c r="C51" i="5" s="1"/>
  <c r="AS46" i="6"/>
  <c r="AR46" i="6"/>
  <c r="AN46" i="6"/>
  <c r="AO46" i="6"/>
  <c r="AL46" i="6"/>
  <c r="AW46" i="6"/>
  <c r="AU46" i="6"/>
  <c r="BB46" i="6"/>
  <c r="AP46" i="6"/>
  <c r="AX46" i="6"/>
  <c r="AV46" i="6"/>
  <c r="AM46" i="6"/>
  <c r="BE46" i="6"/>
  <c r="C65" i="42"/>
  <c r="B65" i="42"/>
  <c r="F26" i="42"/>
  <c r="E26" i="42"/>
  <c r="D26" i="42"/>
  <c r="C26" i="42"/>
  <c r="B26" i="42"/>
  <c r="F25" i="42"/>
  <c r="E25" i="42"/>
  <c r="D25" i="42"/>
  <c r="C25" i="42"/>
  <c r="B25" i="42"/>
  <c r="E24" i="42"/>
  <c r="D24" i="42"/>
  <c r="C24" i="42"/>
  <c r="B24" i="42"/>
  <c r="E23" i="42"/>
  <c r="D23" i="42"/>
  <c r="C23" i="42"/>
  <c r="B23" i="42"/>
  <c r="D30" i="5" l="1"/>
  <c r="E26" i="5"/>
  <c r="E45" i="5" s="1"/>
  <c r="E46" i="5" s="1"/>
  <c r="F30" i="5"/>
  <c r="F51" i="5" s="1"/>
  <c r="B27" i="42"/>
  <c r="B28" i="42" s="1"/>
  <c r="B32" i="42" s="1"/>
  <c r="E30" i="5" l="1"/>
  <c r="E51" i="5" s="1"/>
  <c r="C27" i="42"/>
  <c r="C28" i="42" s="1"/>
  <c r="C32" i="42" s="1"/>
  <c r="D27" i="42"/>
  <c r="D28" i="42" s="1"/>
  <c r="D32" i="42" s="1"/>
  <c r="E27" i="42"/>
  <c r="E28" i="42" s="1"/>
  <c r="E32" i="42" s="1"/>
  <c r="F27" i="42" l="1"/>
  <c r="B67" i="42" l="1"/>
  <c r="B70" i="42" s="1"/>
  <c r="B71" i="42" s="1"/>
  <c r="B8" i="42" s="1"/>
  <c r="C68" i="42" l="1"/>
  <c r="C70" i="42" s="1"/>
  <c r="C71" i="42" s="1"/>
  <c r="F23" i="42" l="1"/>
  <c r="F24" i="42" l="1"/>
  <c r="F28" i="42" s="1"/>
  <c r="B30" i="42" l="1"/>
  <c r="F32" i="42" s="1"/>
  <c r="B34" i="42" s="1"/>
  <c r="B37" i="42" s="1"/>
  <c r="B7" i="42" l="1"/>
  <c r="B13" i="42" l="1"/>
  <c r="B12" i="42"/>
  <c r="B14" i="42"/>
  <c r="D6" i="42" l="1"/>
  <c r="G54" i="6" l="1"/>
  <c r="H54" i="6"/>
  <c r="J54" i="6"/>
  <c r="K54" i="6"/>
  <c r="L54" i="6"/>
  <c r="M54" i="6"/>
  <c r="F20" i="5" l="1"/>
  <c r="F21" i="5"/>
  <c r="F22" i="5"/>
  <c r="F23" i="5"/>
  <c r="F19" i="5"/>
  <c r="D20" i="5"/>
  <c r="D21" i="5"/>
  <c r="D22" i="5"/>
  <c r="D23" i="5"/>
  <c r="D19" i="5"/>
  <c r="E20" i="5"/>
  <c r="E21" i="5"/>
  <c r="E22" i="5"/>
  <c r="E23" i="5"/>
  <c r="E19" i="5"/>
  <c r="C20" i="5"/>
  <c r="C21" i="5"/>
  <c r="C22" i="5"/>
  <c r="C23" i="5"/>
  <c r="C19" i="5"/>
  <c r="B20" i="5"/>
  <c r="B21" i="5"/>
  <c r="B22" i="5"/>
  <c r="B23" i="5"/>
  <c r="B19" i="5"/>
  <c r="E13" i="5"/>
  <c r="E14" i="5"/>
  <c r="E15" i="5"/>
  <c r="E16" i="5"/>
  <c r="E12" i="5"/>
  <c r="F13" i="5"/>
  <c r="F14" i="5"/>
  <c r="F15" i="5"/>
  <c r="F16" i="5"/>
  <c r="F12" i="5"/>
  <c r="D13" i="5"/>
  <c r="D14" i="5"/>
  <c r="D15" i="5"/>
  <c r="D16" i="5"/>
  <c r="D12" i="5"/>
  <c r="C13" i="5"/>
  <c r="C14" i="5"/>
  <c r="C15" i="5"/>
  <c r="C16" i="5"/>
  <c r="C12" i="5"/>
  <c r="B14" i="5"/>
  <c r="B15" i="5"/>
  <c r="B16" i="5"/>
  <c r="B12" i="5"/>
  <c r="F17" i="5" l="1"/>
  <c r="E17" i="5"/>
  <c r="D17" i="5"/>
  <c r="B24" i="5"/>
  <c r="C17" i="5"/>
  <c r="C24" i="5"/>
  <c r="E24" i="5"/>
  <c r="F24" i="5"/>
  <c r="D24" i="5"/>
  <c r="C31" i="5" l="1"/>
  <c r="D31" i="5"/>
  <c r="E31" i="5"/>
  <c r="F31" i="5"/>
  <c r="J42" i="6"/>
  <c r="V42" i="6" l="1"/>
  <c r="J46" i="6"/>
  <c r="G42" i="41"/>
  <c r="G33" i="41"/>
  <c r="V46" i="6" l="1"/>
  <c r="AH42" i="6"/>
  <c r="V36" i="6"/>
  <c r="C22" i="32"/>
  <c r="D22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E22" i="32"/>
  <c r="AF22" i="32"/>
  <c r="AG22" i="32"/>
  <c r="AH22" i="32"/>
  <c r="AI22" i="32"/>
  <c r="AJ22" i="32"/>
  <c r="AK22" i="32"/>
  <c r="AL22" i="32"/>
  <c r="AM22" i="32"/>
  <c r="AN22" i="32"/>
  <c r="AO22" i="32"/>
  <c r="AP22" i="32"/>
  <c r="AQ22" i="32"/>
  <c r="AR22" i="32"/>
  <c r="AS22" i="32"/>
  <c r="AT22" i="32"/>
  <c r="AU22" i="32"/>
  <c r="AV22" i="32"/>
  <c r="AW22" i="32"/>
  <c r="AX22" i="32"/>
  <c r="AY22" i="32"/>
  <c r="AZ22" i="32"/>
  <c r="BA22" i="32"/>
  <c r="BB22" i="32"/>
  <c r="BC22" i="32"/>
  <c r="BD22" i="32"/>
  <c r="BE22" i="32"/>
  <c r="BF22" i="32"/>
  <c r="BG22" i="32"/>
  <c r="BH22" i="32"/>
  <c r="BI22" i="32"/>
  <c r="B22" i="32"/>
  <c r="K11" i="32"/>
  <c r="L11" i="32"/>
  <c r="Q21" i="32"/>
  <c r="AB21" i="32"/>
  <c r="AL21" i="32"/>
  <c r="AM21" i="32"/>
  <c r="AN21" i="32"/>
  <c r="AV21" i="32"/>
  <c r="AW21" i="32"/>
  <c r="AX21" i="32"/>
  <c r="AY11" i="32"/>
  <c r="AZ11" i="32"/>
  <c r="BA11" i="32"/>
  <c r="BB11" i="32"/>
  <c r="BE11" i="32"/>
  <c r="BF11" i="32"/>
  <c r="BG57" i="6"/>
  <c r="BG11" i="32" s="1"/>
  <c r="BH57" i="6"/>
  <c r="BH11" i="32" s="1"/>
  <c r="BI57" i="6"/>
  <c r="BI11" i="32" s="1"/>
  <c r="H57" i="6"/>
  <c r="C40" i="6"/>
  <c r="C10" i="32" s="1"/>
  <c r="D40" i="6"/>
  <c r="D10" i="32" s="1"/>
  <c r="E40" i="6"/>
  <c r="E10" i="32" s="1"/>
  <c r="F40" i="6"/>
  <c r="F10" i="32" s="1"/>
  <c r="G40" i="6"/>
  <c r="G10" i="32" s="1"/>
  <c r="H40" i="6"/>
  <c r="H10" i="32" s="1"/>
  <c r="I40" i="6"/>
  <c r="I10" i="32" s="1"/>
  <c r="J10" i="32"/>
  <c r="K10" i="32"/>
  <c r="L10" i="32"/>
  <c r="M10" i="32"/>
  <c r="B40" i="6"/>
  <c r="B10" i="32" s="1"/>
  <c r="B13" i="5"/>
  <c r="B17" i="5" s="1"/>
  <c r="BH40" i="6"/>
  <c r="BH10" i="32" s="1"/>
  <c r="AT42" i="6" l="1"/>
  <c r="AH36" i="6"/>
  <c r="AT36" i="6" s="1"/>
  <c r="X20" i="32"/>
  <c r="BB20" i="32"/>
  <c r="AR20" i="32"/>
  <c r="N20" i="32"/>
  <c r="AZ20" i="32"/>
  <c r="AP20" i="32"/>
  <c r="AF20" i="32"/>
  <c r="AQ20" i="32"/>
  <c r="AG20" i="32"/>
  <c r="BA20" i="32"/>
  <c r="W20" i="32"/>
  <c r="C54" i="6"/>
  <c r="C57" i="6" s="1"/>
  <c r="AS11" i="32"/>
  <c r="AD11" i="32"/>
  <c r="AU11" i="32"/>
  <c r="AG11" i="32"/>
  <c r="U11" i="32"/>
  <c r="R11" i="32"/>
  <c r="Q11" i="32"/>
  <c r="AV11" i="32"/>
  <c r="AP21" i="32"/>
  <c r="AC21" i="32"/>
  <c r="P21" i="32"/>
  <c r="AW11" i="32"/>
  <c r="AJ11" i="32"/>
  <c r="W11" i="32"/>
  <c r="O21" i="32"/>
  <c r="AI11" i="32"/>
  <c r="AA21" i="32"/>
  <c r="N21" i="32"/>
  <c r="Z21" i="32"/>
  <c r="Y21" i="32"/>
  <c r="AP11" i="32"/>
  <c r="AC11" i="32"/>
  <c r="P11" i="32"/>
  <c r="X21" i="32"/>
  <c r="AO11" i="32"/>
  <c r="AB11" i="32"/>
  <c r="O11" i="32"/>
  <c r="AK21" i="32"/>
  <c r="AJ21" i="32"/>
  <c r="W21" i="32"/>
  <c r="AN11" i="32"/>
  <c r="AA11" i="32"/>
  <c r="N11" i="32"/>
  <c r="AO21" i="32"/>
  <c r="AM11" i="32"/>
  <c r="Z11" i="32"/>
  <c r="AI21" i="32"/>
  <c r="U21" i="32"/>
  <c r="AU21" i="32"/>
  <c r="AG21" i="32"/>
  <c r="R21" i="32"/>
  <c r="AL11" i="32"/>
  <c r="Y11" i="32"/>
  <c r="AS21" i="32"/>
  <c r="AD21" i="32"/>
  <c r="AX11" i="32"/>
  <c r="AK11" i="32"/>
  <c r="X11" i="32"/>
  <c r="B29" i="5"/>
  <c r="B31" i="5"/>
  <c r="M11" i="32"/>
  <c r="H11" i="32"/>
  <c r="H20" i="32"/>
  <c r="G20" i="32"/>
  <c r="K20" i="32"/>
  <c r="J20" i="32"/>
  <c r="F20" i="32"/>
  <c r="E20" i="32"/>
  <c r="D20" i="32"/>
  <c r="M20" i="32"/>
  <c r="C20" i="32"/>
  <c r="B20" i="32"/>
  <c r="L20" i="32"/>
  <c r="I20" i="32"/>
  <c r="BC55" i="6"/>
  <c r="BC11" i="32" s="1"/>
  <c r="S55" i="6"/>
  <c r="AE55" i="6"/>
  <c r="J11" i="32"/>
  <c r="BD40" i="6"/>
  <c r="BD10" i="32" s="1"/>
  <c r="AP40" i="6"/>
  <c r="AP10" i="32" s="1"/>
  <c r="X40" i="6"/>
  <c r="X10" i="32" s="1"/>
  <c r="Q40" i="6"/>
  <c r="Q10" i="32" s="1"/>
  <c r="AS40" i="6"/>
  <c r="AS10" i="32" s="1"/>
  <c r="BG40" i="6"/>
  <c r="BG10" i="32" s="1"/>
  <c r="N10" i="32"/>
  <c r="P40" i="6"/>
  <c r="P10" i="32" s="1"/>
  <c r="AR40" i="6"/>
  <c r="AR10" i="32" s="1"/>
  <c r="Y40" i="6"/>
  <c r="Y10" i="32" s="1"/>
  <c r="O40" i="6"/>
  <c r="O10" i="32" s="1"/>
  <c r="AQ40" i="6"/>
  <c r="AQ10" i="32" s="1"/>
  <c r="BE40" i="6"/>
  <c r="BE10" i="32" s="1"/>
  <c r="AO40" i="6"/>
  <c r="AO10" i="32" s="1"/>
  <c r="AL40" i="6"/>
  <c r="AL10" i="32" s="1"/>
  <c r="AW40" i="6"/>
  <c r="AW10" i="32" s="1"/>
  <c r="T40" i="6"/>
  <c r="T10" i="32" s="1"/>
  <c r="AV40" i="6"/>
  <c r="AV10" i="32" s="1"/>
  <c r="AX40" i="6"/>
  <c r="AX10" i="32" s="1"/>
  <c r="AZ40" i="6"/>
  <c r="AZ10" i="32" s="1"/>
  <c r="BC40" i="6"/>
  <c r="BC10" i="32" s="1"/>
  <c r="U40" i="6"/>
  <c r="U10" i="32" s="1"/>
  <c r="AM40" i="6"/>
  <c r="AM10" i="32" s="1"/>
  <c r="S40" i="6"/>
  <c r="S10" i="32" s="1"/>
  <c r="AU40" i="6"/>
  <c r="AU10" i="32" s="1"/>
  <c r="BI40" i="6"/>
  <c r="BI10" i="32" s="1"/>
  <c r="AY40" i="6"/>
  <c r="AY10" i="32" s="1"/>
  <c r="W40" i="6"/>
  <c r="W10" i="32" s="1"/>
  <c r="V40" i="6"/>
  <c r="V10" i="32" s="1"/>
  <c r="AN40" i="6"/>
  <c r="AN10" i="32" s="1"/>
  <c r="BB40" i="6"/>
  <c r="BB10" i="32" s="1"/>
  <c r="BA40" i="6"/>
  <c r="BA10" i="32" s="1"/>
  <c r="R40" i="6"/>
  <c r="R10" i="32" s="1"/>
  <c r="D35" i="5" l="1"/>
  <c r="D32" i="5" s="1"/>
  <c r="D43" i="5" s="1"/>
  <c r="D51" i="5" s="1"/>
  <c r="B26" i="5"/>
  <c r="B45" i="5" s="1"/>
  <c r="B46" i="5" s="1"/>
  <c r="BF42" i="6"/>
  <c r="BF46" i="6" s="1"/>
  <c r="AT46" i="6"/>
  <c r="C11" i="32"/>
  <c r="AH20" i="32"/>
  <c r="AH40" i="6"/>
  <c r="AH10" i="32" s="1"/>
  <c r="AZ21" i="32"/>
  <c r="D54" i="6"/>
  <c r="D57" i="6" s="1"/>
  <c r="AH21" i="32"/>
  <c r="AE11" i="32"/>
  <c r="H21" i="32"/>
  <c r="S11" i="32"/>
  <c r="Q20" i="32"/>
  <c r="BC20" i="32"/>
  <c r="AA20" i="32"/>
  <c r="U20" i="32"/>
  <c r="P20" i="32"/>
  <c r="AK20" i="32"/>
  <c r="S20" i="32"/>
  <c r="AE20" i="32"/>
  <c r="Z20" i="32"/>
  <c r="AU20" i="32"/>
  <c r="AC20" i="32"/>
  <c r="AO20" i="32"/>
  <c r="AJ20" i="32"/>
  <c r="BE20" i="32"/>
  <c r="AM20" i="32"/>
  <c r="AY20" i="32"/>
  <c r="AW20" i="32"/>
  <c r="T20" i="32"/>
  <c r="BI20" i="32"/>
  <c r="BD20" i="32"/>
  <c r="R20" i="32"/>
  <c r="BG20" i="32"/>
  <c r="AD20" i="32"/>
  <c r="O20" i="32"/>
  <c r="V20" i="32"/>
  <c r="AB20" i="32"/>
  <c r="AN20" i="32"/>
  <c r="Y20" i="32"/>
  <c r="AL20" i="32"/>
  <c r="AX20" i="32"/>
  <c r="AI20" i="32"/>
  <c r="AV20" i="32"/>
  <c r="BH20" i="32"/>
  <c r="AS20" i="32"/>
  <c r="G55" i="6"/>
  <c r="G57" i="6" s="1"/>
  <c r="AH11" i="32"/>
  <c r="AF54" i="6"/>
  <c r="AQ55" i="6"/>
  <c r="T54" i="6"/>
  <c r="B30" i="5" l="1"/>
  <c r="B51" i="5" s="1"/>
  <c r="AE46" i="6"/>
  <c r="AC46" i="6"/>
  <c r="AJ46" i="6"/>
  <c r="AK46" i="6"/>
  <c r="AF46" i="6"/>
  <c r="AI46" i="6"/>
  <c r="Z46" i="6"/>
  <c r="AA46" i="6"/>
  <c r="AD46" i="6"/>
  <c r="AB46" i="6"/>
  <c r="AG46" i="6"/>
  <c r="AH46" i="6"/>
  <c r="AJ40" i="6"/>
  <c r="AJ10" i="32" s="1"/>
  <c r="AF40" i="6"/>
  <c r="AF10" i="32" s="1"/>
  <c r="AB40" i="6"/>
  <c r="AB10" i="32" s="1"/>
  <c r="AC40" i="6"/>
  <c r="AC10" i="32" s="1"/>
  <c r="AK40" i="6"/>
  <c r="AK10" i="32" s="1"/>
  <c r="AE40" i="6"/>
  <c r="AE10" i="32" s="1"/>
  <c r="Z40" i="6"/>
  <c r="Z10" i="32" s="1"/>
  <c r="AA40" i="6"/>
  <c r="AA10" i="32" s="1"/>
  <c r="AI40" i="6"/>
  <c r="AI10" i="32" s="1"/>
  <c r="AD40" i="6"/>
  <c r="AD10" i="32" s="1"/>
  <c r="AG40" i="6"/>
  <c r="AG10" i="32" s="1"/>
  <c r="BF36" i="6"/>
  <c r="AT20" i="32"/>
  <c r="AT40" i="6"/>
  <c r="AT10" i="32" s="1"/>
  <c r="D11" i="32"/>
  <c r="E54" i="6"/>
  <c r="E57" i="6" s="1"/>
  <c r="AR54" i="6"/>
  <c r="J21" i="32"/>
  <c r="L21" i="32"/>
  <c r="BH21" i="32"/>
  <c r="AQ21" i="32"/>
  <c r="M21" i="32"/>
  <c r="BE21" i="32"/>
  <c r="C21" i="32"/>
  <c r="T21" i="32"/>
  <c r="V21" i="32"/>
  <c r="BG21" i="32"/>
  <c r="BI21" i="32"/>
  <c r="AF21" i="32"/>
  <c r="K21" i="32"/>
  <c r="G11" i="32"/>
  <c r="T11" i="32"/>
  <c r="AQ11" i="32"/>
  <c r="V11" i="32"/>
  <c r="AF11" i="32"/>
  <c r="BA21" i="32" l="1"/>
  <c r="BF20" i="32"/>
  <c r="BF40" i="6"/>
  <c r="BF10" i="32" s="1"/>
  <c r="AR21" i="32"/>
  <c r="AR11" i="32"/>
  <c r="E11" i="32"/>
  <c r="F54" i="6"/>
  <c r="F57" i="6" s="1"/>
  <c r="BD54" i="6"/>
  <c r="BD11" i="32" s="1"/>
  <c r="D21" i="32"/>
  <c r="AT21" i="32"/>
  <c r="AT11" i="32"/>
  <c r="AE21" i="32"/>
  <c r="S21" i="32"/>
  <c r="G21" i="32"/>
  <c r="BD21" i="32"/>
  <c r="AL25" i="33"/>
  <c r="AX25" i="33"/>
  <c r="B25" i="33"/>
  <c r="F21" i="32" l="1"/>
  <c r="F11" i="32"/>
  <c r="BC21" i="32"/>
  <c r="E21" i="32"/>
  <c r="BB21" i="32"/>
  <c r="C39" i="5" l="1"/>
  <c r="D39" i="5" s="1"/>
  <c r="E39" i="5" s="1"/>
  <c r="F39" i="5" s="1"/>
  <c r="C37" i="5"/>
  <c r="BI19" i="33"/>
  <c r="BH19" i="33"/>
  <c r="BG19" i="33"/>
  <c r="BF19" i="33"/>
  <c r="BE19" i="33"/>
  <c r="BD19" i="33"/>
  <c r="BC19" i="33"/>
  <c r="BB19" i="33"/>
  <c r="BA19" i="33"/>
  <c r="AZ19" i="33"/>
  <c r="AY19" i="33"/>
  <c r="AX19" i="33"/>
  <c r="AW19" i="33"/>
  <c r="AV19" i="33"/>
  <c r="AU19" i="33"/>
  <c r="AT19" i="33"/>
  <c r="AS19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C13" i="34"/>
  <c r="D37" i="5" l="1"/>
  <c r="B61" i="32"/>
  <c r="D13" i="34"/>
  <c r="E37" i="5" l="1"/>
  <c r="C61" i="32"/>
  <c r="F37" i="5" l="1"/>
  <c r="E13" i="34"/>
  <c r="D61" i="32" l="1"/>
  <c r="F13" i="34" l="1"/>
  <c r="E61" i="32"/>
  <c r="G13" i="34" l="1"/>
  <c r="F61" i="32" l="1"/>
  <c r="H13" i="34" l="1"/>
  <c r="G61" i="32" l="1"/>
  <c r="I13" i="34" l="1"/>
  <c r="H61" i="32" l="1"/>
  <c r="J13" i="34" l="1"/>
  <c r="I61" i="32" l="1"/>
  <c r="K13" i="34" l="1"/>
  <c r="J61" i="32" l="1"/>
  <c r="L13" i="34" l="1"/>
  <c r="K61" i="32" l="1"/>
  <c r="M13" i="34" l="1"/>
  <c r="L61" i="32" l="1"/>
  <c r="N13" i="34" l="1"/>
  <c r="M61" i="32" l="1"/>
  <c r="O13" i="34" l="1"/>
  <c r="N61" i="32" l="1"/>
  <c r="P13" i="34" l="1"/>
  <c r="O61" i="32" l="1"/>
  <c r="Q13" i="34" l="1"/>
  <c r="P61" i="32" l="1"/>
  <c r="R13" i="34" l="1"/>
  <c r="Q61" i="32" l="1"/>
  <c r="S13" i="34" l="1"/>
  <c r="R61" i="32" l="1"/>
  <c r="T13" i="34" l="1"/>
  <c r="S61" i="32" l="1"/>
  <c r="U13" i="34" l="1"/>
  <c r="T61" i="32" l="1"/>
  <c r="V13" i="34" l="1"/>
  <c r="U61" i="32" l="1"/>
  <c r="W13" i="34" l="1"/>
  <c r="V61" i="32" l="1"/>
  <c r="X13" i="34" l="1"/>
  <c r="W61" i="32" l="1"/>
  <c r="Y13" i="34" l="1"/>
  <c r="X61" i="32" l="1"/>
  <c r="Z13" i="34" l="1"/>
  <c r="Y61" i="32" l="1"/>
  <c r="AA13" i="34" l="1"/>
  <c r="Z61" i="32" l="1"/>
  <c r="AB13" i="34" l="1"/>
  <c r="AA61" i="32" l="1"/>
  <c r="AC13" i="34" l="1"/>
  <c r="AB61" i="32" l="1"/>
  <c r="AD13" i="34" l="1"/>
  <c r="AC61" i="32" l="1"/>
  <c r="AE13" i="34" l="1"/>
  <c r="AD61" i="32" l="1"/>
  <c r="AF13" i="34" l="1"/>
  <c r="AE61" i="32" l="1"/>
  <c r="AG13" i="34" l="1"/>
  <c r="AF61" i="32" l="1"/>
  <c r="AH13" i="34" l="1"/>
  <c r="AG61" i="32" l="1"/>
  <c r="AI13" i="34" l="1"/>
  <c r="AH61" i="32" l="1"/>
  <c r="AJ13" i="34" l="1"/>
  <c r="AI61" i="32" l="1"/>
  <c r="AK13" i="34" l="1"/>
  <c r="AJ61" i="32" l="1"/>
  <c r="AL13" i="34" l="1"/>
  <c r="AK61" i="32" l="1"/>
  <c r="AM13" i="34" l="1"/>
  <c r="AL61" i="32" l="1"/>
  <c r="AN13" i="34" l="1"/>
  <c r="AM61" i="32" l="1"/>
  <c r="AO13" i="34" l="1"/>
  <c r="AN61" i="32" l="1"/>
  <c r="AP13" i="34" l="1"/>
  <c r="AO61" i="32" l="1"/>
  <c r="AQ13" i="34" l="1"/>
  <c r="AP61" i="32" l="1"/>
  <c r="AR13" i="34" l="1"/>
  <c r="AQ61" i="32" l="1"/>
  <c r="AS13" i="34" l="1"/>
  <c r="AR61" i="32" l="1"/>
  <c r="AT13" i="34" l="1"/>
  <c r="AS61" i="32" l="1"/>
  <c r="AU13" i="34" l="1"/>
  <c r="AT61" i="32" l="1"/>
  <c r="AV13" i="34" l="1"/>
  <c r="AU61" i="32" l="1"/>
  <c r="AW13" i="34" l="1"/>
  <c r="AV61" i="32" l="1"/>
  <c r="AX13" i="34" l="1"/>
  <c r="AW61" i="32" l="1"/>
  <c r="AY13" i="34" l="1"/>
  <c r="AX61" i="32" l="1"/>
  <c r="AZ13" i="34" l="1"/>
  <c r="AY61" i="32" l="1"/>
  <c r="BA13" i="34" l="1"/>
  <c r="AZ61" i="32" l="1"/>
  <c r="BB13" i="34" l="1"/>
  <c r="BA61" i="32" l="1"/>
  <c r="BC13" i="34" l="1"/>
  <c r="BB61" i="32" l="1"/>
  <c r="BD13" i="34" l="1"/>
  <c r="BC61" i="32" l="1"/>
  <c r="BE13" i="34" l="1"/>
  <c r="BD61" i="32" l="1"/>
  <c r="BF13" i="34" l="1"/>
  <c r="BE61" i="32" l="1"/>
  <c r="BG13" i="34" l="1"/>
  <c r="BF61" i="32" l="1"/>
  <c r="BH13" i="34" l="1"/>
  <c r="BG61" i="32" l="1"/>
  <c r="BI13" i="34" l="1"/>
  <c r="BH61" i="32" l="1"/>
  <c r="BJ13" i="34" l="1"/>
  <c r="BI61" i="32" l="1"/>
  <c r="BK13" i="34"/>
  <c r="C122" i="5" l="1"/>
  <c r="C124" i="5" s="1"/>
  <c r="C118" i="5"/>
  <c r="C114" i="5"/>
  <c r="C116" i="5" s="1"/>
  <c r="C110" i="5"/>
  <c r="C102" i="5"/>
  <c r="C104" i="5" s="1"/>
  <c r="C98" i="5"/>
  <c r="C90" i="5"/>
  <c r="C86" i="5"/>
  <c r="C82" i="5"/>
  <c r="C84" i="5" s="1"/>
  <c r="D78" i="5"/>
  <c r="C74" i="5"/>
  <c r="C76" i="5" s="1"/>
  <c r="C66" i="5"/>
  <c r="C68" i="5" s="1"/>
  <c r="C4" i="32"/>
  <c r="D4" i="32" s="1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AH4" i="32" s="1"/>
  <c r="AI4" i="32" s="1"/>
  <c r="AJ4" i="32" s="1"/>
  <c r="AK4" i="32" s="1"/>
  <c r="AL4" i="32" s="1"/>
  <c r="AM4" i="32" s="1"/>
  <c r="AN4" i="32" s="1"/>
  <c r="AO4" i="32" s="1"/>
  <c r="AP4" i="32" s="1"/>
  <c r="AQ4" i="32" s="1"/>
  <c r="AR4" i="32" s="1"/>
  <c r="AS4" i="32" s="1"/>
  <c r="AT4" i="32" s="1"/>
  <c r="AU4" i="32" s="1"/>
  <c r="AV4" i="32" s="1"/>
  <c r="AW4" i="32" s="1"/>
  <c r="AX4" i="32" s="1"/>
  <c r="AY4" i="32" s="1"/>
  <c r="AZ4" i="32" s="1"/>
  <c r="BA4" i="32" s="1"/>
  <c r="BB4" i="32" s="1"/>
  <c r="BC4" i="32" s="1"/>
  <c r="BD4" i="32" s="1"/>
  <c r="BE4" i="32" s="1"/>
  <c r="BF4" i="32" s="1"/>
  <c r="BG4" i="32" s="1"/>
  <c r="BH4" i="32" s="1"/>
  <c r="BI4" i="32" s="1"/>
  <c r="C4" i="33"/>
  <c r="D4" i="33" s="1"/>
  <c r="E4" i="33" s="1"/>
  <c r="F4" i="33" s="1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Q4" i="33" s="1"/>
  <c r="R4" i="33" s="1"/>
  <c r="S4" i="33" s="1"/>
  <c r="T4" i="33" s="1"/>
  <c r="U4" i="33" s="1"/>
  <c r="V4" i="33" s="1"/>
  <c r="W4" i="33" s="1"/>
  <c r="X4" i="33" s="1"/>
  <c r="Y4" i="33" s="1"/>
  <c r="Z4" i="33" s="1"/>
  <c r="AA4" i="33" s="1"/>
  <c r="AB4" i="33" s="1"/>
  <c r="AC4" i="33" s="1"/>
  <c r="AD4" i="33" s="1"/>
  <c r="AE4" i="33" s="1"/>
  <c r="AF4" i="33" s="1"/>
  <c r="AG4" i="33" s="1"/>
  <c r="AH4" i="33" s="1"/>
  <c r="AI4" i="33" s="1"/>
  <c r="AJ4" i="33" s="1"/>
  <c r="AK4" i="33" s="1"/>
  <c r="AL4" i="33" s="1"/>
  <c r="AM4" i="33" s="1"/>
  <c r="AN4" i="33" s="1"/>
  <c r="AO4" i="33" s="1"/>
  <c r="AP4" i="33" s="1"/>
  <c r="AQ4" i="33" s="1"/>
  <c r="AR4" i="33" s="1"/>
  <c r="AS4" i="33" s="1"/>
  <c r="AT4" i="33" s="1"/>
  <c r="AU4" i="33" s="1"/>
  <c r="AV4" i="33" s="1"/>
  <c r="AW4" i="33" s="1"/>
  <c r="AX4" i="33" s="1"/>
  <c r="AY4" i="33" s="1"/>
  <c r="AZ4" i="33" s="1"/>
  <c r="BA4" i="33" s="1"/>
  <c r="BB4" i="33" s="1"/>
  <c r="BC4" i="33" s="1"/>
  <c r="BD4" i="33" s="1"/>
  <c r="BE4" i="33" s="1"/>
  <c r="BF4" i="33" s="1"/>
  <c r="BG4" i="33" s="1"/>
  <c r="BH4" i="33" s="1"/>
  <c r="BI4" i="33" s="1"/>
  <c r="B5" i="6"/>
  <c r="C4" i="6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C72" i="5" l="1"/>
  <c r="C126" i="5"/>
  <c r="C127" i="5" s="1"/>
  <c r="D110" i="5"/>
  <c r="C112" i="5"/>
  <c r="D118" i="5"/>
  <c r="C120" i="5"/>
  <c r="D90" i="5"/>
  <c r="C92" i="5"/>
  <c r="D98" i="5"/>
  <c r="C100" i="5"/>
  <c r="D86" i="5"/>
  <c r="C88" i="5"/>
  <c r="E78" i="5"/>
  <c r="D80" i="5"/>
  <c r="D114" i="5"/>
  <c r="D116" i="5" s="1"/>
  <c r="D122" i="5"/>
  <c r="D124" i="5" s="1"/>
  <c r="D102" i="5"/>
  <c r="D104" i="5" s="1"/>
  <c r="D82" i="5"/>
  <c r="D84" i="5" s="1"/>
  <c r="D74" i="5"/>
  <c r="D76" i="5" s="1"/>
  <c r="D70" i="5"/>
  <c r="D62" i="5"/>
  <c r="D64" i="5" s="1"/>
  <c r="B3" i="6"/>
  <c r="B28" i="6" s="1"/>
  <c r="B29" i="6" s="1"/>
  <c r="D72" i="5" l="1"/>
  <c r="D126" i="5"/>
  <c r="D127" i="5" s="1"/>
  <c r="E110" i="5"/>
  <c r="D112" i="5"/>
  <c r="E118" i="5"/>
  <c r="D120" i="5"/>
  <c r="E98" i="5"/>
  <c r="D100" i="5"/>
  <c r="E90" i="5"/>
  <c r="D92" i="5"/>
  <c r="E86" i="5"/>
  <c r="D88" i="5"/>
  <c r="F78" i="5"/>
  <c r="F80" i="5" s="1"/>
  <c r="E80" i="5"/>
  <c r="E102" i="5"/>
  <c r="E104" i="5" s="1"/>
  <c r="E122" i="5"/>
  <c r="E124" i="5" s="1"/>
  <c r="E114" i="5"/>
  <c r="E116" i="5" s="1"/>
  <c r="E82" i="5"/>
  <c r="E84" i="5" s="1"/>
  <c r="E70" i="5"/>
  <c r="E74" i="5"/>
  <c r="E76" i="5" s="1"/>
  <c r="E66" i="5"/>
  <c r="E68" i="5" s="1"/>
  <c r="E62" i="5"/>
  <c r="E64" i="5" s="1"/>
  <c r="B15" i="6"/>
  <c r="E72" i="5" l="1"/>
  <c r="E126" i="5"/>
  <c r="E127" i="5" s="1"/>
  <c r="F110" i="5"/>
  <c r="F112" i="5" s="1"/>
  <c r="E112" i="5"/>
  <c r="F118" i="5"/>
  <c r="F120" i="5" s="1"/>
  <c r="E120" i="5"/>
  <c r="F90" i="5"/>
  <c r="F92" i="5" s="1"/>
  <c r="E92" i="5"/>
  <c r="F98" i="5"/>
  <c r="F100" i="5" s="1"/>
  <c r="E100" i="5"/>
  <c r="F86" i="5"/>
  <c r="F88" i="5" s="1"/>
  <c r="E88" i="5"/>
  <c r="B54" i="6"/>
  <c r="B57" i="6" s="1"/>
  <c r="F114" i="5"/>
  <c r="F116" i="5" s="1"/>
  <c r="F94" i="5"/>
  <c r="F96" i="5" s="1"/>
  <c r="F122" i="5"/>
  <c r="F124" i="5" s="1"/>
  <c r="F102" i="5"/>
  <c r="F104" i="5" s="1"/>
  <c r="F74" i="5"/>
  <c r="F76" i="5" s="1"/>
  <c r="F70" i="5"/>
  <c r="F62" i="5"/>
  <c r="F64" i="5" s="1"/>
  <c r="F66" i="5"/>
  <c r="F68" i="5" s="1"/>
  <c r="B33" i="33"/>
  <c r="B33" i="19" s="1"/>
  <c r="C21" i="34"/>
  <c r="C24" i="34" s="1"/>
  <c r="C7" i="34"/>
  <c r="F72" i="5" l="1"/>
  <c r="F126" i="5"/>
  <c r="F127" i="5" s="1"/>
  <c r="B11" i="32"/>
  <c r="AY21" i="32"/>
  <c r="B62" i="32"/>
  <c r="C12" i="34"/>
  <c r="C15" i="34" s="1"/>
  <c r="C26" i="34" s="1"/>
  <c r="B21" i="32" l="1"/>
  <c r="B26" i="33"/>
  <c r="B29" i="33" s="1"/>
  <c r="D18" i="34"/>
  <c r="D17" i="34" s="1"/>
  <c r="C62" i="32" l="1"/>
  <c r="C26" i="33" l="1"/>
  <c r="C29" i="33" s="1"/>
  <c r="E18" i="34" l="1"/>
  <c r="E17" i="34" s="1"/>
  <c r="D62" i="32" l="1"/>
  <c r="D26" i="33" l="1"/>
  <c r="D29" i="33" s="1"/>
  <c r="F18" i="34"/>
  <c r="F17" i="34" s="1"/>
  <c r="E62" i="32" l="1"/>
  <c r="E26" i="33" l="1"/>
  <c r="E29" i="33" s="1"/>
  <c r="G18" i="34" l="1"/>
  <c r="G17" i="34" s="1"/>
  <c r="F62" i="32" l="1"/>
  <c r="F26" i="33" l="1"/>
  <c r="F29" i="33" s="1"/>
  <c r="H18" i="34" l="1"/>
  <c r="H17" i="34" s="1"/>
  <c r="G62" i="32" l="1"/>
  <c r="G26" i="33" l="1"/>
  <c r="G29" i="33" s="1"/>
  <c r="I18" i="34" l="1"/>
  <c r="I17" i="34" s="1"/>
  <c r="H62" i="32" l="1"/>
  <c r="H26" i="33" l="1"/>
  <c r="H29" i="33" s="1"/>
  <c r="J18" i="34" l="1"/>
  <c r="J17" i="34" s="1"/>
  <c r="I62" i="32" l="1"/>
  <c r="I26" i="33" l="1"/>
  <c r="I29" i="33" s="1"/>
  <c r="K18" i="34" l="1"/>
  <c r="K17" i="34" s="1"/>
  <c r="J62" i="32" l="1"/>
  <c r="J26" i="33" l="1"/>
  <c r="J29" i="33" s="1"/>
  <c r="L18" i="34" l="1"/>
  <c r="L17" i="34" s="1"/>
  <c r="K62" i="32" l="1"/>
  <c r="K26" i="33" l="1"/>
  <c r="K29" i="33" s="1"/>
  <c r="M18" i="34" l="1"/>
  <c r="M17" i="34" s="1"/>
  <c r="L62" i="32" l="1"/>
  <c r="L26" i="33" l="1"/>
  <c r="L29" i="33" s="1"/>
  <c r="N18" i="34" l="1"/>
  <c r="N17" i="34" s="1"/>
  <c r="M62" i="32" l="1"/>
  <c r="M26" i="33" l="1"/>
  <c r="M29" i="33" s="1"/>
  <c r="O18" i="34" l="1"/>
  <c r="O17" i="34" s="1"/>
  <c r="N62" i="32" l="1"/>
  <c r="N26" i="33" l="1"/>
  <c r="N29" i="33" s="1"/>
  <c r="P18" i="34" l="1"/>
  <c r="P17" i="34" s="1"/>
  <c r="O62" i="32" l="1"/>
  <c r="O26" i="33" l="1"/>
  <c r="O29" i="33" s="1"/>
  <c r="Q18" i="34" l="1"/>
  <c r="Q17" i="34" s="1"/>
  <c r="P62" i="32" l="1"/>
  <c r="P26" i="33" l="1"/>
  <c r="P29" i="33" s="1"/>
  <c r="R18" i="34"/>
  <c r="R17" i="34" s="1"/>
  <c r="Q62" i="32" l="1"/>
  <c r="Q26" i="33" l="1"/>
  <c r="Q29" i="33" s="1"/>
  <c r="S18" i="34" l="1"/>
  <c r="S17" i="34" s="1"/>
  <c r="R62" i="32" l="1"/>
  <c r="R26" i="33" l="1"/>
  <c r="R29" i="33" s="1"/>
  <c r="T18" i="34" l="1"/>
  <c r="T17" i="34" s="1"/>
  <c r="S62" i="32" l="1"/>
  <c r="C5" i="6" l="1"/>
  <c r="S26" i="33" l="1"/>
  <c r="S29" i="33" s="1"/>
  <c r="C3" i="6"/>
  <c r="C28" i="6" s="1"/>
  <c r="C29" i="6" s="1"/>
  <c r="D5" i="6"/>
  <c r="U18" i="34" l="1"/>
  <c r="U17" i="34" s="1"/>
  <c r="D3" i="6"/>
  <c r="D28" i="6" s="1"/>
  <c r="D29" i="6" s="1"/>
  <c r="E5" i="6"/>
  <c r="T62" i="32" l="1"/>
  <c r="E3" i="6"/>
  <c r="E28" i="6" s="1"/>
  <c r="E29" i="6" s="1"/>
  <c r="F5" i="6"/>
  <c r="T26" i="33" l="1"/>
  <c r="T29" i="33" s="1"/>
  <c r="F3" i="6"/>
  <c r="F28" i="6" s="1"/>
  <c r="F29" i="6" s="1"/>
  <c r="G5" i="6"/>
  <c r="V18" i="34" l="1"/>
  <c r="V17" i="34" s="1"/>
  <c r="G3" i="6"/>
  <c r="G28" i="6" s="1"/>
  <c r="G29" i="6" s="1"/>
  <c r="H5" i="6"/>
  <c r="U62" i="32" l="1"/>
  <c r="H3" i="6"/>
  <c r="H28" i="6" s="1"/>
  <c r="H29" i="6" s="1"/>
  <c r="I5" i="6"/>
  <c r="I3" i="6" l="1"/>
  <c r="I28" i="6" s="1"/>
  <c r="I29" i="6" s="1"/>
  <c r="J5" i="6"/>
  <c r="D22" i="34"/>
  <c r="E22" i="34" s="1"/>
  <c r="F22" i="34" s="1"/>
  <c r="G22" i="34" s="1"/>
  <c r="H22" i="34" s="1"/>
  <c r="I22" i="34" s="1"/>
  <c r="J22" i="34" s="1"/>
  <c r="K22" i="34" s="1"/>
  <c r="L22" i="34" s="1"/>
  <c r="M22" i="34" s="1"/>
  <c r="N22" i="34" s="1"/>
  <c r="O22" i="34" s="1"/>
  <c r="P22" i="34" s="1"/>
  <c r="Q22" i="34" s="1"/>
  <c r="R22" i="34" s="1"/>
  <c r="S22" i="34" s="1"/>
  <c r="T22" i="34" s="1"/>
  <c r="U22" i="34" s="1"/>
  <c r="V22" i="34" s="1"/>
  <c r="W22" i="34" s="1"/>
  <c r="X22" i="34" s="1"/>
  <c r="Y22" i="34" s="1"/>
  <c r="Z22" i="34" s="1"/>
  <c r="AA22" i="34" s="1"/>
  <c r="AB22" i="34" s="1"/>
  <c r="AC22" i="34" s="1"/>
  <c r="AD22" i="34" s="1"/>
  <c r="AE22" i="34" s="1"/>
  <c r="AF22" i="34" s="1"/>
  <c r="AG22" i="34" s="1"/>
  <c r="AH22" i="34" s="1"/>
  <c r="AI22" i="34" s="1"/>
  <c r="AJ22" i="34" s="1"/>
  <c r="AK22" i="34" s="1"/>
  <c r="AL22" i="34" s="1"/>
  <c r="AM22" i="34" s="1"/>
  <c r="AN22" i="34" s="1"/>
  <c r="AO22" i="34" s="1"/>
  <c r="AP22" i="34" s="1"/>
  <c r="AQ22" i="34" s="1"/>
  <c r="AR22" i="34" s="1"/>
  <c r="AS22" i="34" s="1"/>
  <c r="AT22" i="34" s="1"/>
  <c r="AU22" i="34" s="1"/>
  <c r="AV22" i="34" s="1"/>
  <c r="AW22" i="34" s="1"/>
  <c r="AX22" i="34" s="1"/>
  <c r="AY22" i="34" s="1"/>
  <c r="AZ22" i="34" s="1"/>
  <c r="BA22" i="34" s="1"/>
  <c r="BB22" i="34" s="1"/>
  <c r="BC22" i="34" s="1"/>
  <c r="BD22" i="34" s="1"/>
  <c r="BE22" i="34" s="1"/>
  <c r="BF22" i="34" s="1"/>
  <c r="BG22" i="34" s="1"/>
  <c r="BH22" i="34" s="1"/>
  <c r="BI22" i="34" s="1"/>
  <c r="BJ22" i="34" s="1"/>
  <c r="BK22" i="34" s="1"/>
  <c r="E5" i="34"/>
  <c r="E4" i="34" s="1"/>
  <c r="F5" i="34"/>
  <c r="F4" i="34" s="1"/>
  <c r="G5" i="34"/>
  <c r="G4" i="34" s="1"/>
  <c r="H5" i="34"/>
  <c r="H4" i="34" s="1"/>
  <c r="I5" i="34"/>
  <c r="I4" i="34" s="1"/>
  <c r="J5" i="34"/>
  <c r="J4" i="34" s="1"/>
  <c r="K5" i="34"/>
  <c r="K4" i="34" s="1"/>
  <c r="D5" i="34"/>
  <c r="D4" i="34" s="1"/>
  <c r="C5" i="33"/>
  <c r="C3" i="33" s="1"/>
  <c r="D5" i="33"/>
  <c r="D3" i="33" s="1"/>
  <c r="E5" i="33"/>
  <c r="E3" i="33" s="1"/>
  <c r="F5" i="33"/>
  <c r="F3" i="33" s="1"/>
  <c r="G5" i="33"/>
  <c r="G3" i="33" s="1"/>
  <c r="H5" i="33"/>
  <c r="H3" i="33" s="1"/>
  <c r="I5" i="33"/>
  <c r="I3" i="33" s="1"/>
  <c r="B5" i="33"/>
  <c r="B3" i="33" s="1"/>
  <c r="C5" i="32"/>
  <c r="D5" i="32"/>
  <c r="E5" i="32"/>
  <c r="F5" i="32"/>
  <c r="G5" i="32"/>
  <c r="H5" i="32"/>
  <c r="I5" i="32"/>
  <c r="B5" i="32"/>
  <c r="U26" i="33" l="1"/>
  <c r="U29" i="33" s="1"/>
  <c r="H3" i="32"/>
  <c r="H65" i="32" s="1"/>
  <c r="H14" i="33" s="1"/>
  <c r="E3" i="32"/>
  <c r="E65" i="32"/>
  <c r="E14" i="33" s="1"/>
  <c r="B3" i="32"/>
  <c r="B65" i="32"/>
  <c r="B14" i="33" s="1"/>
  <c r="G3" i="32"/>
  <c r="G65" i="32"/>
  <c r="G14" i="33" s="1"/>
  <c r="F3" i="32"/>
  <c r="F65" i="32"/>
  <c r="F14" i="33" s="1"/>
  <c r="I3" i="32"/>
  <c r="I65" i="32"/>
  <c r="I14" i="33" s="1"/>
  <c r="D3" i="32"/>
  <c r="D65" i="32"/>
  <c r="D14" i="33" s="1"/>
  <c r="C3" i="32"/>
  <c r="C65" i="32"/>
  <c r="C14" i="33" s="1"/>
  <c r="J5" i="32"/>
  <c r="J3" i="6"/>
  <c r="J28" i="6" s="1"/>
  <c r="J29" i="6" s="1"/>
  <c r="J5" i="33"/>
  <c r="J3" i="33" s="1"/>
  <c r="L5" i="34"/>
  <c r="L4" i="34" s="1"/>
  <c r="K5" i="6"/>
  <c r="B5" i="19"/>
  <c r="C5" i="5"/>
  <c r="D4" i="10" s="1"/>
  <c r="W18" i="34" l="1"/>
  <c r="W17" i="34" s="1"/>
  <c r="J3" i="32"/>
  <c r="J65" i="32"/>
  <c r="J14" i="33" s="1"/>
  <c r="I54" i="6"/>
  <c r="I57" i="6" s="1"/>
  <c r="K3" i="6"/>
  <c r="K28" i="6" s="1"/>
  <c r="K29" i="6" s="1"/>
  <c r="L5" i="6"/>
  <c r="M5" i="34"/>
  <c r="M4" i="34" s="1"/>
  <c r="K5" i="33"/>
  <c r="K3" i="33" s="1"/>
  <c r="K5" i="32"/>
  <c r="D5" i="5"/>
  <c r="E4" i="10" s="1"/>
  <c r="C5" i="19"/>
  <c r="I11" i="32" l="1"/>
  <c r="V62" i="32"/>
  <c r="K3" i="32"/>
  <c r="K65" i="32"/>
  <c r="K14" i="33" s="1"/>
  <c r="L3" i="6"/>
  <c r="L28" i="6" s="1"/>
  <c r="L29" i="6" s="1"/>
  <c r="M5" i="6"/>
  <c r="N5" i="34"/>
  <c r="N4" i="34" s="1"/>
  <c r="L5" i="33"/>
  <c r="L3" i="33" s="1"/>
  <c r="L5" i="32"/>
  <c r="E5" i="5"/>
  <c r="F4" i="10" s="1"/>
  <c r="D5" i="19"/>
  <c r="BF21" i="32" l="1"/>
  <c r="V26" i="33"/>
  <c r="V29" i="33" s="1"/>
  <c r="M49" i="32"/>
  <c r="M32" i="32"/>
  <c r="M34" i="32"/>
  <c r="M36" i="32"/>
  <c r="M39" i="32"/>
  <c r="L3" i="32"/>
  <c r="L65" i="32"/>
  <c r="L14" i="33" s="1"/>
  <c r="L32" i="6"/>
  <c r="L17" i="6"/>
  <c r="M3" i="6"/>
  <c r="M28" i="6" s="1"/>
  <c r="M29" i="6" s="1"/>
  <c r="N5" i="6"/>
  <c r="O5" i="34"/>
  <c r="O4" i="34" s="1"/>
  <c r="M5" i="33"/>
  <c r="M3" i="33" s="1"/>
  <c r="M5" i="32"/>
  <c r="M3" i="32" s="1"/>
  <c r="F5" i="5"/>
  <c r="E5" i="19"/>
  <c r="G4" i="10" l="1"/>
  <c r="M40" i="32"/>
  <c r="M50" i="32"/>
  <c r="M35" i="32"/>
  <c r="M46" i="32"/>
  <c r="K8" i="32"/>
  <c r="C40" i="32"/>
  <c r="G32" i="32"/>
  <c r="B42" i="32"/>
  <c r="M47" i="32"/>
  <c r="G36" i="32"/>
  <c r="D35" i="32"/>
  <c r="M48" i="32"/>
  <c r="L48" i="32"/>
  <c r="K34" i="32"/>
  <c r="K46" i="32"/>
  <c r="D34" i="32"/>
  <c r="D32" i="6"/>
  <c r="H49" i="32"/>
  <c r="L35" i="32"/>
  <c r="D39" i="32"/>
  <c r="J37" i="32"/>
  <c r="H50" i="32"/>
  <c r="I50" i="32"/>
  <c r="L32" i="32"/>
  <c r="H35" i="32"/>
  <c r="B45" i="32"/>
  <c r="E42" i="32"/>
  <c r="M37" i="32"/>
  <c r="F18" i="32"/>
  <c r="I17" i="32"/>
  <c r="M42" i="32"/>
  <c r="L34" i="32"/>
  <c r="F38" i="32"/>
  <c r="L49" i="32"/>
  <c r="K48" i="32"/>
  <c r="D40" i="32"/>
  <c r="E40" i="32"/>
  <c r="M43" i="32"/>
  <c r="M44" i="32"/>
  <c r="L36" i="32"/>
  <c r="L46" i="32"/>
  <c r="E32" i="32"/>
  <c r="E34" i="32"/>
  <c r="H37" i="32"/>
  <c r="I49" i="32"/>
  <c r="E49" i="32"/>
  <c r="C46" i="32"/>
  <c r="I8" i="32"/>
  <c r="L33" i="32"/>
  <c r="L42" i="32"/>
  <c r="L18" i="32"/>
  <c r="L44" i="32"/>
  <c r="L39" i="32"/>
  <c r="K17" i="6"/>
  <c r="K18" i="6" s="1"/>
  <c r="K7" i="32" s="1"/>
  <c r="L40" i="32"/>
  <c r="L43" i="32"/>
  <c r="L37" i="32"/>
  <c r="L41" i="32"/>
  <c r="K32" i="6"/>
  <c r="K41" i="32"/>
  <c r="E32" i="6"/>
  <c r="B43" i="32"/>
  <c r="E41" i="32"/>
  <c r="B35" i="32"/>
  <c r="H41" i="32"/>
  <c r="F48" i="32"/>
  <c r="D48" i="32"/>
  <c r="G49" i="32"/>
  <c r="G43" i="32"/>
  <c r="F35" i="32"/>
  <c r="J43" i="32"/>
  <c r="C8" i="32"/>
  <c r="K47" i="32"/>
  <c r="G34" i="32"/>
  <c r="C33" i="32"/>
  <c r="B36" i="32"/>
  <c r="G35" i="32"/>
  <c r="B47" i="32"/>
  <c r="F8" i="32"/>
  <c r="L38" i="32"/>
  <c r="K38" i="32"/>
  <c r="B49" i="32"/>
  <c r="H47" i="32"/>
  <c r="I17" i="6"/>
  <c r="I18" i="6" s="1"/>
  <c r="G39" i="32"/>
  <c r="D32" i="32"/>
  <c r="I43" i="32"/>
  <c r="H33" i="32"/>
  <c r="F37" i="32"/>
  <c r="C41" i="32"/>
  <c r="C42" i="32"/>
  <c r="B50" i="32"/>
  <c r="H17" i="6"/>
  <c r="H18" i="6" s="1"/>
  <c r="K39" i="32"/>
  <c r="J18" i="32"/>
  <c r="F42" i="32"/>
  <c r="C35" i="32"/>
  <c r="I47" i="32"/>
  <c r="G47" i="32"/>
  <c r="C34" i="32"/>
  <c r="F49" i="32"/>
  <c r="L50" i="32"/>
  <c r="K37" i="32"/>
  <c r="I36" i="32"/>
  <c r="D44" i="32"/>
  <c r="E37" i="32"/>
  <c r="H17" i="32"/>
  <c r="J42" i="32"/>
  <c r="C39" i="32"/>
  <c r="H8" i="32"/>
  <c r="E43" i="32"/>
  <c r="I33" i="32"/>
  <c r="I37" i="32"/>
  <c r="E46" i="32"/>
  <c r="F39" i="32"/>
  <c r="J48" i="32"/>
  <c r="K40" i="32"/>
  <c r="J41" i="32"/>
  <c r="J40" i="32"/>
  <c r="E48" i="32"/>
  <c r="C49" i="32"/>
  <c r="I18" i="32"/>
  <c r="K45" i="32"/>
  <c r="E44" i="32"/>
  <c r="C45" i="32"/>
  <c r="D33" i="32"/>
  <c r="K50" i="32"/>
  <c r="E45" i="32"/>
  <c r="B8" i="32"/>
  <c r="B41" i="32"/>
  <c r="E18" i="32"/>
  <c r="D17" i="6"/>
  <c r="D18" i="6" s="1"/>
  <c r="K49" i="32"/>
  <c r="B33" i="32"/>
  <c r="G8" i="32"/>
  <c r="F41" i="32"/>
  <c r="J33" i="32"/>
  <c r="B40" i="32"/>
  <c r="I41" i="32"/>
  <c r="J17" i="32"/>
  <c r="E36" i="32"/>
  <c r="I42" i="32"/>
  <c r="K44" i="32"/>
  <c r="J49" i="32"/>
  <c r="K42" i="32"/>
  <c r="F40" i="32"/>
  <c r="J39" i="32"/>
  <c r="F32" i="6"/>
  <c r="D43" i="32"/>
  <c r="B48" i="32"/>
  <c r="B32" i="6"/>
  <c r="J50" i="32"/>
  <c r="G18" i="32"/>
  <c r="G44" i="32"/>
  <c r="H45" i="32"/>
  <c r="C32" i="6"/>
  <c r="B18" i="32"/>
  <c r="H40" i="32"/>
  <c r="D8" i="32"/>
  <c r="J44" i="32"/>
  <c r="J47" i="32"/>
  <c r="K43" i="32"/>
  <c r="E17" i="6"/>
  <c r="E18" i="6" s="1"/>
  <c r="F34" i="32"/>
  <c r="B46" i="32"/>
  <c r="G40" i="32"/>
  <c r="J34" i="32"/>
  <c r="B44" i="32"/>
  <c r="G38" i="32"/>
  <c r="G50" i="32"/>
  <c r="F46" i="32"/>
  <c r="C37" i="32"/>
  <c r="C47" i="32"/>
  <c r="D45" i="32"/>
  <c r="H36" i="32"/>
  <c r="D18" i="32"/>
  <c r="G45" i="32"/>
  <c r="K18" i="32"/>
  <c r="H46" i="32"/>
  <c r="B17" i="6"/>
  <c r="G32" i="6"/>
  <c r="H32" i="32"/>
  <c r="C44" i="32"/>
  <c r="I45" i="32"/>
  <c r="G42" i="32"/>
  <c r="J35" i="32"/>
  <c r="C50" i="32"/>
  <c r="C43" i="32"/>
  <c r="G17" i="6"/>
  <c r="G18" i="6" s="1"/>
  <c r="I48" i="32"/>
  <c r="F36" i="32"/>
  <c r="G48" i="32"/>
  <c r="D42" i="32"/>
  <c r="H34" i="32"/>
  <c r="C38" i="32"/>
  <c r="G17" i="32"/>
  <c r="K17" i="32"/>
  <c r="H48" i="32"/>
  <c r="I32" i="6"/>
  <c r="C17" i="6"/>
  <c r="C18" i="6" s="1"/>
  <c r="I38" i="32"/>
  <c r="G37" i="32"/>
  <c r="D41" i="32"/>
  <c r="D36" i="32"/>
  <c r="K36" i="32"/>
  <c r="E38" i="32"/>
  <c r="C18" i="32"/>
  <c r="I35" i="32"/>
  <c r="H42" i="32"/>
  <c r="D47" i="32"/>
  <c r="F17" i="6"/>
  <c r="F18" i="6" s="1"/>
  <c r="E33" i="32"/>
  <c r="I39" i="32"/>
  <c r="F45" i="32"/>
  <c r="F33" i="32"/>
  <c r="D49" i="32"/>
  <c r="J38" i="32"/>
  <c r="C36" i="32"/>
  <c r="J17" i="6"/>
  <c r="J18" i="6" s="1"/>
  <c r="J7" i="32" s="1"/>
  <c r="J32" i="6"/>
  <c r="D50" i="32"/>
  <c r="K35" i="32"/>
  <c r="E47" i="32"/>
  <c r="C32" i="32"/>
  <c r="H32" i="6"/>
  <c r="F50" i="32"/>
  <c r="J46" i="32"/>
  <c r="I32" i="32"/>
  <c r="E35" i="32"/>
  <c r="D46" i="32"/>
  <c r="K32" i="32"/>
  <c r="J45" i="32"/>
  <c r="C17" i="32"/>
  <c r="H18" i="32"/>
  <c r="G46" i="32"/>
  <c r="E17" i="32"/>
  <c r="B37" i="32"/>
  <c r="H38" i="32"/>
  <c r="F44" i="32"/>
  <c r="F47" i="32"/>
  <c r="J8" i="32"/>
  <c r="B39" i="32"/>
  <c r="E8" i="32"/>
  <c r="I40" i="32"/>
  <c r="E39" i="32"/>
  <c r="B32" i="32"/>
  <c r="H44" i="32"/>
  <c r="H43" i="32"/>
  <c r="E50" i="32"/>
  <c r="K33" i="32"/>
  <c r="B34" i="32"/>
  <c r="J32" i="32"/>
  <c r="F32" i="32"/>
  <c r="H39" i="32"/>
  <c r="D38" i="32"/>
  <c r="G41" i="32"/>
  <c r="F17" i="32"/>
  <c r="D37" i="32"/>
  <c r="B38" i="32"/>
  <c r="F43" i="32"/>
  <c r="M41" i="32"/>
  <c r="M38" i="32"/>
  <c r="M33" i="32"/>
  <c r="M45" i="32"/>
  <c r="L47" i="32"/>
  <c r="L45" i="32"/>
  <c r="I34" i="32"/>
  <c r="I46" i="32"/>
  <c r="C48" i="32"/>
  <c r="I44" i="32"/>
  <c r="G33" i="32"/>
  <c r="J36" i="32"/>
  <c r="I21" i="32"/>
  <c r="X18" i="34"/>
  <c r="X17" i="34" s="1"/>
  <c r="N50" i="32"/>
  <c r="N45" i="32"/>
  <c r="N39" i="32"/>
  <c r="N32" i="32"/>
  <c r="N48" i="32"/>
  <c r="N47" i="32"/>
  <c r="N40" i="32"/>
  <c r="N37" i="32"/>
  <c r="N34" i="32"/>
  <c r="N49" i="32"/>
  <c r="N46" i="32"/>
  <c r="N43" i="32"/>
  <c r="N42" i="32"/>
  <c r="N33" i="32"/>
  <c r="N38" i="32"/>
  <c r="N44" i="32"/>
  <c r="N41" i="32"/>
  <c r="N36" i="32"/>
  <c r="N35" i="32"/>
  <c r="M31" i="32"/>
  <c r="M32" i="6"/>
  <c r="N3" i="6"/>
  <c r="N28" i="6" s="1"/>
  <c r="N29" i="6" s="1"/>
  <c r="L8" i="32"/>
  <c r="M17" i="6"/>
  <c r="O5" i="6"/>
  <c r="P5" i="34"/>
  <c r="P4" i="34" s="1"/>
  <c r="N5" i="33"/>
  <c r="N3" i="33" s="1"/>
  <c r="N5" i="32"/>
  <c r="F5" i="19"/>
  <c r="K33" i="6" l="1"/>
  <c r="J19" i="32" s="1"/>
  <c r="J24" i="32" s="1"/>
  <c r="J33" i="6"/>
  <c r="I19" i="32" s="1"/>
  <c r="I24" i="32" s="1"/>
  <c r="M52" i="32"/>
  <c r="E31" i="32"/>
  <c r="E52" i="32" s="1"/>
  <c r="G31" i="32"/>
  <c r="G52" i="32" s="1"/>
  <c r="H7" i="32"/>
  <c r="H33" i="6"/>
  <c r="F7" i="32"/>
  <c r="F33" i="6"/>
  <c r="F31" i="32"/>
  <c r="F52" i="32" s="1"/>
  <c r="I31" i="32"/>
  <c r="I52" i="32" s="1"/>
  <c r="B18" i="6"/>
  <c r="C31" i="32"/>
  <c r="C52" i="32" s="1"/>
  <c r="E7" i="32"/>
  <c r="E33" i="6"/>
  <c r="H31" i="32"/>
  <c r="H52" i="32" s="1"/>
  <c r="L31" i="32"/>
  <c r="L52" i="32" s="1"/>
  <c r="G7" i="32"/>
  <c r="G33" i="6"/>
  <c r="D31" i="32"/>
  <c r="D52" i="32" s="1"/>
  <c r="B31" i="32"/>
  <c r="K31" i="32"/>
  <c r="K52" i="32" s="1"/>
  <c r="D7" i="32"/>
  <c r="D33" i="6"/>
  <c r="I33" i="6"/>
  <c r="I7" i="32"/>
  <c r="B17" i="32"/>
  <c r="C7" i="32"/>
  <c r="C33" i="6"/>
  <c r="J31" i="32"/>
  <c r="J52" i="32" s="1"/>
  <c r="D17" i="32"/>
  <c r="M17" i="32"/>
  <c r="W62" i="32"/>
  <c r="BI54" i="32"/>
  <c r="K9" i="32"/>
  <c r="K14" i="32" s="1"/>
  <c r="N3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4" i="32"/>
  <c r="O33" i="32"/>
  <c r="O32" i="32"/>
  <c r="O35" i="32"/>
  <c r="O36" i="32"/>
  <c r="M18" i="6"/>
  <c r="M7" i="32" s="1"/>
  <c r="N3" i="32"/>
  <c r="N65" i="32"/>
  <c r="N14" i="33" s="1"/>
  <c r="L18" i="6"/>
  <c r="L7" i="32" s="1"/>
  <c r="N32" i="6"/>
  <c r="N18" i="32"/>
  <c r="N17" i="32"/>
  <c r="N17" i="6"/>
  <c r="O3" i="6"/>
  <c r="O28" i="6" s="1"/>
  <c r="O29" i="6" s="1"/>
  <c r="BF54" i="32"/>
  <c r="BH54" i="32"/>
  <c r="BE54" i="32"/>
  <c r="BG54" i="32"/>
  <c r="P5" i="6"/>
  <c r="Q5" i="34"/>
  <c r="Q4" i="34" s="1"/>
  <c r="O5" i="33"/>
  <c r="O3" i="33" s="1"/>
  <c r="O5" i="32"/>
  <c r="N52" i="32" l="1"/>
  <c r="B52" i="32"/>
  <c r="N19" i="34"/>
  <c r="J9" i="32"/>
  <c r="J14" i="32" s="1"/>
  <c r="F19" i="32"/>
  <c r="F24" i="32" s="1"/>
  <c r="G9" i="32"/>
  <c r="G14" i="32" s="1"/>
  <c r="D9" i="32"/>
  <c r="D14" i="32" s="1"/>
  <c r="C19" i="32"/>
  <c r="C24" i="32" s="1"/>
  <c r="E19" i="32"/>
  <c r="E24" i="32" s="1"/>
  <c r="F9" i="32"/>
  <c r="F14" i="32" s="1"/>
  <c r="M19" i="34"/>
  <c r="D19" i="34"/>
  <c r="B19" i="32"/>
  <c r="C9" i="32"/>
  <c r="C14" i="32" s="1"/>
  <c r="G19" i="32"/>
  <c r="G24" i="32" s="1"/>
  <c r="H9" i="32"/>
  <c r="H14" i="32" s="1"/>
  <c r="L19" i="34"/>
  <c r="B7" i="32"/>
  <c r="B33" i="6"/>
  <c r="B9" i="32" s="1"/>
  <c r="H19" i="34"/>
  <c r="I19" i="34"/>
  <c r="J19" i="34"/>
  <c r="H19" i="32"/>
  <c r="H24" i="32" s="1"/>
  <c r="I9" i="32"/>
  <c r="I14" i="32" s="1"/>
  <c r="F19" i="34"/>
  <c r="E19" i="34"/>
  <c r="D19" i="32"/>
  <c r="D24" i="32" s="1"/>
  <c r="E9" i="32"/>
  <c r="E14" i="32" s="1"/>
  <c r="L17" i="32"/>
  <c r="O31" i="32"/>
  <c r="O52" i="32" s="1"/>
  <c r="P39" i="32"/>
  <c r="P48" i="32"/>
  <c r="P43" i="32"/>
  <c r="P42" i="32"/>
  <c r="P47" i="32"/>
  <c r="P34" i="32"/>
  <c r="P40" i="32"/>
  <c r="P37" i="32"/>
  <c r="P49" i="32"/>
  <c r="P50" i="32"/>
  <c r="P46" i="32"/>
  <c r="P33" i="32"/>
  <c r="P38" i="32"/>
  <c r="P44" i="32"/>
  <c r="P32" i="32"/>
  <c r="P41" i="32"/>
  <c r="P36" i="32"/>
  <c r="P35" i="32"/>
  <c r="P45" i="32"/>
  <c r="L33" i="6"/>
  <c r="O3" i="32"/>
  <c r="O65" i="32"/>
  <c r="O14" i="33" s="1"/>
  <c r="M8" i="32"/>
  <c r="N8" i="32"/>
  <c r="N18" i="6"/>
  <c r="N7" i="32" s="1"/>
  <c r="O32" i="6"/>
  <c r="O18" i="32"/>
  <c r="P3" i="6"/>
  <c r="P28" i="6" s="1"/>
  <c r="P29" i="6" s="1"/>
  <c r="O17" i="6"/>
  <c r="Q5" i="6"/>
  <c r="R5" i="34"/>
  <c r="R4" i="34" s="1"/>
  <c r="P5" i="33"/>
  <c r="P3" i="33" s="1"/>
  <c r="P5" i="32"/>
  <c r="B24" i="32" l="1"/>
  <c r="D9" i="34" s="1"/>
  <c r="B11" i="33" s="1"/>
  <c r="I9" i="34"/>
  <c r="G19" i="34"/>
  <c r="B14" i="32"/>
  <c r="F9" i="34"/>
  <c r="E26" i="32"/>
  <c r="E9" i="34"/>
  <c r="H9" i="34"/>
  <c r="G9" i="34"/>
  <c r="J9" i="34"/>
  <c r="D26" i="32"/>
  <c r="C26" i="32"/>
  <c r="P19" i="34"/>
  <c r="K19" i="32"/>
  <c r="K24" i="32" s="1"/>
  <c r="M18" i="32"/>
  <c r="W26" i="33"/>
  <c r="W29" i="33" s="1"/>
  <c r="L9" i="32"/>
  <c r="L14" i="32" s="1"/>
  <c r="Y18" i="34"/>
  <c r="Y17" i="34" s="1"/>
  <c r="P31" i="32"/>
  <c r="P52" i="32" s="1"/>
  <c r="Q48" i="32"/>
  <c r="Q43" i="32"/>
  <c r="Q42" i="32"/>
  <c r="Q41" i="32"/>
  <c r="Q40" i="32"/>
  <c r="Q37" i="32"/>
  <c r="Q49" i="32"/>
  <c r="Q50" i="32"/>
  <c r="Q33" i="32"/>
  <c r="Q46" i="32"/>
  <c r="Q34" i="32"/>
  <c r="Q38" i="32"/>
  <c r="Q47" i="32"/>
  <c r="Q44" i="32"/>
  <c r="Q32" i="32"/>
  <c r="Q36" i="32"/>
  <c r="Q35" i="32"/>
  <c r="Q39" i="32"/>
  <c r="Q45" i="32"/>
  <c r="O8" i="32"/>
  <c r="P3" i="32"/>
  <c r="P65" i="32"/>
  <c r="P14" i="33" s="1"/>
  <c r="M33" i="6"/>
  <c r="L19" i="32" s="1"/>
  <c r="L24" i="32" s="1"/>
  <c r="N33" i="6"/>
  <c r="P32" i="6"/>
  <c r="P17" i="32"/>
  <c r="P17" i="6"/>
  <c r="Q3" i="6"/>
  <c r="Q28" i="6" s="1"/>
  <c r="Q29" i="6" s="1"/>
  <c r="G26" i="32"/>
  <c r="F26" i="32"/>
  <c r="R5" i="6"/>
  <c r="S5" i="34"/>
  <c r="S4" i="34" s="1"/>
  <c r="Q5" i="33"/>
  <c r="Q3" i="33" s="1"/>
  <c r="Q5" i="32"/>
  <c r="C19" i="34" l="1"/>
  <c r="H11" i="33"/>
  <c r="G11" i="33"/>
  <c r="D11" i="33"/>
  <c r="C11" i="33"/>
  <c r="E11" i="33"/>
  <c r="H10" i="34"/>
  <c r="B26" i="32"/>
  <c r="F11" i="33"/>
  <c r="Q19" i="34"/>
  <c r="K9" i="34"/>
  <c r="I11" i="33" s="1"/>
  <c r="M19" i="32"/>
  <c r="M24" i="32" s="1"/>
  <c r="L9" i="34"/>
  <c r="M9" i="32"/>
  <c r="M14" i="32" s="1"/>
  <c r="N9" i="32"/>
  <c r="Q31" i="32"/>
  <c r="Q52" i="32" s="1"/>
  <c r="R41" i="32"/>
  <c r="R46" i="32"/>
  <c r="R49" i="32"/>
  <c r="R48" i="32"/>
  <c r="R50" i="32"/>
  <c r="R33" i="32"/>
  <c r="R39" i="32"/>
  <c r="R37" i="32"/>
  <c r="R43" i="32"/>
  <c r="R42" i="32"/>
  <c r="R40" i="32"/>
  <c r="R38" i="32"/>
  <c r="R47" i="32"/>
  <c r="R44" i="32"/>
  <c r="R32" i="32"/>
  <c r="R36" i="32"/>
  <c r="R35" i="32"/>
  <c r="R45" i="32"/>
  <c r="R34" i="32"/>
  <c r="X62" i="32"/>
  <c r="Q3" i="32"/>
  <c r="Q65" i="32"/>
  <c r="Q14" i="33" s="1"/>
  <c r="O18" i="6"/>
  <c r="O7" i="32" s="1"/>
  <c r="O17" i="32"/>
  <c r="Q32" i="6"/>
  <c r="R3" i="6"/>
  <c r="R28" i="6" s="1"/>
  <c r="R29" i="6" s="1"/>
  <c r="Q18" i="32"/>
  <c r="Q17" i="6"/>
  <c r="P18" i="6"/>
  <c r="Q17" i="32"/>
  <c r="S5" i="6"/>
  <c r="T5" i="34"/>
  <c r="T4" i="34" s="1"/>
  <c r="R5" i="33"/>
  <c r="R3" i="33" s="1"/>
  <c r="R5" i="32"/>
  <c r="O10" i="34" l="1"/>
  <c r="N10" i="34"/>
  <c r="K10" i="34"/>
  <c r="L10" i="34"/>
  <c r="M10" i="34"/>
  <c r="J10" i="34"/>
  <c r="I10" i="34"/>
  <c r="G12" i="33" s="1"/>
  <c r="G10" i="34"/>
  <c r="F12" i="33" s="1"/>
  <c r="D10" i="34"/>
  <c r="B12" i="33" s="1"/>
  <c r="F10" i="34"/>
  <c r="E10" i="34"/>
  <c r="R19" i="34"/>
  <c r="K19" i="34"/>
  <c r="J11" i="33"/>
  <c r="M9" i="34"/>
  <c r="K11" i="33" s="1"/>
  <c r="R31" i="32"/>
  <c r="R52" i="32" s="1"/>
  <c r="S46" i="32"/>
  <c r="S38" i="32"/>
  <c r="S50" i="32"/>
  <c r="S33" i="32"/>
  <c r="S39" i="32"/>
  <c r="S44" i="32"/>
  <c r="S43" i="32"/>
  <c r="S36" i="32"/>
  <c r="S35" i="32"/>
  <c r="S42" i="32"/>
  <c r="S40" i="32"/>
  <c r="S47" i="32"/>
  <c r="S32" i="32"/>
  <c r="S41" i="32"/>
  <c r="S48" i="32"/>
  <c r="S45" i="32"/>
  <c r="S34" i="32"/>
  <c r="S49" i="32"/>
  <c r="S37" i="32"/>
  <c r="O33" i="6"/>
  <c r="R3" i="32"/>
  <c r="R65" i="32"/>
  <c r="R14" i="33" s="1"/>
  <c r="N14" i="32"/>
  <c r="P8" i="32"/>
  <c r="P18" i="32"/>
  <c r="R32" i="6"/>
  <c r="P7" i="32"/>
  <c r="Q18" i="6"/>
  <c r="R18" i="32"/>
  <c r="S3" i="6"/>
  <c r="S28" i="6" s="1"/>
  <c r="S29" i="6" s="1"/>
  <c r="Q8" i="32"/>
  <c r="R17" i="6"/>
  <c r="I26" i="32"/>
  <c r="H26" i="32"/>
  <c r="T5" i="6"/>
  <c r="U5" i="34"/>
  <c r="U4" i="34" s="1"/>
  <c r="S5" i="33"/>
  <c r="S3" i="33" s="1"/>
  <c r="S5" i="32"/>
  <c r="M12" i="33" l="1"/>
  <c r="J12" i="33"/>
  <c r="K12" i="33"/>
  <c r="I12" i="33"/>
  <c r="H12" i="33"/>
  <c r="L12" i="33"/>
  <c r="C12" i="33"/>
  <c r="D12" i="33"/>
  <c r="E12" i="33"/>
  <c r="P10" i="34"/>
  <c r="N12" i="33" s="1"/>
  <c r="N19" i="32"/>
  <c r="O9" i="32"/>
  <c r="X26" i="33"/>
  <c r="X29" i="33" s="1"/>
  <c r="S31" i="32"/>
  <c r="S52" i="32" s="1"/>
  <c r="T38" i="32"/>
  <c r="T49" i="32"/>
  <c r="T44" i="32"/>
  <c r="T36" i="32"/>
  <c r="T50" i="32"/>
  <c r="T33" i="32"/>
  <c r="T39" i="32"/>
  <c r="T43" i="32"/>
  <c r="T35" i="32"/>
  <c r="T40" i="32"/>
  <c r="T47" i="32"/>
  <c r="T32" i="32"/>
  <c r="T41" i="32"/>
  <c r="T48" i="32"/>
  <c r="T45" i="32"/>
  <c r="T34" i="32"/>
  <c r="T42" i="32"/>
  <c r="T37" i="32"/>
  <c r="T46" i="32"/>
  <c r="P33" i="6"/>
  <c r="S3" i="32"/>
  <c r="S65" i="32"/>
  <c r="S14" i="33" s="1"/>
  <c r="R17" i="32"/>
  <c r="R8" i="32"/>
  <c r="Q7" i="32"/>
  <c r="Q33" i="6"/>
  <c r="S32" i="6"/>
  <c r="S17" i="32"/>
  <c r="S17" i="6"/>
  <c r="T3" i="6"/>
  <c r="T28" i="6" s="1"/>
  <c r="T29" i="6" s="1"/>
  <c r="U5" i="6"/>
  <c r="V5" i="34"/>
  <c r="V4" i="34" s="1"/>
  <c r="T5" i="33"/>
  <c r="T3" i="33" s="1"/>
  <c r="T5" i="32"/>
  <c r="O14" i="32" l="1"/>
  <c r="N24" i="32"/>
  <c r="N9" i="34" s="1"/>
  <c r="L11" i="33" s="1"/>
  <c r="T19" i="34"/>
  <c r="Q10" i="34"/>
  <c r="O12" i="33" s="1"/>
  <c r="O19" i="32"/>
  <c r="O24" i="32" s="1"/>
  <c r="Q9" i="32"/>
  <c r="Q14" i="32" s="1"/>
  <c r="P9" i="32"/>
  <c r="P14" i="32" s="1"/>
  <c r="P19" i="32"/>
  <c r="P24" i="32" s="1"/>
  <c r="T31" i="32"/>
  <c r="T52" i="32" s="1"/>
  <c r="U50" i="32"/>
  <c r="U49" i="32"/>
  <c r="U48" i="32"/>
  <c r="U47" i="32"/>
  <c r="U46" i="32"/>
  <c r="U45" i="32"/>
  <c r="U44" i="32"/>
  <c r="U43" i="32"/>
  <c r="U36" i="32"/>
  <c r="U35" i="32"/>
  <c r="U34" i="32"/>
  <c r="U33" i="32"/>
  <c r="U32" i="32"/>
  <c r="U40" i="32"/>
  <c r="U39" i="32"/>
  <c r="U42" i="32"/>
  <c r="U38" i="32"/>
  <c r="U41" i="32"/>
  <c r="U37" i="32"/>
  <c r="Z18" i="34"/>
  <c r="Z17" i="34" s="1"/>
  <c r="T3" i="32"/>
  <c r="T65" i="32" s="1"/>
  <c r="T14" i="33" s="1"/>
  <c r="R18" i="6"/>
  <c r="R33" i="6" s="1"/>
  <c r="Q19" i="32" s="1"/>
  <c r="Q24" i="32" s="1"/>
  <c r="T32" i="6"/>
  <c r="S18" i="6"/>
  <c r="T17" i="6"/>
  <c r="U3" i="6"/>
  <c r="U28" i="6" s="1"/>
  <c r="U29" i="6" s="1"/>
  <c r="T17" i="32"/>
  <c r="T18" i="32"/>
  <c r="J26" i="32"/>
  <c r="K26" i="32"/>
  <c r="V5" i="6"/>
  <c r="W5" i="34"/>
  <c r="W4" i="34" s="1"/>
  <c r="U5" i="33"/>
  <c r="U3" i="33" s="1"/>
  <c r="U5" i="32"/>
  <c r="O9" i="34" l="1"/>
  <c r="M11" i="33" s="1"/>
  <c r="U19" i="34"/>
  <c r="R10" i="34"/>
  <c r="P12" i="33" s="1"/>
  <c r="P9" i="34"/>
  <c r="Q9" i="34"/>
  <c r="R9" i="32"/>
  <c r="Y62" i="32"/>
  <c r="U31" i="32"/>
  <c r="U52" i="32" s="1"/>
  <c r="V50" i="32"/>
  <c r="V49" i="32"/>
  <c r="V48" i="32"/>
  <c r="V47" i="32"/>
  <c r="V46" i="32"/>
  <c r="V45" i="32"/>
  <c r="V44" i="32"/>
  <c r="V43" i="32"/>
  <c r="V42" i="32"/>
  <c r="V40" i="32"/>
  <c r="V35" i="32"/>
  <c r="V36" i="32"/>
  <c r="V41" i="32"/>
  <c r="V38" i="32"/>
  <c r="V32" i="32"/>
  <c r="V33" i="32"/>
  <c r="V39" i="32"/>
  <c r="V37" i="32"/>
  <c r="V34" i="32"/>
  <c r="R7" i="32"/>
  <c r="U3" i="32"/>
  <c r="U65" i="32"/>
  <c r="U14" i="33" s="1"/>
  <c r="S8" i="32"/>
  <c r="S18" i="32"/>
  <c r="S7" i="32"/>
  <c r="U32" i="6"/>
  <c r="V3" i="6"/>
  <c r="V28" i="6" s="1"/>
  <c r="V29" i="6" s="1"/>
  <c r="U17" i="6"/>
  <c r="U18" i="32"/>
  <c r="T8" i="32"/>
  <c r="T18" i="6"/>
  <c r="W5" i="6"/>
  <c r="X5" i="34"/>
  <c r="X4" i="34" s="1"/>
  <c r="V5" i="33"/>
  <c r="V3" i="33" s="1"/>
  <c r="V5" i="32"/>
  <c r="N11" i="33" l="1"/>
  <c r="V19" i="34"/>
  <c r="O19" i="34"/>
  <c r="S10" i="34"/>
  <c r="Q12" i="33" s="1"/>
  <c r="T10" i="34"/>
  <c r="O11" i="33"/>
  <c r="W50" i="32"/>
  <c r="W49" i="32"/>
  <c r="W48" i="32"/>
  <c r="W47" i="32"/>
  <c r="W46" i="32"/>
  <c r="W45" i="32"/>
  <c r="W44" i="32"/>
  <c r="W43" i="32"/>
  <c r="W42" i="32"/>
  <c r="W37" i="32"/>
  <c r="W35" i="32"/>
  <c r="W36" i="32"/>
  <c r="W41" i="32"/>
  <c r="W38" i="32"/>
  <c r="W32" i="32"/>
  <c r="W39" i="32"/>
  <c r="W34" i="32"/>
  <c r="W40" i="32"/>
  <c r="W33" i="32"/>
  <c r="R14" i="32"/>
  <c r="V31" i="32"/>
  <c r="V52" i="32" s="1"/>
  <c r="V3" i="32"/>
  <c r="V65" i="32"/>
  <c r="V14" i="33" s="1"/>
  <c r="S33" i="6"/>
  <c r="R19" i="32" s="1"/>
  <c r="T7" i="32"/>
  <c r="T33" i="6"/>
  <c r="V32" i="6"/>
  <c r="U8" i="32"/>
  <c r="W3" i="6"/>
  <c r="W28" i="6" s="1"/>
  <c r="W29" i="6" s="1"/>
  <c r="V17" i="32"/>
  <c r="V17" i="6"/>
  <c r="L26" i="32"/>
  <c r="X5" i="6"/>
  <c r="Y5" i="34"/>
  <c r="Y4" i="34" s="1"/>
  <c r="W5" i="33"/>
  <c r="W3" i="33" s="1"/>
  <c r="W5" i="32"/>
  <c r="R24" i="32" l="1"/>
  <c r="R9" i="34" s="1"/>
  <c r="P11" i="33" s="1"/>
  <c r="R12" i="33"/>
  <c r="U10" i="34"/>
  <c r="S12" i="33" s="1"/>
  <c r="T9" i="32"/>
  <c r="T14" i="32" s="1"/>
  <c r="S9" i="32"/>
  <c r="S14" i="32" s="1"/>
  <c r="S19" i="32"/>
  <c r="S24" i="32" s="1"/>
  <c r="W31" i="32"/>
  <c r="W52" i="32" s="1"/>
  <c r="X49" i="32"/>
  <c r="X44" i="32"/>
  <c r="X37" i="32"/>
  <c r="X36" i="32"/>
  <c r="X43" i="32"/>
  <c r="X41" i="32"/>
  <c r="X38" i="32"/>
  <c r="X32" i="32"/>
  <c r="X42" i="32"/>
  <c r="X45" i="32"/>
  <c r="X34" i="32"/>
  <c r="X50" i="32"/>
  <c r="X47" i="32"/>
  <c r="X48" i="32"/>
  <c r="X39" i="32"/>
  <c r="X35" i="32"/>
  <c r="X46" i="32"/>
  <c r="X40" i="32"/>
  <c r="X33" i="32"/>
  <c r="Y26" i="33"/>
  <c r="Y29" i="33" s="1"/>
  <c r="W3" i="32"/>
  <c r="W65" i="32"/>
  <c r="W14" i="33" s="1"/>
  <c r="U18" i="6"/>
  <c r="U7" i="32" s="1"/>
  <c r="U17" i="32"/>
  <c r="W32" i="6"/>
  <c r="W18" i="32"/>
  <c r="X3" i="6"/>
  <c r="X28" i="6" s="1"/>
  <c r="X29" i="6" s="1"/>
  <c r="W17" i="32"/>
  <c r="W17" i="6"/>
  <c r="V18" i="6"/>
  <c r="M26" i="32"/>
  <c r="Y5" i="6"/>
  <c r="Z5" i="34"/>
  <c r="Z4" i="34" s="1"/>
  <c r="X5" i="33"/>
  <c r="X3" i="33" s="1"/>
  <c r="X5" i="32"/>
  <c r="X19" i="34" l="1"/>
  <c r="S9" i="34"/>
  <c r="Q11" i="33" s="1"/>
  <c r="AA18" i="34"/>
  <c r="AA17" i="34" s="1"/>
  <c r="X31" i="32"/>
  <c r="X52" i="32" s="1"/>
  <c r="Y50" i="32"/>
  <c r="Y49" i="32"/>
  <c r="Y48" i="32"/>
  <c r="Y47" i="32"/>
  <c r="Y46" i="32"/>
  <c r="Y45" i="32"/>
  <c r="Y44" i="32"/>
  <c r="Y43" i="32"/>
  <c r="Y42" i="32"/>
  <c r="Y41" i="32"/>
  <c r="Y40" i="32"/>
  <c r="Y39" i="32"/>
  <c r="Y38" i="32"/>
  <c r="Y37" i="32"/>
  <c r="Y32" i="32"/>
  <c r="Y34" i="32"/>
  <c r="Y35" i="32"/>
  <c r="Y36" i="32"/>
  <c r="Y33" i="32"/>
  <c r="X3" i="32"/>
  <c r="X65" i="32"/>
  <c r="X14" i="33" s="1"/>
  <c r="U33" i="6"/>
  <c r="V8" i="32"/>
  <c r="V18" i="32"/>
  <c r="W8" i="32"/>
  <c r="X32" i="6"/>
  <c r="V7" i="32"/>
  <c r="X18" i="32"/>
  <c r="W18" i="6"/>
  <c r="X17" i="6"/>
  <c r="Y3" i="6"/>
  <c r="Y28" i="6" s="1"/>
  <c r="Y29" i="6" s="1"/>
  <c r="N26" i="32"/>
  <c r="O26" i="32"/>
  <c r="Z5" i="6"/>
  <c r="AA5" i="34"/>
  <c r="AA4" i="34" s="1"/>
  <c r="Y5" i="33"/>
  <c r="Y3" i="33" s="1"/>
  <c r="Y5" i="32"/>
  <c r="Y3" i="32" s="1"/>
  <c r="Y19" i="34" l="1"/>
  <c r="V10" i="34"/>
  <c r="T12" i="33" s="1"/>
  <c r="W10" i="34"/>
  <c r="T19" i="32"/>
  <c r="U9" i="32"/>
  <c r="U14" i="32" s="1"/>
  <c r="Y31" i="32"/>
  <c r="Y52" i="32" s="1"/>
  <c r="Z62" i="32"/>
  <c r="Z47" i="32"/>
  <c r="Z39" i="32"/>
  <c r="Z43" i="32"/>
  <c r="Z41" i="32"/>
  <c r="Z38" i="32"/>
  <c r="Z42" i="32"/>
  <c r="Z34" i="32"/>
  <c r="Z45" i="32"/>
  <c r="Z44" i="32"/>
  <c r="Z32" i="32"/>
  <c r="Z35" i="32"/>
  <c r="Z48" i="32"/>
  <c r="Z36" i="32"/>
  <c r="Z37" i="32"/>
  <c r="Z33" i="32"/>
  <c r="Z49" i="32"/>
  <c r="Z46" i="32"/>
  <c r="Z40" i="32"/>
  <c r="Z50" i="32"/>
  <c r="V33" i="6"/>
  <c r="X17" i="32"/>
  <c r="Y32" i="6"/>
  <c r="W7" i="32"/>
  <c r="W33" i="6"/>
  <c r="Y17" i="32"/>
  <c r="Y17" i="6"/>
  <c r="Z3" i="6"/>
  <c r="Z28" i="6" s="1"/>
  <c r="Z29" i="6" s="1"/>
  <c r="X8" i="32"/>
  <c r="P26" i="32"/>
  <c r="AA5" i="6"/>
  <c r="AB5" i="34"/>
  <c r="AB4" i="34" s="1"/>
  <c r="Z5" i="33"/>
  <c r="Z3" i="33" s="1"/>
  <c r="Z5" i="32"/>
  <c r="T24" i="32" l="1"/>
  <c r="T9" i="34" s="1"/>
  <c r="R11" i="33" s="1"/>
  <c r="Z19" i="34"/>
  <c r="U12" i="33"/>
  <c r="U19" i="32"/>
  <c r="U24" i="32" s="1"/>
  <c r="W9" i="32"/>
  <c r="W14" i="32" s="1"/>
  <c r="V19" i="32"/>
  <c r="V24" i="32" s="1"/>
  <c r="V9" i="32"/>
  <c r="V14" i="32" s="1"/>
  <c r="AA47" i="32"/>
  <c r="AA39" i="32"/>
  <c r="AA42" i="32"/>
  <c r="AA34" i="32"/>
  <c r="AA45" i="32"/>
  <c r="AA44" i="32"/>
  <c r="AA46" i="32"/>
  <c r="AA40" i="32"/>
  <c r="AA37" i="32"/>
  <c r="AA43" i="32"/>
  <c r="AA38" i="32"/>
  <c r="AA35" i="32"/>
  <c r="AA48" i="32"/>
  <c r="AA41" i="32"/>
  <c r="AA36" i="32"/>
  <c r="AA33" i="32"/>
  <c r="AA49" i="32"/>
  <c r="AA50" i="32"/>
  <c r="AA32" i="32"/>
  <c r="Z31" i="32"/>
  <c r="Z3" i="32"/>
  <c r="Z65" i="32"/>
  <c r="Z14" i="33" s="1"/>
  <c r="X18" i="6"/>
  <c r="X7" i="32" s="1"/>
  <c r="Z32" i="6"/>
  <c r="Y18" i="6"/>
  <c r="Z17" i="32"/>
  <c r="Z18" i="32"/>
  <c r="Z17" i="6"/>
  <c r="AA3" i="6"/>
  <c r="AA28" i="6" s="1"/>
  <c r="AA29" i="6" s="1"/>
  <c r="Q26" i="32"/>
  <c r="AB5" i="6"/>
  <c r="AC5" i="34"/>
  <c r="AC4" i="34" s="1"/>
  <c r="AA5" i="33"/>
  <c r="AA3" i="33" s="1"/>
  <c r="AA5" i="32"/>
  <c r="U9" i="34" l="1"/>
  <c r="S11" i="33" s="1"/>
  <c r="Z52" i="32"/>
  <c r="X10" i="34"/>
  <c r="V12" i="33" s="1"/>
  <c r="V9" i="34"/>
  <c r="AA31" i="32"/>
  <c r="AA52" i="32" s="1"/>
  <c r="AB50" i="32"/>
  <c r="AB45" i="32"/>
  <c r="AB41" i="32"/>
  <c r="AB44" i="32"/>
  <c r="AB46" i="32"/>
  <c r="AB40" i="32"/>
  <c r="AB37" i="32"/>
  <c r="AB33" i="32"/>
  <c r="AB35" i="32"/>
  <c r="AB48" i="32"/>
  <c r="AB36" i="32"/>
  <c r="AB39" i="32"/>
  <c r="AB34" i="32"/>
  <c r="AB49" i="32"/>
  <c r="AB38" i="32"/>
  <c r="AB47" i="32"/>
  <c r="AB42" i="32"/>
  <c r="AB32" i="32"/>
  <c r="AB43" i="32"/>
  <c r="Z26" i="33"/>
  <c r="Z29" i="33" s="1"/>
  <c r="X33" i="6"/>
  <c r="AA3" i="32"/>
  <c r="AA65" i="32"/>
  <c r="AA14" i="33" s="1"/>
  <c r="Y8" i="32"/>
  <c r="Y18" i="32"/>
  <c r="Z8" i="32"/>
  <c r="Y7" i="32"/>
  <c r="Z18" i="6"/>
  <c r="AA32" i="6"/>
  <c r="AA18" i="32"/>
  <c r="AA17" i="6"/>
  <c r="AB3" i="6"/>
  <c r="AB28" i="6" s="1"/>
  <c r="AB29" i="6" s="1"/>
  <c r="R26" i="32"/>
  <c r="AC5" i="6"/>
  <c r="AD5" i="34"/>
  <c r="AD4" i="34" s="1"/>
  <c r="AB5" i="33"/>
  <c r="AB3" i="33" s="1"/>
  <c r="AB5" i="32"/>
  <c r="T11" i="33" l="1"/>
  <c r="AB19" i="34"/>
  <c r="S19" i="34"/>
  <c r="Y10" i="34"/>
  <c r="W12" i="33" s="1"/>
  <c r="Z10" i="34"/>
  <c r="W19" i="32"/>
  <c r="W24" i="32" s="1"/>
  <c r="X9" i="32"/>
  <c r="X14" i="32" s="1"/>
  <c r="AB31" i="32"/>
  <c r="AB52" i="32" s="1"/>
  <c r="AC50" i="32"/>
  <c r="AC45" i="32"/>
  <c r="AC41" i="32"/>
  <c r="AC42" i="32"/>
  <c r="AC46" i="32"/>
  <c r="AC40" i="32"/>
  <c r="AC37" i="32"/>
  <c r="AC33" i="32"/>
  <c r="AC48" i="32"/>
  <c r="AC47" i="32"/>
  <c r="AC36" i="32"/>
  <c r="AC44" i="32"/>
  <c r="AC39" i="32"/>
  <c r="AC34" i="32"/>
  <c r="AC49" i="32"/>
  <c r="AC32" i="32"/>
  <c r="AC38" i="32"/>
  <c r="AC35" i="32"/>
  <c r="AC43" i="32"/>
  <c r="AB18" i="34"/>
  <c r="AB17" i="34" s="1"/>
  <c r="AB3" i="32"/>
  <c r="AB65" i="32"/>
  <c r="AB14" i="33" s="1"/>
  <c r="Y33" i="6"/>
  <c r="AB32" i="6"/>
  <c r="Z7" i="32"/>
  <c r="Z33" i="6"/>
  <c r="AA8" i="32"/>
  <c r="AB17" i="6"/>
  <c r="AB17" i="32"/>
  <c r="AC3" i="6"/>
  <c r="AC28" i="6" s="1"/>
  <c r="AC29" i="6" s="1"/>
  <c r="S26" i="32"/>
  <c r="AD5" i="6"/>
  <c r="AE5" i="34"/>
  <c r="AE4" i="34" s="1"/>
  <c r="AC5" i="33"/>
  <c r="AC3" i="33" s="1"/>
  <c r="AC5" i="32"/>
  <c r="AC19" i="34" l="1"/>
  <c r="W9" i="34"/>
  <c r="U11" i="33" s="1"/>
  <c r="X12" i="33"/>
  <c r="X19" i="32"/>
  <c r="X24" i="32" s="1"/>
  <c r="X9" i="34" s="1"/>
  <c r="Y19" i="32"/>
  <c r="Y24" i="32" s="1"/>
  <c r="Y9" i="32"/>
  <c r="Y14" i="32" s="1"/>
  <c r="Z9" i="32"/>
  <c r="AC31" i="32"/>
  <c r="AC52" i="32" s="1"/>
  <c r="AA62" i="32"/>
  <c r="AD42" i="32"/>
  <c r="AD48" i="32"/>
  <c r="AD43" i="32"/>
  <c r="AD38" i="32"/>
  <c r="AD36" i="32"/>
  <c r="AD46" i="32"/>
  <c r="AD45" i="32"/>
  <c r="AD40" i="32"/>
  <c r="AD37" i="32"/>
  <c r="AD33" i="32"/>
  <c r="AD47" i="32"/>
  <c r="AD35" i="32"/>
  <c r="AD44" i="32"/>
  <c r="AD41" i="32"/>
  <c r="AD39" i="32"/>
  <c r="AD34" i="32"/>
  <c r="AD49" i="32"/>
  <c r="AD32" i="32"/>
  <c r="AD50" i="32"/>
  <c r="AC3" i="32"/>
  <c r="AC65" i="32"/>
  <c r="AC14" i="33" s="1"/>
  <c r="AA18" i="6"/>
  <c r="AA7" i="32" s="1"/>
  <c r="AA17" i="32"/>
  <c r="AC32" i="6"/>
  <c r="AC17" i="6"/>
  <c r="AD3" i="6"/>
  <c r="AD28" i="6" s="1"/>
  <c r="AD29" i="6" s="1"/>
  <c r="AC17" i="32"/>
  <c r="AC18" i="32"/>
  <c r="AB18" i="6"/>
  <c r="T26" i="32"/>
  <c r="AE5" i="6"/>
  <c r="AF5" i="34"/>
  <c r="AF4" i="34" s="1"/>
  <c r="AD5" i="33"/>
  <c r="AD3" i="33" s="1"/>
  <c r="AD5" i="32"/>
  <c r="Z14" i="32" l="1"/>
  <c r="AD19" i="34"/>
  <c r="AA10" i="34"/>
  <c r="Y12" i="33" s="1"/>
  <c r="V11" i="33"/>
  <c r="Y9" i="34"/>
  <c r="W11" i="33" s="1"/>
  <c r="AE50" i="32"/>
  <c r="AE49" i="32"/>
  <c r="AE48" i="32"/>
  <c r="AE47" i="32"/>
  <c r="AE46" i="32"/>
  <c r="AE45" i="32"/>
  <c r="AE44" i="32"/>
  <c r="AE43" i="32"/>
  <c r="AE38" i="32"/>
  <c r="AE36" i="32"/>
  <c r="AE35" i="32"/>
  <c r="AE34" i="32"/>
  <c r="AE33" i="32"/>
  <c r="AE32" i="32"/>
  <c r="AE39" i="32"/>
  <c r="AE41" i="32"/>
  <c r="AE37" i="32"/>
  <c r="AE40" i="32"/>
  <c r="AE42" i="32"/>
  <c r="AD31" i="32"/>
  <c r="AD52" i="32" s="1"/>
  <c r="AA33" i="6"/>
  <c r="Z19" i="32" s="1"/>
  <c r="AD3" i="32"/>
  <c r="AD65" i="32"/>
  <c r="AD14" i="33" s="1"/>
  <c r="AB8" i="32"/>
  <c r="AB18" i="32"/>
  <c r="AB7" i="32"/>
  <c r="AD32" i="6"/>
  <c r="AD18" i="32"/>
  <c r="AD17" i="6"/>
  <c r="AC18" i="6"/>
  <c r="AE3" i="6"/>
  <c r="AE28" i="6" s="1"/>
  <c r="AE29" i="6" s="1"/>
  <c r="AC8" i="32"/>
  <c r="U26" i="32"/>
  <c r="AF5" i="6"/>
  <c r="AG5" i="34"/>
  <c r="AG4" i="34" s="1"/>
  <c r="AE5" i="33"/>
  <c r="AE3" i="33" s="1"/>
  <c r="AE5" i="32"/>
  <c r="Z24" i="32" l="1"/>
  <c r="Z9" i="34" s="1"/>
  <c r="X11" i="33" s="1"/>
  <c r="W19" i="34"/>
  <c r="AB10" i="34"/>
  <c r="Z12" i="33" s="1"/>
  <c r="AC10" i="34"/>
  <c r="AA9" i="32"/>
  <c r="AD8" i="32"/>
  <c r="AF50" i="32"/>
  <c r="AF49" i="32"/>
  <c r="AF48" i="32"/>
  <c r="AF47" i="32"/>
  <c r="AF46" i="32"/>
  <c r="AF45" i="32"/>
  <c r="AF44" i="32"/>
  <c r="AF43" i="32"/>
  <c r="AF42" i="32"/>
  <c r="AF40" i="32"/>
  <c r="AF33" i="32"/>
  <c r="AF39" i="32"/>
  <c r="AF35" i="32"/>
  <c r="AF34" i="32"/>
  <c r="AF37" i="32"/>
  <c r="AF32" i="32"/>
  <c r="AF38" i="32"/>
  <c r="AF36" i="32"/>
  <c r="AF41" i="32"/>
  <c r="AE31" i="32"/>
  <c r="AE52" i="32" s="1"/>
  <c r="AA26" i="33"/>
  <c r="AA29" i="33" s="1"/>
  <c r="AE3" i="32"/>
  <c r="AE65" i="32"/>
  <c r="AE14" i="33" s="1"/>
  <c r="AB33" i="6"/>
  <c r="AA19" i="32" s="1"/>
  <c r="AA24" i="32" s="1"/>
  <c r="AE32" i="6"/>
  <c r="AC7" i="32"/>
  <c r="AC33" i="6"/>
  <c r="AE17" i="32"/>
  <c r="AF3" i="6"/>
  <c r="AF28" i="6" s="1"/>
  <c r="AF29" i="6" s="1"/>
  <c r="AE17" i="6"/>
  <c r="V26" i="32"/>
  <c r="AG5" i="6"/>
  <c r="AH5" i="34"/>
  <c r="AH4" i="34" s="1"/>
  <c r="AF5" i="33"/>
  <c r="AF3" i="33" s="1"/>
  <c r="AF5" i="32"/>
  <c r="AA14" i="32" l="1"/>
  <c r="AD10" i="34" s="1"/>
  <c r="AB12" i="33" s="1"/>
  <c r="AF19" i="34"/>
  <c r="AA12" i="33"/>
  <c r="AB19" i="32"/>
  <c r="AB24" i="32" s="1"/>
  <c r="AA9" i="34"/>
  <c r="Y11" i="33" s="1"/>
  <c r="AB9" i="32"/>
  <c r="AB14" i="32" s="1"/>
  <c r="AC9" i="32"/>
  <c r="AC14" i="32" s="1"/>
  <c r="AG50" i="32"/>
  <c r="AG49" i="32"/>
  <c r="AG48" i="32"/>
  <c r="AG47" i="32"/>
  <c r="AG46" i="32"/>
  <c r="AG45" i="32"/>
  <c r="AG44" i="32"/>
  <c r="AG43" i="32"/>
  <c r="AG42" i="32"/>
  <c r="AG40" i="32"/>
  <c r="AG39" i="32"/>
  <c r="AG35" i="32"/>
  <c r="AG36" i="32"/>
  <c r="AG32" i="32"/>
  <c r="AG34" i="32"/>
  <c r="AG37" i="32"/>
  <c r="AG33" i="32"/>
  <c r="AG38" i="32"/>
  <c r="AG41" i="32"/>
  <c r="AC18" i="34"/>
  <c r="AC17" i="34" s="1"/>
  <c r="AF31" i="32"/>
  <c r="AF52" i="32" s="1"/>
  <c r="AF3" i="32"/>
  <c r="AF65" i="32" s="1"/>
  <c r="AF14" i="33" s="1"/>
  <c r="AD18" i="6"/>
  <c r="AD7" i="32" s="1"/>
  <c r="AD17" i="32"/>
  <c r="AF32" i="6"/>
  <c r="AF18" i="32"/>
  <c r="AF17" i="6"/>
  <c r="AG3" i="6"/>
  <c r="AG28" i="6" s="1"/>
  <c r="AG29" i="6" s="1"/>
  <c r="AF17" i="32"/>
  <c r="AE18" i="6"/>
  <c r="W26" i="32"/>
  <c r="AH5" i="6"/>
  <c r="AI5" i="34"/>
  <c r="AI4" i="34" s="1"/>
  <c r="AG5" i="33"/>
  <c r="AG3" i="33" s="1"/>
  <c r="AG5" i="32"/>
  <c r="AG19" i="34" l="1"/>
  <c r="AB9" i="34"/>
  <c r="Z11" i="33" s="1"/>
  <c r="AB62" i="32"/>
  <c r="AH48" i="32"/>
  <c r="AH43" i="32"/>
  <c r="AH37" i="32"/>
  <c r="AH39" i="32"/>
  <c r="AH35" i="32"/>
  <c r="AH47" i="32"/>
  <c r="AH36" i="32"/>
  <c r="AH32" i="32"/>
  <c r="AH49" i="32"/>
  <c r="AH44" i="32"/>
  <c r="AH33" i="32"/>
  <c r="AH45" i="32"/>
  <c r="AH40" i="32"/>
  <c r="AH38" i="32"/>
  <c r="AH50" i="32"/>
  <c r="AH46" i="32"/>
  <c r="AH42" i="32"/>
  <c r="AH41" i="32"/>
  <c r="AH34" i="32"/>
  <c r="AG31" i="32"/>
  <c r="AG52" i="32" s="1"/>
  <c r="AD33" i="6"/>
  <c r="AG3" i="32"/>
  <c r="AG65" i="32"/>
  <c r="AG14" i="33" s="1"/>
  <c r="AE8" i="32"/>
  <c r="AE18" i="32"/>
  <c r="AG32" i="6"/>
  <c r="AE7" i="32"/>
  <c r="AF18" i="6"/>
  <c r="AH3" i="6"/>
  <c r="AH28" i="6" s="1"/>
  <c r="AH29" i="6" s="1"/>
  <c r="AG17" i="6"/>
  <c r="AG18" i="32"/>
  <c r="AF8" i="32"/>
  <c r="X26" i="32"/>
  <c r="AI5" i="6"/>
  <c r="AJ5" i="34"/>
  <c r="AJ4" i="34" s="1"/>
  <c r="AH5" i="33"/>
  <c r="AH3" i="33" s="1"/>
  <c r="AH5" i="32"/>
  <c r="AH19" i="34" l="1"/>
  <c r="AE10" i="34"/>
  <c r="AC12" i="33" s="1"/>
  <c r="AF10" i="34"/>
  <c r="AC19" i="32"/>
  <c r="AD9" i="32"/>
  <c r="AH31" i="32"/>
  <c r="AH52" i="32" s="1"/>
  <c r="AI50" i="32"/>
  <c r="AI49" i="32"/>
  <c r="AI48" i="32"/>
  <c r="AI47" i="32"/>
  <c r="AI46" i="32"/>
  <c r="AI45" i="32"/>
  <c r="AI44" i="32"/>
  <c r="AI43" i="32"/>
  <c r="AI42" i="32"/>
  <c r="AI41" i="32"/>
  <c r="AI40" i="32"/>
  <c r="AI39" i="32"/>
  <c r="AI38" i="32"/>
  <c r="AI37" i="32"/>
  <c r="AI36" i="32"/>
  <c r="AI32" i="32"/>
  <c r="AI34" i="32"/>
  <c r="AI33" i="32"/>
  <c r="AI35" i="32"/>
  <c r="AH3" i="32"/>
  <c r="AH65" i="32"/>
  <c r="AH14" i="33" s="1"/>
  <c r="AE33" i="6"/>
  <c r="AH32" i="6"/>
  <c r="AF7" i="32"/>
  <c r="AF33" i="6"/>
  <c r="AI3" i="6"/>
  <c r="AI28" i="6" s="1"/>
  <c r="AI29" i="6" s="1"/>
  <c r="AH17" i="32"/>
  <c r="AG8" i="32"/>
  <c r="AH17" i="6"/>
  <c r="AJ5" i="6"/>
  <c r="AK5" i="34"/>
  <c r="AK4" i="34" s="1"/>
  <c r="AI5" i="33"/>
  <c r="AI3" i="33" s="1"/>
  <c r="AI5" i="32"/>
  <c r="AD14" i="32" l="1"/>
  <c r="AG10" i="34" s="1"/>
  <c r="AE12" i="33" s="1"/>
  <c r="AC24" i="32"/>
  <c r="AC9" i="34" s="1"/>
  <c r="AA11" i="33" s="1"/>
  <c r="AD12" i="33"/>
  <c r="AD19" i="32"/>
  <c r="AD24" i="32" s="1"/>
  <c r="AF9" i="32"/>
  <c r="AF14" i="32" s="1"/>
  <c r="AE19" i="32"/>
  <c r="AE24" i="32" s="1"/>
  <c r="AE9" i="32"/>
  <c r="AE14" i="32" s="1"/>
  <c r="AI31" i="32"/>
  <c r="AI52" i="32" s="1"/>
  <c r="AB26" i="33"/>
  <c r="AB29" i="33" s="1"/>
  <c r="AJ37" i="32"/>
  <c r="AJ46" i="32"/>
  <c r="AJ47" i="32"/>
  <c r="AJ36" i="32"/>
  <c r="AJ32" i="32"/>
  <c r="AJ49" i="32"/>
  <c r="AJ48" i="32"/>
  <c r="AJ34" i="32"/>
  <c r="AJ41" i="32"/>
  <c r="AJ38" i="32"/>
  <c r="AJ50" i="32"/>
  <c r="AJ39" i="32"/>
  <c r="AJ33" i="32"/>
  <c r="AJ45" i="32"/>
  <c r="AJ40" i="32"/>
  <c r="AJ42" i="32"/>
  <c r="AJ43" i="32"/>
  <c r="AJ35" i="32"/>
  <c r="AJ44" i="32"/>
  <c r="AI3" i="32"/>
  <c r="AI65" i="32"/>
  <c r="AI14" i="33" s="1"/>
  <c r="AG18" i="6"/>
  <c r="AG33" i="6" s="1"/>
  <c r="AF19" i="32" s="1"/>
  <c r="AF24" i="32" s="1"/>
  <c r="AG17" i="32"/>
  <c r="AH18" i="32"/>
  <c r="AI32" i="6"/>
  <c r="AI18" i="32"/>
  <c r="AI17" i="32"/>
  <c r="AI17" i="6"/>
  <c r="AJ3" i="6"/>
  <c r="AJ28" i="6" s="1"/>
  <c r="AJ29" i="6" s="1"/>
  <c r="AH18" i="6"/>
  <c r="Y26" i="32"/>
  <c r="AK5" i="6"/>
  <c r="AL5" i="34"/>
  <c r="AL4" i="34" s="1"/>
  <c r="AJ5" i="33"/>
  <c r="AJ3" i="33" s="1"/>
  <c r="AJ5" i="32"/>
  <c r="AA19" i="34" l="1"/>
  <c r="AJ19" i="34"/>
  <c r="AD9" i="34"/>
  <c r="AB11" i="33" s="1"/>
  <c r="AE9" i="34"/>
  <c r="AF9" i="34"/>
  <c r="AG9" i="32"/>
  <c r="AJ31" i="32"/>
  <c r="AJ52" i="32" s="1"/>
  <c r="AD18" i="34"/>
  <c r="AD17" i="34" s="1"/>
  <c r="AK46" i="32"/>
  <c r="AK39" i="32"/>
  <c r="AK49" i="32"/>
  <c r="AK48" i="32"/>
  <c r="AK34" i="32"/>
  <c r="AK41" i="32"/>
  <c r="AK38" i="32"/>
  <c r="AK50" i="32"/>
  <c r="AK33" i="32"/>
  <c r="AK37" i="32"/>
  <c r="AK45" i="32"/>
  <c r="AK40" i="32"/>
  <c r="AK42" i="32"/>
  <c r="AK32" i="32"/>
  <c r="AK43" i="32"/>
  <c r="AK35" i="32"/>
  <c r="AK47" i="32"/>
  <c r="AK44" i="32"/>
  <c r="AK36" i="32"/>
  <c r="AG7" i="32"/>
  <c r="AJ3" i="32"/>
  <c r="AJ65" i="32"/>
  <c r="AJ14" i="33" s="1"/>
  <c r="AH8" i="32"/>
  <c r="AJ32" i="6"/>
  <c r="AI18" i="6"/>
  <c r="AH7" i="32"/>
  <c r="AI8" i="32"/>
  <c r="AJ17" i="6"/>
  <c r="AK3" i="6"/>
  <c r="AK28" i="6" s="1"/>
  <c r="AK29" i="6" s="1"/>
  <c r="AJ18" i="32"/>
  <c r="Z26" i="32"/>
  <c r="AA26" i="32"/>
  <c r="AL5" i="6"/>
  <c r="AM5" i="34"/>
  <c r="AM4" i="34" s="1"/>
  <c r="AK5" i="33"/>
  <c r="AK3" i="33" s="1"/>
  <c r="AK5" i="32"/>
  <c r="AK3" i="32" s="1"/>
  <c r="AK19" i="34" l="1"/>
  <c r="AC11" i="33"/>
  <c r="AI10" i="34"/>
  <c r="AH10" i="34"/>
  <c r="AF12" i="33" s="1"/>
  <c r="AD11" i="33"/>
  <c r="AC62" i="32"/>
  <c r="AL39" i="32"/>
  <c r="AL49" i="32"/>
  <c r="AL44" i="32"/>
  <c r="AL48" i="32"/>
  <c r="AL34" i="32"/>
  <c r="AL41" i="32"/>
  <c r="AL38" i="32"/>
  <c r="AL50" i="32"/>
  <c r="AL37" i="32"/>
  <c r="AL45" i="32"/>
  <c r="AL40" i="32"/>
  <c r="AL42" i="32"/>
  <c r="AL32" i="32"/>
  <c r="AL46" i="32"/>
  <c r="AL43" i="32"/>
  <c r="AL35" i="32"/>
  <c r="AL47" i="32"/>
  <c r="AL36" i="32"/>
  <c r="AL33" i="32"/>
  <c r="AG14" i="32"/>
  <c r="AK31" i="32"/>
  <c r="AK52" i="32" s="1"/>
  <c r="AH33" i="6"/>
  <c r="AG19" i="32" s="1"/>
  <c r="AG24" i="32" s="1"/>
  <c r="AK32" i="6"/>
  <c r="AI7" i="32"/>
  <c r="AI33" i="6"/>
  <c r="AK17" i="6"/>
  <c r="AL3" i="6"/>
  <c r="AL28" i="6" s="1"/>
  <c r="AL29" i="6" s="1"/>
  <c r="AK17" i="32"/>
  <c r="AJ8" i="32"/>
  <c r="AM5" i="6"/>
  <c r="AN5" i="34"/>
  <c r="AN4" i="34" s="1"/>
  <c r="AL5" i="33"/>
  <c r="AL3" i="33" s="1"/>
  <c r="AL5" i="32"/>
  <c r="AL19" i="34" l="1"/>
  <c r="AJ10" i="34"/>
  <c r="AH12" i="33" s="1"/>
  <c r="AG9" i="34"/>
  <c r="AE11" i="33" s="1"/>
  <c r="AG12" i="33"/>
  <c r="AH19" i="32"/>
  <c r="AH24" i="32" s="1"/>
  <c r="AI9" i="32"/>
  <c r="AI14" i="32" s="1"/>
  <c r="AH9" i="32"/>
  <c r="AH14" i="32" s="1"/>
  <c r="AM49" i="32"/>
  <c r="AM44" i="32"/>
  <c r="AM41" i="32"/>
  <c r="AM38" i="32"/>
  <c r="AM50" i="32"/>
  <c r="AM43" i="32"/>
  <c r="AM42" i="32"/>
  <c r="AM33" i="32"/>
  <c r="AM48" i="32"/>
  <c r="AM45" i="32"/>
  <c r="AM40" i="32"/>
  <c r="AM32" i="32"/>
  <c r="AM46" i="32"/>
  <c r="AM35" i="32"/>
  <c r="AM47" i="32"/>
  <c r="AM36" i="32"/>
  <c r="AM39" i="32"/>
  <c r="AM37" i="32"/>
  <c r="AM34" i="32"/>
  <c r="AL31" i="32"/>
  <c r="AL3" i="32"/>
  <c r="AL65" i="32"/>
  <c r="AL14" i="33" s="1"/>
  <c r="AJ18" i="6"/>
  <c r="AJ7" i="32" s="1"/>
  <c r="AJ17" i="32"/>
  <c r="AK18" i="32"/>
  <c r="AL32" i="6"/>
  <c r="AL18" i="32"/>
  <c r="AL17" i="6"/>
  <c r="AL17" i="32"/>
  <c r="AM3" i="6"/>
  <c r="AM28" i="6" s="1"/>
  <c r="AM29" i="6" s="1"/>
  <c r="AK18" i="6"/>
  <c r="AB26" i="32"/>
  <c r="AC26" i="32"/>
  <c r="AN5" i="6"/>
  <c r="AO5" i="34"/>
  <c r="AO4" i="34" s="1"/>
  <c r="AM5" i="33"/>
  <c r="AM3" i="33" s="1"/>
  <c r="AM5" i="32"/>
  <c r="AL52" i="32" l="1"/>
  <c r="AE19" i="34"/>
  <c r="AK10" i="34"/>
  <c r="AI12" i="33" s="1"/>
  <c r="AC26" i="33"/>
  <c r="AC29" i="33" s="1"/>
  <c r="AH9" i="34"/>
  <c r="AF11" i="33" s="1"/>
  <c r="AK8" i="32"/>
  <c r="AM31" i="32"/>
  <c r="AM52" i="32" s="1"/>
  <c r="AE18" i="34"/>
  <c r="AE17" i="34" s="1"/>
  <c r="AN41" i="32"/>
  <c r="AN47" i="32"/>
  <c r="AN36" i="32"/>
  <c r="AN35" i="32"/>
  <c r="AN50" i="32"/>
  <c r="AN49" i="32"/>
  <c r="AN43" i="32"/>
  <c r="AN42" i="32"/>
  <c r="AN33" i="32"/>
  <c r="AN40" i="32"/>
  <c r="AN37" i="32"/>
  <c r="AN32" i="32"/>
  <c r="AN46" i="32"/>
  <c r="AN38" i="32"/>
  <c r="AN44" i="32"/>
  <c r="AN34" i="32"/>
  <c r="AN45" i="32"/>
  <c r="AN48" i="32"/>
  <c r="AN39" i="32"/>
  <c r="AJ33" i="6"/>
  <c r="AM3" i="32"/>
  <c r="AM65" i="32"/>
  <c r="AM14" i="33" s="1"/>
  <c r="AM32" i="6"/>
  <c r="AK7" i="32"/>
  <c r="AL18" i="6"/>
  <c r="AM17" i="6"/>
  <c r="AN3" i="6"/>
  <c r="AN28" i="6" s="1"/>
  <c r="AN29" i="6" s="1"/>
  <c r="AM18" i="32"/>
  <c r="AL8" i="32"/>
  <c r="AD26" i="32"/>
  <c r="AO5" i="6"/>
  <c r="AP5" i="34"/>
  <c r="AP4" i="34" s="1"/>
  <c r="AN5" i="33"/>
  <c r="AN3" i="33" s="1"/>
  <c r="AN5" i="32"/>
  <c r="AN19" i="34" l="1"/>
  <c r="AL10" i="34"/>
  <c r="AJ12" i="33" s="1"/>
  <c r="AI19" i="32"/>
  <c r="AI24" i="32" s="1"/>
  <c r="AJ9" i="32"/>
  <c r="AJ14" i="32" s="1"/>
  <c r="AK33" i="6"/>
  <c r="AJ19" i="32" s="1"/>
  <c r="AJ24" i="32" s="1"/>
  <c r="AN31" i="32"/>
  <c r="AO50" i="32"/>
  <c r="AO49" i="32"/>
  <c r="AO48" i="32"/>
  <c r="AO47" i="32"/>
  <c r="AO46" i="32"/>
  <c r="AO45" i="32"/>
  <c r="AO44" i="32"/>
  <c r="AO43" i="32"/>
  <c r="AO36" i="32"/>
  <c r="AO35" i="32"/>
  <c r="AO34" i="32"/>
  <c r="AO33" i="32"/>
  <c r="AO32" i="32"/>
  <c r="AO38" i="32"/>
  <c r="AO41" i="32"/>
  <c r="AO42" i="32"/>
  <c r="AO40" i="32"/>
  <c r="AO37" i="32"/>
  <c r="AO39" i="32"/>
  <c r="AD62" i="32"/>
  <c r="AN3" i="32"/>
  <c r="AN65" i="32"/>
  <c r="AN14" i="33" s="1"/>
  <c r="AM17" i="32"/>
  <c r="AN32" i="6"/>
  <c r="AL7" i="32"/>
  <c r="AL33" i="6"/>
  <c r="AM8" i="32"/>
  <c r="AO3" i="6"/>
  <c r="AO28" i="6" s="1"/>
  <c r="AO29" i="6" s="1"/>
  <c r="AN17" i="6"/>
  <c r="AN17" i="32"/>
  <c r="AP5" i="6"/>
  <c r="AQ5" i="34"/>
  <c r="AQ4" i="34" s="1"/>
  <c r="AO5" i="33"/>
  <c r="AO3" i="33" s="1"/>
  <c r="AO5" i="32"/>
  <c r="AN52" i="32" l="1"/>
  <c r="AO19" i="34"/>
  <c r="AI9" i="34"/>
  <c r="AG11" i="33" s="1"/>
  <c r="AJ9" i="34"/>
  <c r="AK9" i="32"/>
  <c r="AK14" i="32" s="1"/>
  <c r="AK19" i="32"/>
  <c r="AK24" i="32" s="1"/>
  <c r="AK9" i="34" s="1"/>
  <c r="AL9" i="32"/>
  <c r="AP50" i="32"/>
  <c r="AP49" i="32"/>
  <c r="AP48" i="32"/>
  <c r="AP47" i="32"/>
  <c r="AP46" i="32"/>
  <c r="AP45" i="32"/>
  <c r="AP44" i="32"/>
  <c r="AP43" i="32"/>
  <c r="AP42" i="32"/>
  <c r="AP38" i="32"/>
  <c r="AP40" i="32"/>
  <c r="AP37" i="32"/>
  <c r="AP33" i="32"/>
  <c r="AP32" i="32"/>
  <c r="AP35" i="32"/>
  <c r="AP36" i="32"/>
  <c r="AP41" i="32"/>
  <c r="AP39" i="32"/>
  <c r="AP34" i="32"/>
  <c r="AO31" i="32"/>
  <c r="AO52" i="32" s="1"/>
  <c r="AO3" i="32"/>
  <c r="AO65" i="32"/>
  <c r="AO14" i="33" s="1"/>
  <c r="AM18" i="6"/>
  <c r="AM7" i="32" s="1"/>
  <c r="AO32" i="6"/>
  <c r="AO18" i="32"/>
  <c r="AN18" i="6"/>
  <c r="AP3" i="6"/>
  <c r="AP28" i="6" s="1"/>
  <c r="AP29" i="6" s="1"/>
  <c r="AO17" i="32"/>
  <c r="AO17" i="6"/>
  <c r="AE26" i="32"/>
  <c r="AF26" i="32"/>
  <c r="AQ5" i="6"/>
  <c r="AR5" i="34"/>
  <c r="AR4" i="34" s="1"/>
  <c r="AP5" i="33"/>
  <c r="AP3" i="33" s="1"/>
  <c r="AP5" i="32"/>
  <c r="AP19" i="34" l="1"/>
  <c r="AM10" i="34"/>
  <c r="AK12" i="33" s="1"/>
  <c r="AH11" i="33"/>
  <c r="AI11" i="33"/>
  <c r="AD26" i="33"/>
  <c r="AD29" i="33" s="1"/>
  <c r="AF18" i="34"/>
  <c r="AF17" i="34" s="1"/>
  <c r="AQ50" i="32"/>
  <c r="AQ49" i="32"/>
  <c r="AQ48" i="32"/>
  <c r="AQ47" i="32"/>
  <c r="AQ46" i="32"/>
  <c r="AQ45" i="32"/>
  <c r="AQ44" i="32"/>
  <c r="AQ43" i="32"/>
  <c r="AQ42" i="32"/>
  <c r="AQ40" i="32"/>
  <c r="AQ37" i="32"/>
  <c r="AQ33" i="32"/>
  <c r="AQ35" i="32"/>
  <c r="AQ38" i="32"/>
  <c r="AQ36" i="32"/>
  <c r="AQ41" i="32"/>
  <c r="AQ39" i="32"/>
  <c r="AQ34" i="32"/>
  <c r="AQ32" i="32"/>
  <c r="AP31" i="32"/>
  <c r="AP52" i="32" s="1"/>
  <c r="AM33" i="6"/>
  <c r="AL19" i="32" s="1"/>
  <c r="AP3" i="32"/>
  <c r="AP65" i="32"/>
  <c r="AP14" i="33" s="1"/>
  <c r="AL14" i="32"/>
  <c r="AN8" i="32"/>
  <c r="AN18" i="32"/>
  <c r="AN7" i="32"/>
  <c r="AO8" i="32"/>
  <c r="AP32" i="6"/>
  <c r="AO18" i="6"/>
  <c r="AP18" i="32"/>
  <c r="AQ3" i="6"/>
  <c r="AQ28" i="6" s="1"/>
  <c r="AQ29" i="6" s="1"/>
  <c r="AP17" i="6"/>
  <c r="AG26" i="32"/>
  <c r="AR5" i="6"/>
  <c r="AS5" i="34"/>
  <c r="AS4" i="34" s="1"/>
  <c r="AQ5" i="33"/>
  <c r="AQ3" i="33" s="1"/>
  <c r="AQ5" i="32"/>
  <c r="AL24" i="32" l="1"/>
  <c r="AL9" i="34" s="1"/>
  <c r="AJ11" i="33" s="1"/>
  <c r="AI19" i="34"/>
  <c r="AN10" i="34"/>
  <c r="AL12" i="33" s="1"/>
  <c r="AM9" i="32"/>
  <c r="AR47" i="32"/>
  <c r="AR40" i="32"/>
  <c r="AR42" i="32"/>
  <c r="AR43" i="32"/>
  <c r="AR35" i="32"/>
  <c r="AR45" i="32"/>
  <c r="AR44" i="32"/>
  <c r="AR39" i="32"/>
  <c r="AR32" i="32"/>
  <c r="AR49" i="32"/>
  <c r="AR46" i="32"/>
  <c r="AR38" i="32"/>
  <c r="AR36" i="32"/>
  <c r="AR41" i="32"/>
  <c r="AR34" i="32"/>
  <c r="AR50" i="32"/>
  <c r="AR33" i="32"/>
  <c r="AR48" i="32"/>
  <c r="AR37" i="32"/>
  <c r="AE62" i="32"/>
  <c r="AQ31" i="32"/>
  <c r="AQ3" i="32"/>
  <c r="AQ65" i="32"/>
  <c r="AQ14" i="33" s="1"/>
  <c r="AN33" i="6"/>
  <c r="AM19" i="32" s="1"/>
  <c r="AM24" i="32" s="1"/>
  <c r="AP17" i="32"/>
  <c r="AO7" i="32"/>
  <c r="AO33" i="6"/>
  <c r="AQ32" i="6"/>
  <c r="AP8" i="32"/>
  <c r="AR3" i="6"/>
  <c r="AR28" i="6" s="1"/>
  <c r="AR29" i="6" s="1"/>
  <c r="AQ17" i="32"/>
  <c r="AQ17" i="6"/>
  <c r="AH26" i="32"/>
  <c r="AS5" i="6"/>
  <c r="AT5" i="34"/>
  <c r="AT4" i="34" s="1"/>
  <c r="AR5" i="33"/>
  <c r="AR3" i="33" s="1"/>
  <c r="AR5" i="32"/>
  <c r="AQ52" i="32" l="1"/>
  <c r="AM14" i="32"/>
  <c r="AR19" i="34"/>
  <c r="AO10" i="34"/>
  <c r="AM12" i="33" s="1"/>
  <c r="AM9" i="34"/>
  <c r="AK11" i="33" s="1"/>
  <c r="AN19" i="32"/>
  <c r="AN9" i="32"/>
  <c r="AO9" i="32"/>
  <c r="AO14" i="32" s="1"/>
  <c r="AR31" i="32"/>
  <c r="AR52" i="32" s="1"/>
  <c r="AS50" i="32"/>
  <c r="AS49" i="32"/>
  <c r="AS48" i="32"/>
  <c r="AS47" i="32"/>
  <c r="AS46" i="32"/>
  <c r="AS45" i="32"/>
  <c r="AS44" i="32"/>
  <c r="AS43" i="32"/>
  <c r="AS42" i="32"/>
  <c r="AS41" i="32"/>
  <c r="AS40" i="32"/>
  <c r="AS39" i="32"/>
  <c r="AS38" i="32"/>
  <c r="AS37" i="32"/>
  <c r="AS35" i="32"/>
  <c r="AS32" i="32"/>
  <c r="AS36" i="32"/>
  <c r="AS34" i="32"/>
  <c r="AS33" i="32"/>
  <c r="AR3" i="32"/>
  <c r="AR65" i="32" s="1"/>
  <c r="AR14" i="33" s="1"/>
  <c r="AP18" i="6"/>
  <c r="AP7" i="32" s="1"/>
  <c r="AR32" i="6"/>
  <c r="AQ18" i="6"/>
  <c r="AR17" i="32"/>
  <c r="AR18" i="32"/>
  <c r="AS3" i="6"/>
  <c r="AS28" i="6" s="1"/>
  <c r="AS29" i="6" s="1"/>
  <c r="AR17" i="6"/>
  <c r="AI26" i="32"/>
  <c r="AT5" i="6"/>
  <c r="AU5" i="34"/>
  <c r="AU4" i="34" s="1"/>
  <c r="AS5" i="33"/>
  <c r="AS3" i="33" s="1"/>
  <c r="AS5" i="32"/>
  <c r="AS19" i="34" l="1"/>
  <c r="AP10" i="34"/>
  <c r="AN12" i="33" s="1"/>
  <c r="AE26" i="33"/>
  <c r="AE29" i="33" s="1"/>
  <c r="AG18" i="34"/>
  <c r="AG17" i="34" s="1"/>
  <c r="AT42" i="32"/>
  <c r="AT50" i="32"/>
  <c r="AT45" i="32"/>
  <c r="AT37" i="32"/>
  <c r="AT43" i="32"/>
  <c r="AT40" i="32"/>
  <c r="AT35" i="32"/>
  <c r="AT32" i="32"/>
  <c r="AT44" i="32"/>
  <c r="AT39" i="32"/>
  <c r="AT36" i="32"/>
  <c r="AT34" i="32"/>
  <c r="AT49" i="32"/>
  <c r="AT46" i="32"/>
  <c r="AT38" i="32"/>
  <c r="AT41" i="32"/>
  <c r="AT47" i="32"/>
  <c r="AT33" i="32"/>
  <c r="AT48" i="32"/>
  <c r="AS31" i="32"/>
  <c r="AS52" i="32" s="1"/>
  <c r="AP33" i="6"/>
  <c r="AS3" i="32"/>
  <c r="AS65" i="32"/>
  <c r="AS14" i="33" s="1"/>
  <c r="AN24" i="32"/>
  <c r="AN14" i="32"/>
  <c r="AQ8" i="32"/>
  <c r="AQ18" i="32"/>
  <c r="AQ7" i="32"/>
  <c r="AS32" i="6"/>
  <c r="AR18" i="6"/>
  <c r="AR8" i="32"/>
  <c r="AS18" i="32"/>
  <c r="AS17" i="6"/>
  <c r="AT3" i="6"/>
  <c r="AT28" i="6" s="1"/>
  <c r="AT29" i="6" s="1"/>
  <c r="AJ26" i="32"/>
  <c r="AU5" i="6"/>
  <c r="AV5" i="34"/>
  <c r="AV4" i="34" s="1"/>
  <c r="AT5" i="33"/>
  <c r="AT3" i="33" s="1"/>
  <c r="AT5" i="32"/>
  <c r="AT19" i="34" l="1"/>
  <c r="AO19" i="32"/>
  <c r="AN9" i="34"/>
  <c r="AL11" i="33" s="1"/>
  <c r="AP9" i="32"/>
  <c r="AU50" i="32"/>
  <c r="AU45" i="32"/>
  <c r="AU37" i="32"/>
  <c r="AU42" i="32"/>
  <c r="AU32" i="32"/>
  <c r="AU44" i="32"/>
  <c r="AU39" i="32"/>
  <c r="AU36" i="32"/>
  <c r="AU34" i="32"/>
  <c r="AU46" i="32"/>
  <c r="AU49" i="32"/>
  <c r="AU40" i="32"/>
  <c r="AU38" i="32"/>
  <c r="AU41" i="32"/>
  <c r="AU35" i="32"/>
  <c r="AU47" i="32"/>
  <c r="AU43" i="32"/>
  <c r="AU33" i="32"/>
  <c r="AU48" i="32"/>
  <c r="AT31" i="32"/>
  <c r="AT52" i="32" s="1"/>
  <c r="AF62" i="32"/>
  <c r="AT3" i="32"/>
  <c r="AT65" i="32"/>
  <c r="AT14" i="33" s="1"/>
  <c r="AQ33" i="6"/>
  <c r="AT32" i="6"/>
  <c r="AR7" i="32"/>
  <c r="AR33" i="6"/>
  <c r="AS8" i="32"/>
  <c r="AT17" i="6"/>
  <c r="AU3" i="6"/>
  <c r="AU28" i="6" s="1"/>
  <c r="AU29" i="6" s="1"/>
  <c r="AT17" i="32"/>
  <c r="AV5" i="6"/>
  <c r="AW5" i="34"/>
  <c r="AW4" i="34" s="1"/>
  <c r="AU5" i="33"/>
  <c r="AU3" i="33" s="1"/>
  <c r="AU5" i="32"/>
  <c r="AP14" i="32" l="1"/>
  <c r="AO24" i="32"/>
  <c r="AO9" i="34" s="1"/>
  <c r="AM11" i="33" s="1"/>
  <c r="AR10" i="34"/>
  <c r="AQ10" i="34"/>
  <c r="AP19" i="32"/>
  <c r="AP24" i="32" s="1"/>
  <c r="AQ19" i="32"/>
  <c r="AQ9" i="32"/>
  <c r="AR9" i="32"/>
  <c r="AR14" i="32" s="1"/>
  <c r="AV48" i="32"/>
  <c r="AV43" i="32"/>
  <c r="AV39" i="32"/>
  <c r="AV44" i="32"/>
  <c r="AV36" i="32"/>
  <c r="AV34" i="32"/>
  <c r="AV46" i="32"/>
  <c r="AV45" i="32"/>
  <c r="AV41" i="32"/>
  <c r="AV35" i="32"/>
  <c r="AV42" i="32"/>
  <c r="AV47" i="32"/>
  <c r="AV50" i="32"/>
  <c r="AV33" i="32"/>
  <c r="AV37" i="32"/>
  <c r="AV32" i="32"/>
  <c r="AV49" i="32"/>
  <c r="AV40" i="32"/>
  <c r="AV38" i="32"/>
  <c r="AU31" i="32"/>
  <c r="AU52" i="32" s="1"/>
  <c r="AU3" i="32"/>
  <c r="AU65" i="32"/>
  <c r="AU14" i="33" s="1"/>
  <c r="AS18" i="6"/>
  <c r="AS7" i="32" s="1"/>
  <c r="AS17" i="32"/>
  <c r="AU32" i="6"/>
  <c r="AU18" i="32"/>
  <c r="AU17" i="32"/>
  <c r="AV3" i="6"/>
  <c r="AV28" i="6" s="1"/>
  <c r="AV29" i="6" s="1"/>
  <c r="AU17" i="6"/>
  <c r="AT18" i="6"/>
  <c r="AK26" i="32"/>
  <c r="AW5" i="6"/>
  <c r="AX5" i="34"/>
  <c r="AX4" i="34" s="1"/>
  <c r="AV5" i="33"/>
  <c r="AV3" i="33" s="1"/>
  <c r="AV5" i="32"/>
  <c r="AM19" i="34" l="1"/>
  <c r="AV19" i="34"/>
  <c r="AP12" i="33"/>
  <c r="AS10" i="34"/>
  <c r="AQ12" i="33" s="1"/>
  <c r="AP9" i="34"/>
  <c r="AN11" i="33" s="1"/>
  <c r="AO12" i="33"/>
  <c r="AV31" i="32"/>
  <c r="AV52" i="32" s="1"/>
  <c r="AW48" i="32"/>
  <c r="AW43" i="32"/>
  <c r="AW39" i="32"/>
  <c r="AW34" i="32"/>
  <c r="AW46" i="32"/>
  <c r="AW45" i="32"/>
  <c r="AW47" i="32"/>
  <c r="AW41" i="32"/>
  <c r="AW38" i="32"/>
  <c r="AW35" i="32"/>
  <c r="AW42" i="32"/>
  <c r="AW36" i="32"/>
  <c r="AW50" i="32"/>
  <c r="AW33" i="32"/>
  <c r="AW44" i="32"/>
  <c r="AW37" i="32"/>
  <c r="AW32" i="32"/>
  <c r="AW49" i="32"/>
  <c r="AW40" i="32"/>
  <c r="AF26" i="33"/>
  <c r="AF29" i="33" s="1"/>
  <c r="AU18" i="6"/>
  <c r="AU7" i="32" s="1"/>
  <c r="AV3" i="32"/>
  <c r="AV65" i="32"/>
  <c r="AV14" i="33" s="1"/>
  <c r="AS33" i="6"/>
  <c r="AQ24" i="32"/>
  <c r="AQ14" i="32"/>
  <c r="AT8" i="32"/>
  <c r="AT18" i="32"/>
  <c r="AU8" i="32"/>
  <c r="AT7" i="32"/>
  <c r="AV32" i="6"/>
  <c r="AV18" i="32"/>
  <c r="AW3" i="6"/>
  <c r="AW28" i="6" s="1"/>
  <c r="AW29" i="6" s="1"/>
  <c r="AV17" i="6"/>
  <c r="AL26" i="32"/>
  <c r="AM26" i="32"/>
  <c r="AX5" i="6"/>
  <c r="AY5" i="34"/>
  <c r="AY4" i="34" s="1"/>
  <c r="AW5" i="33"/>
  <c r="AW3" i="33" s="1"/>
  <c r="AW5" i="32"/>
  <c r="AW3" i="32" s="1"/>
  <c r="AW19" i="34" l="1"/>
  <c r="AR19" i="32"/>
  <c r="AR24" i="32" s="1"/>
  <c r="AQ9" i="34"/>
  <c r="AO11" i="33" s="1"/>
  <c r="AS9" i="32"/>
  <c r="AS14" i="32" s="1"/>
  <c r="AH18" i="34"/>
  <c r="AH17" i="34" s="1"/>
  <c r="AX46" i="32"/>
  <c r="AX41" i="32"/>
  <c r="AX36" i="32"/>
  <c r="AX35" i="32"/>
  <c r="AX45" i="32"/>
  <c r="AX39" i="32"/>
  <c r="AX47" i="32"/>
  <c r="AX38" i="32"/>
  <c r="AX33" i="32"/>
  <c r="AX42" i="32"/>
  <c r="AX50" i="32"/>
  <c r="AX34" i="32"/>
  <c r="AX43" i="32"/>
  <c r="AX48" i="32"/>
  <c r="AX44" i="32"/>
  <c r="AX37" i="32"/>
  <c r="AX32" i="32"/>
  <c r="AX49" i="32"/>
  <c r="AX40" i="32"/>
  <c r="AW31" i="32"/>
  <c r="AW52" i="32" s="1"/>
  <c r="AT33" i="6"/>
  <c r="AU33" i="6"/>
  <c r="AV17" i="32"/>
  <c r="AW32" i="6"/>
  <c r="AV8" i="32"/>
  <c r="AW17" i="6"/>
  <c r="AX3" i="6"/>
  <c r="AX28" i="6" s="1"/>
  <c r="AX29" i="6" s="1"/>
  <c r="AW17" i="32"/>
  <c r="AN26" i="32"/>
  <c r="AY5" i="6"/>
  <c r="AZ5" i="34"/>
  <c r="AZ4" i="34" s="1"/>
  <c r="AX5" i="33"/>
  <c r="AX3" i="33" s="1"/>
  <c r="AX5" i="32"/>
  <c r="AX19" i="34" l="1"/>
  <c r="AT10" i="34"/>
  <c r="AR12" i="33" s="1"/>
  <c r="AV10" i="34"/>
  <c r="AR9" i="34"/>
  <c r="AP11" i="33" s="1"/>
  <c r="AU10" i="34"/>
  <c r="AS19" i="32"/>
  <c r="AS24" i="32" s="1"/>
  <c r="AS9" i="34" s="1"/>
  <c r="AU9" i="32"/>
  <c r="AU14" i="32" s="1"/>
  <c r="AT9" i="32"/>
  <c r="AT14" i="32" s="1"/>
  <c r="AT19" i="32"/>
  <c r="AT24" i="32" s="1"/>
  <c r="AV18" i="6"/>
  <c r="AV7" i="32" s="1"/>
  <c r="AY50" i="32"/>
  <c r="AY49" i="32"/>
  <c r="AY48" i="32"/>
  <c r="AY47" i="32"/>
  <c r="AY46" i="32"/>
  <c r="AY45" i="32"/>
  <c r="AY44" i="32"/>
  <c r="AY43" i="32"/>
  <c r="AY41" i="32"/>
  <c r="AY36" i="32"/>
  <c r="AY35" i="32"/>
  <c r="AY34" i="32"/>
  <c r="AY33" i="32"/>
  <c r="AY32" i="32"/>
  <c r="AY38" i="32"/>
  <c r="AY39" i="32"/>
  <c r="AY37" i="32"/>
  <c r="AY40" i="32"/>
  <c r="AY42" i="32"/>
  <c r="AX31" i="32"/>
  <c r="AG62" i="32"/>
  <c r="AX3" i="32"/>
  <c r="AX65" i="32"/>
  <c r="AX14" i="33" s="1"/>
  <c r="AX32" i="6"/>
  <c r="AY3" i="6"/>
  <c r="AY28" i="6" s="1"/>
  <c r="AY29" i="6" s="1"/>
  <c r="AX17" i="6"/>
  <c r="AX18" i="32"/>
  <c r="AX17" i="32"/>
  <c r="AW18" i="6"/>
  <c r="AZ5" i="6"/>
  <c r="BA5" i="34"/>
  <c r="BA4" i="34" s="1"/>
  <c r="AY5" i="33"/>
  <c r="AY3" i="33" s="1"/>
  <c r="AY5" i="32"/>
  <c r="AX52" i="32" l="1"/>
  <c r="AS12" i="33"/>
  <c r="AQ11" i="33"/>
  <c r="AT12" i="33"/>
  <c r="AT9" i="34"/>
  <c r="AR11" i="33" s="1"/>
  <c r="AV33" i="6"/>
  <c r="AU19" i="32" s="1"/>
  <c r="AU24" i="32" s="1"/>
  <c r="AU9" i="34" s="1"/>
  <c r="AZ50" i="32"/>
  <c r="AZ49" i="32"/>
  <c r="AZ48" i="32"/>
  <c r="AZ47" i="32"/>
  <c r="AZ46" i="32"/>
  <c r="AZ45" i="32"/>
  <c r="AZ44" i="32"/>
  <c r="AZ43" i="32"/>
  <c r="AZ42" i="32"/>
  <c r="AZ38" i="32"/>
  <c r="AZ41" i="32"/>
  <c r="AZ33" i="32"/>
  <c r="AZ36" i="32"/>
  <c r="AZ34" i="32"/>
  <c r="AZ39" i="32"/>
  <c r="AZ37" i="32"/>
  <c r="AZ40" i="32"/>
  <c r="AZ32" i="32"/>
  <c r="AZ35" i="32"/>
  <c r="AY31" i="32"/>
  <c r="AY52" i="32" s="1"/>
  <c r="AY3" i="32"/>
  <c r="AY65" i="32"/>
  <c r="AY14" i="33" s="1"/>
  <c r="AW8" i="32"/>
  <c r="AW18" i="32"/>
  <c r="AY32" i="6"/>
  <c r="AW7" i="32"/>
  <c r="AX18" i="6"/>
  <c r="AX8" i="32"/>
  <c r="AY18" i="32"/>
  <c r="AZ3" i="6"/>
  <c r="AZ28" i="6" s="1"/>
  <c r="AZ29" i="6" s="1"/>
  <c r="AY17" i="6"/>
  <c r="AO26" i="32"/>
  <c r="AP26" i="32"/>
  <c r="BA5" i="6"/>
  <c r="BB5" i="34"/>
  <c r="BB4" i="34" s="1"/>
  <c r="AZ5" i="33"/>
  <c r="AZ3" i="33" s="1"/>
  <c r="AZ5" i="32"/>
  <c r="AZ19" i="34" l="1"/>
  <c r="AQ19" i="34"/>
  <c r="AW10" i="34"/>
  <c r="AU12" i="33" s="1"/>
  <c r="AX10" i="34"/>
  <c r="AS11" i="33"/>
  <c r="AV9" i="32"/>
  <c r="AV14" i="32" s="1"/>
  <c r="AG26" i="33"/>
  <c r="AG29" i="33" s="1"/>
  <c r="BA50" i="32"/>
  <c r="BA49" i="32"/>
  <c r="BA48" i="32"/>
  <c r="BA47" i="32"/>
  <c r="BA46" i="32"/>
  <c r="BA45" i="32"/>
  <c r="BA44" i="32"/>
  <c r="BA43" i="32"/>
  <c r="BA42" i="32"/>
  <c r="BA41" i="32"/>
  <c r="BA38" i="32"/>
  <c r="BA33" i="32"/>
  <c r="BA40" i="32"/>
  <c r="BA37" i="32"/>
  <c r="BA36" i="32"/>
  <c r="BA34" i="32"/>
  <c r="BA39" i="32"/>
  <c r="BA32" i="32"/>
  <c r="BA35" i="32"/>
  <c r="AZ31" i="32"/>
  <c r="AZ52" i="32" s="1"/>
  <c r="AZ3" i="32"/>
  <c r="AZ65" i="32"/>
  <c r="AZ14" i="33" s="1"/>
  <c r="AW33" i="6"/>
  <c r="AV19" i="32" s="1"/>
  <c r="AV24" i="32" s="1"/>
  <c r="AY8" i="32"/>
  <c r="AY17" i="32"/>
  <c r="AZ32" i="6"/>
  <c r="AX7" i="32"/>
  <c r="AX33" i="6"/>
  <c r="AZ17" i="32"/>
  <c r="BA3" i="6"/>
  <c r="BA28" i="6" s="1"/>
  <c r="BA29" i="6" s="1"/>
  <c r="AZ17" i="6"/>
  <c r="BB5" i="6"/>
  <c r="BC5" i="34"/>
  <c r="BC4" i="34" s="1"/>
  <c r="BA5" i="33"/>
  <c r="BA3" i="33" s="1"/>
  <c r="BA5" i="32"/>
  <c r="BA19" i="34" l="1"/>
  <c r="AV12" i="33"/>
  <c r="AV9" i="34"/>
  <c r="AT11" i="33" s="1"/>
  <c r="AW9" i="32"/>
  <c r="AW14" i="32" s="1"/>
  <c r="AW19" i="32"/>
  <c r="AW24" i="32" s="1"/>
  <c r="AX9" i="32"/>
  <c r="BA31" i="32"/>
  <c r="BA52" i="32" s="1"/>
  <c r="AI18" i="34"/>
  <c r="AI17" i="34" s="1"/>
  <c r="BB46" i="32"/>
  <c r="BB40" i="32"/>
  <c r="BB38" i="32"/>
  <c r="BB33" i="32"/>
  <c r="BB47" i="32"/>
  <c r="BB41" i="32"/>
  <c r="BB37" i="32"/>
  <c r="BB49" i="32"/>
  <c r="BB48" i="32"/>
  <c r="BB50" i="32"/>
  <c r="BB39" i="32"/>
  <c r="BB43" i="32"/>
  <c r="BB32" i="32"/>
  <c r="BB44" i="32"/>
  <c r="BB35" i="32"/>
  <c r="BB45" i="32"/>
  <c r="BB42" i="32"/>
  <c r="BB36" i="32"/>
  <c r="BB34" i="32"/>
  <c r="AY18" i="6"/>
  <c r="AY7" i="32" s="1"/>
  <c r="BA3" i="32"/>
  <c r="BA65" i="32"/>
  <c r="BA14" i="33" s="1"/>
  <c r="BA32" i="6"/>
  <c r="AZ18" i="6"/>
  <c r="BA17" i="32"/>
  <c r="BA18" i="32"/>
  <c r="BB3" i="6"/>
  <c r="BB28" i="6" s="1"/>
  <c r="BB29" i="6" s="1"/>
  <c r="BA17" i="6"/>
  <c r="AQ26" i="32"/>
  <c r="AR26" i="32"/>
  <c r="BC5" i="6"/>
  <c r="BD5" i="34"/>
  <c r="BD4" i="34" s="1"/>
  <c r="BB5" i="33"/>
  <c r="BB3" i="33" s="1"/>
  <c r="BB5" i="32"/>
  <c r="AX14" i="32" l="1"/>
  <c r="BB19" i="34"/>
  <c r="AU19" i="34"/>
  <c r="AY10" i="34"/>
  <c r="AW12" i="33" s="1"/>
  <c r="AZ10" i="34"/>
  <c r="AW9" i="34"/>
  <c r="AU11" i="33" s="1"/>
  <c r="BC50" i="32"/>
  <c r="BC49" i="32"/>
  <c r="BC48" i="32"/>
  <c r="BC47" i="32"/>
  <c r="BC46" i="32"/>
  <c r="BC45" i="32"/>
  <c r="BC44" i="32"/>
  <c r="BC43" i="32"/>
  <c r="BC42" i="32"/>
  <c r="BC41" i="32"/>
  <c r="BC40" i="32"/>
  <c r="BC39" i="32"/>
  <c r="BC38" i="32"/>
  <c r="BC37" i="32"/>
  <c r="BC36" i="32"/>
  <c r="BC35" i="32"/>
  <c r="BC32" i="32"/>
  <c r="BC33" i="32"/>
  <c r="BC34" i="32"/>
  <c r="AH62" i="32"/>
  <c r="BB31" i="32"/>
  <c r="BB52" i="32" s="1"/>
  <c r="AY33" i="6"/>
  <c r="AX19" i="32" s="1"/>
  <c r="BB3" i="32"/>
  <c r="BB65" i="32"/>
  <c r="BB14" i="33" s="1"/>
  <c r="AZ8" i="32"/>
  <c r="AZ18" i="32"/>
  <c r="AZ7" i="32"/>
  <c r="BB32" i="6"/>
  <c r="BA18" i="6"/>
  <c r="BA8" i="32"/>
  <c r="BB18" i="32"/>
  <c r="BC3" i="6"/>
  <c r="BC28" i="6" s="1"/>
  <c r="BC29" i="6" s="1"/>
  <c r="BB17" i="6"/>
  <c r="BD5" i="6"/>
  <c r="BE5" i="34"/>
  <c r="BE4" i="34" s="1"/>
  <c r="BC5" i="33"/>
  <c r="BC3" i="33" s="1"/>
  <c r="BC5" i="32"/>
  <c r="AX24" i="32" l="1"/>
  <c r="AX9" i="34" s="1"/>
  <c r="AV11" i="33" s="1"/>
  <c r="AX12" i="33"/>
  <c r="BA10" i="34"/>
  <c r="AY12" i="33" s="1"/>
  <c r="AY9" i="32"/>
  <c r="BC31" i="32"/>
  <c r="BC52" i="32" s="1"/>
  <c r="BD40" i="32"/>
  <c r="BD49" i="32"/>
  <c r="BD44" i="32"/>
  <c r="BD47" i="32"/>
  <c r="BD46" i="32"/>
  <c r="BD41" i="32"/>
  <c r="BD37" i="32"/>
  <c r="BD48" i="32"/>
  <c r="BD35" i="32"/>
  <c r="BD32" i="32"/>
  <c r="BD50" i="32"/>
  <c r="BD39" i="32"/>
  <c r="BD43" i="32"/>
  <c r="BD33" i="32"/>
  <c r="BD45" i="32"/>
  <c r="BD42" i="32"/>
  <c r="BD34" i="32"/>
  <c r="BD36" i="32"/>
  <c r="BD38" i="32"/>
  <c r="BC3" i="32"/>
  <c r="BC65" i="32"/>
  <c r="BC14" i="33" s="1"/>
  <c r="AZ33" i="6"/>
  <c r="AY19" i="32" s="1"/>
  <c r="AY24" i="32" s="1"/>
  <c r="BA7" i="32"/>
  <c r="BA33" i="6"/>
  <c r="BC32" i="6"/>
  <c r="BB8" i="32"/>
  <c r="BC17" i="32"/>
  <c r="BC17" i="6"/>
  <c r="BD3" i="6"/>
  <c r="BD28" i="6" s="1"/>
  <c r="BD29" i="6" s="1"/>
  <c r="AS26" i="32"/>
  <c r="AT26" i="32"/>
  <c r="BE5" i="6"/>
  <c r="BF5" i="34"/>
  <c r="BF4" i="34" s="1"/>
  <c r="BD5" i="33"/>
  <c r="BD3" i="33" s="1"/>
  <c r="BD5" i="32"/>
  <c r="AY14" i="32" l="1"/>
  <c r="BD19" i="34"/>
  <c r="AZ19" i="32"/>
  <c r="AZ24" i="32" s="1"/>
  <c r="AY9" i="34"/>
  <c r="AW11" i="33" s="1"/>
  <c r="BA9" i="32"/>
  <c r="BA14" i="32" s="1"/>
  <c r="AZ9" i="32"/>
  <c r="AZ14" i="32" s="1"/>
  <c r="BE49" i="32"/>
  <c r="BE44" i="32"/>
  <c r="BE37" i="32"/>
  <c r="BE48" i="32"/>
  <c r="BE35" i="32"/>
  <c r="BE32" i="32"/>
  <c r="BE40" i="32"/>
  <c r="BE50" i="32"/>
  <c r="BE42" i="32"/>
  <c r="BE34" i="32"/>
  <c r="BE46" i="32"/>
  <c r="BE43" i="32"/>
  <c r="BE41" i="32"/>
  <c r="BE33" i="32"/>
  <c r="BE47" i="32"/>
  <c r="BE45" i="32"/>
  <c r="BE38" i="32"/>
  <c r="BE36" i="32"/>
  <c r="BE39" i="32"/>
  <c r="AH26" i="33"/>
  <c r="AH29" i="33" s="1"/>
  <c r="BD31" i="32"/>
  <c r="BD52" i="32" s="1"/>
  <c r="BD3" i="32"/>
  <c r="BD65" i="32" s="1"/>
  <c r="BD14" i="33" s="1"/>
  <c r="BB18" i="6"/>
  <c r="BB7" i="32" s="1"/>
  <c r="BB17" i="32"/>
  <c r="BD32" i="6"/>
  <c r="BD18" i="32"/>
  <c r="BD17" i="6"/>
  <c r="BE3" i="6"/>
  <c r="BE28" i="6" s="1"/>
  <c r="BE29" i="6" s="1"/>
  <c r="BD17" i="32"/>
  <c r="BC18" i="6"/>
  <c r="AU26" i="32"/>
  <c r="BF5" i="6"/>
  <c r="BG5" i="34"/>
  <c r="BG4" i="34" s="1"/>
  <c r="BE5" i="33"/>
  <c r="BE3" i="33" s="1"/>
  <c r="BE5" i="32"/>
  <c r="BE19" i="34" l="1"/>
  <c r="BB10" i="34"/>
  <c r="AZ12" i="33" s="1"/>
  <c r="BC10" i="34"/>
  <c r="AZ9" i="34"/>
  <c r="AX11" i="33" s="1"/>
  <c r="BF37" i="32"/>
  <c r="BF47" i="32"/>
  <c r="BF42" i="32"/>
  <c r="BF48" i="32"/>
  <c r="BF35" i="32"/>
  <c r="BF32" i="32"/>
  <c r="BF40" i="32"/>
  <c r="BF50" i="32"/>
  <c r="BF49" i="32"/>
  <c r="BF34" i="32"/>
  <c r="BF39" i="32"/>
  <c r="BF36" i="32"/>
  <c r="BF44" i="32"/>
  <c r="BF45" i="32"/>
  <c r="BF38" i="32"/>
  <c r="BF46" i="32"/>
  <c r="BF41" i="32"/>
  <c r="BF43" i="32"/>
  <c r="BF33" i="32"/>
  <c r="BE31" i="32"/>
  <c r="BE52" i="32" s="1"/>
  <c r="BE56" i="32" s="1"/>
  <c r="AJ18" i="34"/>
  <c r="AJ17" i="34" s="1"/>
  <c r="BB33" i="6"/>
  <c r="BE3" i="32"/>
  <c r="BE65" i="32"/>
  <c r="BE14" i="33" s="1"/>
  <c r="BC8" i="32"/>
  <c r="BC18" i="32"/>
  <c r="BE32" i="6"/>
  <c r="BC7" i="32"/>
  <c r="BD18" i="6"/>
  <c r="BE18" i="32"/>
  <c r="BE17" i="6"/>
  <c r="BF3" i="6"/>
  <c r="BF28" i="6" s="1"/>
  <c r="BF29" i="6" s="1"/>
  <c r="BD8" i="32"/>
  <c r="AV26" i="32"/>
  <c r="BG5" i="6"/>
  <c r="BH5" i="34"/>
  <c r="BH4" i="34" s="1"/>
  <c r="BF5" i="33"/>
  <c r="BF3" i="33" s="1"/>
  <c r="BF5" i="32"/>
  <c r="BF19" i="34" l="1"/>
  <c r="BA12" i="33"/>
  <c r="BD10" i="34"/>
  <c r="BB12" i="33" s="1"/>
  <c r="BA19" i="32"/>
  <c r="BB9" i="32"/>
  <c r="BE8" i="32"/>
  <c r="BG47" i="32"/>
  <c r="BG42" i="32"/>
  <c r="BG39" i="32"/>
  <c r="BG40" i="32"/>
  <c r="BG37" i="32"/>
  <c r="BG50" i="32"/>
  <c r="BG49" i="32"/>
  <c r="BG34" i="32"/>
  <c r="BG36" i="32"/>
  <c r="BG43" i="32"/>
  <c r="BG44" i="32"/>
  <c r="BG32" i="32"/>
  <c r="BG48" i="32"/>
  <c r="BG45" i="32"/>
  <c r="BG38" i="32"/>
  <c r="BG35" i="32"/>
  <c r="BG46" i="32"/>
  <c r="BG33" i="32"/>
  <c r="BG41" i="32"/>
  <c r="BF31" i="32"/>
  <c r="BF52" i="32" s="1"/>
  <c r="BF56" i="32" s="1"/>
  <c r="AI62" i="32"/>
  <c r="BC33" i="6"/>
  <c r="BF3" i="32"/>
  <c r="BF65" i="32"/>
  <c r="BF14" i="33" s="1"/>
  <c r="BD7" i="32"/>
  <c r="BD33" i="6"/>
  <c r="BF32" i="6"/>
  <c r="BF17" i="6"/>
  <c r="BG3" i="6"/>
  <c r="BG28" i="6" s="1"/>
  <c r="BG29" i="6" s="1"/>
  <c r="BF17" i="32"/>
  <c r="BH5" i="6"/>
  <c r="BI5" i="34"/>
  <c r="BI4" i="34" s="1"/>
  <c r="BG5" i="33"/>
  <c r="BG3" i="33" s="1"/>
  <c r="BG5" i="32"/>
  <c r="BB14" i="32" l="1"/>
  <c r="BA24" i="32"/>
  <c r="BC19" i="32"/>
  <c r="BC24" i="32" s="1"/>
  <c r="BB19" i="32"/>
  <c r="BB24" i="32" s="1"/>
  <c r="BD9" i="32"/>
  <c r="BD14" i="32" s="1"/>
  <c r="BC9" i="32"/>
  <c r="BC14" i="32" s="1"/>
  <c r="BG31" i="32"/>
  <c r="BG52" i="32" s="1"/>
  <c r="BG56" i="32" s="1"/>
  <c r="BH39" i="32"/>
  <c r="BH50" i="32"/>
  <c r="BH45" i="32"/>
  <c r="BH35" i="32"/>
  <c r="BH49" i="32"/>
  <c r="BH34" i="32"/>
  <c r="BH36" i="32"/>
  <c r="BH43" i="32"/>
  <c r="BH42" i="32"/>
  <c r="BH47" i="32"/>
  <c r="BH44" i="32"/>
  <c r="BH32" i="32"/>
  <c r="BH37" i="32"/>
  <c r="BH48" i="32"/>
  <c r="BH40" i="32"/>
  <c r="BH38" i="32"/>
  <c r="BH46" i="32"/>
  <c r="BH41" i="32"/>
  <c r="BH33" i="32"/>
  <c r="BI50" i="32"/>
  <c r="BI49" i="32"/>
  <c r="BI48" i="32"/>
  <c r="BI47" i="32"/>
  <c r="BI46" i="32"/>
  <c r="BI45" i="32"/>
  <c r="BI44" i="32"/>
  <c r="BI43" i="32"/>
  <c r="BI42" i="32"/>
  <c r="BI35" i="32"/>
  <c r="BI34" i="32"/>
  <c r="BI33" i="32"/>
  <c r="BI32" i="32"/>
  <c r="BI36" i="32"/>
  <c r="BI39" i="32"/>
  <c r="BI37" i="32"/>
  <c r="BI40" i="32"/>
  <c r="BI38" i="32"/>
  <c r="BI41" i="32"/>
  <c r="BG3" i="32"/>
  <c r="BG65" i="32"/>
  <c r="BG14" i="33" s="1"/>
  <c r="BE18" i="6"/>
  <c r="BE7" i="32" s="1"/>
  <c r="BE17" i="32"/>
  <c r="BG32" i="6"/>
  <c r="BG17" i="32"/>
  <c r="BG17" i="6"/>
  <c r="BH3" i="6"/>
  <c r="BH28" i="6" s="1"/>
  <c r="BH29" i="6" s="1"/>
  <c r="BF18" i="6"/>
  <c r="BG18" i="32"/>
  <c r="AW26" i="32"/>
  <c r="BI5" i="6"/>
  <c r="BJ5" i="34"/>
  <c r="BJ4" i="34" s="1"/>
  <c r="BH5" i="33"/>
  <c r="BH3" i="33" s="1"/>
  <c r="BH5" i="32"/>
  <c r="BA9" i="34" l="1"/>
  <c r="AY11" i="33" s="1"/>
  <c r="BH19" i="34"/>
  <c r="AY19" i="34"/>
  <c r="BE10" i="34"/>
  <c r="BC12" i="33" s="1"/>
  <c r="BB9" i="34"/>
  <c r="BC9" i="34"/>
  <c r="BI31" i="32"/>
  <c r="AI26" i="33"/>
  <c r="AI29" i="33" s="1"/>
  <c r="BH31" i="32"/>
  <c r="BH52" i="32" s="1"/>
  <c r="BH56" i="32" s="1"/>
  <c r="BH3" i="32"/>
  <c r="BH65" i="32"/>
  <c r="BH14" i="33" s="1"/>
  <c r="BE33" i="6"/>
  <c r="BD19" i="32" s="1"/>
  <c r="BD24" i="32" s="1"/>
  <c r="BD9" i="34" s="1"/>
  <c r="BF8" i="32"/>
  <c r="BF18" i="32"/>
  <c r="BG18" i="6"/>
  <c r="BG7" i="32" s="1"/>
  <c r="BF7" i="32"/>
  <c r="BH32" i="6"/>
  <c r="BH18" i="32"/>
  <c r="BH17" i="6"/>
  <c r="BI3" i="6"/>
  <c r="BI28" i="6" s="1"/>
  <c r="BI29" i="6" s="1"/>
  <c r="BG8" i="32"/>
  <c r="AX26" i="32"/>
  <c r="AY26" i="32"/>
  <c r="BK5" i="34"/>
  <c r="BK4" i="34" s="1"/>
  <c r="BI5" i="33"/>
  <c r="BI3" i="33" s="1"/>
  <c r="BI5" i="32"/>
  <c r="BI3" i="32" l="1"/>
  <c r="BI65" i="32" s="1"/>
  <c r="BI14" i="33" s="1"/>
  <c r="AZ11" i="33"/>
  <c r="BI52" i="32"/>
  <c r="BI56" i="32" s="1"/>
  <c r="BI19" i="34"/>
  <c r="BF10" i="34"/>
  <c r="BD12" i="33" s="1"/>
  <c r="BA11" i="33"/>
  <c r="BG10" i="34"/>
  <c r="BB11" i="33"/>
  <c r="BE9" i="32"/>
  <c r="AK18" i="34"/>
  <c r="AK17" i="34" s="1"/>
  <c r="B11" i="19"/>
  <c r="B12" i="19"/>
  <c r="B24" i="19"/>
  <c r="D25" i="19"/>
  <c r="B25" i="19"/>
  <c r="C25" i="19"/>
  <c r="E25" i="19"/>
  <c r="B26" i="19"/>
  <c r="D24" i="19"/>
  <c r="C26" i="19"/>
  <c r="E24" i="19"/>
  <c r="C24" i="19"/>
  <c r="F24" i="19"/>
  <c r="F25" i="19"/>
  <c r="F19" i="19"/>
  <c r="D19" i="19"/>
  <c r="C19" i="19"/>
  <c r="B19" i="19"/>
  <c r="E19" i="19"/>
  <c r="BF33" i="6"/>
  <c r="BE19" i="32" s="1"/>
  <c r="BE24" i="32" s="1"/>
  <c r="BI32" i="6"/>
  <c r="BG33" i="6"/>
  <c r="BH8" i="32"/>
  <c r="BI17" i="32"/>
  <c r="D12" i="10" s="1"/>
  <c r="BI17" i="6"/>
  <c r="AZ26" i="32"/>
  <c r="AC54" i="32" l="1"/>
  <c r="AC56" i="32" s="1"/>
  <c r="U54" i="32"/>
  <c r="U56" i="32" s="1"/>
  <c r="W54" i="32"/>
  <c r="W56" i="32" s="1"/>
  <c r="AG54" i="32"/>
  <c r="AG56" i="32" s="1"/>
  <c r="AR54" i="32"/>
  <c r="AR56" i="32" s="1"/>
  <c r="B54" i="32"/>
  <c r="B56" i="32" s="1"/>
  <c r="B58" i="32" s="1"/>
  <c r="F54" i="32"/>
  <c r="F56" i="32" s="1"/>
  <c r="D54" i="32"/>
  <c r="D56" i="32" s="1"/>
  <c r="H54" i="32"/>
  <c r="H56" i="32" s="1"/>
  <c r="E54" i="32"/>
  <c r="E56" i="32" s="1"/>
  <c r="G54" i="32"/>
  <c r="G56" i="32" s="1"/>
  <c r="C54" i="32"/>
  <c r="C56" i="32" s="1"/>
  <c r="L54" i="32"/>
  <c r="L56" i="32" s="1"/>
  <c r="S54" i="32"/>
  <c r="S56" i="32" s="1"/>
  <c r="T54" i="32"/>
  <c r="T56" i="32" s="1"/>
  <c r="O54" i="32"/>
  <c r="O56" i="32" s="1"/>
  <c r="K54" i="32"/>
  <c r="K56" i="32" s="1"/>
  <c r="P54" i="32"/>
  <c r="P56" i="32" s="1"/>
  <c r="Q54" i="32"/>
  <c r="Q56" i="32" s="1"/>
  <c r="J54" i="32"/>
  <c r="J56" i="32" s="1"/>
  <c r="N54" i="32"/>
  <c r="N56" i="32" s="1"/>
  <c r="M54" i="32"/>
  <c r="M56" i="32" s="1"/>
  <c r="I54" i="32"/>
  <c r="I56" i="32" s="1"/>
  <c r="AU54" i="32"/>
  <c r="AU56" i="32" s="1"/>
  <c r="AS54" i="32"/>
  <c r="AS56" i="32" s="1"/>
  <c r="AZ54" i="32"/>
  <c r="AZ56" i="32" s="1"/>
  <c r="BA54" i="32"/>
  <c r="BA56" i="32" s="1"/>
  <c r="AV54" i="32"/>
  <c r="AV56" i="32" s="1"/>
  <c r="BB54" i="32"/>
  <c r="BB56" i="32" s="1"/>
  <c r="BD54" i="32"/>
  <c r="BD56" i="32" s="1"/>
  <c r="D13" i="10"/>
  <c r="E12" i="10"/>
  <c r="C12" i="10"/>
  <c r="E13" i="10"/>
  <c r="E14" i="10"/>
  <c r="F13" i="10"/>
  <c r="F12" i="10"/>
  <c r="F14" i="10"/>
  <c r="C6" i="10"/>
  <c r="C13" i="10"/>
  <c r="C7" i="10"/>
  <c r="C14" i="10"/>
  <c r="C8" i="10"/>
  <c r="BE14" i="32"/>
  <c r="BE12" i="33"/>
  <c r="BC19" i="34"/>
  <c r="BF19" i="32"/>
  <c r="BF24" i="32" s="1"/>
  <c r="BE9" i="34"/>
  <c r="BC11" i="33" s="1"/>
  <c r="BF9" i="32"/>
  <c r="BF14" i="32" s="1"/>
  <c r="BG9" i="32"/>
  <c r="BG14" i="32" s="1"/>
  <c r="AJ62" i="32"/>
  <c r="C29" i="19"/>
  <c r="B29" i="19"/>
  <c r="BH18" i="6"/>
  <c r="BH7" i="32" s="1"/>
  <c r="BH17" i="32"/>
  <c r="G12" i="10" s="1"/>
  <c r="BI18" i="6"/>
  <c r="BI7" i="32" s="1"/>
  <c r="AM54" i="32" l="1"/>
  <c r="AM56" i="32" s="1"/>
  <c r="X54" i="32"/>
  <c r="X56" i="32" s="1"/>
  <c r="AB54" i="32"/>
  <c r="AB56" i="32" s="1"/>
  <c r="AK54" i="32"/>
  <c r="AK56" i="32" s="1"/>
  <c r="AE54" i="32"/>
  <c r="AE56" i="32" s="1"/>
  <c r="V54" i="32"/>
  <c r="V56" i="32" s="1"/>
  <c r="BC54" i="32"/>
  <c r="BC56" i="32" s="1"/>
  <c r="AT54" i="32"/>
  <c r="AT56" i="32" s="1"/>
  <c r="AQ54" i="32"/>
  <c r="AQ56" i="32" s="1"/>
  <c r="Z54" i="32"/>
  <c r="Z56" i="32" s="1"/>
  <c r="AO54" i="32"/>
  <c r="AO56" i="32" s="1"/>
  <c r="AI54" i="32"/>
  <c r="AI56" i="32" s="1"/>
  <c r="AF54" i="32"/>
  <c r="AF56" i="32" s="1"/>
  <c r="AN54" i="32"/>
  <c r="AN56" i="32" s="1"/>
  <c r="AD54" i="32"/>
  <c r="AD56" i="32" s="1"/>
  <c r="AX54" i="32"/>
  <c r="AX56" i="32" s="1"/>
  <c r="AY54" i="32"/>
  <c r="AY56" i="32" s="1"/>
  <c r="AH54" i="32"/>
  <c r="AH56" i="32" s="1"/>
  <c r="AA54" i="32"/>
  <c r="AA56" i="32" s="1"/>
  <c r="AW54" i="32"/>
  <c r="AW56" i="32" s="1"/>
  <c r="R54" i="32"/>
  <c r="R56" i="32" s="1"/>
  <c r="AP54" i="32"/>
  <c r="AP56" i="32" s="1"/>
  <c r="AJ54" i="32"/>
  <c r="AJ56" i="32" s="1"/>
  <c r="Y54" i="32"/>
  <c r="Y56" i="32" s="1"/>
  <c r="AL54" i="32"/>
  <c r="AL56" i="32" s="1"/>
  <c r="B59" i="32"/>
  <c r="B64" i="32"/>
  <c r="D6" i="10"/>
  <c r="E6" i="10"/>
  <c r="F6" i="10"/>
  <c r="G6" i="10"/>
  <c r="BH10" i="34"/>
  <c r="BF12" i="33" s="1"/>
  <c r="BI10" i="34"/>
  <c r="BF9" i="34"/>
  <c r="BD11" i="33" s="1"/>
  <c r="BH33" i="6"/>
  <c r="BI33" i="6"/>
  <c r="BI18" i="32"/>
  <c r="G13" i="10" s="1"/>
  <c r="BB26" i="32"/>
  <c r="BA26" i="32"/>
  <c r="C23" i="10" l="1"/>
  <c r="E23" i="10"/>
  <c r="D23" i="10"/>
  <c r="F23" i="10"/>
  <c r="G23" i="10"/>
  <c r="C17" i="10"/>
  <c r="BG12" i="33"/>
  <c r="BJ10" i="34"/>
  <c r="BH12" i="33" s="1"/>
  <c r="BH19" i="32"/>
  <c r="BG19" i="32"/>
  <c r="BI19" i="32"/>
  <c r="D14" i="10" s="1"/>
  <c r="BI9" i="32"/>
  <c r="BH9" i="32"/>
  <c r="AJ26" i="33"/>
  <c r="BI8" i="32"/>
  <c r="C12" i="19"/>
  <c r="D12" i="19"/>
  <c r="E12" i="19"/>
  <c r="C25" i="10" l="1"/>
  <c r="BG24" i="32"/>
  <c r="G14" i="10"/>
  <c r="D8" i="10"/>
  <c r="E8" i="10"/>
  <c r="F8" i="10"/>
  <c r="G8" i="10"/>
  <c r="D7" i="10"/>
  <c r="E7" i="10"/>
  <c r="F7" i="10"/>
  <c r="G7" i="10"/>
  <c r="BH14" i="32"/>
  <c r="BH24" i="32"/>
  <c r="BH9" i="34" s="1"/>
  <c r="BG9" i="34"/>
  <c r="BE11" i="33" s="1"/>
  <c r="AJ29" i="33"/>
  <c r="AL18" i="34"/>
  <c r="AL17" i="34" s="1"/>
  <c r="BI14" i="32"/>
  <c r="BI24" i="32"/>
  <c r="BD26" i="32"/>
  <c r="BC26" i="32"/>
  <c r="C30" i="10" l="1"/>
  <c r="G17" i="10"/>
  <c r="E17" i="10"/>
  <c r="BK10" i="34"/>
  <c r="BI12" i="33" s="1"/>
  <c r="F12" i="19" s="1"/>
  <c r="BF11" i="33"/>
  <c r="BI9" i="34"/>
  <c r="BG11" i="33" s="1"/>
  <c r="AK62" i="32"/>
  <c r="D17" i="10" l="1"/>
  <c r="F17" i="10"/>
  <c r="F25" i="10" s="1"/>
  <c r="E25" i="10"/>
  <c r="G25" i="10"/>
  <c r="BG19" i="34"/>
  <c r="BJ9" i="34"/>
  <c r="BH11" i="33" s="1"/>
  <c r="C11" i="19"/>
  <c r="D11" i="19"/>
  <c r="E11" i="19"/>
  <c r="BF26" i="32"/>
  <c r="BE26" i="32"/>
  <c r="D25" i="10" l="1"/>
  <c r="E30" i="10"/>
  <c r="BJ19" i="34"/>
  <c r="BK9" i="34"/>
  <c r="BI11" i="33" s="1"/>
  <c r="F11" i="19" s="1"/>
  <c r="AK26" i="33"/>
  <c r="D30" i="10" l="1"/>
  <c r="AM18" i="34"/>
  <c r="AM17" i="34" s="1"/>
  <c r="AK29" i="33"/>
  <c r="D26" i="19"/>
  <c r="D29" i="19" s="1"/>
  <c r="BH26" i="32"/>
  <c r="BG26" i="32"/>
  <c r="AL62" i="32" l="1"/>
  <c r="BI26" i="32"/>
  <c r="AL26" i="33" l="1"/>
  <c r="AL29" i="33" s="1"/>
  <c r="B27" i="32"/>
  <c r="B67" i="32" l="1"/>
  <c r="D23" i="34" s="1"/>
  <c r="D21" i="34" s="1"/>
  <c r="AN18" i="34" l="1"/>
  <c r="AN17" i="34" s="1"/>
  <c r="D12" i="34"/>
  <c r="AM62" i="32" l="1"/>
  <c r="AM26" i="33" l="1"/>
  <c r="AM29" i="33" s="1"/>
  <c r="E12" i="34"/>
  <c r="AO18" i="34" l="1"/>
  <c r="AO17" i="34" s="1"/>
  <c r="F12" i="34"/>
  <c r="AN62" i="32" l="1"/>
  <c r="AN26" i="33"/>
  <c r="AN29" i="33" s="1"/>
  <c r="G12" i="34"/>
  <c r="AP18" i="34" l="1"/>
  <c r="AP17" i="34" s="1"/>
  <c r="H12" i="34"/>
  <c r="AO62" i="32" l="1"/>
  <c r="AO26" i="33"/>
  <c r="AO29" i="33" s="1"/>
  <c r="I12" i="34"/>
  <c r="AQ18" i="34" l="1"/>
  <c r="AQ17" i="34" s="1"/>
  <c r="J12" i="34"/>
  <c r="AP62" i="32" l="1"/>
  <c r="AP26" i="33"/>
  <c r="AP29" i="33" s="1"/>
  <c r="K12" i="34"/>
  <c r="AR18" i="34" l="1"/>
  <c r="AR17" i="34" s="1"/>
  <c r="L12" i="34"/>
  <c r="AQ62" i="32" l="1"/>
  <c r="M12" i="34"/>
  <c r="AQ26" i="33" l="1"/>
  <c r="AQ29" i="33" s="1"/>
  <c r="N12" i="34"/>
  <c r="AS18" i="34" l="1"/>
  <c r="AS17" i="34" s="1"/>
  <c r="O12" i="34"/>
  <c r="AR62" i="32" l="1"/>
  <c r="P12" i="34"/>
  <c r="AR26" i="33" l="1"/>
  <c r="AR29" i="33" s="1"/>
  <c r="C58" i="32"/>
  <c r="C64" i="32" s="1"/>
  <c r="D58" i="32"/>
  <c r="D64" i="32" s="1"/>
  <c r="AT18" i="34" l="1"/>
  <c r="AT17" i="34" s="1"/>
  <c r="Q12" i="34"/>
  <c r="S58" i="32"/>
  <c r="S64" i="32" s="1"/>
  <c r="M58" i="32"/>
  <c r="M64" i="32" s="1"/>
  <c r="Q58" i="32"/>
  <c r="Q64" i="32" s="1"/>
  <c r="K58" i="32"/>
  <c r="K64" i="32" s="1"/>
  <c r="E58" i="32"/>
  <c r="E64" i="32" s="1"/>
  <c r="O58" i="32"/>
  <c r="O64" i="32" s="1"/>
  <c r="P58" i="32"/>
  <c r="P64" i="32" s="1"/>
  <c r="F58" i="32"/>
  <c r="F64" i="32" s="1"/>
  <c r="I58" i="32"/>
  <c r="I64" i="32" s="1"/>
  <c r="T58" i="32"/>
  <c r="T64" i="32" s="1"/>
  <c r="Y58" i="32"/>
  <c r="Y64" i="32" s="1"/>
  <c r="Z58" i="32"/>
  <c r="Z64" i="32" s="1"/>
  <c r="L58" i="32"/>
  <c r="L64" i="32" s="1"/>
  <c r="J58" i="32"/>
  <c r="J64" i="32" s="1"/>
  <c r="H58" i="32"/>
  <c r="H64" i="32" s="1"/>
  <c r="W58" i="32"/>
  <c r="W64" i="32" s="1"/>
  <c r="R58" i="32"/>
  <c r="R64" i="32" s="1"/>
  <c r="G58" i="32"/>
  <c r="G64" i="32" s="1"/>
  <c r="N58" i="32"/>
  <c r="N64" i="32" s="1"/>
  <c r="X58" i="32"/>
  <c r="X64" i="32" s="1"/>
  <c r="AS62" i="32" l="1"/>
  <c r="AA58" i="32"/>
  <c r="AA64" i="32" s="1"/>
  <c r="U58" i="32"/>
  <c r="U64" i="32" s="1"/>
  <c r="AF58" i="32"/>
  <c r="AF64" i="32" s="1"/>
  <c r="AB58" i="32"/>
  <c r="AB64" i="32" s="1"/>
  <c r="V58" i="32"/>
  <c r="V64" i="32" s="1"/>
  <c r="AJ58" i="32"/>
  <c r="AJ64" i="32" s="1"/>
  <c r="R12" i="34" l="1"/>
  <c r="AI58" i="32"/>
  <c r="AI64" i="32" s="1"/>
  <c r="AM58" i="32"/>
  <c r="AM64" i="32" s="1"/>
  <c r="AN58" i="32"/>
  <c r="AN64" i="32" s="1"/>
  <c r="AC58" i="32"/>
  <c r="AC64" i="32" s="1"/>
  <c r="AE58" i="32"/>
  <c r="AE64" i="32" s="1"/>
  <c r="AH58" i="32"/>
  <c r="AH64" i="32" s="1"/>
  <c r="AT58" i="32"/>
  <c r="AG58" i="32"/>
  <c r="AG64" i="32" s="1"/>
  <c r="AX58" i="32"/>
  <c r="AD58" i="32"/>
  <c r="AD64" i="32" s="1"/>
  <c r="AP58" i="32"/>
  <c r="AP64" i="32" s="1"/>
  <c r="AK58" i="32"/>
  <c r="AK64" i="32" s="1"/>
  <c r="AL58" i="32"/>
  <c r="AL64" i="32" s="1"/>
  <c r="AS26" i="33" l="1"/>
  <c r="AS29" i="33" s="1"/>
  <c r="AZ58" i="32"/>
  <c r="AR58" i="32"/>
  <c r="AR64" i="32" s="1"/>
  <c r="BA58" i="32"/>
  <c r="B21" i="33"/>
  <c r="AO58" i="32"/>
  <c r="AO64" i="32" s="1"/>
  <c r="AY58" i="32"/>
  <c r="AS58" i="32"/>
  <c r="AS64" i="32" s="1"/>
  <c r="AU58" i="32"/>
  <c r="AW58" i="32"/>
  <c r="BE58" i="32"/>
  <c r="AV58" i="32"/>
  <c r="AQ58" i="32"/>
  <c r="AQ64" i="32" s="1"/>
  <c r="AU18" i="34" l="1"/>
  <c r="AU17" i="34" s="1"/>
  <c r="S12" i="34"/>
  <c r="BC58" i="32"/>
  <c r="BB58" i="32"/>
  <c r="BD58" i="32"/>
  <c r="BI58" i="32"/>
  <c r="B10" i="33"/>
  <c r="BG58" i="32"/>
  <c r="BH58" i="32"/>
  <c r="BF58" i="32"/>
  <c r="AT62" i="32" l="1"/>
  <c r="AT64" i="32" s="1"/>
  <c r="AT26" i="33"/>
  <c r="AT29" i="33" s="1"/>
  <c r="D21" i="33"/>
  <c r="B8" i="33"/>
  <c r="B16" i="33" s="1"/>
  <c r="AV18" i="34" l="1"/>
  <c r="AV17" i="34" s="1"/>
  <c r="B21" i="19"/>
  <c r="T12" i="34"/>
  <c r="C10" i="33"/>
  <c r="E21" i="33"/>
  <c r="C21" i="33"/>
  <c r="AU62" i="32" l="1"/>
  <c r="AU64" i="32" s="1"/>
  <c r="AU26" i="33"/>
  <c r="AU29" i="33" s="1"/>
  <c r="D24" i="34"/>
  <c r="D59" i="32"/>
  <c r="C27" i="32"/>
  <c r="B31" i="33" l="1"/>
  <c r="B68" i="32"/>
  <c r="U12" i="34"/>
  <c r="F21" i="33"/>
  <c r="D27" i="32"/>
  <c r="E59" i="32"/>
  <c r="D10" i="33"/>
  <c r="AW18" i="34" l="1"/>
  <c r="AW17" i="34" s="1"/>
  <c r="D8" i="33"/>
  <c r="D16" i="33" s="1"/>
  <c r="E27" i="32"/>
  <c r="C8" i="33"/>
  <c r="C16" i="33" s="1"/>
  <c r="C59" i="32"/>
  <c r="AV62" i="32" l="1"/>
  <c r="AV64" i="32" s="1"/>
  <c r="D31" i="33"/>
  <c r="D67" i="32"/>
  <c r="D68" i="32" s="1"/>
  <c r="V12" i="34"/>
  <c r="G21" i="33"/>
  <c r="F27" i="32"/>
  <c r="E10" i="33"/>
  <c r="E8" i="33" l="1"/>
  <c r="E16" i="33" s="1"/>
  <c r="F59" i="32"/>
  <c r="C67" i="32"/>
  <c r="AV26" i="33" l="1"/>
  <c r="AV29" i="33" s="1"/>
  <c r="E23" i="34"/>
  <c r="F23" i="34" s="1"/>
  <c r="C68" i="32"/>
  <c r="E31" i="33"/>
  <c r="E67" i="32"/>
  <c r="W12" i="34"/>
  <c r="G59" i="32"/>
  <c r="C31" i="33"/>
  <c r="AX18" i="34" l="1"/>
  <c r="AX17" i="34" s="1"/>
  <c r="G23" i="34"/>
  <c r="E68" i="32"/>
  <c r="H21" i="33"/>
  <c r="G27" i="32"/>
  <c r="E21" i="34"/>
  <c r="E24" i="34" s="1"/>
  <c r="F10" i="33"/>
  <c r="AW62" i="32" l="1"/>
  <c r="AW64" i="32" s="1"/>
  <c r="AW26" i="33"/>
  <c r="AW29" i="33" s="1"/>
  <c r="F67" i="32"/>
  <c r="F8" i="33"/>
  <c r="F16" i="33" s="1"/>
  <c r="X12" i="34"/>
  <c r="I21" i="33"/>
  <c r="F21" i="34"/>
  <c r="F24" i="34" s="1"/>
  <c r="G21" i="34"/>
  <c r="G24" i="34" s="1"/>
  <c r="AY18" i="34" l="1"/>
  <c r="AY17" i="34" s="1"/>
  <c r="H23" i="34"/>
  <c r="H21" i="34" s="1"/>
  <c r="H24" i="34" s="1"/>
  <c r="F68" i="32"/>
  <c r="J21" i="33"/>
  <c r="H59" i="32"/>
  <c r="G10" i="33"/>
  <c r="B35" i="33"/>
  <c r="AX62" i="32" l="1"/>
  <c r="F31" i="33"/>
  <c r="G67" i="32"/>
  <c r="G8" i="33"/>
  <c r="G16" i="33" s="1"/>
  <c r="Y12" i="34"/>
  <c r="K21" i="33"/>
  <c r="H27" i="32"/>
  <c r="I59" i="32"/>
  <c r="C33" i="33"/>
  <c r="D8" i="34"/>
  <c r="AX26" i="33" l="1"/>
  <c r="AX29" i="33" s="1"/>
  <c r="AX64" i="32"/>
  <c r="AZ18" i="34"/>
  <c r="AZ17" i="34" s="1"/>
  <c r="D7" i="34"/>
  <c r="D15" i="34" s="1"/>
  <c r="I23" i="34"/>
  <c r="G68" i="32"/>
  <c r="L21" i="33"/>
  <c r="I27" i="32"/>
  <c r="J59" i="32"/>
  <c r="C35" i="33"/>
  <c r="AY62" i="32" l="1"/>
  <c r="G31" i="33"/>
  <c r="Z12" i="34"/>
  <c r="M21" i="33"/>
  <c r="J27" i="32"/>
  <c r="K59" i="32"/>
  <c r="I21" i="34"/>
  <c r="I24" i="34" s="1"/>
  <c r="D26" i="34"/>
  <c r="H10" i="33"/>
  <c r="D33" i="33"/>
  <c r="E8" i="34"/>
  <c r="E7" i="34" s="1"/>
  <c r="AY64" i="32" l="1"/>
  <c r="H67" i="32"/>
  <c r="H8" i="33"/>
  <c r="H16" i="33" s="1"/>
  <c r="D35" i="33"/>
  <c r="E33" i="33" s="1"/>
  <c r="E35" i="33" s="1"/>
  <c r="N21" i="33"/>
  <c r="K27" i="32"/>
  <c r="L59" i="32"/>
  <c r="AY26" i="33" l="1"/>
  <c r="AY29" i="33" s="1"/>
  <c r="J23" i="34"/>
  <c r="J21" i="34" s="1"/>
  <c r="J24" i="34" s="1"/>
  <c r="H68" i="32"/>
  <c r="H31" i="33"/>
  <c r="F8" i="34"/>
  <c r="F7" i="34" s="1"/>
  <c r="AA12" i="34"/>
  <c r="O21" i="33"/>
  <c r="L27" i="32"/>
  <c r="M59" i="32"/>
  <c r="E15" i="34"/>
  <c r="E26" i="34" s="1"/>
  <c r="I10" i="33"/>
  <c r="F33" i="33"/>
  <c r="G8" i="34"/>
  <c r="G7" i="34" s="1"/>
  <c r="BA18" i="34" l="1"/>
  <c r="BA17" i="34" s="1"/>
  <c r="G15" i="34"/>
  <c r="G26" i="34" s="1"/>
  <c r="I67" i="32"/>
  <c r="I8" i="33"/>
  <c r="I16" i="33" s="1"/>
  <c r="F15" i="34"/>
  <c r="F26" i="34" s="1"/>
  <c r="F35" i="33"/>
  <c r="H8" i="34" s="1"/>
  <c r="H7" i="34" s="1"/>
  <c r="P21" i="33"/>
  <c r="M27" i="32"/>
  <c r="N27" i="32"/>
  <c r="AZ62" i="32" l="1"/>
  <c r="AZ26" i="33"/>
  <c r="AZ29" i="33" s="1"/>
  <c r="K23" i="34"/>
  <c r="K21" i="34" s="1"/>
  <c r="K24" i="34" s="1"/>
  <c r="I68" i="32"/>
  <c r="I31" i="33"/>
  <c r="G33" i="33"/>
  <c r="G35" i="33" s="1"/>
  <c r="I8" i="34" s="1"/>
  <c r="I7" i="34" s="1"/>
  <c r="AB12" i="34"/>
  <c r="N59" i="32"/>
  <c r="Q21" i="33"/>
  <c r="O59" i="32"/>
  <c r="J10" i="33"/>
  <c r="AZ64" i="32" l="1"/>
  <c r="BB18" i="34"/>
  <c r="BB17" i="34" s="1"/>
  <c r="I15" i="34"/>
  <c r="I26" i="34" s="1"/>
  <c r="J8" i="33"/>
  <c r="J16" i="33" s="1"/>
  <c r="H33" i="33"/>
  <c r="H35" i="33" s="1"/>
  <c r="J8" i="34" s="1"/>
  <c r="J7" i="34" s="1"/>
  <c r="R21" i="33"/>
  <c r="O27" i="32"/>
  <c r="P27" i="32"/>
  <c r="H15" i="34"/>
  <c r="H26" i="34" s="1"/>
  <c r="BA62" i="32" l="1"/>
  <c r="J15" i="34"/>
  <c r="J26" i="34" s="1"/>
  <c r="J31" i="33"/>
  <c r="J67" i="32"/>
  <c r="I33" i="33"/>
  <c r="I35" i="33" s="1"/>
  <c r="K8" i="34" s="1"/>
  <c r="K7" i="34" s="1"/>
  <c r="AC12" i="34"/>
  <c r="S21" i="33"/>
  <c r="P59" i="32"/>
  <c r="Q59" i="32"/>
  <c r="Q27" i="32"/>
  <c r="BA64" i="32" l="1"/>
  <c r="L23" i="34"/>
  <c r="L21" i="34" s="1"/>
  <c r="L24" i="34" s="1"/>
  <c r="J68" i="32"/>
  <c r="J33" i="33"/>
  <c r="J35" i="33" s="1"/>
  <c r="K33" i="33" s="1"/>
  <c r="T21" i="33"/>
  <c r="K15" i="34"/>
  <c r="K26" i="34" s="1"/>
  <c r="K10" i="33"/>
  <c r="BA26" i="33" l="1"/>
  <c r="BA29" i="33" s="1"/>
  <c r="K8" i="33"/>
  <c r="K16" i="33" s="1"/>
  <c r="L8" i="34"/>
  <c r="L7" i="34" s="1"/>
  <c r="AD12" i="34"/>
  <c r="U21" i="33"/>
  <c r="R59" i="32"/>
  <c r="R27" i="32"/>
  <c r="BC18" i="34" l="1"/>
  <c r="BC17" i="34" s="1"/>
  <c r="K31" i="33"/>
  <c r="K35" i="33" s="1"/>
  <c r="M8" i="34" s="1"/>
  <c r="M7" i="34" s="1"/>
  <c r="K67" i="32"/>
  <c r="V21" i="33"/>
  <c r="L15" i="34"/>
  <c r="L26" i="34" s="1"/>
  <c r="L10" i="33"/>
  <c r="S27" i="32"/>
  <c r="BB62" i="32" l="1"/>
  <c r="BB64" i="32" s="1"/>
  <c r="M23" i="34"/>
  <c r="M21" i="34" s="1"/>
  <c r="M24" i="34" s="1"/>
  <c r="K68" i="32"/>
  <c r="L33" i="33"/>
  <c r="L8" i="33"/>
  <c r="L16" i="33" s="1"/>
  <c r="AE12" i="34"/>
  <c r="W21" i="33"/>
  <c r="M15" i="34"/>
  <c r="S59" i="32"/>
  <c r="BB26" i="33" l="1"/>
  <c r="BB29" i="33" s="1"/>
  <c r="BD18" i="34"/>
  <c r="BD17" i="34" s="1"/>
  <c r="M26" i="34"/>
  <c r="L31" i="33"/>
  <c r="L35" i="33" s="1"/>
  <c r="M33" i="33" s="1"/>
  <c r="L67" i="32"/>
  <c r="X21" i="33"/>
  <c r="M10" i="33"/>
  <c r="T27" i="32"/>
  <c r="BC62" i="32" l="1"/>
  <c r="BC64" i="32" s="1"/>
  <c r="BC26" i="33"/>
  <c r="BC29" i="33" s="1"/>
  <c r="N23" i="34"/>
  <c r="N21" i="34" s="1"/>
  <c r="N24" i="34" s="1"/>
  <c r="L68" i="32"/>
  <c r="N8" i="34"/>
  <c r="N7" i="34" s="1"/>
  <c r="M8" i="33"/>
  <c r="AF12" i="34"/>
  <c r="Y21" i="33"/>
  <c r="T59" i="32"/>
  <c r="U27" i="32"/>
  <c r="BE18" i="34" l="1"/>
  <c r="BE17" i="34" s="1"/>
  <c r="N15" i="34"/>
  <c r="N26" i="34" s="1"/>
  <c r="Z21" i="33"/>
  <c r="U59" i="32"/>
  <c r="BD62" i="32" l="1"/>
  <c r="BD64" i="32" s="1"/>
  <c r="AG12" i="34"/>
  <c r="AA21" i="33"/>
  <c r="N10" i="33"/>
  <c r="V27" i="32"/>
  <c r="N8" i="33" l="1"/>
  <c r="N16" i="33" s="1"/>
  <c r="AB21" i="33"/>
  <c r="V59" i="32"/>
  <c r="BD26" i="33" l="1"/>
  <c r="BD29" i="33" s="1"/>
  <c r="AH12" i="34"/>
  <c r="AC21" i="33"/>
  <c r="N67" i="32"/>
  <c r="N68" i="32" s="1"/>
  <c r="O10" i="33"/>
  <c r="W27" i="32"/>
  <c r="BF18" i="34" l="1"/>
  <c r="BF17" i="34" s="1"/>
  <c r="N31" i="33"/>
  <c r="O8" i="33"/>
  <c r="O16" i="33" s="1"/>
  <c r="AD21" i="33"/>
  <c r="W59" i="32"/>
  <c r="BE62" i="32" l="1"/>
  <c r="BE64" i="32" s="1"/>
  <c r="BE26" i="33"/>
  <c r="BE29" i="33" s="1"/>
  <c r="AI12" i="34"/>
  <c r="AE21" i="33"/>
  <c r="O67" i="32"/>
  <c r="O68" i="32" s="1"/>
  <c r="P10" i="33"/>
  <c r="X27" i="32"/>
  <c r="BG18" i="34" l="1"/>
  <c r="BG17" i="34" s="1"/>
  <c r="P8" i="33"/>
  <c r="P16" i="33" s="1"/>
  <c r="AF21" i="33"/>
  <c r="O31" i="33"/>
  <c r="X59" i="32"/>
  <c r="BF62" i="32" l="1"/>
  <c r="BF64" i="32" s="1"/>
  <c r="AJ12" i="34"/>
  <c r="AG21" i="33"/>
  <c r="Q10" i="33"/>
  <c r="P67" i="32"/>
  <c r="P68" i="32" s="1"/>
  <c r="Y27" i="32"/>
  <c r="BF26" i="33" l="1"/>
  <c r="BF29" i="33" s="1"/>
  <c r="P31" i="33"/>
  <c r="Q8" i="33"/>
  <c r="Q16" i="33" s="1"/>
  <c r="AH21" i="33"/>
  <c r="Y59" i="32"/>
  <c r="BH18" i="34" l="1"/>
  <c r="BH17" i="34" s="1"/>
  <c r="AK12" i="34"/>
  <c r="AI21" i="33"/>
  <c r="Q31" i="33"/>
  <c r="R10" i="33"/>
  <c r="Q67" i="32"/>
  <c r="Q68" i="32" s="1"/>
  <c r="BG62" i="32" l="1"/>
  <c r="BG64" i="32" s="1"/>
  <c r="R8" i="33"/>
  <c r="R16" i="33" s="1"/>
  <c r="AJ21" i="33"/>
  <c r="Z27" i="32"/>
  <c r="AL12" i="34" l="1"/>
  <c r="AK21" i="33"/>
  <c r="R31" i="33"/>
  <c r="S10" i="33"/>
  <c r="R67" i="32"/>
  <c r="R68" i="32" s="1"/>
  <c r="Z59" i="32"/>
  <c r="BG26" i="33" l="1"/>
  <c r="BG29" i="33" s="1"/>
  <c r="S8" i="33"/>
  <c r="S16" i="33" s="1"/>
  <c r="AL21" i="33"/>
  <c r="AA27" i="32"/>
  <c r="BI18" i="34" l="1"/>
  <c r="BI17" i="34" s="1"/>
  <c r="AM12" i="34"/>
  <c r="AM21" i="33"/>
  <c r="T10" i="33"/>
  <c r="S67" i="32"/>
  <c r="S68" i="32" s="1"/>
  <c r="S31" i="33"/>
  <c r="AA59" i="32"/>
  <c r="BH62" i="32" l="1"/>
  <c r="E26" i="19"/>
  <c r="E29" i="19" s="1"/>
  <c r="T8" i="33"/>
  <c r="T16" i="33" s="1"/>
  <c r="AN21" i="33"/>
  <c r="BH64" i="32" l="1"/>
  <c r="AN12" i="34"/>
  <c r="AO21" i="33"/>
  <c r="T31" i="33"/>
  <c r="T67" i="32"/>
  <c r="T68" i="32" s="1"/>
  <c r="BH26" i="33" l="1"/>
  <c r="AB59" i="32"/>
  <c r="AB27" i="32"/>
  <c r="AP21" i="33"/>
  <c r="U10" i="33"/>
  <c r="BJ18" i="34" l="1"/>
  <c r="BJ17" i="34" s="1"/>
  <c r="BH29" i="33"/>
  <c r="U8" i="33"/>
  <c r="U16" i="33" s="1"/>
  <c r="AO12" i="34"/>
  <c r="AQ21" i="33"/>
  <c r="BI62" i="32" l="1"/>
  <c r="AR21" i="33"/>
  <c r="V10" i="33"/>
  <c r="U67" i="32"/>
  <c r="U68" i="32" s="1"/>
  <c r="U31" i="33"/>
  <c r="F30" i="10" l="1"/>
  <c r="G30" i="10"/>
  <c r="BI64" i="32"/>
  <c r="V8" i="33"/>
  <c r="V16" i="33" s="1"/>
  <c r="AP12" i="34"/>
  <c r="AC59" i="32"/>
  <c r="AC27" i="32"/>
  <c r="AS21" i="33"/>
  <c r="BI26" i="33" l="1"/>
  <c r="BK18" i="34"/>
  <c r="BK17" i="34" s="1"/>
  <c r="AT21" i="33"/>
  <c r="V31" i="33"/>
  <c r="V67" i="32"/>
  <c r="V68" i="32" s="1"/>
  <c r="F26" i="19" l="1"/>
  <c r="F29" i="19" s="1"/>
  <c r="BI29" i="33"/>
  <c r="AQ12" i="34"/>
  <c r="AU21" i="33"/>
  <c r="AD59" i="32"/>
  <c r="AD27" i="32"/>
  <c r="W10" i="33"/>
  <c r="W8" i="33" l="1"/>
  <c r="W16" i="33" s="1"/>
  <c r="AV21" i="33"/>
  <c r="AR12" i="34" l="1"/>
  <c r="AW21" i="33"/>
  <c r="AE59" i="32"/>
  <c r="AE27" i="32"/>
  <c r="X10" i="33"/>
  <c r="W31" i="33"/>
  <c r="W67" i="32"/>
  <c r="W68" i="32" s="1"/>
  <c r="X8" i="33" l="1"/>
  <c r="X16" i="33" s="1"/>
  <c r="AX21" i="33"/>
  <c r="AS12" i="34" l="1"/>
  <c r="AY21" i="33"/>
  <c r="AF59" i="32"/>
  <c r="AF27" i="32"/>
  <c r="X31" i="33"/>
  <c r="Y10" i="33"/>
  <c r="X67" i="32"/>
  <c r="X68" i="32" s="1"/>
  <c r="AG27" i="32"/>
  <c r="Y8" i="33" l="1"/>
  <c r="AZ21" i="33"/>
  <c r="AG59" i="32"/>
  <c r="AT12" i="34" l="1"/>
  <c r="BA21" i="33"/>
  <c r="Z10" i="33"/>
  <c r="Z8" i="33" l="1"/>
  <c r="Z16" i="33" s="1"/>
  <c r="BB21" i="33"/>
  <c r="AH27" i="32"/>
  <c r="AU12" i="34" l="1"/>
  <c r="BC21" i="33"/>
  <c r="Z67" i="32"/>
  <c r="Z68" i="32" s="1"/>
  <c r="AA10" i="33"/>
  <c r="AH59" i="32"/>
  <c r="Z31" i="33" l="1"/>
  <c r="AA8" i="33"/>
  <c r="AA16" i="33" s="1"/>
  <c r="BD21" i="33"/>
  <c r="AI27" i="32"/>
  <c r="AV12" i="34" l="1"/>
  <c r="BE21" i="33"/>
  <c r="AB10" i="33"/>
  <c r="AA67" i="32"/>
  <c r="AA68" i="32" s="1"/>
  <c r="AI59" i="32"/>
  <c r="AA31" i="33" l="1"/>
  <c r="AB8" i="33"/>
  <c r="AB16" i="33" s="1"/>
  <c r="BF21" i="33"/>
  <c r="AJ27" i="32"/>
  <c r="AW12" i="34" l="1"/>
  <c r="BG21" i="33"/>
  <c r="AB67" i="32"/>
  <c r="AB68" i="32" s="1"/>
  <c r="AJ59" i="32"/>
  <c r="AB31" i="33" l="1"/>
  <c r="BH21" i="33"/>
  <c r="AC10" i="33"/>
  <c r="AC8" i="33" l="1"/>
  <c r="AC16" i="33" s="1"/>
  <c r="AX12" i="34"/>
  <c r="BI21" i="33"/>
  <c r="AK27" i="32"/>
  <c r="M65" i="32" l="1"/>
  <c r="AC67" i="32"/>
  <c r="AC68" i="32" s="1"/>
  <c r="AK59" i="32"/>
  <c r="M14" i="33" l="1"/>
  <c r="M16" i="33" s="1"/>
  <c r="M31" i="33" s="1"/>
  <c r="M35" i="33" s="1"/>
  <c r="M67" i="32"/>
  <c r="Y65" i="32"/>
  <c r="Y14" i="33" s="1"/>
  <c r="Y16" i="33" s="1"/>
  <c r="Y31" i="33" s="1"/>
  <c r="AW65" i="32"/>
  <c r="AW14" i="33" s="1"/>
  <c r="F14" i="19" s="1"/>
  <c r="AC31" i="33"/>
  <c r="AY12" i="34"/>
  <c r="AD10" i="33"/>
  <c r="M68" i="32" l="1"/>
  <c r="O23" i="34"/>
  <c r="N33" i="33"/>
  <c r="N35" i="33" s="1"/>
  <c r="O8" i="34"/>
  <c r="O7" i="34" s="1"/>
  <c r="O15" i="34" s="1"/>
  <c r="Y67" i="32"/>
  <c r="Y68" i="32" s="1"/>
  <c r="AD8" i="33"/>
  <c r="AD16" i="33" s="1"/>
  <c r="AL27" i="32"/>
  <c r="O21" i="34" l="1"/>
  <c r="O24" i="34" s="1"/>
  <c r="O26" i="34" s="1"/>
  <c r="P23" i="34"/>
  <c r="O33" i="33"/>
  <c r="O35" i="33" s="1"/>
  <c r="P8" i="34"/>
  <c r="P7" i="34" s="1"/>
  <c r="P15" i="34" s="1"/>
  <c r="AZ12" i="34"/>
  <c r="AD67" i="32"/>
  <c r="AD68" i="32" s="1"/>
  <c r="AE10" i="33"/>
  <c r="AL59" i="32"/>
  <c r="P33" i="33" l="1"/>
  <c r="P35" i="33" s="1"/>
  <c r="Q8" i="34"/>
  <c r="Q7" i="34" s="1"/>
  <c r="Q15" i="34" s="1"/>
  <c r="P21" i="34"/>
  <c r="P24" i="34" s="1"/>
  <c r="P26" i="34" s="1"/>
  <c r="Q23" i="34"/>
  <c r="AD31" i="33"/>
  <c r="AE8" i="33"/>
  <c r="AE16" i="33" s="1"/>
  <c r="AM27" i="32"/>
  <c r="Q21" i="34" l="1"/>
  <c r="Q24" i="34" s="1"/>
  <c r="Q26" i="34" s="1"/>
  <c r="R23" i="34"/>
  <c r="Q33" i="33"/>
  <c r="Q35" i="33" s="1"/>
  <c r="R8" i="34"/>
  <c r="R7" i="34" s="1"/>
  <c r="R15" i="34" s="1"/>
  <c r="BA12" i="34"/>
  <c r="AE31" i="33"/>
  <c r="AE67" i="32"/>
  <c r="AE68" i="32" s="1"/>
  <c r="AF10" i="33"/>
  <c r="AM59" i="32"/>
  <c r="R33" i="33" l="1"/>
  <c r="R35" i="33" s="1"/>
  <c r="S8" i="34"/>
  <c r="S7" i="34" s="1"/>
  <c r="S15" i="34" s="1"/>
  <c r="R21" i="34"/>
  <c r="R24" i="34" s="1"/>
  <c r="R26" i="34" s="1"/>
  <c r="S23" i="34"/>
  <c r="AF8" i="33"/>
  <c r="AF16" i="33" s="1"/>
  <c r="S21" i="34" l="1"/>
  <c r="S24" i="34" s="1"/>
  <c r="S26" i="34" s="1"/>
  <c r="T23" i="34"/>
  <c r="T8" i="34"/>
  <c r="T7" i="34" s="1"/>
  <c r="T15" i="34" s="1"/>
  <c r="S33" i="33"/>
  <c r="S35" i="33" s="1"/>
  <c r="BB12" i="34"/>
  <c r="AF31" i="33"/>
  <c r="AF67" i="32"/>
  <c r="AF68" i="32" s="1"/>
  <c r="T33" i="33" l="1"/>
  <c r="T35" i="33" s="1"/>
  <c r="U8" i="34"/>
  <c r="U7" i="34" s="1"/>
  <c r="U15" i="34" s="1"/>
  <c r="T21" i="34"/>
  <c r="T24" i="34" s="1"/>
  <c r="T26" i="34" s="1"/>
  <c r="U23" i="34"/>
  <c r="AG8" i="33"/>
  <c r="AG10" i="33"/>
  <c r="U21" i="34" l="1"/>
  <c r="U24" i="34" s="1"/>
  <c r="U26" i="34" s="1"/>
  <c r="V23" i="34"/>
  <c r="V8" i="34"/>
  <c r="V7" i="34" s="1"/>
  <c r="V15" i="34" s="1"/>
  <c r="U33" i="33"/>
  <c r="U35" i="33" s="1"/>
  <c r="AG16" i="33"/>
  <c r="BC12" i="34"/>
  <c r="AN59" i="32"/>
  <c r="AN27" i="32"/>
  <c r="AH10" i="33"/>
  <c r="W8" i="34" l="1"/>
  <c r="W7" i="34" s="1"/>
  <c r="W15" i="34" s="1"/>
  <c r="V33" i="33"/>
  <c r="V35" i="33" s="1"/>
  <c r="V21" i="34"/>
  <c r="V24" i="34" s="1"/>
  <c r="V26" i="34" s="1"/>
  <c r="W23" i="34"/>
  <c r="AH8" i="33"/>
  <c r="AH16" i="33" s="1"/>
  <c r="AG31" i="33"/>
  <c r="AG67" i="32"/>
  <c r="AG68" i="32" s="1"/>
  <c r="X8" i="34" l="1"/>
  <c r="X7" i="34" s="1"/>
  <c r="X15" i="34" s="1"/>
  <c r="W33" i="33"/>
  <c r="W35" i="33" s="1"/>
  <c r="W21" i="34"/>
  <c r="W24" i="34" s="1"/>
  <c r="W26" i="34" s="1"/>
  <c r="X23" i="34"/>
  <c r="BD12" i="34"/>
  <c r="AO59" i="32"/>
  <c r="AO27" i="32"/>
  <c r="AH67" i="32"/>
  <c r="AH68" i="32" s="1"/>
  <c r="AH31" i="33"/>
  <c r="Y8" i="34" l="1"/>
  <c r="Y7" i="34" s="1"/>
  <c r="Y15" i="34" s="1"/>
  <c r="X33" i="33"/>
  <c r="X35" i="33" s="1"/>
  <c r="X21" i="34"/>
  <c r="X24" i="34" s="1"/>
  <c r="X26" i="34" s="1"/>
  <c r="Y23" i="34"/>
  <c r="AI10" i="33"/>
  <c r="AP27" i="32"/>
  <c r="Z8" i="34" l="1"/>
  <c r="Z7" i="34" s="1"/>
  <c r="Z15" i="34" s="1"/>
  <c r="Y33" i="33"/>
  <c r="Y35" i="33" s="1"/>
  <c r="Y21" i="34"/>
  <c r="Y24" i="34" s="1"/>
  <c r="Y26" i="34" s="1"/>
  <c r="Z23" i="34"/>
  <c r="AI8" i="33"/>
  <c r="AI16" i="33" s="1"/>
  <c r="BE12" i="34"/>
  <c r="AP59" i="32"/>
  <c r="Z21" i="34" l="1"/>
  <c r="Z24" i="34" s="1"/>
  <c r="Z26" i="34" s="1"/>
  <c r="AA23" i="34"/>
  <c r="Z33" i="33"/>
  <c r="Z35" i="33" s="1"/>
  <c r="AA8" i="34"/>
  <c r="AA7" i="34" s="1"/>
  <c r="AA15" i="34" s="1"/>
  <c r="AJ10" i="33"/>
  <c r="AI31" i="33"/>
  <c r="AI67" i="32"/>
  <c r="AI68" i="32" s="1"/>
  <c r="AA33" i="33" l="1"/>
  <c r="AA35" i="33" s="1"/>
  <c r="AB8" i="34"/>
  <c r="AB7" i="34" s="1"/>
  <c r="AB15" i="34" s="1"/>
  <c r="AA21" i="34"/>
  <c r="AA24" i="34" s="1"/>
  <c r="AA26" i="34" s="1"/>
  <c r="AB23" i="34"/>
  <c r="AJ8" i="33"/>
  <c r="AJ16" i="33" s="1"/>
  <c r="BF12" i="34"/>
  <c r="AQ59" i="32"/>
  <c r="AQ27" i="32"/>
  <c r="AC23" i="34" l="1"/>
  <c r="AB21" i="34"/>
  <c r="AB24" i="34" s="1"/>
  <c r="AB26" i="34" s="1"/>
  <c r="AB33" i="33"/>
  <c r="AB35" i="33" s="1"/>
  <c r="AC8" i="34"/>
  <c r="AC7" i="34" s="1"/>
  <c r="AC15" i="34" s="1"/>
  <c r="AJ67" i="32"/>
  <c r="AJ68" i="32" s="1"/>
  <c r="AJ31" i="33"/>
  <c r="AR27" i="32"/>
  <c r="AD8" i="34" l="1"/>
  <c r="AD7" i="34" s="1"/>
  <c r="AD15" i="34" s="1"/>
  <c r="AC33" i="33"/>
  <c r="AC35" i="33" s="1"/>
  <c r="AC21" i="34"/>
  <c r="AC24" i="34" s="1"/>
  <c r="AC26" i="34" s="1"/>
  <c r="AD23" i="34"/>
  <c r="BG12" i="34"/>
  <c r="AK10" i="33"/>
  <c r="AR59" i="32"/>
  <c r="AE23" i="34" l="1"/>
  <c r="AD21" i="34"/>
  <c r="AD24" i="34" s="1"/>
  <c r="AD26" i="34" s="1"/>
  <c r="AE8" i="34"/>
  <c r="AE7" i="34" s="1"/>
  <c r="AE15" i="34" s="1"/>
  <c r="AD33" i="33"/>
  <c r="AD35" i="33" s="1"/>
  <c r="AK8" i="33"/>
  <c r="AS27" i="32"/>
  <c r="AF23" i="34" l="1"/>
  <c r="AE21" i="34"/>
  <c r="AE24" i="34" s="1"/>
  <c r="AE26" i="34" s="1"/>
  <c r="AE33" i="33"/>
  <c r="AE35" i="33" s="1"/>
  <c r="AF8" i="34"/>
  <c r="AF7" i="34" s="1"/>
  <c r="AF15" i="34" s="1"/>
  <c r="BH12" i="34"/>
  <c r="AL10" i="33"/>
  <c r="AS59" i="32"/>
  <c r="AF21" i="34" l="1"/>
  <c r="AF24" i="34" s="1"/>
  <c r="AF26" i="34" s="1"/>
  <c r="AG23" i="34"/>
  <c r="AG8" i="34"/>
  <c r="AG7" i="34" s="1"/>
  <c r="AG15" i="34" s="1"/>
  <c r="AF33" i="33"/>
  <c r="AF35" i="33" s="1"/>
  <c r="AL8" i="33"/>
  <c r="AL16" i="33" s="1"/>
  <c r="AT27" i="32"/>
  <c r="AH8" i="34" l="1"/>
  <c r="AH7" i="34" s="1"/>
  <c r="AH15" i="34" s="1"/>
  <c r="AG33" i="33"/>
  <c r="AG35" i="33" s="1"/>
  <c r="AG21" i="34"/>
  <c r="AG24" i="34" s="1"/>
  <c r="AG26" i="34" s="1"/>
  <c r="AH23" i="34"/>
  <c r="BI12" i="34"/>
  <c r="AM10" i="33"/>
  <c r="AL67" i="32"/>
  <c r="AL68" i="32" s="1"/>
  <c r="AT59" i="32"/>
  <c r="AI8" i="34" l="1"/>
  <c r="AI7" i="34" s="1"/>
  <c r="AI15" i="34" s="1"/>
  <c r="AH33" i="33"/>
  <c r="AH35" i="33" s="1"/>
  <c r="AH21" i="34"/>
  <c r="AH24" i="34" s="1"/>
  <c r="AH26" i="34" s="1"/>
  <c r="AI23" i="34"/>
  <c r="AL31" i="33"/>
  <c r="AM8" i="33"/>
  <c r="AM16" i="33" s="1"/>
  <c r="AU27" i="32"/>
  <c r="AI21" i="34" l="1"/>
  <c r="AI24" i="34" s="1"/>
  <c r="AI26" i="34" s="1"/>
  <c r="AJ23" i="34"/>
  <c r="AJ8" i="34"/>
  <c r="AJ7" i="34" s="1"/>
  <c r="AJ15" i="34" s="1"/>
  <c r="AI33" i="33"/>
  <c r="AI35" i="33" s="1"/>
  <c r="BJ12" i="34"/>
  <c r="AM67" i="32"/>
  <c r="AM68" i="32" s="1"/>
  <c r="AN10" i="33"/>
  <c r="AU59" i="32"/>
  <c r="AJ21" i="34" l="1"/>
  <c r="AJ24" i="34" s="1"/>
  <c r="AJ26" i="34" s="1"/>
  <c r="AK23" i="34"/>
  <c r="AJ33" i="33"/>
  <c r="AJ35" i="33" s="1"/>
  <c r="AK8" i="34"/>
  <c r="AK7" i="34" s="1"/>
  <c r="AK15" i="34" s="1"/>
  <c r="AM31" i="33"/>
  <c r="F21" i="19"/>
  <c r="E21" i="19"/>
  <c r="D21" i="19"/>
  <c r="C21" i="19"/>
  <c r="AN8" i="33"/>
  <c r="AN16" i="33" s="1"/>
  <c r="AV27" i="32"/>
  <c r="AK33" i="33" l="1"/>
  <c r="AL8" i="34"/>
  <c r="AL7" i="34" s="1"/>
  <c r="AL15" i="34" s="1"/>
  <c r="AK21" i="34"/>
  <c r="AK24" i="34" s="1"/>
  <c r="AK26" i="34" s="1"/>
  <c r="AL23" i="34"/>
  <c r="BK12" i="34"/>
  <c r="AN67" i="32"/>
  <c r="AN68" i="32" s="1"/>
  <c r="AO10" i="33"/>
  <c r="AV59" i="32"/>
  <c r="AL21" i="34" l="1"/>
  <c r="AL24" i="34" s="1"/>
  <c r="AL26" i="34" s="1"/>
  <c r="AN31" i="33"/>
  <c r="AO8" i="33"/>
  <c r="AO16" i="33" s="1"/>
  <c r="AP10" i="33" l="1"/>
  <c r="AO67" i="32"/>
  <c r="AO68" i="32" s="1"/>
  <c r="AW27" i="32"/>
  <c r="AO31" i="33" l="1"/>
  <c r="AP8" i="33"/>
  <c r="AP16" i="33" s="1"/>
  <c r="AW59" i="32"/>
  <c r="AP67" i="32" l="1"/>
  <c r="AP68" i="32" s="1"/>
  <c r="AQ10" i="33"/>
  <c r="AP31" i="33" l="1"/>
  <c r="AQ8" i="33"/>
  <c r="AQ16" i="33" s="1"/>
  <c r="AX27" i="32"/>
  <c r="AQ31" i="33" l="1"/>
  <c r="AQ67" i="32"/>
  <c r="AQ68" i="32" s="1"/>
  <c r="AR10" i="33"/>
  <c r="AX59" i="32"/>
  <c r="AR8" i="33" l="1"/>
  <c r="AR16" i="33" s="1"/>
  <c r="AY27" i="32"/>
  <c r="AS10" i="33" l="1"/>
  <c r="AR67" i="32"/>
  <c r="AR68" i="32" s="1"/>
  <c r="AR31" i="33"/>
  <c r="AY59" i="32"/>
  <c r="AS8" i="33" l="1"/>
  <c r="AS16" i="33" s="1"/>
  <c r="AS31" i="33" l="1"/>
  <c r="AT10" i="33"/>
  <c r="AS67" i="32"/>
  <c r="AS68" i="32" s="1"/>
  <c r="AT8" i="33" l="1"/>
  <c r="AT16" i="33" s="1"/>
  <c r="AZ59" i="32"/>
  <c r="AZ27" i="32"/>
  <c r="AT67" i="32" l="1"/>
  <c r="AT68" i="32" s="1"/>
  <c r="AT31" i="33"/>
  <c r="BA59" i="32" l="1"/>
  <c r="BA27" i="32"/>
  <c r="AU10" i="33"/>
  <c r="AU8" i="33"/>
  <c r="AU16" i="33" l="1"/>
  <c r="AV10" i="33"/>
  <c r="AV8" i="33" l="1"/>
  <c r="AV16" i="33" s="1"/>
  <c r="AU31" i="33"/>
  <c r="BB59" i="32"/>
  <c r="BB27" i="32"/>
  <c r="AU67" i="32"/>
  <c r="AU68" i="32" s="1"/>
  <c r="AW10" i="33" l="1"/>
  <c r="AV67" i="32"/>
  <c r="AV68" i="32" s="1"/>
  <c r="AV31" i="33"/>
  <c r="AW8" i="33" l="1"/>
  <c r="AW16" i="33" s="1"/>
  <c r="BC59" i="32"/>
  <c r="BC27" i="32"/>
  <c r="AW31" i="33" l="1"/>
  <c r="AW67" i="32"/>
  <c r="AW68" i="32" s="1"/>
  <c r="BD59" i="32" l="1"/>
  <c r="BD27" i="32"/>
  <c r="AX10" i="33"/>
  <c r="AX8" i="33" l="1"/>
  <c r="AX16" i="33" s="1"/>
  <c r="BE27" i="32"/>
  <c r="AY10" i="33" l="1"/>
  <c r="AX67" i="32"/>
  <c r="AX68" i="32" s="1"/>
  <c r="BE59" i="32"/>
  <c r="AX31" i="33" l="1"/>
  <c r="AY8" i="33"/>
  <c r="AY16" i="33" s="1"/>
  <c r="BF27" i="32"/>
  <c r="AZ10" i="33" l="1"/>
  <c r="AY67" i="32"/>
  <c r="AY68" i="32" s="1"/>
  <c r="BF59" i="32"/>
  <c r="AY31" i="33" l="1"/>
  <c r="AZ8" i="33"/>
  <c r="AZ16" i="33" s="1"/>
  <c r="BG27" i="32"/>
  <c r="AZ67" i="32" l="1"/>
  <c r="AZ68" i="32" s="1"/>
  <c r="BA10" i="33"/>
  <c r="BG59" i="32"/>
  <c r="AZ31" i="33" l="1"/>
  <c r="BA8" i="33"/>
  <c r="BA16" i="33" s="1"/>
  <c r="BH27" i="32"/>
  <c r="BA67" i="32" l="1"/>
  <c r="BA68" i="32" s="1"/>
  <c r="BH59" i="32"/>
  <c r="BA31" i="33" l="1"/>
  <c r="BB10" i="33"/>
  <c r="BI27" i="32"/>
  <c r="BB8" i="33" l="1"/>
  <c r="BB16" i="33" s="1"/>
  <c r="BI59" i="32"/>
  <c r="BC10" i="33" l="1"/>
  <c r="BB67" i="32"/>
  <c r="BB68" i="32" s="1"/>
  <c r="AK65" i="32" l="1"/>
  <c r="BB31" i="33"/>
  <c r="BC8" i="33"/>
  <c r="BC16" i="33" s="1"/>
  <c r="AK14" i="33" l="1"/>
  <c r="AK16" i="33" s="1"/>
  <c r="AK31" i="33" s="1"/>
  <c r="AK35" i="33" s="1"/>
  <c r="AK67" i="32"/>
  <c r="BC31" i="33"/>
  <c r="BD10" i="33"/>
  <c r="BC67" i="32"/>
  <c r="BC68" i="32" s="1"/>
  <c r="AM8" i="34" l="1"/>
  <c r="AM7" i="34" s="1"/>
  <c r="AM15" i="34" s="1"/>
  <c r="AL33" i="33"/>
  <c r="AL35" i="33" s="1"/>
  <c r="AK68" i="32"/>
  <c r="AM23" i="34"/>
  <c r="BD8" i="33"/>
  <c r="BD16" i="33" s="1"/>
  <c r="AN8" i="34" l="1"/>
  <c r="AN7" i="34" s="1"/>
  <c r="AN15" i="34" s="1"/>
  <c r="AM33" i="33"/>
  <c r="AM35" i="33" s="1"/>
  <c r="AM21" i="34"/>
  <c r="AM24" i="34" s="1"/>
  <c r="AM26" i="34" s="1"/>
  <c r="AN23" i="34"/>
  <c r="BD31" i="33"/>
  <c r="BE10" i="33"/>
  <c r="BD67" i="32"/>
  <c r="BD68" i="32" s="1"/>
  <c r="AO8" i="34" l="1"/>
  <c r="AO7" i="34" s="1"/>
  <c r="AO15" i="34" s="1"/>
  <c r="AN33" i="33"/>
  <c r="AN35" i="33" s="1"/>
  <c r="AN21" i="34"/>
  <c r="AN24" i="34" s="1"/>
  <c r="AN26" i="34" s="1"/>
  <c r="AO23" i="34"/>
  <c r="BE8" i="33"/>
  <c r="BE16" i="33" s="1"/>
  <c r="AO33" i="33" l="1"/>
  <c r="AO35" i="33" s="1"/>
  <c r="AP8" i="34"/>
  <c r="AP7" i="34" s="1"/>
  <c r="AP15" i="34" s="1"/>
  <c r="AO21" i="34"/>
  <c r="AO24" i="34" s="1"/>
  <c r="AO26" i="34" s="1"/>
  <c r="AP23" i="34"/>
  <c r="BE67" i="32"/>
  <c r="BE68" i="32" s="1"/>
  <c r="BF10" i="33"/>
  <c r="BE31" i="33"/>
  <c r="AQ8" i="34" l="1"/>
  <c r="AQ7" i="34" s="1"/>
  <c r="AQ15" i="34" s="1"/>
  <c r="AP33" i="33"/>
  <c r="AP35" i="33" s="1"/>
  <c r="AP21" i="34"/>
  <c r="AP24" i="34" s="1"/>
  <c r="AP26" i="34" s="1"/>
  <c r="AQ23" i="34"/>
  <c r="BF8" i="33"/>
  <c r="BF16" i="33" s="1"/>
  <c r="AQ33" i="33" l="1"/>
  <c r="AQ35" i="33" s="1"/>
  <c r="AR8" i="34"/>
  <c r="AR7" i="34" s="1"/>
  <c r="AR15" i="34" s="1"/>
  <c r="AQ21" i="34"/>
  <c r="AQ24" i="34" s="1"/>
  <c r="AQ26" i="34" s="1"/>
  <c r="AR23" i="34"/>
  <c r="BF31" i="33"/>
  <c r="BF67" i="32"/>
  <c r="BF68" i="32" s="1"/>
  <c r="AR33" i="33" l="1"/>
  <c r="AR35" i="33" s="1"/>
  <c r="AS8" i="34"/>
  <c r="AS7" i="34" s="1"/>
  <c r="AS15" i="34" s="1"/>
  <c r="AR21" i="34"/>
  <c r="AR24" i="34" s="1"/>
  <c r="AR26" i="34" s="1"/>
  <c r="AS23" i="34"/>
  <c r="BG10" i="33"/>
  <c r="AS33" i="33" l="1"/>
  <c r="AS35" i="33" s="1"/>
  <c r="AT8" i="34"/>
  <c r="AT7" i="34" s="1"/>
  <c r="AT15" i="34" s="1"/>
  <c r="AS21" i="34"/>
  <c r="AS24" i="34" s="1"/>
  <c r="AS26" i="34" s="1"/>
  <c r="AT23" i="34"/>
  <c r="BG8" i="33"/>
  <c r="BG16" i="33" s="1"/>
  <c r="AT33" i="33" l="1"/>
  <c r="AT35" i="33" s="1"/>
  <c r="AU8" i="34"/>
  <c r="AU7" i="34" s="1"/>
  <c r="AU15" i="34" s="1"/>
  <c r="AT21" i="34"/>
  <c r="AT24" i="34" s="1"/>
  <c r="AT26" i="34" s="1"/>
  <c r="AU23" i="34"/>
  <c r="BG67" i="32"/>
  <c r="BG68" i="32" s="1"/>
  <c r="BH10" i="33"/>
  <c r="BG31" i="33"/>
  <c r="AU33" i="33" l="1"/>
  <c r="AU35" i="33" s="1"/>
  <c r="AV8" i="34"/>
  <c r="AV7" i="34" s="1"/>
  <c r="AV15" i="34" s="1"/>
  <c r="AU21" i="34"/>
  <c r="AU24" i="34" s="1"/>
  <c r="AU26" i="34" s="1"/>
  <c r="AV23" i="34"/>
  <c r="BH8" i="33"/>
  <c r="BH16" i="33" s="1"/>
  <c r="AV33" i="33" l="1"/>
  <c r="AV35" i="33" s="1"/>
  <c r="AW8" i="34"/>
  <c r="AW7" i="34" s="1"/>
  <c r="AW15" i="34" s="1"/>
  <c r="AV21" i="34"/>
  <c r="AV24" i="34" s="1"/>
  <c r="AV26" i="34" s="1"/>
  <c r="AW23" i="34"/>
  <c r="BH67" i="32"/>
  <c r="BH68" i="32" s="1"/>
  <c r="BH31" i="33"/>
  <c r="AW33" i="33" l="1"/>
  <c r="AW35" i="33" s="1"/>
  <c r="AX8" i="34"/>
  <c r="AX7" i="34" s="1"/>
  <c r="AX15" i="34" s="1"/>
  <c r="AW21" i="34"/>
  <c r="AW24" i="34" s="1"/>
  <c r="AW26" i="34" s="1"/>
  <c r="AX23" i="34"/>
  <c r="BI10" i="33"/>
  <c r="AX33" i="33" l="1"/>
  <c r="AX35" i="33" s="1"/>
  <c r="AY8" i="34"/>
  <c r="AY7" i="34" s="1"/>
  <c r="AY15" i="34" s="1"/>
  <c r="AX21" i="34"/>
  <c r="AX24" i="34" s="1"/>
  <c r="AX26" i="34" s="1"/>
  <c r="AY23" i="34"/>
  <c r="B10" i="19"/>
  <c r="C10" i="19"/>
  <c r="D10" i="19"/>
  <c r="E10" i="19"/>
  <c r="F10" i="19"/>
  <c r="BI8" i="33"/>
  <c r="BI16" i="33" s="1"/>
  <c r="AY33" i="33" l="1"/>
  <c r="AY35" i="33" s="1"/>
  <c r="AZ8" i="34"/>
  <c r="AZ7" i="34" s="1"/>
  <c r="AZ15" i="34" s="1"/>
  <c r="AY21" i="34"/>
  <c r="AY24" i="34" s="1"/>
  <c r="AY26" i="34" s="1"/>
  <c r="AZ23" i="34"/>
  <c r="B8" i="19"/>
  <c r="C8" i="19"/>
  <c r="D8" i="19"/>
  <c r="E8" i="19"/>
  <c r="F8" i="19"/>
  <c r="BI67" i="32"/>
  <c r="BI68" i="32" s="1"/>
  <c r="AZ33" i="33" l="1"/>
  <c r="AZ35" i="33" s="1"/>
  <c r="BA8" i="34"/>
  <c r="BA7" i="34" s="1"/>
  <c r="BA15" i="34" s="1"/>
  <c r="AZ21" i="34"/>
  <c r="AZ24" i="34" s="1"/>
  <c r="AZ26" i="34" s="1"/>
  <c r="BA23" i="34"/>
  <c r="BI31" i="33"/>
  <c r="B14" i="19"/>
  <c r="B16" i="19" s="1"/>
  <c r="C14" i="19"/>
  <c r="C16" i="19" s="1"/>
  <c r="D14" i="19"/>
  <c r="D16" i="19" s="1"/>
  <c r="E14" i="19"/>
  <c r="E16" i="19" s="1"/>
  <c r="F16" i="19"/>
  <c r="BA33" i="33" l="1"/>
  <c r="BA35" i="33" s="1"/>
  <c r="BB8" i="34"/>
  <c r="BB7" i="34" s="1"/>
  <c r="BB15" i="34" s="1"/>
  <c r="BA21" i="34"/>
  <c r="BA24" i="34" s="1"/>
  <c r="BA26" i="34" s="1"/>
  <c r="BB23" i="34"/>
  <c r="B31" i="19"/>
  <c r="B35" i="19" s="1"/>
  <c r="C33" i="19" s="1"/>
  <c r="BB33" i="33" l="1"/>
  <c r="BB35" i="33" s="1"/>
  <c r="BC8" i="34"/>
  <c r="BC7" i="34" s="1"/>
  <c r="BC15" i="34" s="1"/>
  <c r="BB21" i="34"/>
  <c r="BB24" i="34" s="1"/>
  <c r="BB26" i="34" s="1"/>
  <c r="BC23" i="34"/>
  <c r="BC33" i="33" l="1"/>
  <c r="BC35" i="33" s="1"/>
  <c r="BD8" i="34"/>
  <c r="BD7" i="34" s="1"/>
  <c r="BD15" i="34" s="1"/>
  <c r="BC21" i="34"/>
  <c r="BC24" i="34" s="1"/>
  <c r="BC26" i="34" s="1"/>
  <c r="BD23" i="34"/>
  <c r="BD33" i="33" l="1"/>
  <c r="BD35" i="33" s="1"/>
  <c r="BE8" i="34"/>
  <c r="BE7" i="34" s="1"/>
  <c r="BE15" i="34" s="1"/>
  <c r="BD21" i="34"/>
  <c r="BD24" i="34" s="1"/>
  <c r="BD26" i="34" s="1"/>
  <c r="BE23" i="34"/>
  <c r="C31" i="19"/>
  <c r="C35" i="19" s="1"/>
  <c r="BF8" i="34" l="1"/>
  <c r="BF7" i="34" s="1"/>
  <c r="BF15" i="34" s="1"/>
  <c r="BE33" i="33"/>
  <c r="BE35" i="33" s="1"/>
  <c r="BE21" i="34"/>
  <c r="BE24" i="34" s="1"/>
  <c r="BE26" i="34" s="1"/>
  <c r="BF23" i="34"/>
  <c r="D33" i="19"/>
  <c r="D31" i="19"/>
  <c r="E31" i="19"/>
  <c r="F31" i="19"/>
  <c r="BF33" i="33" l="1"/>
  <c r="BF35" i="33" s="1"/>
  <c r="BG8" i="34"/>
  <c r="BG7" i="34" s="1"/>
  <c r="BG15" i="34" s="1"/>
  <c r="BF21" i="34"/>
  <c r="BF24" i="34" s="1"/>
  <c r="BF26" i="34" s="1"/>
  <c r="BG23" i="34"/>
  <c r="D35" i="19"/>
  <c r="BH8" i="34" l="1"/>
  <c r="BH7" i="34" s="1"/>
  <c r="BH15" i="34" s="1"/>
  <c r="BG33" i="33"/>
  <c r="BG35" i="33" s="1"/>
  <c r="BG21" i="34"/>
  <c r="BG24" i="34" s="1"/>
  <c r="BG26" i="34" s="1"/>
  <c r="BH23" i="34"/>
  <c r="E33" i="19"/>
  <c r="E35" i="19" s="1"/>
  <c r="BH33" i="33" l="1"/>
  <c r="BH35" i="33" s="1"/>
  <c r="BI8" i="34"/>
  <c r="BI7" i="34" s="1"/>
  <c r="BI15" i="34" s="1"/>
  <c r="BH21" i="34"/>
  <c r="BH24" i="34" s="1"/>
  <c r="BH26" i="34" s="1"/>
  <c r="BI23" i="34"/>
  <c r="F33" i="19"/>
  <c r="F35" i="19" s="1"/>
  <c r="BI33" i="33" l="1"/>
  <c r="BI35" i="33" s="1"/>
  <c r="BK8" i="34" s="1"/>
  <c r="BK7" i="34" s="1"/>
  <c r="BK15" i="34" s="1"/>
  <c r="BJ8" i="34"/>
  <c r="BJ7" i="34" s="1"/>
  <c r="BJ15" i="34" s="1"/>
  <c r="BI21" i="34"/>
  <c r="BI24" i="34" s="1"/>
  <c r="BI26" i="34" s="1"/>
  <c r="BJ23" i="34"/>
  <c r="BJ21" i="34" l="1"/>
  <c r="BJ24" i="34" s="1"/>
  <c r="BJ26" i="34" s="1"/>
  <c r="BK23" i="34"/>
  <c r="BK21" i="34" s="1"/>
  <c r="BK24" i="34" s="1"/>
  <c r="BK26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Jean-Claude Havaux</author>
  </authors>
  <commentList>
    <comment ref="C2" authorId="0" shapeId="0" xr:uid="{38F9C48A-2432-E241-93BE-314C45C6DB51}">
      <text>
        <r>
          <rPr>
            <b/>
            <sz val="10"/>
            <color rgb="FF000000"/>
            <rFont val="Tahoma"/>
            <family val="2"/>
          </rPr>
          <t>Jean-Claude Havaux: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BIke needs other parts than standard. Usually 10 to 20% of purchase cost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Jean-Claude Havaux</author>
  </authors>
  <commentList>
    <comment ref="A13" authorId="0" shapeId="0" xr:uid="{BA2FD64D-9BFC-4C49-BD1D-124F41B0D70B}">
      <text>
        <r>
          <rPr>
            <b/>
            <sz val="10"/>
            <color rgb="FF000000"/>
            <rFont val="Tahoma"/>
            <family val="2"/>
          </rPr>
          <t>Jean-Claude Havaux: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worth to split monthly</t>
        </r>
      </text>
    </comment>
  </commentList>
</comments>
</file>

<file path=xl/sharedStrings.xml><?xml version="1.0" encoding="utf-8"?>
<sst xmlns="http://schemas.openxmlformats.org/spreadsheetml/2006/main" count="772" uniqueCount="466">
  <si>
    <t>For</t>
  </si>
  <si>
    <t>FN</t>
  </si>
  <si>
    <t>Contact:</t>
  </si>
  <si>
    <t>Jean-Claude Havaux</t>
  </si>
  <si>
    <t>Version</t>
  </si>
  <si>
    <t>2000K 1.0</t>
  </si>
  <si>
    <t>CEO</t>
  </si>
  <si>
    <t>Author</t>
  </si>
  <si>
    <t>JCH</t>
  </si>
  <si>
    <t>Jc.havaux@brevomotors.com</t>
  </si>
  <si>
    <t>Date:</t>
  </si>
  <si>
    <t>Instructions</t>
  </si>
  <si>
    <t>DATA Raw</t>
  </si>
  <si>
    <t>Competitors</t>
  </si>
  <si>
    <t>Dashboard</t>
  </si>
  <si>
    <t>NOT INCLUDED</t>
  </si>
  <si>
    <t>Controls</t>
  </si>
  <si>
    <t>Revenue Asumptions</t>
  </si>
  <si>
    <t>Expense Assumptions</t>
  </si>
  <si>
    <t>Payroll Assumptions</t>
  </si>
  <si>
    <t>Debt Schedule</t>
  </si>
  <si>
    <t>Fixed Asset Schedules</t>
  </si>
  <si>
    <t>Working Capital Schedule</t>
  </si>
  <si>
    <t>Monthly P&amp;L</t>
  </si>
  <si>
    <t>Annual P&amp;L</t>
  </si>
  <si>
    <t>Monthly CFS</t>
  </si>
  <si>
    <t>Annual CFS</t>
  </si>
  <si>
    <t>Balance Sheet</t>
  </si>
  <si>
    <t>Valuation</t>
  </si>
  <si>
    <t>DATA RAW FOR MARKET POTENTIAL CALCULATION</t>
  </si>
  <si>
    <t>France</t>
  </si>
  <si>
    <t>Belgium</t>
  </si>
  <si>
    <t>Italy</t>
  </si>
  <si>
    <t>Spain</t>
  </si>
  <si>
    <t xml:space="preserve"> </t>
  </si>
  <si>
    <t>€ turnover</t>
  </si>
  <si>
    <t>/Year</t>
  </si>
  <si>
    <t>SIM</t>
  </si>
  <si>
    <t>PRIX TTC</t>
  </si>
  <si>
    <t>Source</t>
  </si>
  <si>
    <t>Brevo Motors</t>
  </si>
  <si>
    <t>Controls Sheet</t>
  </si>
  <si>
    <t>Amounts in €</t>
  </si>
  <si>
    <t>Year 1</t>
  </si>
  <si>
    <t>Year 2</t>
  </si>
  <si>
    <t>Year 3</t>
  </si>
  <si>
    <t>Year 4</t>
  </si>
  <si>
    <t>Year 5</t>
  </si>
  <si>
    <t>Assumptions for the Annual Period</t>
  </si>
  <si>
    <t>Start Date of the Model</t>
  </si>
  <si>
    <t>REVENUE ASSUMPTIONS</t>
  </si>
  <si>
    <t>Quarterly Sales Targets</t>
  </si>
  <si>
    <t>Thermic Units</t>
  </si>
  <si>
    <t>La 12T Belgium</t>
  </si>
  <si>
    <t>La 12T France</t>
  </si>
  <si>
    <t>La 12T Europe</t>
  </si>
  <si>
    <t>La 12T USA</t>
  </si>
  <si>
    <t>La 12T SE ASIA</t>
  </si>
  <si>
    <t>Electric Units</t>
  </si>
  <si>
    <t>La 12E Belgium</t>
  </si>
  <si>
    <t>La 12E France</t>
  </si>
  <si>
    <t>La 12E Europe</t>
  </si>
  <si>
    <t>La 12E USA</t>
  </si>
  <si>
    <t>La 12E SE ASIA</t>
  </si>
  <si>
    <t>Services</t>
  </si>
  <si>
    <t>Thermic Unit Average Price</t>
  </si>
  <si>
    <t>Electric Unit Average Price</t>
  </si>
  <si>
    <t>Spare Parts and Aftermarket Services as a % of Sales</t>
  </si>
  <si>
    <t>NA</t>
  </si>
  <si>
    <t>Tax Rate</t>
  </si>
  <si>
    <t>Cost Of Goods Sold (COGS)</t>
  </si>
  <si>
    <t>Thermic Unit Average Cost</t>
  </si>
  <si>
    <t>Electric Unit Average Cost</t>
  </si>
  <si>
    <t>Cost of Sales for Spare Parts and Aftermarket Services as a % of sales</t>
  </si>
  <si>
    <t>Cost of Sales Services as a % of sales</t>
  </si>
  <si>
    <t>Operating Expenses (OPEX)</t>
  </si>
  <si>
    <t>Car rental</t>
  </si>
  <si>
    <t>Annual Increase %</t>
  </si>
  <si>
    <t>Commercial vehicle rentals</t>
  </si>
  <si>
    <t>Fuel</t>
  </si>
  <si>
    <t>Travel costs (parking, etc.)</t>
  </si>
  <si>
    <t>Car insurance (omnium)</t>
  </si>
  <si>
    <t>Travels</t>
  </si>
  <si>
    <t>Events and Restaurants</t>
  </si>
  <si>
    <t>Fairs, missions</t>
  </si>
  <si>
    <t>Subscriptions and dues Federations HORS DORNA</t>
  </si>
  <si>
    <t>Website</t>
  </si>
  <si>
    <t>Prints/Tshirts/Goodies</t>
  </si>
  <si>
    <t>Advertising / SPONSORSHIP</t>
  </si>
  <si>
    <t>Building rent</t>
  </si>
  <si>
    <t>Office General &amp; Admin</t>
  </si>
  <si>
    <t>Consulting fees</t>
  </si>
  <si>
    <t>Accounting fees</t>
  </si>
  <si>
    <t>Lawyer fees</t>
  </si>
  <si>
    <t>Social secretariat fees</t>
  </si>
  <si>
    <t>Professional contribution</t>
  </si>
  <si>
    <t>Overheads</t>
  </si>
  <si>
    <t>PAYROLL ASSUMPTIONS</t>
  </si>
  <si>
    <t xml:space="preserve">Management Team </t>
  </si>
  <si>
    <t>Chief Technical Officer - CXO</t>
  </si>
  <si>
    <t>Production Team</t>
  </si>
  <si>
    <t>QC Technician</t>
  </si>
  <si>
    <t xml:space="preserve">Quality Insurance </t>
  </si>
  <si>
    <t>Secretary Logistics/ordering etc</t>
  </si>
  <si>
    <t>Sales Team</t>
  </si>
  <si>
    <t xml:space="preserve">Marketing Team </t>
  </si>
  <si>
    <t>Marketing Manager</t>
  </si>
  <si>
    <t xml:space="preserve">Product Development Team </t>
  </si>
  <si>
    <t>Revenue Assumptions Sheet</t>
  </si>
  <si>
    <t>Assumptions for the Monthly Period</t>
  </si>
  <si>
    <t>Unit Sales</t>
  </si>
  <si>
    <t>Total Units Sold</t>
  </si>
  <si>
    <t>Revenue from Sale of Thermic Units</t>
  </si>
  <si>
    <t>Revenue from sale of Electric Units</t>
  </si>
  <si>
    <t>Spare Parts and Aftermarket Services</t>
  </si>
  <si>
    <t xml:space="preserve">Revenue generated </t>
  </si>
  <si>
    <t>Community</t>
  </si>
  <si>
    <t>Updatings Bike</t>
  </si>
  <si>
    <t>Distributor Margin</t>
  </si>
  <si>
    <t>Total revenue from Spare Parts and Aftermarket Services</t>
  </si>
  <si>
    <t>Expense Assumptions Sheet</t>
  </si>
  <si>
    <t>Thermic Units Sold</t>
  </si>
  <si>
    <t>Distrib Costs</t>
  </si>
  <si>
    <t xml:space="preserve">Cost of sales for Thermic Units </t>
  </si>
  <si>
    <t>Electric Units Sold</t>
  </si>
  <si>
    <t xml:space="preserve">Cost of sales for Electric Units </t>
  </si>
  <si>
    <t>Distrib Costs or royalties</t>
  </si>
  <si>
    <t>Cost of Sales for Spare Parts and Aftermarket Services</t>
  </si>
  <si>
    <t>Total Operating Expenses</t>
  </si>
  <si>
    <t>1Q1</t>
  </si>
  <si>
    <t>1Q2</t>
  </si>
  <si>
    <t>1Q3</t>
  </si>
  <si>
    <t>1Q4</t>
  </si>
  <si>
    <t>2Q1</t>
  </si>
  <si>
    <t>2Q2</t>
  </si>
  <si>
    <t>2Q3</t>
  </si>
  <si>
    <t>2Q4</t>
  </si>
  <si>
    <t>3Q1</t>
  </si>
  <si>
    <t>3Q2</t>
  </si>
  <si>
    <t>3Q3</t>
  </si>
  <si>
    <t>3Q4</t>
  </si>
  <si>
    <t>4Q1</t>
  </si>
  <si>
    <t>4Q2</t>
  </si>
  <si>
    <t>4Q3</t>
  </si>
  <si>
    <t>4Q4</t>
  </si>
  <si>
    <t>5Q1</t>
  </si>
  <si>
    <t>5Q2</t>
  </si>
  <si>
    <t>5Q3</t>
  </si>
  <si>
    <t>5Q4</t>
  </si>
  <si>
    <t>N =</t>
  </si>
  <si>
    <t>CIRCUIT MANAGER</t>
  </si>
  <si>
    <t>CIRCUIT OPERATOR</t>
  </si>
  <si>
    <t>Decision BOD</t>
  </si>
  <si>
    <t>Payroll Sheet</t>
  </si>
  <si>
    <t>Employment</t>
  </si>
  <si>
    <t>Total Interest Payments</t>
  </si>
  <si>
    <t>Total Principal Payments</t>
  </si>
  <si>
    <t>Total Closing Balance</t>
  </si>
  <si>
    <t>Monthly Interest Rate</t>
  </si>
  <si>
    <t>Opening Balance at the start</t>
  </si>
  <si>
    <t>Future Value</t>
  </si>
  <si>
    <t>Tenure (in Months)</t>
  </si>
  <si>
    <t>PMT</t>
  </si>
  <si>
    <t>Opening Balance</t>
  </si>
  <si>
    <t>Payment</t>
  </si>
  <si>
    <t>Interest Payment</t>
  </si>
  <si>
    <t>Principal Payment</t>
  </si>
  <si>
    <t>Closing Balance</t>
  </si>
  <si>
    <t>Loan for Building Infrastructure 1</t>
  </si>
  <si>
    <t>Loan for Building Infrastructure 2</t>
  </si>
  <si>
    <t>Fixed Assets Schedules Sheet</t>
  </si>
  <si>
    <t>Total Opening Balance</t>
  </si>
  <si>
    <t>Total Fixed Asset Additions</t>
  </si>
  <si>
    <t>Total Depreciation</t>
  </si>
  <si>
    <t>Intangible Assets</t>
  </si>
  <si>
    <t>Licence Technology (Prodution, R&amp;D and Netwroks)</t>
  </si>
  <si>
    <t>Monthly Depreciation</t>
  </si>
  <si>
    <t xml:space="preserve">Additions </t>
  </si>
  <si>
    <t xml:space="preserve">Depreciation </t>
  </si>
  <si>
    <t>Set up Costs and Commercial Licence</t>
  </si>
  <si>
    <t>Dorna Partnership</t>
  </si>
  <si>
    <t>Tangible Assets</t>
  </si>
  <si>
    <t>Local Facilities</t>
  </si>
  <si>
    <t>Assembly Unit</t>
  </si>
  <si>
    <t>Mechanical Equipment</t>
  </si>
  <si>
    <t>Electronic Equipment</t>
  </si>
  <si>
    <t>Computer Hardware</t>
  </si>
  <si>
    <t>Infrastructure</t>
  </si>
  <si>
    <t>Production</t>
  </si>
  <si>
    <t>Working Capital Schedules</t>
  </si>
  <si>
    <t>Inventory</t>
  </si>
  <si>
    <t>Inventory Cycle</t>
  </si>
  <si>
    <t>Inventory Growth after year 5</t>
  </si>
  <si>
    <t>COGS</t>
  </si>
  <si>
    <t>PAYMENT FURNISHER anticipation Cogs at 4 months</t>
  </si>
  <si>
    <t>OPEX Furnisher</t>
  </si>
  <si>
    <t>TOTAL PAYMENTS</t>
  </si>
  <si>
    <t>Trade Receivables</t>
  </si>
  <si>
    <t>Trade Receivable Days</t>
  </si>
  <si>
    <t>% of Revenue sold as Receivable</t>
  </si>
  <si>
    <t>Revenue as receivable</t>
  </si>
  <si>
    <t>Monthly Profit &amp; Loss Statement</t>
  </si>
  <si>
    <t>Thermic Unit Sales</t>
  </si>
  <si>
    <t>Electric Unit Sales</t>
  </si>
  <si>
    <t>SIM Sales</t>
  </si>
  <si>
    <t>R&amp;D Subsidies</t>
  </si>
  <si>
    <t>POTENTIAL OF GRANT/SUBSIDIES IS NOT CONSIDERED IN THIS PLAN</t>
  </si>
  <si>
    <t>Total Revenue</t>
  </si>
  <si>
    <t>Total COGS</t>
  </si>
  <si>
    <t>Gross Profit</t>
  </si>
  <si>
    <t>Gross Margin %</t>
  </si>
  <si>
    <t>Operating Expenses</t>
  </si>
  <si>
    <t>Payroll Expenses</t>
  </si>
  <si>
    <t>Total Operating Expenses including Payroll</t>
  </si>
  <si>
    <t>EBITDA</t>
  </si>
  <si>
    <t>EBITDA Margin (%)</t>
  </si>
  <si>
    <t>Depreciation &amp; Amortization</t>
  </si>
  <si>
    <t>Interest</t>
  </si>
  <si>
    <t>Profit Before Tax (PBT)</t>
  </si>
  <si>
    <t>Profit After Tax (PAT)</t>
  </si>
  <si>
    <t>PAT Margin (%)</t>
  </si>
  <si>
    <t>Monthly Cash Flow Statement</t>
  </si>
  <si>
    <t>Cash flow from Operating Activities</t>
  </si>
  <si>
    <t>Profit before Tax</t>
  </si>
  <si>
    <t>Adjustments for:</t>
  </si>
  <si>
    <t>Add: Depreciation &amp; Amortization</t>
  </si>
  <si>
    <t>Sub: Increase in Inventory</t>
  </si>
  <si>
    <t>Sub: Increase in Trade Receivables</t>
  </si>
  <si>
    <t>Sub: Taxes paid</t>
  </si>
  <si>
    <t>Net Cash generated from Operating Activities</t>
  </si>
  <si>
    <t>Cash flow from Investing Activities</t>
  </si>
  <si>
    <t>Purchase of Fixed Assets</t>
  </si>
  <si>
    <t>Net Cash used in Investing Activities</t>
  </si>
  <si>
    <t>Cash flow from Financing Activities</t>
  </si>
  <si>
    <t>Issuance of Equity Share Capital</t>
  </si>
  <si>
    <t>Issuance of Debt</t>
  </si>
  <si>
    <t>Debt repayment</t>
  </si>
  <si>
    <t>Net Cash generated from Financing Activities</t>
  </si>
  <si>
    <t>Net change in Cash &amp; Cash Equivalents</t>
  </si>
  <si>
    <t>Opening Cash &amp; Cash Equivalents</t>
  </si>
  <si>
    <t>Closing Cash &amp; Cash Equivalents</t>
  </si>
  <si>
    <t>TO BE COVERED BY R&amp;D SUBSIDIES STRATEGY</t>
  </si>
  <si>
    <t>Annual Cash Flow Statement</t>
  </si>
  <si>
    <t xml:space="preserve">Issuance of Equity Share Capital </t>
  </si>
  <si>
    <t>Debt Repayment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</si>
  <si>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</si>
  <si>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</si>
  <si>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</si>
  <si>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</si>
  <si>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</si>
  <si>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</si>
  <si>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</si>
  <si>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</si>
  <si>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</si>
  <si>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</si>
  <si>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</si>
  <si>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</si>
  <si>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</si>
  <si>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</si>
  <si>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</si>
  <si>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</si>
  <si>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</si>
  <si>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</si>
  <si>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</si>
  <si>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</si>
  <si>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</si>
  <si>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</si>
  <si>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</si>
  <si>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</si>
  <si>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</si>
  <si>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</si>
  <si>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</si>
  <si>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</si>
  <si>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</si>
  <si>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</si>
  <si>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</si>
  <si>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</si>
  <si>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</si>
  <si>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</si>
  <si>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</si>
  <si>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</si>
  <si>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</si>
  <si>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</si>
  <si>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</si>
  <si>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</si>
  <si>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</si>
  <si>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</si>
  <si>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</si>
  <si>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</si>
  <si>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</si>
  <si>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</si>
  <si>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</si>
  <si>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</si>
  <si>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</si>
  <si>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</si>
  <si>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</si>
  <si>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</si>
  <si>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</si>
  <si>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</si>
  <si>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</si>
  <si>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</si>
  <si>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</si>
  <si>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</si>
  <si>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</si>
  <si>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</si>
  <si>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ASSETS</t>
  </si>
  <si>
    <t>Current Assets</t>
  </si>
  <si>
    <t>Cash and Cash Equivalents</t>
  </si>
  <si>
    <t>Non-Current Assets</t>
  </si>
  <si>
    <t>Fixed Assets</t>
  </si>
  <si>
    <t>TOTAL ASSETS</t>
  </si>
  <si>
    <t>LIABILITIES</t>
  </si>
  <si>
    <t>Long Term Debt</t>
  </si>
  <si>
    <t>Short Term Debt furnisher</t>
  </si>
  <si>
    <t>SHAREHOLDER'S EQUITY</t>
  </si>
  <si>
    <t>Share Capital</t>
  </si>
  <si>
    <t>Retained Earnings</t>
  </si>
  <si>
    <t>TOTAL LIABILITIES &amp; SHAREHOLDER'S EQUITY</t>
  </si>
  <si>
    <t>Check please</t>
  </si>
  <si>
    <t>Amounts in USD</t>
  </si>
  <si>
    <t>Method of Valuation</t>
  </si>
  <si>
    <t>Equity Offered</t>
  </si>
  <si>
    <t>Valuation Range</t>
  </si>
  <si>
    <t>DCF</t>
  </si>
  <si>
    <t>Multiple Comparable Method</t>
  </si>
  <si>
    <t>EV/Revenue</t>
  </si>
  <si>
    <t>EV/EBITDA</t>
  </si>
  <si>
    <t>Mean Valuation</t>
  </si>
  <si>
    <t>Minimum Valuation</t>
  </si>
  <si>
    <t>Maximum Valuation</t>
  </si>
  <si>
    <t>Discounted Cash Flow Method (DCF)</t>
  </si>
  <si>
    <t>Input</t>
  </si>
  <si>
    <t>Continuing Growth Rate market</t>
  </si>
  <si>
    <t>Discount Rate</t>
  </si>
  <si>
    <t>EBIT</t>
  </si>
  <si>
    <t>Less: Taxes</t>
  </si>
  <si>
    <t>Add: D&amp;A</t>
  </si>
  <si>
    <t>Less: CAPEX</t>
  </si>
  <si>
    <t>Strategic decision to be owner of facilities</t>
  </si>
  <si>
    <t>Less: Changes in NWC</t>
  </si>
  <si>
    <t>Free Cash Flow (FCF)</t>
  </si>
  <si>
    <t>Terminal Value</t>
  </si>
  <si>
    <t>Total FCF</t>
  </si>
  <si>
    <t>NPV (Net Present Value)</t>
  </si>
  <si>
    <t>Scenario Analysis of NPV NOT EDITABLE</t>
  </si>
  <si>
    <t xml:space="preserve">Growth Rate </t>
  </si>
  <si>
    <t>Trading Multiples Comparable Method</t>
  </si>
  <si>
    <t>Company</t>
  </si>
  <si>
    <t>Stock Exchange</t>
  </si>
  <si>
    <t>Piaggio &amp; C. SpA (PIA.MI)</t>
  </si>
  <si>
    <t>Milan</t>
  </si>
  <si>
    <t>Yamaha Motor Co., Ltd. (7272.T)</t>
  </si>
  <si>
    <t>Tokyo</t>
  </si>
  <si>
    <t>Lightning eMotors, Inc. (ZEV)</t>
  </si>
  <si>
    <t>NYSE</t>
  </si>
  <si>
    <t>A potentially comparable company that manufactures electric bikes</t>
  </si>
  <si>
    <t>Kawasaki Kisen Kaisha, Ltd. (9107.T)</t>
  </si>
  <si>
    <t>Harley-Davidson, Inc. (HOG)</t>
  </si>
  <si>
    <t>Though not directly competing, they are still a major motorcylce manufacturer</t>
  </si>
  <si>
    <t>Hero MotoCorp Limited (HEROMOTOCO.NS)</t>
  </si>
  <si>
    <t>NSI</t>
  </si>
  <si>
    <t>Median Multiple</t>
  </si>
  <si>
    <t>Revenue for Year 5</t>
  </si>
  <si>
    <t>EBITDA For Year 5</t>
  </si>
  <si>
    <t>Valuation as of Year 5</t>
  </si>
  <si>
    <t>NPV</t>
  </si>
  <si>
    <t>Annual Profit &amp; Loss Statement</t>
  </si>
  <si>
    <t xml:space="preserve">Total COGS </t>
  </si>
  <si>
    <t xml:space="preserve">Payroll Expenses </t>
  </si>
  <si>
    <t>DVS</t>
  </si>
  <si>
    <t>DVS financial Data</t>
  </si>
  <si>
    <t xml:space="preserve">        </t>
  </si>
  <si>
    <t>Loan for Technical Stock</t>
  </si>
  <si>
    <t>Hypothèses pour la période annuelle</t>
  </si>
  <si>
    <t>Subventions à la R&amp;D</t>
  </si>
  <si>
    <t>Chiffre d'affaires total</t>
  </si>
  <si>
    <t>Coût total des marchandises vendues</t>
  </si>
  <si>
    <t>Bénéfice brut</t>
  </si>
  <si>
    <t>Total des dépenses d'exploitation</t>
  </si>
  <si>
    <t>dépenses salariales</t>
  </si>
  <si>
    <t>Total des dépenses d'exploitation, y compris la masse salariale</t>
  </si>
  <si>
    <t>Amortissement et dépréciation</t>
  </si>
  <si>
    <t>Intérêt</t>
  </si>
  <si>
    <t>Bénéfice avant impôt (BAI)</t>
  </si>
  <si>
    <t xml:space="preserve">  </t>
  </si>
  <si>
    <t>Compte de résultat annuel
Montants en €</t>
  </si>
  <si>
    <t>DIATECH</t>
  </si>
  <si>
    <t>READERS</t>
  </si>
  <si>
    <t>SERVICES</t>
  </si>
  <si>
    <t>FRANCE</t>
  </si>
  <si>
    <t>COUNTRIES 2</t>
  </si>
  <si>
    <t>COUNTRIES 3</t>
  </si>
  <si>
    <t>Network and software customization</t>
  </si>
  <si>
    <t>€ VAT excl</t>
  </si>
  <si>
    <t>Parts VATe</t>
  </si>
  <si>
    <t>Total W/o taxes</t>
  </si>
  <si>
    <t>KITS RAPID TEST</t>
  </si>
  <si>
    <t>KITS ARRAY</t>
  </si>
  <si>
    <t>Market Growth %</t>
  </si>
  <si>
    <t>Epidemiology – Allergies</t>
  </si>
  <si>
    <t>Pet Allergy Diagnostics Market</t>
  </si>
  <si>
    <t>Distribution Strategy EU5</t>
  </si>
  <si>
    <t>• FR: Centravet, Alcyon, Coveto</t>
  </si>
  <si>
    <t>• IT: Agrisan, Virbac Italy</t>
  </si>
  <si>
    <t>• ES: Distrivet, Covetrus</t>
  </si>
  <si>
    <t>• DE: Alvetra &amp; Werfft</t>
  </si>
  <si>
    <t>• BE: Ecuphar, Cenvet</t>
  </si>
  <si>
    <t>Min</t>
  </si>
  <si>
    <t>Max</t>
  </si>
  <si>
    <t>Global: $370M (2025) → $714M (2035)</t>
  </si>
  <si>
    <t>Symptomatic cases tested</t>
  </si>
  <si>
    <t>Cats: 10–14% prevalence</t>
  </si>
  <si>
    <t>Dogs: 12–18% prevalence</t>
  </si>
  <si>
    <t>Lab IgE panels ELISA</t>
  </si>
  <si>
    <t xml:space="preserve">Rapid tests: </t>
  </si>
  <si>
    <t xml:space="preserve">Dot arrays: </t>
  </si>
  <si>
    <t>DIATECH Rapid Test</t>
  </si>
  <si>
    <t>DIATECH Array</t>
  </si>
  <si>
    <t>KIT SALES PRICES €</t>
  </si>
  <si>
    <t>READER SALES PRICES €</t>
  </si>
  <si>
    <t>Unknown</t>
  </si>
  <si>
    <t>Min €</t>
  </si>
  <si>
    <t>Max €</t>
  </si>
  <si>
    <t>CLINICS &amp; MARKET POTENTIAL TESTS</t>
  </si>
  <si>
    <t>Germany</t>
  </si>
  <si>
    <t>Value</t>
  </si>
  <si>
    <t>Notes</t>
  </si>
  <si>
    <t>Number of veterinary clinics</t>
  </si>
  <si>
    <t>Ordre National des Vétérinaires (France)</t>
  </si>
  <si>
    <t>Dogs population (million)</t>
  </si>
  <si>
    <t>FACCO / Kantar</t>
  </si>
  <si>
    <t>Cats population (million)</t>
  </si>
  <si>
    <t>Dermatology-related consultations (%)</t>
  </si>
  <si>
    <t>15–20%</t>
  </si>
  <si>
    <t>Veterinary dermatology benchmarks</t>
  </si>
  <si>
    <t>Average test price (€)</t>
  </si>
  <si>
    <t>JCHYTECH internal pricing</t>
  </si>
  <si>
    <t>Target gross margin (%)</t>
  </si>
  <si>
    <t>Manufacturing &amp; distribution model</t>
  </si>
  <si>
    <t>Metric France</t>
  </si>
  <si>
    <t xml:space="preserve">Clinics </t>
  </si>
  <si>
    <t>Tests Max</t>
  </si>
  <si>
    <t>TEST/Y</t>
  </si>
  <si>
    <t>NOT CONSIDERED</t>
  </si>
  <si>
    <t>TOTAL REVENUES</t>
  </si>
  <si>
    <t xml:space="preserve">Distributor Margin </t>
  </si>
  <si>
    <t>Operating Expenses (OPEX) MONTHLY COST</t>
  </si>
  <si>
    <t>Events , Fairs , Missions</t>
  </si>
  <si>
    <t>Consulting fees STRATEGY / B2B / SALES ORGANIZATION</t>
  </si>
  <si>
    <t xml:space="preserve">Consulting fees REGULATORY AFFAIRS / R&amp;D </t>
  </si>
  <si>
    <t>Coordination chinese partners</t>
  </si>
  <si>
    <t>Monthly TOTAL</t>
  </si>
  <si>
    <t>Annual TOTAL</t>
  </si>
  <si>
    <t>Board of Directors</t>
  </si>
  <si>
    <t>Production and QC Technician</t>
  </si>
  <si>
    <t>IT Project Manager (consultant)</t>
  </si>
  <si>
    <t>Sales Director (consultant partially paid by % on sales (50% of Revenu)</t>
  </si>
  <si>
    <t>Sales Director (consultant partially paid by % on sales (25% of Revenu)</t>
  </si>
  <si>
    <t>Cost Of Rapid TEST</t>
  </si>
  <si>
    <t>cost of Array TEST</t>
  </si>
  <si>
    <t>PRODUCTS</t>
  </si>
  <si>
    <t>Cost of Readers</t>
  </si>
  <si>
    <t xml:space="preserve">Cost of Sales </t>
  </si>
  <si>
    <t>Consulting fees 1 (JCH)</t>
  </si>
  <si>
    <t>Consulting fees 2 (AB)</t>
  </si>
  <si>
    <t>TESTS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</si>
</sst>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* #,##0_ ;_ * \-#,##0_ ;_ * &quot;-&quot;??_ ;_ @_ "/>
    <numFmt numFmtId="166" formatCode="_(&quot;$&quot;* #,##0_);_(&quot;$&quot;* \(#,##0\);_(&quot;$&quot;* &quot;-&quot;??_);_(@_)"/>
    <numFmt numFmtId="167" formatCode="[$-409]mmmm\ d\,\ yyyy;@"/>
    <numFmt numFmtId="168" formatCode="_ [$₹-4009]\ * #,##0.00_ ;_ [$₹-4009]\ * \-#,##0.00_ ;_ [$₹-4009]\ * &quot;-&quot;??_ ;_ @_ "/>
    <numFmt numFmtId="169" formatCode="_ [$₹-4009]\ * #,##0_ ;_ [$₹-4009]\ * \-#,##0_ ;_ [$₹-4009]\ * &quot;-&quot;??_ ;_ @_ "/>
    <numFmt numFmtId="170" formatCode="_(\$* #,##0_);_(\$* \(#,##0\);_(\$* &quot;-&quot;??_);_(@_)"/>
    <numFmt numFmtId="171" formatCode="&quot;Month&quot;\ 0"/>
    <numFmt numFmtId="172" formatCode="_([$€-2]\ * #,##0_);_([$€-2]\ * \(#,##0\);_([$€-2]\ * &quot;-&quot;??_);_(@_)"/>
    <numFmt numFmtId="173" formatCode="_-* #,##0\ _€_-;\-* #,##0\ _€_-;_-* &quot;-&quot;??\ _€_-;_-@_-"/>
    <numFmt numFmtId="174" formatCode="d/mm/yy;@"/>
    <numFmt numFmtId="175" formatCode="0.0%"/>
    <numFmt numFmtId="176" formatCode="0.0"/>
    <numFmt numFmtId="177" formatCode="0.00\x"/>
  </numFmts>
  <fonts count="105" x14ac:knownFonts="1">
    <font>
      <sz val="10"/>
      <color rgb="FF000000"/>
      <name val="Arial"/>
    </font>
    <font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2"/>
    </font>
    <font>
      <b/>
      <sz val="22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000845"/>
      <name val="Arial"/>
      <family val="2"/>
      <scheme val="minor"/>
    </font>
    <font>
      <b/>
      <i/>
      <sz val="11"/>
      <color theme="5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i/>
      <sz val="10"/>
      <color theme="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4" tint="-0.499984740745262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i/>
      <sz val="9"/>
      <color rgb="FF0070C0"/>
      <name val="Arial"/>
      <family val="2"/>
      <scheme val="minor"/>
    </font>
    <font>
      <i/>
      <sz val="9"/>
      <color rgb="FF00B050"/>
      <name val="Arial"/>
      <family val="2"/>
      <scheme val="minor"/>
    </font>
    <font>
      <sz val="9"/>
      <color rgb="FF0070C0"/>
      <name val="Arial"/>
      <family val="2"/>
    </font>
    <font>
      <b/>
      <sz val="20"/>
      <color theme="1"/>
      <name val="Arial"/>
      <family val="2"/>
      <scheme val="minor"/>
    </font>
    <font>
      <b/>
      <sz val="9"/>
      <color theme="4" tint="-0.499984740745262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9"/>
      <color theme="1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9"/>
      <color theme="4" tint="-0.249977111117893"/>
      <name val="Arial"/>
      <family val="2"/>
      <scheme val="minor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8" tint="-0.499984740745262"/>
      <name val="Arial"/>
      <family val="2"/>
      <scheme val="minor"/>
    </font>
    <font>
      <sz val="9"/>
      <color rgb="FF31AEE4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9"/>
      <color rgb="FF002060"/>
      <name val="Arial"/>
      <family val="2"/>
      <scheme val="minor"/>
    </font>
    <font>
      <sz val="9"/>
      <color rgb="FF002060"/>
      <name val="Arial"/>
      <family val="2"/>
      <scheme val="minor"/>
    </font>
    <font>
      <i/>
      <sz val="9"/>
      <color rgb="FF002060"/>
      <name val="Arial"/>
      <family val="2"/>
      <scheme val="minor"/>
    </font>
    <font>
      <sz val="10"/>
      <color rgb="FF002060"/>
      <name val="Arial"/>
      <family val="2"/>
      <scheme val="minor"/>
    </font>
    <font>
      <sz val="9"/>
      <color theme="1"/>
      <name val="Arial"/>
      <family val="2"/>
    </font>
    <font>
      <sz val="11"/>
      <color theme="1"/>
      <name val="Arial (Body)"/>
    </font>
    <font>
      <i/>
      <sz val="9"/>
      <color rgb="FF000000"/>
      <name val="Arial"/>
      <family val="2"/>
      <scheme val="minor"/>
    </font>
    <font>
      <b/>
      <sz val="9"/>
      <color theme="1"/>
      <name val="Arial (Body)"/>
    </font>
    <font>
      <i/>
      <sz val="9"/>
      <color rgb="FFC00000"/>
      <name val="Arial"/>
      <family val="2"/>
      <scheme val="minor"/>
    </font>
    <font>
      <b/>
      <sz val="9"/>
      <color rgb="FF000000"/>
      <name val="Arial"/>
      <family val="2"/>
    </font>
    <font>
      <i/>
      <u/>
      <sz val="9"/>
      <color rgb="FF000000"/>
      <name val="Arial"/>
      <family val="2"/>
      <scheme val="minor"/>
    </font>
    <font>
      <b/>
      <sz val="9"/>
      <color theme="0"/>
      <name val="Arial (Body)"/>
    </font>
    <font>
      <u/>
      <sz val="9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8"/>
      <color theme="0"/>
      <name val="Arial"/>
      <family val="2"/>
      <scheme val="minor"/>
    </font>
    <font>
      <u/>
      <sz val="10"/>
      <color rgb="FFDC000B"/>
      <name val="Arial"/>
      <family val="2"/>
    </font>
    <font>
      <sz val="11"/>
      <color theme="1"/>
      <name val="Arial"/>
      <family val="2"/>
      <scheme val="minor"/>
    </font>
    <font>
      <i/>
      <sz val="9"/>
      <color rgb="FFDC000B"/>
      <name val="Arial"/>
      <family val="2"/>
      <scheme val="minor"/>
    </font>
    <font>
      <sz val="10"/>
      <name val="Calibri"/>
      <family val="2"/>
    </font>
    <font>
      <b/>
      <sz val="10"/>
      <color rgb="FFFF0000"/>
      <name val="Arial"/>
      <family val="2"/>
      <scheme val="minor"/>
    </font>
    <font>
      <sz val="12"/>
      <color theme="0"/>
      <name val="Arial"/>
      <family val="2"/>
      <scheme val="minor"/>
    </font>
    <font>
      <i/>
      <sz val="10"/>
      <color rgb="FFC00000"/>
      <name val="Arial"/>
      <family val="2"/>
      <scheme val="minor"/>
    </font>
    <font>
      <u/>
      <sz val="12"/>
      <color rgb="FFDC000B"/>
      <name val="Arial"/>
      <family val="2"/>
      <scheme val="minor"/>
    </font>
    <font>
      <b/>
      <u/>
      <sz val="12"/>
      <color rgb="FFDC000B"/>
      <name val="Arial"/>
      <family val="2"/>
      <scheme val="minor"/>
    </font>
    <font>
      <sz val="12"/>
      <color rgb="FFDC000B"/>
      <name val="Arial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i/>
      <sz val="1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rgb="FF00B0F0"/>
      <name val="Arial"/>
      <family val="2"/>
      <scheme val="minor"/>
    </font>
    <font>
      <b/>
      <sz val="9"/>
      <color rgb="FF00B0F0"/>
      <name val="Arial"/>
      <family val="2"/>
      <scheme val="minor"/>
    </font>
    <font>
      <sz val="9"/>
      <name val="Arial"/>
      <family val="2"/>
    </font>
    <font>
      <b/>
      <sz val="22"/>
      <color rgb="FFFFFFFF"/>
      <name val="Arial"/>
      <family val="2"/>
    </font>
    <font>
      <b/>
      <sz val="11"/>
      <color rgb="FF000845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FFFFFF"/>
      <name val="Arial"/>
      <family val="2"/>
    </font>
    <font>
      <b/>
      <i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color rgb="FFDC000B"/>
      <name val="Arial"/>
      <family val="2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b/>
      <sz val="16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9"/>
      <name val="Arial"/>
      <family val="2"/>
      <scheme val="minor"/>
    </font>
    <font>
      <sz val="9"/>
      <name val="Arial"/>
      <family val="2"/>
      <scheme val="minor"/>
    </font>
    <font>
      <sz val="9"/>
      <color indexed="8"/>
      <name val="Arial"/>
      <family val="2"/>
      <scheme val="minor"/>
    </font>
    <font>
      <sz val="9"/>
      <color theme="5"/>
      <name val="Arial"/>
      <family val="2"/>
      <scheme val="minor"/>
    </font>
    <font>
      <i/>
      <sz val="9"/>
      <color theme="4" tint="-0.499984740745262"/>
      <name val="Arial"/>
      <family val="2"/>
      <scheme val="minor"/>
    </font>
    <font>
      <sz val="12"/>
      <color theme="0"/>
      <name val="Arial (Body)"/>
    </font>
    <font>
      <b/>
      <sz val="13"/>
      <color rgb="FF4F81BD"/>
      <name val="Calibri"/>
      <family val="2"/>
    </font>
    <font>
      <sz val="11"/>
      <color rgb="FF000000"/>
      <name val="Cambria"/>
      <family val="1"/>
    </font>
    <font>
      <b/>
      <sz val="14"/>
      <color rgb="FF000000"/>
      <name val="Aptos"/>
    </font>
    <font>
      <sz val="10"/>
      <color rgb="FF000000"/>
      <name val="Aptos"/>
    </font>
    <font>
      <sz val="11"/>
      <color rgb="FF000000"/>
      <name val="Aptos"/>
    </font>
    <font>
      <b/>
      <sz val="1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71717"/>
        <bgColor rgb="FF235C57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D9EFF7"/>
        <bgColor rgb="FF000000"/>
      </patternFill>
    </fill>
    <fill>
      <patternFill patternType="solid">
        <fgColor rgb="FF52B7D8"/>
        <bgColor rgb="FF000000"/>
      </patternFill>
    </fill>
    <fill>
      <patternFill patternType="solid">
        <fgColor rgb="FFECF9FB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8193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9CD1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C000B"/>
        <bgColor indexed="64"/>
      </patternFill>
    </fill>
    <fill>
      <patternFill patternType="solid">
        <fgColor rgb="FF171717"/>
        <bgColor rgb="FF000000"/>
      </patternFill>
    </fill>
    <fill>
      <patternFill patternType="solid">
        <fgColor rgb="FFD9E7FD"/>
        <bgColor rgb="FFD9E7FD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9E7F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1"/>
    <xf numFmtId="0" fontId="4" fillId="0" borderId="0" applyNumberFormat="0" applyFill="0" applyBorder="0" applyAlignment="0" applyProtection="0"/>
    <xf numFmtId="0" fontId="5" fillId="0" borderId="1" applyNumberFormat="0" applyFill="0" applyBorder="0" applyAlignment="0" applyProtection="0"/>
    <xf numFmtId="0" fontId="6" fillId="0" borderId="1"/>
    <xf numFmtId="43" fontId="2" fillId="0" borderId="1" applyFont="0" applyFill="0" applyBorder="0" applyAlignment="0" applyProtection="0"/>
    <xf numFmtId="164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0" fontId="2" fillId="0" borderId="1"/>
    <xf numFmtId="43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0" fontId="1" fillId="0" borderId="1"/>
  </cellStyleXfs>
  <cellXfs count="499">
    <xf numFmtId="0" fontId="0" fillId="0" borderId="0" xfId="0"/>
    <xf numFmtId="0" fontId="17" fillId="0" borderId="0" xfId="0" applyFont="1"/>
    <xf numFmtId="0" fontId="18" fillId="0" borderId="0" xfId="0" applyFont="1" applyAlignment="1">
      <alignment horizontal="center"/>
    </xf>
    <xf numFmtId="0" fontId="17" fillId="0" borderId="1" xfId="0" applyFont="1" applyBorder="1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18" fillId="0" borderId="0" xfId="0" applyFont="1"/>
    <xf numFmtId="166" fontId="18" fillId="0" borderId="0" xfId="0" applyNumberFormat="1" applyFont="1"/>
    <xf numFmtId="166" fontId="21" fillId="0" borderId="0" xfId="3" applyNumberFormat="1" applyFont="1" applyFill="1" applyAlignment="1"/>
    <xf numFmtId="0" fontId="17" fillId="0" borderId="0" xfId="0" applyFont="1" applyAlignment="1">
      <alignment horizontal="left" indent="2"/>
    </xf>
    <xf numFmtId="0" fontId="18" fillId="0" borderId="2" xfId="0" applyFont="1" applyBorder="1"/>
    <xf numFmtId="0" fontId="17" fillId="0" borderId="0" xfId="0" applyFont="1" applyAlignment="1">
      <alignment horizontal="left" indent="1"/>
    </xf>
    <xf numFmtId="0" fontId="18" fillId="0" borderId="5" xfId="0" applyFont="1" applyBorder="1"/>
    <xf numFmtId="0" fontId="19" fillId="0" borderId="1" xfId="0" applyFont="1" applyBorder="1"/>
    <xf numFmtId="0" fontId="15" fillId="0" borderId="0" xfId="0" applyFont="1"/>
    <xf numFmtId="17" fontId="19" fillId="0" borderId="0" xfId="0" applyNumberFormat="1" applyFont="1" applyAlignment="1">
      <alignment horizontal="center"/>
    </xf>
    <xf numFmtId="0" fontId="26" fillId="0" borderId="0" xfId="0" applyFont="1" applyAlignment="1">
      <alignment horizontal="left" indent="1"/>
    </xf>
    <xf numFmtId="0" fontId="22" fillId="0" borderId="0" xfId="0" applyFont="1"/>
    <xf numFmtId="0" fontId="22" fillId="0" borderId="1" xfId="0" applyFont="1" applyBorder="1" applyAlignment="1">
      <alignment horizontal="left"/>
    </xf>
    <xf numFmtId="0" fontId="18" fillId="0" borderId="1" xfId="0" applyFont="1" applyBorder="1"/>
    <xf numFmtId="164" fontId="17" fillId="0" borderId="1" xfId="0" applyNumberFormat="1" applyFont="1" applyBorder="1"/>
    <xf numFmtId="0" fontId="18" fillId="0" borderId="0" xfId="0" applyFont="1" applyAlignment="1">
      <alignment horizontal="left" indent="1"/>
    </xf>
    <xf numFmtId="166" fontId="17" fillId="0" borderId="0" xfId="0" applyNumberFormat="1" applyFont="1"/>
    <xf numFmtId="0" fontId="18" fillId="0" borderId="3" xfId="0" applyFont="1" applyBorder="1" applyAlignment="1">
      <alignment horizontal="left" indent="1"/>
    </xf>
    <xf numFmtId="0" fontId="15" fillId="0" borderId="1" xfId="0" applyFont="1" applyBorder="1"/>
    <xf numFmtId="0" fontId="23" fillId="0" borderId="1" xfId="0" applyFont="1" applyBorder="1"/>
    <xf numFmtId="0" fontId="21" fillId="3" borderId="1" xfId="4" applyFont="1" applyFill="1"/>
    <xf numFmtId="0" fontId="21" fillId="0" borderId="1" xfId="4" applyFont="1"/>
    <xf numFmtId="0" fontId="29" fillId="3" borderId="1" xfId="4" applyFont="1" applyFill="1"/>
    <xf numFmtId="0" fontId="30" fillId="3" borderId="1" xfId="4" applyFont="1" applyFill="1"/>
    <xf numFmtId="0" fontId="25" fillId="0" borderId="1" xfId="4" applyFont="1"/>
    <xf numFmtId="0" fontId="17" fillId="0" borderId="1" xfId="4" applyFont="1"/>
    <xf numFmtId="0" fontId="23" fillId="0" borderId="1" xfId="4" applyFont="1"/>
    <xf numFmtId="0" fontId="18" fillId="0" borderId="1" xfId="4" applyFont="1" applyAlignment="1">
      <alignment horizontal="right"/>
    </xf>
    <xf numFmtId="0" fontId="34" fillId="2" borderId="1" xfId="4" applyFont="1" applyFill="1" applyAlignment="1">
      <alignment horizontal="right"/>
    </xf>
    <xf numFmtId="0" fontId="36" fillId="0" borderId="1" xfId="4" applyFont="1"/>
    <xf numFmtId="0" fontId="21" fillId="0" borderId="1" xfId="4" quotePrefix="1" applyFont="1"/>
    <xf numFmtId="1" fontId="17" fillId="0" borderId="0" xfId="0" quotePrefix="1" applyNumberFormat="1" applyFont="1"/>
    <xf numFmtId="0" fontId="38" fillId="2" borderId="1" xfId="4" applyFont="1" applyFill="1" applyAlignment="1">
      <alignment horizontal="left"/>
    </xf>
    <xf numFmtId="0" fontId="33" fillId="0" borderId="1" xfId="5" applyFont="1" applyBorder="1"/>
    <xf numFmtId="0" fontId="18" fillId="0" borderId="1" xfId="4" applyFont="1" applyAlignment="1">
      <alignment horizontal="center"/>
    </xf>
    <xf numFmtId="0" fontId="31" fillId="0" borderId="0" xfId="0" applyFont="1"/>
    <xf numFmtId="166" fontId="28" fillId="0" borderId="1" xfId="3" applyNumberFormat="1" applyFont="1" applyFill="1" applyBorder="1" applyAlignment="1"/>
    <xf numFmtId="0" fontId="40" fillId="0" borderId="1" xfId="11" applyFont="1"/>
    <xf numFmtId="0" fontId="17" fillId="5" borderId="1" xfId="4" applyFont="1" applyFill="1"/>
    <xf numFmtId="0" fontId="41" fillId="0" borderId="1" xfId="4" applyFont="1"/>
    <xf numFmtId="0" fontId="42" fillId="0" borderId="1" xfId="4" applyFont="1"/>
    <xf numFmtId="0" fontId="42" fillId="5" borderId="1" xfId="4" applyFont="1" applyFill="1"/>
    <xf numFmtId="0" fontId="43" fillId="0" borderId="1" xfId="4" applyFont="1"/>
    <xf numFmtId="0" fontId="44" fillId="0" borderId="1" xfId="5" quotePrefix="1" applyFont="1" applyBorder="1" applyAlignment="1">
      <alignment horizontal="left"/>
    </xf>
    <xf numFmtId="0" fontId="46" fillId="0" borderId="0" xfId="0" applyFont="1"/>
    <xf numFmtId="166" fontId="46" fillId="0" borderId="0" xfId="3" applyNumberFormat="1" applyFont="1" applyAlignment="1"/>
    <xf numFmtId="0" fontId="49" fillId="0" borderId="1" xfId="4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3" borderId="0" xfId="0" applyFont="1" applyFill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21" fillId="3" borderId="0" xfId="0" applyFont="1" applyFill="1" applyAlignment="1">
      <alignment vertical="center"/>
    </xf>
    <xf numFmtId="9" fontId="28" fillId="4" borderId="1" xfId="2" applyFont="1" applyFill="1" applyBorder="1" applyAlignment="1">
      <alignment vertical="center"/>
    </xf>
    <xf numFmtId="9" fontId="28" fillId="0" borderId="1" xfId="2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40" fillId="0" borderId="1" xfId="11" applyFont="1" applyAlignment="1">
      <alignment vertical="center"/>
    </xf>
    <xf numFmtId="0" fontId="39" fillId="0" borderId="1" xfId="11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37" fontId="46" fillId="3" borderId="0" xfId="0" applyNumberFormat="1" applyFont="1" applyFill="1" applyAlignment="1">
      <alignment horizontal="left" vertical="center" indent="1"/>
    </xf>
    <xf numFmtId="0" fontId="51" fillId="0" borderId="1" xfId="0" applyFont="1" applyBorder="1" applyAlignment="1">
      <alignment vertical="center"/>
    </xf>
    <xf numFmtId="168" fontId="17" fillId="0" borderId="0" xfId="0" applyNumberFormat="1" applyFont="1"/>
    <xf numFmtId="168" fontId="23" fillId="0" borderId="0" xfId="0" applyNumberFormat="1" applyFont="1"/>
    <xf numFmtId="169" fontId="23" fillId="0" borderId="0" xfId="0" applyNumberFormat="1" applyFont="1"/>
    <xf numFmtId="0" fontId="53" fillId="0" borderId="1" xfId="11" applyFont="1" applyAlignment="1">
      <alignment horizontal="left" vertical="center"/>
    </xf>
    <xf numFmtId="0" fontId="5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0" borderId="1" xfId="0" applyBorder="1"/>
    <xf numFmtId="9" fontId="52" fillId="0" borderId="1" xfId="2" applyFont="1" applyFill="1" applyBorder="1" applyAlignment="1">
      <alignment horizontal="right"/>
    </xf>
    <xf numFmtId="166" fontId="18" fillId="0" borderId="0" xfId="3" applyNumberFormat="1" applyFont="1" applyFill="1" applyAlignment="1"/>
    <xf numFmtId="0" fontId="50" fillId="0" borderId="0" xfId="0" applyFont="1"/>
    <xf numFmtId="0" fontId="54" fillId="0" borderId="0" xfId="0" applyFont="1" applyAlignment="1">
      <alignment horizontal="left"/>
    </xf>
    <xf numFmtId="0" fontId="50" fillId="0" borderId="1" xfId="0" applyFont="1" applyBorder="1" applyAlignment="1">
      <alignment horizontal="left"/>
    </xf>
    <xf numFmtId="0" fontId="50" fillId="3" borderId="0" xfId="0" applyFont="1" applyFill="1" applyAlignment="1">
      <alignment horizontal="left"/>
    </xf>
    <xf numFmtId="0" fontId="5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21" fillId="3" borderId="0" xfId="0" applyFont="1" applyFill="1" applyAlignment="1">
      <alignment horizontal="left"/>
    </xf>
    <xf numFmtId="0" fontId="2" fillId="0" borderId="0" xfId="0" applyFont="1"/>
    <xf numFmtId="0" fontId="57" fillId="0" borderId="0" xfId="0" applyFont="1"/>
    <xf numFmtId="0" fontId="48" fillId="0" borderId="1" xfId="11" applyFont="1" applyAlignment="1">
      <alignment vertical="center"/>
    </xf>
    <xf numFmtId="170" fontId="17" fillId="0" borderId="1" xfId="0" applyNumberFormat="1" applyFont="1" applyBorder="1"/>
    <xf numFmtId="170" fontId="23" fillId="0" borderId="0" xfId="0" applyNumberFormat="1" applyFont="1"/>
    <xf numFmtId="170" fontId="17" fillId="0" borderId="0" xfId="0" applyNumberFormat="1" applyFont="1"/>
    <xf numFmtId="170" fontId="26" fillId="0" borderId="0" xfId="0" applyNumberFormat="1" applyFont="1" applyAlignment="1">
      <alignment horizontal="left" indent="1"/>
    </xf>
    <xf numFmtId="170" fontId="22" fillId="0" borderId="0" xfId="0" applyNumberFormat="1" applyFont="1"/>
    <xf numFmtId="170" fontId="21" fillId="0" borderId="0" xfId="0" applyNumberFormat="1" applyFont="1" applyAlignment="1">
      <alignment horizontal="left" indent="1"/>
    </xf>
    <xf numFmtId="170" fontId="22" fillId="0" borderId="3" xfId="0" applyNumberFormat="1" applyFont="1" applyBorder="1" applyAlignment="1">
      <alignment horizontal="left"/>
    </xf>
    <xf numFmtId="170" fontId="21" fillId="0" borderId="0" xfId="0" applyNumberFormat="1" applyFont="1"/>
    <xf numFmtId="170" fontId="27" fillId="0" borderId="0" xfId="0" applyNumberFormat="1" applyFont="1"/>
    <xf numFmtId="170" fontId="21" fillId="3" borderId="0" xfId="0" applyNumberFormat="1" applyFont="1" applyFill="1"/>
    <xf numFmtId="170" fontId="22" fillId="0" borderId="3" xfId="0" applyNumberFormat="1" applyFont="1" applyBorder="1"/>
    <xf numFmtId="170" fontId="52" fillId="0" borderId="0" xfId="0" applyNumberFormat="1" applyFont="1" applyAlignment="1">
      <alignment horizontal="left"/>
    </xf>
    <xf numFmtId="0" fontId="8" fillId="6" borderId="1" xfId="0" applyFont="1" applyFill="1" applyBorder="1"/>
    <xf numFmtId="0" fontId="9" fillId="6" borderId="1" xfId="0" applyFont="1" applyFill="1" applyBorder="1"/>
    <xf numFmtId="0" fontId="13" fillId="6" borderId="0" xfId="0" applyFont="1" applyFill="1"/>
    <xf numFmtId="0" fontId="14" fillId="7" borderId="1" xfId="0" applyFont="1" applyFill="1" applyBorder="1"/>
    <xf numFmtId="0" fontId="15" fillId="6" borderId="0" xfId="0" applyFont="1" applyFill="1"/>
    <xf numFmtId="0" fontId="16" fillId="6" borderId="1" xfId="0" applyFont="1" applyFill="1" applyBorder="1"/>
    <xf numFmtId="0" fontId="19" fillId="7" borderId="1" xfId="0" applyFont="1" applyFill="1" applyBorder="1"/>
    <xf numFmtId="17" fontId="19" fillId="6" borderId="0" xfId="0" applyNumberFormat="1" applyFont="1" applyFill="1" applyAlignment="1">
      <alignment horizontal="center"/>
    </xf>
    <xf numFmtId="0" fontId="10" fillId="6" borderId="1" xfId="0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0" fontId="58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14" fillId="6" borderId="1" xfId="0" applyFont="1" applyFill="1" applyBorder="1"/>
    <xf numFmtId="0" fontId="8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4" fillId="6" borderId="1" xfId="0" applyFont="1" applyFill="1" applyBorder="1" applyAlignment="1">
      <alignment vertical="center"/>
    </xf>
    <xf numFmtId="0" fontId="15" fillId="6" borderId="0" xfId="0" applyFont="1" applyFill="1" applyAlignment="1">
      <alignment vertical="center"/>
    </xf>
    <xf numFmtId="0" fontId="16" fillId="6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vertical="center"/>
    </xf>
    <xf numFmtId="0" fontId="19" fillId="6" borderId="0" xfId="0" applyFont="1" applyFill="1" applyAlignment="1">
      <alignment horizontal="center" vertical="center"/>
    </xf>
    <xf numFmtId="171" fontId="24" fillId="0" borderId="0" xfId="0" applyNumberFormat="1" applyFont="1" applyAlignment="1">
      <alignment horizontal="center"/>
    </xf>
    <xf numFmtId="17" fontId="28" fillId="4" borderId="1" xfId="1" applyNumberFormat="1" applyFont="1" applyFill="1" applyBorder="1" applyAlignment="1">
      <alignment vertical="center"/>
    </xf>
    <xf numFmtId="1" fontId="24" fillId="0" borderId="0" xfId="3" applyNumberFormat="1" applyFont="1" applyAlignment="1">
      <alignment horizontal="center"/>
    </xf>
    <xf numFmtId="0" fontId="19" fillId="8" borderId="1" xfId="0" applyFont="1" applyFill="1" applyBorder="1"/>
    <xf numFmtId="0" fontId="19" fillId="8" borderId="0" xfId="0" applyFont="1" applyFill="1"/>
    <xf numFmtId="0" fontId="19" fillId="9" borderId="5" xfId="0" applyFont="1" applyFill="1" applyBorder="1"/>
    <xf numFmtId="170" fontId="19" fillId="9" borderId="2" xfId="0" applyNumberFormat="1" applyFont="1" applyFill="1" applyBorder="1"/>
    <xf numFmtId="0" fontId="19" fillId="9" borderId="2" xfId="0" applyFont="1" applyFill="1" applyBorder="1"/>
    <xf numFmtId="172" fontId="28" fillId="4" borderId="1" xfId="1" applyNumberFormat="1" applyFont="1" applyFill="1" applyBorder="1" applyAlignment="1">
      <alignment vertical="center"/>
    </xf>
    <xf numFmtId="172" fontId="48" fillId="0" borderId="1" xfId="1" applyNumberFormat="1" applyFont="1" applyFill="1" applyBorder="1" applyAlignment="1">
      <alignment vertical="center"/>
    </xf>
    <xf numFmtId="172" fontId="0" fillId="0" borderId="0" xfId="0" applyNumberFormat="1"/>
    <xf numFmtId="172" fontId="48" fillId="0" borderId="1" xfId="3" applyNumberFormat="1" applyFont="1" applyFill="1" applyBorder="1" applyAlignment="1">
      <alignment vertical="center"/>
    </xf>
    <xf numFmtId="172" fontId="28" fillId="0" borderId="1" xfId="3" applyNumberFormat="1" applyFont="1" applyFill="1" applyBorder="1" applyAlignment="1">
      <alignment vertical="center"/>
    </xf>
    <xf numFmtId="172" fontId="19" fillId="0" borderId="1" xfId="0" applyNumberFormat="1" applyFont="1" applyBorder="1"/>
    <xf numFmtId="172" fontId="15" fillId="0" borderId="0" xfId="0" applyNumberFormat="1" applyFont="1"/>
    <xf numFmtId="172" fontId="17" fillId="0" borderId="0" xfId="0" applyNumberFormat="1" applyFont="1"/>
    <xf numFmtId="172" fontId="17" fillId="0" borderId="1" xfId="0" applyNumberFormat="1" applyFont="1" applyBorder="1"/>
    <xf numFmtId="172" fontId="17" fillId="0" borderId="1" xfId="3" applyNumberFormat="1" applyFont="1" applyFill="1" applyBorder="1" applyAlignment="1"/>
    <xf numFmtId="172" fontId="28" fillId="4" borderId="1" xfId="3" applyNumberFormat="1" applyFont="1" applyFill="1" applyBorder="1" applyAlignment="1"/>
    <xf numFmtId="172" fontId="21" fillId="0" borderId="0" xfId="3" applyNumberFormat="1" applyFont="1" applyFill="1" applyAlignment="1"/>
    <xf numFmtId="172" fontId="17" fillId="0" borderId="0" xfId="3" applyNumberFormat="1" applyFont="1" applyAlignment="1"/>
    <xf numFmtId="172" fontId="21" fillId="0" borderId="0" xfId="3" applyNumberFormat="1" applyFont="1" applyFill="1" applyAlignment="1">
      <alignment horizontal="center"/>
    </xf>
    <xf numFmtId="172" fontId="17" fillId="0" borderId="1" xfId="3" applyNumberFormat="1" applyFont="1" applyBorder="1"/>
    <xf numFmtId="172" fontId="19" fillId="9" borderId="5" xfId="3" applyNumberFormat="1" applyFont="1" applyFill="1" applyBorder="1"/>
    <xf numFmtId="172" fontId="26" fillId="0" borderId="1" xfId="3" applyNumberFormat="1" applyFont="1" applyFill="1" applyBorder="1" applyAlignment="1"/>
    <xf numFmtId="172" fontId="22" fillId="0" borderId="1" xfId="3" applyNumberFormat="1" applyFont="1" applyFill="1" applyBorder="1" applyAlignment="1"/>
    <xf numFmtId="172" fontId="18" fillId="0" borderId="1" xfId="3" applyNumberFormat="1" applyFont="1" applyFill="1" applyBorder="1" applyAlignment="1"/>
    <xf numFmtId="172" fontId="22" fillId="0" borderId="3" xfId="3" applyNumberFormat="1" applyFont="1" applyFill="1" applyBorder="1" applyAlignment="1">
      <alignment horizontal="center"/>
    </xf>
    <xf numFmtId="172" fontId="18" fillId="0" borderId="3" xfId="3" applyNumberFormat="1" applyFont="1" applyFill="1" applyBorder="1" applyAlignment="1"/>
    <xf numFmtId="172" fontId="21" fillId="0" borderId="1" xfId="3" applyNumberFormat="1" applyFont="1" applyFill="1" applyBorder="1" applyAlignment="1">
      <alignment horizontal="center"/>
    </xf>
    <xf numFmtId="172" fontId="19" fillId="9" borderId="2" xfId="3" applyNumberFormat="1" applyFont="1" applyFill="1" applyBorder="1" applyAlignment="1"/>
    <xf numFmtId="172" fontId="19" fillId="9" borderId="2" xfId="0" applyNumberFormat="1" applyFont="1" applyFill="1" applyBorder="1"/>
    <xf numFmtId="0" fontId="60" fillId="0" borderId="1" xfId="5" quotePrefix="1" applyFont="1" applyBorder="1"/>
    <xf numFmtId="14" fontId="17" fillId="0" borderId="0" xfId="0" applyNumberFormat="1" applyFont="1" applyAlignment="1">
      <alignment vertical="center"/>
    </xf>
    <xf numFmtId="0" fontId="61" fillId="0" borderId="1" xfId="0" applyFont="1" applyBorder="1" applyAlignment="1">
      <alignment vertical="center"/>
    </xf>
    <xf numFmtId="0" fontId="23" fillId="0" borderId="3" xfId="0" applyFont="1" applyBorder="1"/>
    <xf numFmtId="172" fontId="23" fillId="0" borderId="0" xfId="0" applyNumberFormat="1" applyFont="1"/>
    <xf numFmtId="165" fontId="28" fillId="4" borderId="1" xfId="1" applyNumberFormat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6" fontId="19" fillId="9" borderId="2" xfId="0" applyNumberFormat="1" applyFont="1" applyFill="1" applyBorder="1"/>
    <xf numFmtId="170" fontId="13" fillId="0" borderId="0" xfId="0" applyNumberFormat="1" applyFont="1"/>
    <xf numFmtId="170" fontId="25" fillId="0" borderId="0" xfId="0" applyNumberFormat="1" applyFont="1"/>
    <xf numFmtId="0" fontId="47" fillId="0" borderId="0" xfId="0" applyFont="1"/>
    <xf numFmtId="172" fontId="18" fillId="0" borderId="0" xfId="0" applyNumberFormat="1" applyFont="1"/>
    <xf numFmtId="172" fontId="28" fillId="4" borderId="1" xfId="3" applyNumberFormat="1" applyFont="1" applyFill="1" applyBorder="1" applyAlignment="1">
      <alignment vertical="center"/>
    </xf>
    <xf numFmtId="172" fontId="18" fillId="0" borderId="0" xfId="3" applyNumberFormat="1" applyFont="1" applyAlignment="1"/>
    <xf numFmtId="172" fontId="21" fillId="3" borderId="0" xfId="3" applyNumberFormat="1" applyFont="1" applyFill="1" applyAlignment="1"/>
    <xf numFmtId="172" fontId="46" fillId="0" borderId="0" xfId="1" applyNumberFormat="1" applyFont="1" applyAlignment="1"/>
    <xf numFmtId="0" fontId="15" fillId="9" borderId="1" xfId="0" applyFont="1" applyFill="1" applyBorder="1" applyAlignment="1">
      <alignment vertical="center"/>
    </xf>
    <xf numFmtId="0" fontId="39" fillId="0" borderId="4" xfId="0" applyFont="1" applyBorder="1"/>
    <xf numFmtId="172" fontId="17" fillId="0" borderId="1" xfId="10" applyNumberFormat="1" applyFont="1"/>
    <xf numFmtId="0" fontId="53" fillId="0" borderId="9" xfId="0" applyFont="1" applyBorder="1"/>
    <xf numFmtId="172" fontId="53" fillId="0" borderId="3" xfId="0" applyNumberFormat="1" applyFont="1" applyBorder="1"/>
    <xf numFmtId="0" fontId="53" fillId="0" borderId="10" xfId="0" applyFont="1" applyBorder="1"/>
    <xf numFmtId="172" fontId="18" fillId="0" borderId="5" xfId="0" applyNumberFormat="1" applyFont="1" applyBorder="1"/>
    <xf numFmtId="172" fontId="18" fillId="0" borderId="2" xfId="0" applyNumberFormat="1" applyFont="1" applyBorder="1"/>
    <xf numFmtId="0" fontId="22" fillId="10" borderId="1" xfId="0" applyFont="1" applyFill="1" applyBorder="1" applyAlignment="1">
      <alignment vertical="center"/>
    </xf>
    <xf numFmtId="0" fontId="22" fillId="11" borderId="1" xfId="0" applyFont="1" applyFill="1" applyBorder="1" applyAlignment="1">
      <alignment vertical="center"/>
    </xf>
    <xf numFmtId="0" fontId="22" fillId="12" borderId="1" xfId="0" applyFont="1" applyFill="1" applyBorder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0" fontId="22" fillId="13" borderId="1" xfId="0" applyFont="1" applyFill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14" borderId="6" xfId="0" applyFont="1" applyFill="1" applyBorder="1" applyAlignment="1">
      <alignment vertical="center"/>
    </xf>
    <xf numFmtId="0" fontId="21" fillId="11" borderId="3" xfId="0" applyFont="1" applyFill="1" applyBorder="1" applyAlignment="1">
      <alignment vertical="center"/>
    </xf>
    <xf numFmtId="0" fontId="63" fillId="0" borderId="1" xfId="0" applyFont="1" applyBorder="1"/>
    <xf numFmtId="172" fontId="19" fillId="15" borderId="0" xfId="0" applyNumberFormat="1" applyFont="1" applyFill="1" applyAlignment="1">
      <alignment horizontal="center"/>
    </xf>
    <xf numFmtId="172" fontId="17" fillId="15" borderId="1" xfId="3" applyNumberFormat="1" applyFont="1" applyFill="1" applyBorder="1" applyAlignment="1"/>
    <xf numFmtId="172" fontId="17" fillId="15" borderId="0" xfId="1" applyNumberFormat="1" applyFont="1" applyFill="1"/>
    <xf numFmtId="172" fontId="17" fillId="15" borderId="0" xfId="0" applyNumberFormat="1" applyFont="1" applyFill="1"/>
    <xf numFmtId="173" fontId="62" fillId="15" borderId="6" xfId="1" applyNumberFormat="1" applyFont="1" applyFill="1" applyBorder="1" applyAlignment="1" applyProtection="1">
      <alignment horizontal="center" vertical="center"/>
      <protection locked="0"/>
    </xf>
    <xf numFmtId="165" fontId="17" fillId="15" borderId="6" xfId="1" applyNumberFormat="1" applyFont="1" applyFill="1" applyBorder="1"/>
    <xf numFmtId="172" fontId="17" fillId="15" borderId="6" xfId="3" applyNumberFormat="1" applyFont="1" applyFill="1" applyBorder="1" applyAlignment="1"/>
    <xf numFmtId="172" fontId="17" fillId="15" borderId="6" xfId="0" applyNumberFormat="1" applyFont="1" applyFill="1" applyBorder="1"/>
    <xf numFmtId="165" fontId="17" fillId="15" borderId="3" xfId="1" applyNumberFormat="1" applyFont="1" applyFill="1" applyBorder="1"/>
    <xf numFmtId="9" fontId="17" fillId="15" borderId="6" xfId="2" applyFont="1" applyFill="1" applyBorder="1" applyAlignment="1"/>
    <xf numFmtId="172" fontId="17" fillId="15" borderId="1" xfId="0" applyNumberFormat="1" applyFont="1" applyFill="1" applyBorder="1"/>
    <xf numFmtId="172" fontId="19" fillId="13" borderId="0" xfId="0" applyNumberFormat="1" applyFont="1" applyFill="1" applyAlignment="1">
      <alignment horizontal="center"/>
    </xf>
    <xf numFmtId="172" fontId="17" fillId="13" borderId="0" xfId="1" applyNumberFormat="1" applyFont="1" applyFill="1"/>
    <xf numFmtId="172" fontId="17" fillId="13" borderId="0" xfId="0" applyNumberFormat="1" applyFont="1" applyFill="1"/>
    <xf numFmtId="173" fontId="62" fillId="13" borderId="6" xfId="1" applyNumberFormat="1" applyFont="1" applyFill="1" applyBorder="1" applyAlignment="1" applyProtection="1">
      <alignment horizontal="center" vertical="center"/>
      <protection locked="0"/>
    </xf>
    <xf numFmtId="172" fontId="17" fillId="13" borderId="6" xfId="3" applyNumberFormat="1" applyFont="1" applyFill="1" applyBorder="1" applyAlignment="1"/>
    <xf numFmtId="172" fontId="17" fillId="13" borderId="6" xfId="0" applyNumberFormat="1" applyFont="1" applyFill="1" applyBorder="1"/>
    <xf numFmtId="165" fontId="17" fillId="13" borderId="3" xfId="1" applyNumberFormat="1" applyFont="1" applyFill="1" applyBorder="1"/>
    <xf numFmtId="9" fontId="17" fillId="13" borderId="6" xfId="2" applyFont="1" applyFill="1" applyBorder="1" applyAlignment="1"/>
    <xf numFmtId="172" fontId="17" fillId="13" borderId="1" xfId="0" applyNumberFormat="1" applyFont="1" applyFill="1" applyBorder="1"/>
    <xf numFmtId="165" fontId="17" fillId="13" borderId="6" xfId="1" applyNumberFormat="1" applyFont="1" applyFill="1" applyBorder="1" applyAlignment="1"/>
    <xf numFmtId="172" fontId="19" fillId="16" borderId="0" xfId="0" applyNumberFormat="1" applyFont="1" applyFill="1" applyAlignment="1">
      <alignment horizontal="center"/>
    </xf>
    <xf numFmtId="172" fontId="17" fillId="16" borderId="0" xfId="1" applyNumberFormat="1" applyFont="1" applyFill="1"/>
    <xf numFmtId="172" fontId="17" fillId="16" borderId="0" xfId="0" applyNumberFormat="1" applyFont="1" applyFill="1"/>
    <xf numFmtId="165" fontId="17" fillId="16" borderId="6" xfId="1" applyNumberFormat="1" applyFont="1" applyFill="1" applyBorder="1" applyAlignment="1"/>
    <xf numFmtId="173" fontId="62" fillId="16" borderId="6" xfId="1" applyNumberFormat="1" applyFont="1" applyFill="1" applyBorder="1" applyAlignment="1" applyProtection="1">
      <alignment horizontal="center" vertical="center"/>
      <protection locked="0"/>
    </xf>
    <xf numFmtId="172" fontId="17" fillId="16" borderId="6" xfId="3" applyNumberFormat="1" applyFont="1" applyFill="1" applyBorder="1" applyAlignment="1"/>
    <xf numFmtId="172" fontId="17" fillId="16" borderId="6" xfId="0" applyNumberFormat="1" applyFont="1" applyFill="1" applyBorder="1"/>
    <xf numFmtId="165" fontId="17" fillId="16" borderId="3" xfId="1" applyNumberFormat="1" applyFont="1" applyFill="1" applyBorder="1"/>
    <xf numFmtId="9" fontId="17" fillId="16" borderId="6" xfId="2" applyFont="1" applyFill="1" applyBorder="1" applyAlignment="1"/>
    <xf numFmtId="172" fontId="17" fillId="16" borderId="1" xfId="0" applyNumberFormat="1" applyFont="1" applyFill="1" applyBorder="1"/>
    <xf numFmtId="172" fontId="19" fillId="17" borderId="0" xfId="0" applyNumberFormat="1" applyFont="1" applyFill="1" applyAlignment="1">
      <alignment horizontal="center"/>
    </xf>
    <xf numFmtId="172" fontId="17" fillId="17" borderId="0" xfId="1" applyNumberFormat="1" applyFont="1" applyFill="1"/>
    <xf numFmtId="172" fontId="17" fillId="17" borderId="0" xfId="0" applyNumberFormat="1" applyFont="1" applyFill="1"/>
    <xf numFmtId="173" fontId="62" fillId="17" borderId="6" xfId="1" applyNumberFormat="1" applyFont="1" applyFill="1" applyBorder="1" applyAlignment="1" applyProtection="1">
      <alignment horizontal="center" vertical="center"/>
      <protection locked="0"/>
    </xf>
    <xf numFmtId="172" fontId="17" fillId="17" borderId="6" xfId="3" applyNumberFormat="1" applyFont="1" applyFill="1" applyBorder="1" applyAlignment="1"/>
    <xf numFmtId="172" fontId="17" fillId="17" borderId="6" xfId="0" applyNumberFormat="1" applyFont="1" applyFill="1" applyBorder="1"/>
    <xf numFmtId="165" fontId="17" fillId="17" borderId="3" xfId="1" applyNumberFormat="1" applyFont="1" applyFill="1" applyBorder="1"/>
    <xf numFmtId="9" fontId="17" fillId="17" borderId="6" xfId="2" applyFont="1" applyFill="1" applyBorder="1" applyAlignment="1"/>
    <xf numFmtId="172" fontId="17" fillId="17" borderId="1" xfId="0" applyNumberFormat="1" applyFont="1" applyFill="1" applyBorder="1"/>
    <xf numFmtId="172" fontId="19" fillId="18" borderId="0" xfId="0" applyNumberFormat="1" applyFont="1" applyFill="1" applyAlignment="1">
      <alignment horizontal="center"/>
    </xf>
    <xf numFmtId="172" fontId="17" fillId="18" borderId="0" xfId="1" applyNumberFormat="1" applyFont="1" applyFill="1"/>
    <xf numFmtId="172" fontId="17" fillId="18" borderId="0" xfId="0" applyNumberFormat="1" applyFont="1" applyFill="1"/>
    <xf numFmtId="173" fontId="62" fillId="18" borderId="6" xfId="1" applyNumberFormat="1" applyFont="1" applyFill="1" applyBorder="1" applyAlignment="1" applyProtection="1">
      <alignment horizontal="center" vertical="center"/>
      <protection locked="0"/>
    </xf>
    <xf numFmtId="172" fontId="17" fillId="18" borderId="6" xfId="3" applyNumberFormat="1" applyFont="1" applyFill="1" applyBorder="1" applyAlignment="1"/>
    <xf numFmtId="172" fontId="17" fillId="18" borderId="6" xfId="0" applyNumberFormat="1" applyFont="1" applyFill="1" applyBorder="1"/>
    <xf numFmtId="165" fontId="17" fillId="18" borderId="3" xfId="1" applyNumberFormat="1" applyFont="1" applyFill="1" applyBorder="1"/>
    <xf numFmtId="9" fontId="17" fillId="18" borderId="6" xfId="2" applyFont="1" applyFill="1" applyBorder="1" applyAlignment="1"/>
    <xf numFmtId="172" fontId="17" fillId="18" borderId="1" xfId="0" applyNumberFormat="1" applyFont="1" applyFill="1" applyBorder="1"/>
    <xf numFmtId="165" fontId="19" fillId="9" borderId="5" xfId="1" applyNumberFormat="1" applyFont="1" applyFill="1" applyBorder="1"/>
    <xf numFmtId="0" fontId="21" fillId="19" borderId="1" xfId="0" applyFont="1" applyFill="1" applyBorder="1" applyAlignment="1">
      <alignment vertical="center"/>
    </xf>
    <xf numFmtId="0" fontId="32" fillId="0" borderId="3" xfId="0" applyFont="1" applyBorder="1" applyAlignment="1">
      <alignment horizontal="left"/>
    </xf>
    <xf numFmtId="172" fontId="32" fillId="0" borderId="3" xfId="3" applyNumberFormat="1" applyFont="1" applyFill="1" applyBorder="1" applyAlignment="1"/>
    <xf numFmtId="172" fontId="23" fillId="0" borderId="1" xfId="3" applyNumberFormat="1" applyFont="1" applyBorder="1"/>
    <xf numFmtId="0" fontId="65" fillId="0" borderId="0" xfId="0" applyFont="1" applyAlignment="1">
      <alignment horizontal="left"/>
    </xf>
    <xf numFmtId="9" fontId="65" fillId="0" borderId="1" xfId="2" applyFont="1" applyFill="1" applyBorder="1" applyAlignment="1">
      <alignment horizontal="right"/>
    </xf>
    <xf numFmtId="165" fontId="19" fillId="7" borderId="1" xfId="1" applyNumberFormat="1" applyFont="1" applyFill="1" applyBorder="1"/>
    <xf numFmtId="170" fontId="14" fillId="9" borderId="3" xfId="0" applyNumberFormat="1" applyFont="1" applyFill="1" applyBorder="1"/>
    <xf numFmtId="172" fontId="14" fillId="9" borderId="3" xfId="3" applyNumberFormat="1" applyFont="1" applyFill="1" applyBorder="1" applyAlignment="1"/>
    <xf numFmtId="170" fontId="65" fillId="0" borderId="1" xfId="0" applyNumberFormat="1" applyFont="1" applyBorder="1" applyAlignment="1">
      <alignment horizontal="left"/>
    </xf>
    <xf numFmtId="172" fontId="18" fillId="14" borderId="2" xfId="0" applyNumberFormat="1" applyFont="1" applyFill="1" applyBorder="1"/>
    <xf numFmtId="0" fontId="13" fillId="14" borderId="0" xfId="0" applyFont="1" applyFill="1"/>
    <xf numFmtId="0" fontId="21" fillId="3" borderId="6" xfId="4" applyFont="1" applyFill="1" applyBorder="1" applyAlignment="1">
      <alignment horizontal="right"/>
    </xf>
    <xf numFmtId="0" fontId="25" fillId="3" borderId="6" xfId="4" applyFont="1" applyFill="1" applyBorder="1" applyAlignment="1">
      <alignment horizontal="right"/>
    </xf>
    <xf numFmtId="0" fontId="43" fillId="3" borderId="1" xfId="4" applyFont="1" applyFill="1"/>
    <xf numFmtId="0" fontId="31" fillId="2" borderId="6" xfId="4" applyFont="1" applyFill="1" applyBorder="1" applyAlignment="1">
      <alignment horizontal="right" vertical="center"/>
    </xf>
    <xf numFmtId="167" fontId="32" fillId="0" borderId="6" xfId="4" applyNumberFormat="1" applyFont="1" applyBorder="1" applyAlignment="1">
      <alignment horizontal="center" vertical="center"/>
    </xf>
    <xf numFmtId="0" fontId="34" fillId="0" borderId="1" xfId="4" applyFont="1" applyAlignment="1">
      <alignment horizontal="center"/>
    </xf>
    <xf numFmtId="0" fontId="67" fillId="0" borderId="1" xfId="4" applyFont="1" applyAlignment="1">
      <alignment horizontal="left"/>
    </xf>
    <xf numFmtId="0" fontId="68" fillId="0" borderId="1" xfId="4" applyFont="1"/>
    <xf numFmtId="0" fontId="66" fillId="0" borderId="1" xfId="5" applyFont="1" applyBorder="1"/>
    <xf numFmtId="0" fontId="66" fillId="0" borderId="1" xfId="5" quotePrefix="1" applyFont="1" applyBorder="1" applyAlignment="1">
      <alignment horizontal="left"/>
    </xf>
    <xf numFmtId="0" fontId="64" fillId="14" borderId="1" xfId="4" applyFont="1" applyFill="1" applyAlignment="1">
      <alignment horizontal="right"/>
    </xf>
    <xf numFmtId="0" fontId="2" fillId="0" borderId="1" xfId="0" applyFont="1" applyBorder="1"/>
    <xf numFmtId="0" fontId="70" fillId="20" borderId="7" xfId="0" applyFont="1" applyFill="1" applyBorder="1" applyAlignment="1">
      <alignment horizontal="center"/>
    </xf>
    <xf numFmtId="0" fontId="70" fillId="20" borderId="11" xfId="0" applyFont="1" applyFill="1" applyBorder="1" applyAlignment="1">
      <alignment horizontal="center"/>
    </xf>
    <xf numFmtId="0" fontId="70" fillId="21" borderId="11" xfId="0" applyFont="1" applyFill="1" applyBorder="1" applyAlignment="1">
      <alignment horizontal="center"/>
    </xf>
    <xf numFmtId="0" fontId="70" fillId="22" borderId="11" xfId="0" applyFont="1" applyFill="1" applyBorder="1" applyAlignment="1">
      <alignment horizontal="center"/>
    </xf>
    <xf numFmtId="0" fontId="70" fillId="23" borderId="11" xfId="0" applyFont="1" applyFill="1" applyBorder="1" applyAlignment="1">
      <alignment horizontal="center"/>
    </xf>
    <xf numFmtId="0" fontId="70" fillId="24" borderId="11" xfId="0" applyFont="1" applyFill="1" applyBorder="1" applyAlignment="1">
      <alignment horizontal="center"/>
    </xf>
    <xf numFmtId="3" fontId="71" fillId="25" borderId="6" xfId="0" applyNumberFormat="1" applyFont="1" applyFill="1" applyBorder="1" applyAlignment="1" applyProtection="1">
      <alignment vertical="center"/>
      <protection locked="0"/>
    </xf>
    <xf numFmtId="174" fontId="71" fillId="26" borderId="8" xfId="0" applyNumberFormat="1" applyFont="1" applyFill="1" applyBorder="1" applyAlignment="1" applyProtection="1">
      <alignment vertical="center"/>
      <protection locked="0"/>
    </xf>
    <xf numFmtId="0" fontId="2" fillId="0" borderId="11" xfId="0" applyFont="1" applyBorder="1"/>
    <xf numFmtId="3" fontId="71" fillId="25" borderId="7" xfId="0" applyNumberFormat="1" applyFont="1" applyFill="1" applyBorder="1" applyAlignment="1" applyProtection="1">
      <alignment vertical="center"/>
      <protection locked="0"/>
    </xf>
    <xf numFmtId="174" fontId="71" fillId="26" borderId="11" xfId="0" applyNumberFormat="1" applyFont="1" applyFill="1" applyBorder="1" applyAlignment="1" applyProtection="1">
      <alignment vertical="center"/>
      <protection locked="0"/>
    </xf>
    <xf numFmtId="3" fontId="71" fillId="28" borderId="7" xfId="0" applyNumberFormat="1" applyFont="1" applyFill="1" applyBorder="1" applyAlignment="1" applyProtection="1">
      <alignment vertical="center"/>
      <protection locked="0"/>
    </xf>
    <xf numFmtId="3" fontId="71" fillId="29" borderId="7" xfId="0" applyNumberFormat="1" applyFont="1" applyFill="1" applyBorder="1" applyAlignment="1" applyProtection="1">
      <alignment vertical="center"/>
      <protection locked="0"/>
    </xf>
    <xf numFmtId="3" fontId="71" fillId="30" borderId="7" xfId="0" applyNumberFormat="1" applyFont="1" applyFill="1" applyBorder="1" applyAlignment="1" applyProtection="1">
      <alignment vertical="center"/>
      <protection locked="0"/>
    </xf>
    <xf numFmtId="0" fontId="69" fillId="0" borderId="7" xfId="0" applyFont="1" applyBorder="1" applyAlignment="1">
      <alignment horizontal="right"/>
    </xf>
    <xf numFmtId="0" fontId="69" fillId="31" borderId="6" xfId="0" applyFont="1" applyFill="1" applyBorder="1"/>
    <xf numFmtId="0" fontId="69" fillId="31" borderId="7" xfId="0" applyFont="1" applyFill="1" applyBorder="1"/>
    <xf numFmtId="0" fontId="2" fillId="27" borderId="1" xfId="0" applyFont="1" applyFill="1" applyBorder="1"/>
    <xf numFmtId="0" fontId="2" fillId="0" borderId="6" xfId="0" applyFont="1" applyBorder="1"/>
    <xf numFmtId="0" fontId="0" fillId="0" borderId="6" xfId="0" applyBorder="1"/>
    <xf numFmtId="165" fontId="0" fillId="0" borderId="6" xfId="1" applyNumberFormat="1" applyFont="1" applyBorder="1"/>
    <xf numFmtId="0" fontId="57" fillId="0" borderId="6" xfId="0" applyFont="1" applyBorder="1" applyAlignment="1">
      <alignment horizontal="center"/>
    </xf>
    <xf numFmtId="0" fontId="0" fillId="3" borderId="0" xfId="0" applyFill="1"/>
    <xf numFmtId="165" fontId="21" fillId="0" borderId="6" xfId="0" applyNumberFormat="1" applyFont="1" applyBorder="1" applyAlignment="1">
      <alignment horizontal="center" vertical="center"/>
    </xf>
    <xf numFmtId="165" fontId="17" fillId="0" borderId="6" xfId="1" applyNumberFormat="1" applyFont="1" applyFill="1" applyBorder="1" applyAlignment="1"/>
    <xf numFmtId="0" fontId="22" fillId="34" borderId="1" xfId="0" applyFont="1" applyFill="1" applyBorder="1" applyAlignment="1">
      <alignment vertical="center"/>
    </xf>
    <xf numFmtId="0" fontId="15" fillId="35" borderId="1" xfId="0" applyFont="1" applyFill="1" applyBorder="1" applyAlignment="1">
      <alignment vertical="center"/>
    </xf>
    <xf numFmtId="0" fontId="74" fillId="0" borderId="0" xfId="0" applyFont="1" applyAlignment="1">
      <alignment vertical="center"/>
    </xf>
    <xf numFmtId="1" fontId="74" fillId="0" borderId="0" xfId="0" applyNumberFormat="1" applyFont="1" applyAlignment="1">
      <alignment vertical="center"/>
    </xf>
    <xf numFmtId="1" fontId="74" fillId="0" borderId="0" xfId="0" applyNumberFormat="1" applyFont="1" applyAlignment="1">
      <alignment horizontal="right" vertical="center"/>
    </xf>
    <xf numFmtId="176" fontId="75" fillId="0" borderId="0" xfId="0" applyNumberFormat="1" applyFont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9" fontId="28" fillId="0" borderId="1" xfId="2" applyFont="1" applyFill="1" applyBorder="1" applyAlignment="1">
      <alignment horizontal="right" vertical="center"/>
    </xf>
    <xf numFmtId="172" fontId="76" fillId="0" borderId="1" xfId="1" applyNumberFormat="1" applyFont="1" applyFill="1" applyBorder="1" applyAlignment="1">
      <alignment vertical="center"/>
    </xf>
    <xf numFmtId="172" fontId="18" fillId="0" borderId="1" xfId="0" applyNumberFormat="1" applyFont="1" applyBorder="1"/>
    <xf numFmtId="0" fontId="19" fillId="36" borderId="0" xfId="0" applyFont="1" applyFill="1" applyAlignment="1">
      <alignment vertical="center"/>
    </xf>
    <xf numFmtId="0" fontId="77" fillId="37" borderId="1" xfId="0" applyFont="1" applyFill="1" applyBorder="1"/>
    <xf numFmtId="0" fontId="78" fillId="37" borderId="1" xfId="0" applyFont="1" applyFill="1" applyBorder="1"/>
    <xf numFmtId="0" fontId="79" fillId="37" borderId="1" xfId="0" applyFont="1" applyFill="1" applyBorder="1"/>
    <xf numFmtId="0" fontId="80" fillId="37" borderId="1" xfId="0" applyFont="1" applyFill="1" applyBorder="1"/>
    <xf numFmtId="0" fontId="81" fillId="37" borderId="1" xfId="0" applyFont="1" applyFill="1" applyBorder="1"/>
    <xf numFmtId="0" fontId="0" fillId="6" borderId="0" xfId="0" applyFill="1"/>
    <xf numFmtId="0" fontId="82" fillId="7" borderId="1" xfId="0" applyFont="1" applyFill="1" applyBorder="1"/>
    <xf numFmtId="0" fontId="83" fillId="37" borderId="1" xfId="0" applyFont="1" applyFill="1" applyBorder="1"/>
    <xf numFmtId="0" fontId="84" fillId="37" borderId="1" xfId="0" applyFont="1" applyFill="1" applyBorder="1"/>
    <xf numFmtId="0" fontId="85" fillId="6" borderId="12" xfId="0" applyFont="1" applyFill="1" applyBorder="1"/>
    <xf numFmtId="0" fontId="32" fillId="6" borderId="1" xfId="0" applyFont="1" applyFill="1" applyBorder="1"/>
    <xf numFmtId="0" fontId="0" fillId="0" borderId="15" xfId="0" applyBorder="1"/>
    <xf numFmtId="0" fontId="25" fillId="0" borderId="1" xfId="0" applyFont="1" applyBorder="1"/>
    <xf numFmtId="0" fontId="2" fillId="0" borderId="15" xfId="0" applyFont="1" applyBorder="1"/>
    <xf numFmtId="172" fontId="0" fillId="0" borderId="15" xfId="0" applyNumberFormat="1" applyBorder="1"/>
    <xf numFmtId="0" fontId="57" fillId="0" borderId="15" xfId="0" applyFont="1" applyBorder="1"/>
    <xf numFmtId="172" fontId="17" fillId="0" borderId="15" xfId="9" applyNumberFormat="1" applyFont="1" applyFill="1" applyBorder="1" applyAlignment="1"/>
    <xf numFmtId="9" fontId="17" fillId="0" borderId="15" xfId="10" applyFont="1" applyFill="1" applyBorder="1" applyAlignment="1"/>
    <xf numFmtId="169" fontId="21" fillId="0" borderId="1" xfId="9" applyNumberFormat="1" applyFont="1" applyFill="1" applyBorder="1" applyAlignment="1"/>
    <xf numFmtId="0" fontId="57" fillId="0" borderId="7" xfId="0" applyFont="1" applyBorder="1"/>
    <xf numFmtId="172" fontId="17" fillId="0" borderId="7" xfId="9" applyNumberFormat="1" applyFont="1" applyFill="1" applyBorder="1" applyAlignment="1"/>
    <xf numFmtId="9" fontId="17" fillId="0" borderId="7" xfId="10" applyFont="1" applyFill="1" applyBorder="1" applyAlignment="1"/>
    <xf numFmtId="0" fontId="85" fillId="9" borderId="0" xfId="0" applyFont="1" applyFill="1"/>
    <xf numFmtId="0" fontId="86" fillId="9" borderId="0" xfId="0" applyFont="1" applyFill="1"/>
    <xf numFmtId="0" fontId="21" fillId="0" borderId="0" xfId="0" applyFont="1" applyAlignment="1">
      <alignment horizontal="left"/>
    </xf>
    <xf numFmtId="9" fontId="28" fillId="0" borderId="1" xfId="10" applyFont="1" applyFill="1" applyBorder="1" applyAlignment="1">
      <alignment vertical="center"/>
    </xf>
    <xf numFmtId="0" fontId="87" fillId="9" borderId="0" xfId="0" applyFont="1" applyFill="1" applyAlignment="1">
      <alignment horizontal="center"/>
    </xf>
    <xf numFmtId="0" fontId="39" fillId="0" borderId="0" xfId="0" applyFont="1" applyAlignment="1">
      <alignment horizontal="left"/>
    </xf>
    <xf numFmtId="172" fontId="39" fillId="0" borderId="0" xfId="0" applyNumberFormat="1" applyFont="1"/>
    <xf numFmtId="170" fontId="0" fillId="0" borderId="0" xfId="0" applyNumberFormat="1"/>
    <xf numFmtId="172" fontId="39" fillId="14" borderId="0" xfId="0" applyNumberFormat="1" applyFont="1" applyFill="1"/>
    <xf numFmtId="170" fontId="2" fillId="0" borderId="0" xfId="0" applyNumberFormat="1" applyFont="1"/>
    <xf numFmtId="0" fontId="53" fillId="0" borderId="16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40" fillId="0" borderId="3" xfId="0" applyFont="1" applyBorder="1" applyAlignment="1">
      <alignment horizontal="left"/>
    </xf>
    <xf numFmtId="172" fontId="40" fillId="0" borderId="3" xfId="0" applyNumberFormat="1" applyFont="1" applyBorder="1"/>
    <xf numFmtId="0" fontId="57" fillId="0" borderId="13" xfId="0" applyFont="1" applyBorder="1" applyAlignment="1">
      <alignment vertical="center"/>
    </xf>
    <xf numFmtId="172" fontId="0" fillId="0" borderId="8" xfId="0" applyNumberFormat="1" applyBorder="1"/>
    <xf numFmtId="0" fontId="57" fillId="0" borderId="1" xfId="0" applyFont="1" applyBorder="1" applyAlignment="1">
      <alignment horizontal="center" vertical="center"/>
    </xf>
    <xf numFmtId="166" fontId="0" fillId="0" borderId="1" xfId="9" applyNumberFormat="1" applyFont="1" applyBorder="1" applyAlignment="1"/>
    <xf numFmtId="9" fontId="28" fillId="38" borderId="1" xfId="0" applyNumberFormat="1" applyFont="1" applyFill="1" applyBorder="1"/>
    <xf numFmtId="175" fontId="28" fillId="38" borderId="1" xfId="0" applyNumberFormat="1" applyFont="1" applyFill="1" applyBorder="1"/>
    <xf numFmtId="0" fontId="57" fillId="0" borderId="13" xfId="0" applyFont="1" applyBorder="1"/>
    <xf numFmtId="0" fontId="57" fillId="0" borderId="8" xfId="0" applyFont="1" applyBorder="1" applyAlignment="1">
      <alignment horizontal="center"/>
    </xf>
    <xf numFmtId="0" fontId="2" fillId="0" borderId="12" xfId="0" applyFont="1" applyBorder="1"/>
    <xf numFmtId="177" fontId="0" fillId="0" borderId="15" xfId="0" applyNumberFormat="1" applyBorder="1" applyAlignment="1">
      <alignment horizontal="center"/>
    </xf>
    <xf numFmtId="177" fontId="0" fillId="0" borderId="14" xfId="0" applyNumberFormat="1" applyBorder="1" applyAlignment="1">
      <alignment horizontal="center"/>
    </xf>
    <xf numFmtId="0" fontId="4" fillId="0" borderId="0" xfId="5"/>
    <xf numFmtId="0" fontId="88" fillId="0" borderId="0" xfId="0" applyFont="1"/>
    <xf numFmtId="0" fontId="4" fillId="0" borderId="0" xfId="5" applyAlignment="1">
      <alignment horizontal="left"/>
    </xf>
    <xf numFmtId="0" fontId="2" fillId="0" borderId="7" xfId="0" applyFont="1" applyBorder="1"/>
    <xf numFmtId="177" fontId="0" fillId="0" borderId="7" xfId="0" applyNumberFormat="1" applyBorder="1" applyAlignment="1">
      <alignment horizontal="center"/>
    </xf>
    <xf numFmtId="177" fontId="0" fillId="0" borderId="11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0" fontId="2" fillId="0" borderId="3" xfId="0" applyFont="1" applyBorder="1"/>
    <xf numFmtId="172" fontId="0" fillId="0" borderId="3" xfId="0" applyNumberFormat="1" applyBorder="1"/>
    <xf numFmtId="172" fontId="57" fillId="0" borderId="0" xfId="0" applyNumberFormat="1" applyFont="1"/>
    <xf numFmtId="175" fontId="28" fillId="39" borderId="1" xfId="10" applyNumberFormat="1" applyFont="1" applyFill="1" applyBorder="1" applyAlignment="1">
      <alignment vertical="center"/>
    </xf>
    <xf numFmtId="9" fontId="28" fillId="39" borderId="1" xfId="10" applyFont="1" applyFill="1" applyBorder="1" applyAlignment="1">
      <alignment vertical="center"/>
    </xf>
    <xf numFmtId="9" fontId="28" fillId="40" borderId="1" xfId="0" applyNumberFormat="1" applyFont="1" applyFill="1" applyBorder="1"/>
    <xf numFmtId="175" fontId="28" fillId="40" borderId="1" xfId="0" applyNumberFormat="1" applyFont="1" applyFill="1" applyBorder="1"/>
    <xf numFmtId="172" fontId="0" fillId="39" borderId="0" xfId="0" applyNumberFormat="1" applyFill="1"/>
    <xf numFmtId="172" fontId="0" fillId="16" borderId="0" xfId="0" applyNumberFormat="1" applyFill="1"/>
    <xf numFmtId="0" fontId="57" fillId="41" borderId="0" xfId="0" applyFont="1" applyFill="1"/>
    <xf numFmtId="0" fontId="89" fillId="0" borderId="1" xfId="14" applyFont="1"/>
    <xf numFmtId="0" fontId="89" fillId="3" borderId="1" xfId="14" applyFont="1" applyFill="1"/>
    <xf numFmtId="0" fontId="90" fillId="33" borderId="6" xfId="14" applyFont="1" applyFill="1" applyBorder="1" applyAlignment="1">
      <alignment horizontal="center"/>
    </xf>
    <xf numFmtId="0" fontId="89" fillId="3" borderId="1" xfId="14" applyFont="1" applyFill="1" applyAlignment="1">
      <alignment horizontal="right"/>
    </xf>
    <xf numFmtId="0" fontId="66" fillId="12" borderId="1" xfId="5" applyFont="1" applyFill="1" applyBorder="1" applyAlignment="1">
      <alignment horizontal="left"/>
    </xf>
    <xf numFmtId="0" fontId="90" fillId="12" borderId="6" xfId="14" applyFont="1" applyFill="1" applyBorder="1" applyAlignment="1">
      <alignment horizontal="center"/>
    </xf>
    <xf numFmtId="1" fontId="89" fillId="0" borderId="6" xfId="14" applyNumberFormat="1" applyFont="1" applyBorder="1"/>
    <xf numFmtId="0" fontId="89" fillId="0" borderId="6" xfId="14" applyFont="1" applyBorder="1"/>
    <xf numFmtId="0" fontId="90" fillId="12" borderId="6" xfId="14" applyFont="1" applyFill="1" applyBorder="1" applyAlignment="1">
      <alignment horizontal="right"/>
    </xf>
    <xf numFmtId="165" fontId="89" fillId="32" borderId="6" xfId="1" applyNumberFormat="1" applyFont="1" applyFill="1" applyBorder="1"/>
    <xf numFmtId="165" fontId="89" fillId="42" borderId="6" xfId="1" applyNumberFormat="1" applyFont="1" applyFill="1" applyBorder="1"/>
    <xf numFmtId="165" fontId="89" fillId="0" borderId="1" xfId="1" applyNumberFormat="1" applyFont="1" applyBorder="1"/>
    <xf numFmtId="165" fontId="89" fillId="12" borderId="6" xfId="1" applyNumberFormat="1" applyFont="1" applyFill="1" applyBorder="1"/>
    <xf numFmtId="165" fontId="89" fillId="12" borderId="12" xfId="1" applyNumberFormat="1" applyFont="1" applyFill="1" applyBorder="1"/>
    <xf numFmtId="165" fontId="90" fillId="12" borderId="6" xfId="1" applyNumberFormat="1" applyFont="1" applyFill="1" applyBorder="1"/>
    <xf numFmtId="165" fontId="89" fillId="32" borderId="8" xfId="1" applyNumberFormat="1" applyFont="1" applyFill="1" applyBorder="1"/>
    <xf numFmtId="165" fontId="89" fillId="42" borderId="8" xfId="1" applyNumberFormat="1" applyFont="1" applyFill="1" applyBorder="1"/>
    <xf numFmtId="0" fontId="91" fillId="43" borderId="6" xfId="14" applyFont="1" applyFill="1" applyBorder="1" applyAlignment="1">
      <alignment horizontal="right"/>
    </xf>
    <xf numFmtId="0" fontId="89" fillId="0" borderId="6" xfId="14" applyFont="1" applyBorder="1" applyAlignment="1">
      <alignment horizontal="right"/>
    </xf>
    <xf numFmtId="0" fontId="64" fillId="9" borderId="1" xfId="0" applyFont="1" applyFill="1" applyBorder="1" applyAlignment="1">
      <alignment vertical="center"/>
    </xf>
    <xf numFmtId="0" fontId="92" fillId="7" borderId="1" xfId="0" applyFont="1" applyFill="1" applyBorder="1"/>
    <xf numFmtId="0" fontId="18" fillId="0" borderId="0" xfId="0" applyFont="1" applyAlignment="1">
      <alignment horizontal="right" indent="1"/>
    </xf>
    <xf numFmtId="0" fontId="18" fillId="44" borderId="0" xfId="0" applyFont="1" applyFill="1" applyAlignment="1">
      <alignment horizontal="right" indent="1"/>
    </xf>
    <xf numFmtId="0" fontId="89" fillId="0" borderId="1" xfId="14" applyFont="1" applyAlignment="1">
      <alignment horizontal="right"/>
    </xf>
    <xf numFmtId="0" fontId="93" fillId="0" borderId="1" xfId="14" applyFont="1"/>
    <xf numFmtId="0" fontId="94" fillId="0" borderId="1" xfId="14" applyFont="1"/>
    <xf numFmtId="1" fontId="94" fillId="0" borderId="1" xfId="14" applyNumberFormat="1" applyFont="1"/>
    <xf numFmtId="1" fontId="94" fillId="3" borderId="1" xfId="14" applyNumberFormat="1" applyFont="1" applyFill="1"/>
    <xf numFmtId="0" fontId="66" fillId="0" borderId="1" xfId="5" applyFont="1" applyBorder="1" applyAlignment="1">
      <alignment horizontal="left"/>
    </xf>
    <xf numFmtId="0" fontId="37" fillId="0" borderId="1" xfId="5" applyFont="1" applyBorder="1" applyAlignment="1">
      <alignment horizontal="left" vertical="center" wrapText="1"/>
    </xf>
    <xf numFmtId="165" fontId="0" fillId="0" borderId="0" xfId="1" applyNumberFormat="1" applyFont="1"/>
    <xf numFmtId="0" fontId="19" fillId="0" borderId="0" xfId="0" applyFont="1" applyAlignment="1">
      <alignment horizontal="center"/>
    </xf>
    <xf numFmtId="172" fontId="21" fillId="0" borderId="1" xfId="9" applyNumberFormat="1" applyFont="1" applyAlignment="1">
      <alignment horizontal="center"/>
    </xf>
    <xf numFmtId="172" fontId="21" fillId="0" borderId="1" xfId="9" applyNumberFormat="1" applyFont="1" applyFill="1" applyAlignment="1">
      <alignment horizontal="center"/>
    </xf>
    <xf numFmtId="172" fontId="15" fillId="0" borderId="1" xfId="9" applyNumberFormat="1" applyFont="1"/>
    <xf numFmtId="172" fontId="17" fillId="0" borderId="1" xfId="9" applyNumberFormat="1" applyFont="1" applyBorder="1"/>
    <xf numFmtId="0" fontId="95" fillId="0" borderId="1" xfId="0" applyFont="1" applyBorder="1" applyAlignment="1">
      <alignment vertical="center"/>
    </xf>
    <xf numFmtId="0" fontId="52" fillId="0" borderId="0" xfId="0" applyFont="1" applyAlignment="1">
      <alignment horizontal="left"/>
    </xf>
    <xf numFmtId="172" fontId="45" fillId="0" borderId="1" xfId="9" applyNumberFormat="1" applyFont="1" applyBorder="1"/>
    <xf numFmtId="172" fontId="52" fillId="0" borderId="1" xfId="9" applyNumberFormat="1" applyFont="1" applyFill="1" applyBorder="1" applyAlignment="1"/>
    <xf numFmtId="0" fontId="22" fillId="0" borderId="3" xfId="0" applyFont="1" applyBorder="1" applyAlignment="1">
      <alignment horizontal="left"/>
    </xf>
    <xf numFmtId="172" fontId="22" fillId="0" borderId="3" xfId="9" applyNumberFormat="1" applyFont="1" applyBorder="1" applyAlignment="1">
      <alignment horizontal="center"/>
    </xf>
    <xf numFmtId="172" fontId="26" fillId="0" borderId="1" xfId="9" applyNumberFormat="1" applyFont="1" applyFill="1" applyBorder="1" applyAlignment="1"/>
    <xf numFmtId="172" fontId="96" fillId="0" borderId="1" xfId="9" applyNumberFormat="1" applyFont="1" applyFill="1" applyBorder="1" applyAlignment="1"/>
    <xf numFmtId="9" fontId="17" fillId="0" borderId="1" xfId="10" applyFont="1" applyBorder="1"/>
    <xf numFmtId="172" fontId="17" fillId="0" borderId="1" xfId="9" applyNumberFormat="1" applyFont="1" applyFill="1" applyBorder="1" applyAlignment="1"/>
    <xf numFmtId="172" fontId="18" fillId="0" borderId="1" xfId="9" applyNumberFormat="1" applyFont="1" applyBorder="1"/>
    <xf numFmtId="172" fontId="18" fillId="0" borderId="3" xfId="9" applyNumberFormat="1" applyFont="1" applyBorder="1"/>
    <xf numFmtId="0" fontId="21" fillId="0" borderId="0" xfId="0" applyFont="1"/>
    <xf numFmtId="172" fontId="97" fillId="0" borderId="1" xfId="9" applyNumberFormat="1" applyFont="1" applyFill="1" applyBorder="1" applyAlignment="1"/>
    <xf numFmtId="172" fontId="20" fillId="0" borderId="1" xfId="9" applyNumberFormat="1" applyFont="1" applyBorder="1"/>
    <xf numFmtId="0" fontId="22" fillId="0" borderId="5" xfId="0" applyFont="1" applyBorder="1"/>
    <xf numFmtId="172" fontId="22" fillId="0" borderId="5" xfId="9" applyNumberFormat="1" applyFont="1" applyBorder="1"/>
    <xf numFmtId="172" fontId="21" fillId="0" borderId="1" xfId="9" applyNumberFormat="1" applyFont="1" applyFill="1" applyBorder="1" applyAlignment="1">
      <alignment horizontal="center"/>
    </xf>
    <xf numFmtId="0" fontId="19" fillId="9" borderId="3" xfId="0" applyFont="1" applyFill="1" applyBorder="1"/>
    <xf numFmtId="172" fontId="19" fillId="9" borderId="3" xfId="10" applyNumberFormat="1" applyFont="1" applyFill="1" applyBorder="1" applyAlignment="1">
      <alignment horizontal="center"/>
    </xf>
    <xf numFmtId="172" fontId="17" fillId="0" borderId="1" xfId="10" applyNumberFormat="1" applyFont="1" applyBorder="1"/>
    <xf numFmtId="0" fontId="27" fillId="0" borderId="0" xfId="0" applyFont="1"/>
    <xf numFmtId="0" fontId="21" fillId="3" borderId="0" xfId="0" applyFont="1" applyFill="1"/>
    <xf numFmtId="0" fontId="22" fillId="0" borderId="3" xfId="0" applyFont="1" applyBorder="1"/>
    <xf numFmtId="172" fontId="22" fillId="0" borderId="3" xfId="9" applyNumberFormat="1" applyFont="1" applyFill="1" applyBorder="1" applyAlignment="1"/>
    <xf numFmtId="0" fontId="98" fillId="6" borderId="0" xfId="0" applyFont="1" applyFill="1" applyAlignment="1">
      <alignment wrapText="1"/>
    </xf>
    <xf numFmtId="0" fontId="21" fillId="0" borderId="6" xfId="0" applyFont="1" applyBorder="1" applyAlignment="1">
      <alignment horizontal="right" vertical="center"/>
    </xf>
    <xf numFmtId="0" fontId="99" fillId="0" borderId="0" xfId="0" applyFont="1" applyAlignment="1">
      <alignment vertical="center"/>
    </xf>
    <xf numFmtId="0" fontId="100" fillId="0" borderId="0" xfId="0" applyFont="1" applyAlignment="1">
      <alignment vertical="center"/>
    </xf>
    <xf numFmtId="0" fontId="101" fillId="0" borderId="0" xfId="0" applyFont="1"/>
    <xf numFmtId="0" fontId="102" fillId="0" borderId="0" xfId="0" applyFont="1"/>
    <xf numFmtId="0" fontId="103" fillId="0" borderId="0" xfId="0" applyFont="1" applyAlignment="1">
      <alignment vertical="center"/>
    </xf>
    <xf numFmtId="0" fontId="100" fillId="0" borderId="0" xfId="0" applyFont="1"/>
    <xf numFmtId="0" fontId="102" fillId="45" borderId="0" xfId="0" applyFont="1" applyFill="1"/>
    <xf numFmtId="0" fontId="102" fillId="16" borderId="0" xfId="0" applyFont="1" applyFill="1"/>
    <xf numFmtId="0" fontId="104" fillId="0" borderId="6" xfId="0" applyFont="1" applyBorder="1" applyAlignment="1">
      <alignment horizontal="center" vertical="top"/>
    </xf>
    <xf numFmtId="0" fontId="101" fillId="0" borderId="6" xfId="0" applyFont="1" applyBorder="1"/>
    <xf numFmtId="0" fontId="2" fillId="0" borderId="6" xfId="0" applyFont="1" applyBorder="1" applyAlignment="1">
      <alignment horizontal="center"/>
    </xf>
    <xf numFmtId="165" fontId="21" fillId="0" borderId="0" xfId="0" applyNumberFormat="1" applyFont="1" applyAlignment="1">
      <alignment vertical="center"/>
    </xf>
    <xf numFmtId="0" fontId="21" fillId="0" borderId="7" xfId="0" applyFont="1" applyBorder="1" applyAlignment="1">
      <alignment vertical="center"/>
    </xf>
    <xf numFmtId="165" fontId="17" fillId="0" borderId="6" xfId="1" applyNumberFormat="1" applyFont="1" applyBorder="1"/>
    <xf numFmtId="165" fontId="22" fillId="0" borderId="6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vertical="center"/>
    </xf>
    <xf numFmtId="0" fontId="22" fillId="0" borderId="6" xfId="0" applyFont="1" applyBorder="1" applyAlignment="1">
      <alignment horizontal="right" vertical="center"/>
    </xf>
    <xf numFmtId="0" fontId="21" fillId="0" borderId="6" xfId="0" applyFont="1" applyBorder="1" applyAlignment="1">
      <alignment horizontal="center" vertical="center"/>
    </xf>
    <xf numFmtId="165" fontId="18" fillId="46" borderId="6" xfId="0" applyNumberFormat="1" applyFont="1" applyFill="1" applyBorder="1" applyAlignment="1">
      <alignment vertical="center"/>
    </xf>
    <xf numFmtId="0" fontId="18" fillId="0" borderId="6" xfId="0" applyFont="1" applyBorder="1" applyAlignment="1">
      <alignment horizontal="right" vertical="center"/>
    </xf>
    <xf numFmtId="0" fontId="21" fillId="0" borderId="13" xfId="0" applyFont="1" applyBorder="1" applyAlignment="1">
      <alignment vertical="center"/>
    </xf>
    <xf numFmtId="9" fontId="17" fillId="0" borderId="6" xfId="0" applyNumberFormat="1" applyFont="1" applyBorder="1" applyAlignment="1">
      <alignment vertical="center"/>
    </xf>
    <xf numFmtId="9" fontId="17" fillId="0" borderId="1" xfId="0" applyNumberFormat="1" applyFont="1" applyBorder="1" applyAlignment="1">
      <alignment vertical="center"/>
    </xf>
    <xf numFmtId="0" fontId="94" fillId="0" borderId="12" xfId="0" applyFont="1" applyBorder="1" applyAlignment="1">
      <alignment vertical="center"/>
    </xf>
    <xf numFmtId="0" fontId="0" fillId="46" borderId="0" xfId="0" applyFill="1"/>
    <xf numFmtId="165" fontId="74" fillId="0" borderId="0" xfId="1" applyNumberFormat="1" applyFont="1" applyAlignment="1">
      <alignment vertical="center"/>
    </xf>
    <xf numFmtId="172" fontId="74" fillId="0" borderId="0" xfId="1" applyNumberFormat="1" applyFont="1" applyAlignment="1">
      <alignment vertical="center"/>
    </xf>
    <xf numFmtId="0" fontId="2" fillId="0" borderId="0" xfId="0" applyFont="1" applyAlignment="1">
      <alignment horizontal="right"/>
    </xf>
    <xf numFmtId="172" fontId="28" fillId="0" borderId="1" xfId="1" applyNumberFormat="1" applyFont="1" applyFill="1" applyBorder="1" applyAlignment="1">
      <alignment vertical="center"/>
    </xf>
    <xf numFmtId="172" fontId="17" fillId="0" borderId="0" xfId="0" applyNumberFormat="1" applyFont="1" applyAlignment="1">
      <alignment vertical="center"/>
    </xf>
    <xf numFmtId="172" fontId="17" fillId="0" borderId="6" xfId="0" applyNumberFormat="1" applyFont="1" applyBorder="1"/>
    <xf numFmtId="0" fontId="21" fillId="12" borderId="6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172" fontId="18" fillId="0" borderId="6" xfId="0" applyNumberFormat="1" applyFont="1" applyBorder="1"/>
    <xf numFmtId="0" fontId="0" fillId="32" borderId="6" xfId="0" applyFill="1" applyBorder="1"/>
    <xf numFmtId="0" fontId="18" fillId="0" borderId="6" xfId="0" applyFont="1" applyBorder="1"/>
    <xf numFmtId="0" fontId="22" fillId="12" borderId="6" xfId="0" applyFont="1" applyFill="1" applyBorder="1" applyAlignment="1">
      <alignment vertical="center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9" fontId="28" fillId="0" borderId="1" xfId="2" applyFont="1" applyFill="1" applyBorder="1" applyAlignment="1"/>
    <xf numFmtId="172" fontId="28" fillId="0" borderId="1" xfId="9" applyNumberFormat="1" applyFont="1" applyFill="1" applyBorder="1" applyAlignment="1"/>
    <xf numFmtId="168" fontId="18" fillId="0" borderId="1" xfId="0" applyNumberFormat="1" applyFont="1" applyBorder="1"/>
    <xf numFmtId="0" fontId="13" fillId="0" borderId="1" xfId="0" applyFont="1" applyBorder="1"/>
    <xf numFmtId="0" fontId="19" fillId="0" borderId="1" xfId="0" applyFont="1" applyBorder="1" applyAlignment="1">
      <alignment horizontal="center"/>
    </xf>
    <xf numFmtId="171" fontId="24" fillId="0" borderId="1" xfId="0" applyNumberFormat="1" applyFont="1" applyBorder="1" applyAlignment="1">
      <alignment horizontal="center"/>
    </xf>
    <xf numFmtId="0" fontId="24" fillId="0" borderId="1" xfId="0" applyFont="1" applyBorder="1"/>
    <xf numFmtId="17" fontId="19" fillId="0" borderId="1" xfId="0" applyNumberFormat="1" applyFont="1" applyBorder="1" applyAlignment="1">
      <alignment horizontal="center"/>
    </xf>
    <xf numFmtId="172" fontId="23" fillId="0" borderId="1" xfId="0" applyNumberFormat="1" applyFont="1" applyBorder="1"/>
    <xf numFmtId="172" fontId="20" fillId="0" borderId="1" xfId="10" applyNumberFormat="1" applyFont="1" applyFill="1" applyBorder="1" applyAlignment="1"/>
    <xf numFmtId="172" fontId="21" fillId="0" borderId="1" xfId="9" applyNumberFormat="1" applyFont="1" applyFill="1" applyBorder="1" applyAlignment="1"/>
    <xf numFmtId="168" fontId="17" fillId="0" borderId="1" xfId="0" applyNumberFormat="1" applyFont="1" applyBorder="1"/>
    <xf numFmtId="172" fontId="18" fillId="0" borderId="1" xfId="9" applyNumberFormat="1" applyFont="1" applyFill="1" applyBorder="1" applyAlignment="1"/>
    <xf numFmtId="168" fontId="23" fillId="0" borderId="1" xfId="0" applyNumberFormat="1" applyFont="1" applyBorder="1"/>
    <xf numFmtId="0" fontId="55" fillId="0" borderId="3" xfId="11" applyFont="1" applyBorder="1" applyAlignment="1">
      <alignment horizontal="left" vertical="center"/>
    </xf>
    <xf numFmtId="0" fontId="19" fillId="0" borderId="2" xfId="0" applyFont="1" applyBorder="1"/>
    <xf numFmtId="0" fontId="93" fillId="0" borderId="5" xfId="0" applyFont="1" applyBorder="1"/>
    <xf numFmtId="172" fontId="93" fillId="0" borderId="5" xfId="9" applyNumberFormat="1" applyFont="1" applyFill="1" applyBorder="1"/>
    <xf numFmtId="172" fontId="17" fillId="0" borderId="1" xfId="0" applyNumberFormat="1" applyFont="1" applyBorder="1" applyAlignment="1">
      <alignment vertical="center"/>
    </xf>
    <xf numFmtId="0" fontId="35" fillId="0" borderId="1" xfId="4" applyFont="1" applyAlignment="1">
      <alignment horizontal="left" wrapText="1"/>
    </xf>
    <xf numFmtId="0" fontId="59" fillId="0" borderId="1" xfId="5" applyFont="1" applyBorder="1" applyAlignment="1">
      <alignment horizontal="left" vertical="center" wrapText="1"/>
    </xf>
    <xf numFmtId="0" fontId="66" fillId="0" borderId="1" xfId="5" applyFont="1" applyBorder="1" applyAlignment="1">
      <alignment horizontal="left"/>
    </xf>
    <xf numFmtId="0" fontId="37" fillId="0" borderId="1" xfId="5" applyFont="1" applyBorder="1" applyAlignment="1">
      <alignment horizontal="left" vertical="center" wrapText="1"/>
    </xf>
    <xf numFmtId="0" fontId="57" fillId="0" borderId="0" xfId="0" applyFont="1" applyAlignment="1">
      <alignment horizontal="center"/>
    </xf>
    <xf numFmtId="0" fontId="0" fillId="0" borderId="0" xfId="0"/>
    <xf numFmtId="0" fontId="57" fillId="0" borderId="0" xfId="0" applyFont="1" applyAlignment="1">
      <alignment horizontal="right" vertical="center" textRotation="90"/>
    </xf>
  </cellXfs>
  <cellStyles count="15">
    <cellStyle name="Comma" xfId="1" builtinId="3"/>
    <cellStyle name="Comma 2" xfId="8" xr:uid="{21390058-204E-438A-B448-7385F47A4AC0}"/>
    <cellStyle name="Comma 2 2" xfId="12" xr:uid="{47E8BFA2-2F15-2F4D-AB0A-DD4581988870}"/>
    <cellStyle name="Currency" xfId="3" builtinId="4"/>
    <cellStyle name="Currency 2" xfId="9" xr:uid="{104C402D-4ECD-4B2E-A479-198D2B76ACD7}"/>
    <cellStyle name="Hyperlink" xfId="5" builtinId="8"/>
    <cellStyle name="Hyperlink 2" xfId="6" xr:uid="{089F294E-459B-4E72-A990-BD110268F3D6}"/>
    <cellStyle name="Normal" xfId="0" builtinId="0"/>
    <cellStyle name="Normal 2" xfId="4" xr:uid="{29AAB673-9B9B-4D46-89F6-4F94FCAC6EDA}"/>
    <cellStyle name="Normal 3" xfId="7" xr:uid="{10BFDBD7-0D3F-4FE2-93D7-EB31DED7E95D}"/>
    <cellStyle name="Normal 4" xfId="11" xr:uid="{4F362280-D567-7A4B-981A-01F2608D27BC}"/>
    <cellStyle name="Normal 5" xfId="14" xr:uid="{84B96B49-E860-A54D-8959-08C770FB01D0}"/>
    <cellStyle name="Per cent" xfId="2" builtinId="5"/>
    <cellStyle name="Per cent 2" xfId="13" xr:uid="{E92265D2-4DA2-C743-9342-5FACE966D116}"/>
    <cellStyle name="Percent 2" xfId="10" xr:uid="{14E3D468-85E7-46D2-A0F1-409CAB42106C}"/>
  </cellStyles>
  <dxfs count="0"/>
  <tableStyles count="0" defaultTableStyle="TableStyleMedium2" defaultPivotStyle="PivotStyleLight16"/>
  <colors>
    <mruColors>
      <color rgb="FFDC000B"/>
      <color rgb="FF171717"/>
      <color rgb="FF361163"/>
      <color rgb="FF31AEE4"/>
      <color rgb="FFFFFFFF"/>
      <color rgb="FF000000"/>
      <color rgb="FF522E91"/>
      <color rgb="FF7C4FA0"/>
      <color rgb="FF7961AA"/>
      <color rgb="FFD019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ch/Library/CloudStorage/Dropbox/A%20-%20BREVO%20MOTORS/FUNDRAISING/BUSINESS%20PLAN/TABLEAUX/Brevo%20Motors_Financial%20Model_EDD.xlsx" TargetMode="External"/><Relationship Id="rId2" Type="http://schemas.openxmlformats.org/officeDocument/2006/relationships/externalLinkPath" Target="/Users/jch/Library/CloudStorage/Dropbox/A%20-%20BREVO%20MOTORS/FUNDRAISING/BUSINESS%20PLAN/TABLEAUX/Brevo%20Motors_Financial%20Model_EDD.xlsx" TargetMode="External"/><Relationship Id="rId1" Type="http://schemas.openxmlformats.org/officeDocument/2006/relationships/externalLinkPath" Target="/Users/jch/Library/CloudStorage/Dropbox/A%20-%20BREVO%20MOTORS/FUNDRAISING/BUSINESS%20PLAN/TABLEAUX/Brevo%20Motors_Financial%20Model_ED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 xml:space="preserve"> </v>
          </cell>
        </row>
        <row r="5">
          <cell r="C5">
            <v>2026</v>
          </cell>
          <cell r="D5">
            <v>2027</v>
          </cell>
          <cell r="E5">
            <v>2028</v>
          </cell>
          <cell r="F5">
            <v>2029</v>
          </cell>
          <cell r="G5">
            <v>2030</v>
          </cell>
        </row>
        <row r="63">
          <cell r="C63">
            <v>0</v>
          </cell>
          <cell r="D63">
            <v>22549.851026073782</v>
          </cell>
          <cell r="E63">
            <v>10664.150000464959</v>
          </cell>
          <cell r="F63">
            <v>47724.128846711719</v>
          </cell>
          <cell r="G63">
            <v>168667.33235694643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RT INFO"/>
      <sheetName val="1 Data"/>
      <sheetName val="2 Controls"/>
      <sheetName val="3 Revenue Asumptions"/>
      <sheetName val="4 Expense Assumptions"/>
      <sheetName val="5 Payroll Assumptions"/>
      <sheetName val="6 Debt Schedule"/>
      <sheetName val="7 Fixed Asset Schedules"/>
      <sheetName val="8 Working Capital Schedule"/>
      <sheetName val="9 Monthly P&amp;L"/>
      <sheetName val="10 Annual P&amp;L"/>
      <sheetName val="11 Monthly CFS"/>
      <sheetName val="12 Annual CFS"/>
      <sheetName val="13 Balance Sheet"/>
      <sheetName val="14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F13">
            <v>11573346.9774825</v>
          </cell>
        </row>
        <row r="56">
          <cell r="F56">
            <v>3614121.8461921411</v>
          </cell>
        </row>
        <row r="59">
          <cell r="B59">
            <v>11208.427260077844</v>
          </cell>
          <cell r="C59">
            <v>29252.814444658376</v>
          </cell>
          <cell r="D59">
            <v>70688.574653030766</v>
          </cell>
          <cell r="E59">
            <v>256932.20486542955</v>
          </cell>
          <cell r="F59">
            <v>304997.83520344354</v>
          </cell>
        </row>
        <row r="62">
          <cell r="B62">
            <v>-175154.1507711086</v>
          </cell>
          <cell r="C62">
            <v>-52124.014343193317</v>
          </cell>
          <cell r="D62">
            <v>459612.76162280422</v>
          </cell>
          <cell r="E62">
            <v>2048229.7640318533</v>
          </cell>
          <cell r="F62">
            <v>3295232.2092506499</v>
          </cell>
        </row>
        <row r="63">
          <cell r="B63">
            <v>0</v>
          </cell>
          <cell r="C63">
            <v>0</v>
          </cell>
          <cell r="D63">
            <v>68941.91424342063</v>
          </cell>
          <cell r="E63">
            <v>307234.46460477798</v>
          </cell>
          <cell r="F63">
            <v>494284.83138759749</v>
          </cell>
        </row>
      </sheetData>
      <sheetData sheetId="11"/>
      <sheetData sheetId="12">
        <row r="11">
          <cell r="B11">
            <v>-109893.75599999999</v>
          </cell>
          <cell r="C11">
            <v>-102471.65302000003</v>
          </cell>
          <cell r="D11">
            <v>-417889.74890999997</v>
          </cell>
          <cell r="E11">
            <v>-175752.91611525009</v>
          </cell>
          <cell r="F11">
            <v>-690683.89803715609</v>
          </cell>
        </row>
        <row r="12">
          <cell r="B12">
            <v>-67894.312000000005</v>
          </cell>
          <cell r="C12">
            <v>-99040.567999999999</v>
          </cell>
          <cell r="D12">
            <v>-196989.05394000001</v>
          </cell>
          <cell r="E12">
            <v>-303821.16187500011</v>
          </cell>
          <cell r="F12">
            <v>-117745.81955324986</v>
          </cell>
        </row>
        <row r="19">
          <cell r="B19">
            <v>-387500</v>
          </cell>
          <cell r="C19">
            <v>-215000</v>
          </cell>
          <cell r="D19">
            <v>-425000</v>
          </cell>
          <cell r="E19">
            <v>-1750000</v>
          </cell>
          <cell r="F19">
            <v>-850000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KRISP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1A8D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c.havaux@brevomotor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ZEV/key-statistics?p=ZEV" TargetMode="External"/><Relationship Id="rId2" Type="http://schemas.openxmlformats.org/officeDocument/2006/relationships/hyperlink" Target="https://finance.yahoo.com/quote/7272.T/key-statistics?p=7272.T" TargetMode="External"/><Relationship Id="rId1" Type="http://schemas.openxmlformats.org/officeDocument/2006/relationships/hyperlink" Target="https://finance.yahoo.com/quote/PIA.MI/key-statistics?p=PIA.MI" TargetMode="External"/><Relationship Id="rId6" Type="http://schemas.openxmlformats.org/officeDocument/2006/relationships/hyperlink" Target="https://finance.yahoo.com/quote/HEROMOTOCO.NS/key-statistics?p=HEROMOTOCO.NS" TargetMode="External"/><Relationship Id="rId5" Type="http://schemas.openxmlformats.org/officeDocument/2006/relationships/hyperlink" Target="https://finance.yahoo.com/quote/HOG/key-statistics?p=HOG" TargetMode="External"/><Relationship Id="rId4" Type="http://schemas.openxmlformats.org/officeDocument/2006/relationships/hyperlink" Target="https://finance.yahoo.com/quote/9107.T/key-statistics?p=9107.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515F-794E-4336-9631-12EFC9BB1392}">
  <sheetPr codeName="Sheet1">
    <tabColor rgb="FFFFC000"/>
  </sheetPr>
  <dimension ref="A1:L35"/>
  <sheetViews>
    <sheetView showGridLines="0" topLeftCell="A3" zoomScale="130" zoomScaleNormal="130" workbookViewId="0">
      <selection activeCell="B18" sqref="B18"/>
    </sheetView>
  </sheetViews>
  <sheetFormatPr baseColWidth="10" defaultColWidth="11.5" defaultRowHeight="12" x14ac:dyDescent="0.15"/>
  <cols>
    <col min="1" max="1" width="7.33203125" style="28" customWidth="1"/>
    <col min="2" max="2" width="11.5" style="28"/>
    <col min="3" max="3" width="33.5" style="28" bestFit="1" customWidth="1"/>
    <col min="4" max="4" width="14.33203125" style="28" bestFit="1" customWidth="1"/>
    <col min="5" max="10" width="11.5" style="28"/>
    <col min="11" max="11" width="15.1640625" style="28" customWidth="1"/>
    <col min="12" max="12" width="18" style="28" customWidth="1"/>
    <col min="13" max="16384" width="11.5" style="28"/>
  </cols>
  <sheetData>
    <row r="1" spans="1:9" s="27" customFormat="1" x14ac:dyDescent="0.15">
      <c r="E1" s="28"/>
      <c r="F1" s="28"/>
      <c r="G1" s="28"/>
      <c r="H1" s="28"/>
      <c r="I1" s="28"/>
    </row>
    <row r="2" spans="1:9" s="27" customFormat="1" x14ac:dyDescent="0.15">
      <c r="E2" s="28"/>
      <c r="F2" s="28"/>
      <c r="G2" s="28"/>
      <c r="H2" s="28"/>
      <c r="I2" s="28"/>
    </row>
    <row r="3" spans="1:9" s="27" customFormat="1" ht="25" x14ac:dyDescent="0.25">
      <c r="A3" s="29"/>
      <c r="B3" s="28"/>
      <c r="E3" s="28"/>
      <c r="F3" s="28"/>
      <c r="G3" s="49"/>
      <c r="H3" s="28"/>
      <c r="I3" s="28"/>
    </row>
    <row r="4" spans="1:9" s="27" customFormat="1" ht="18" x14ac:dyDescent="0.2">
      <c r="A4" s="30"/>
      <c r="B4" s="28"/>
      <c r="E4" s="28"/>
      <c r="F4" s="28"/>
      <c r="G4" s="49"/>
      <c r="H4" s="28"/>
      <c r="I4" s="28"/>
    </row>
    <row r="5" spans="1:9" s="27" customFormat="1" ht="18" x14ac:dyDescent="0.2">
      <c r="B5" s="28"/>
      <c r="C5" s="257" t="s">
        <v>370</v>
      </c>
      <c r="E5" s="28"/>
      <c r="F5" s="28"/>
      <c r="G5" s="28"/>
      <c r="H5" s="28"/>
      <c r="I5" s="28"/>
    </row>
    <row r="6" spans="1:9" s="27" customFormat="1" x14ac:dyDescent="0.15">
      <c r="B6" s="28"/>
      <c r="C6" s="48"/>
      <c r="E6" s="28"/>
      <c r="F6" s="28"/>
      <c r="G6" s="28"/>
      <c r="H6" s="28"/>
      <c r="I6" s="28"/>
    </row>
    <row r="7" spans="1:9" s="27" customFormat="1" ht="16" x14ac:dyDescent="0.2">
      <c r="B7" s="28"/>
      <c r="C7" s="255" t="s">
        <v>0</v>
      </c>
      <c r="D7" s="255" t="s">
        <v>1</v>
      </c>
      <c r="E7" s="28"/>
      <c r="F7" s="35" t="s">
        <v>2</v>
      </c>
      <c r="G7" s="492" t="s">
        <v>3</v>
      </c>
      <c r="H7" s="492"/>
      <c r="I7" s="28"/>
    </row>
    <row r="8" spans="1:9" s="27" customFormat="1" ht="14" x14ac:dyDescent="0.15">
      <c r="B8" s="31"/>
      <c r="C8" s="256" t="s">
        <v>4</v>
      </c>
      <c r="D8" s="256" t="s">
        <v>5</v>
      </c>
      <c r="E8" s="28"/>
      <c r="F8" s="32"/>
      <c r="G8" s="159" t="s">
        <v>6</v>
      </c>
      <c r="H8" s="53"/>
      <c r="I8" s="28"/>
    </row>
    <row r="9" spans="1:9" s="27" customFormat="1" ht="13" x14ac:dyDescent="0.15">
      <c r="B9" s="31"/>
      <c r="C9" s="256" t="s">
        <v>7</v>
      </c>
      <c r="D9" s="256" t="s">
        <v>8</v>
      </c>
      <c r="E9" s="28"/>
      <c r="F9" s="32"/>
      <c r="G9" s="493" t="s">
        <v>9</v>
      </c>
      <c r="H9" s="493"/>
      <c r="I9" s="28"/>
    </row>
    <row r="10" spans="1:9" ht="13" x14ac:dyDescent="0.15">
      <c r="B10" s="31"/>
      <c r="C10" s="258" t="s">
        <v>10</v>
      </c>
      <c r="D10" s="259">
        <v>45159</v>
      </c>
    </row>
    <row r="11" spans="1:9" ht="16" customHeight="1" x14ac:dyDescent="0.15">
      <c r="A11" s="32"/>
      <c r="D11" s="33"/>
      <c r="E11" s="32"/>
      <c r="F11" s="32"/>
      <c r="G11" s="32"/>
      <c r="H11" s="32"/>
      <c r="I11" s="32"/>
    </row>
    <row r="12" spans="1:9" ht="13" x14ac:dyDescent="0.15">
      <c r="A12" s="32"/>
      <c r="B12" s="33"/>
      <c r="C12" s="33"/>
      <c r="D12" s="33"/>
      <c r="E12" s="32"/>
      <c r="F12" s="32"/>
      <c r="G12" s="32"/>
      <c r="H12" s="32"/>
      <c r="I12" s="32"/>
    </row>
    <row r="13" spans="1:9" x14ac:dyDescent="0.15">
      <c r="A13" s="32"/>
      <c r="B13" s="32"/>
      <c r="C13" s="32"/>
      <c r="D13" s="32"/>
      <c r="E13" s="32"/>
      <c r="F13" s="32"/>
      <c r="G13" s="32"/>
      <c r="H13" s="32"/>
      <c r="I13" s="32"/>
    </row>
    <row r="14" spans="1:9" x14ac:dyDescent="0.15">
      <c r="A14" s="32"/>
      <c r="B14" s="47"/>
      <c r="C14" s="47"/>
      <c r="D14" s="32"/>
      <c r="E14" s="32"/>
      <c r="F14" s="32"/>
      <c r="G14" s="32"/>
      <c r="H14" s="32"/>
      <c r="I14" s="32"/>
    </row>
    <row r="15" spans="1:9" ht="16" x14ac:dyDescent="0.2">
      <c r="A15" s="260">
        <v>1</v>
      </c>
      <c r="B15" s="494" t="s">
        <v>11</v>
      </c>
      <c r="C15" s="494"/>
      <c r="D15" s="32"/>
      <c r="E15" s="32"/>
      <c r="F15" s="32"/>
      <c r="G15" s="32"/>
      <c r="H15" s="32"/>
      <c r="I15" s="32"/>
    </row>
    <row r="16" spans="1:9" ht="16" x14ac:dyDescent="0.2">
      <c r="A16" s="260">
        <v>2</v>
      </c>
      <c r="B16" s="372" t="s">
        <v>12</v>
      </c>
      <c r="C16" s="396"/>
      <c r="D16" s="32"/>
      <c r="E16" s="32"/>
      <c r="F16" s="32"/>
      <c r="G16" s="32"/>
      <c r="H16" s="32"/>
      <c r="I16" s="32"/>
    </row>
    <row r="17" spans="1:12" ht="16" x14ac:dyDescent="0.2">
      <c r="A17" s="260">
        <v>3</v>
      </c>
      <c r="B17" s="396" t="s">
        <v>13</v>
      </c>
      <c r="C17" s="396"/>
      <c r="D17" s="32"/>
      <c r="E17" s="32"/>
      <c r="F17" s="32"/>
      <c r="G17" s="32"/>
      <c r="H17" s="32"/>
      <c r="I17" s="32"/>
    </row>
    <row r="18" spans="1:12" ht="16" x14ac:dyDescent="0.2">
      <c r="A18" s="260">
        <v>4</v>
      </c>
      <c r="B18" s="396" t="s">
        <v>14</v>
      </c>
      <c r="C18" s="265" t="s">
        <v>15</v>
      </c>
      <c r="D18" s="32"/>
      <c r="E18" s="32"/>
      <c r="F18" s="32"/>
      <c r="G18" s="32"/>
      <c r="H18" s="32"/>
      <c r="I18" s="32"/>
    </row>
    <row r="19" spans="1:12" ht="16" x14ac:dyDescent="0.2">
      <c r="A19" s="260">
        <v>5</v>
      </c>
      <c r="B19" s="396" t="s">
        <v>16</v>
      </c>
      <c r="C19" s="261"/>
      <c r="D19" s="32"/>
      <c r="E19" s="32"/>
      <c r="F19" s="32"/>
      <c r="G19" s="32"/>
      <c r="H19" s="32"/>
      <c r="I19" s="32"/>
    </row>
    <row r="20" spans="1:12" ht="16" x14ac:dyDescent="0.2">
      <c r="A20" s="260">
        <v>6</v>
      </c>
      <c r="B20" s="396" t="s">
        <v>17</v>
      </c>
      <c r="C20" s="262"/>
      <c r="D20" s="32"/>
      <c r="E20" s="32"/>
      <c r="F20" s="32"/>
      <c r="G20" s="32"/>
      <c r="H20" s="32"/>
      <c r="I20" s="32"/>
      <c r="J20" s="32"/>
    </row>
    <row r="21" spans="1:12" ht="16" x14ac:dyDescent="0.2">
      <c r="A21" s="260">
        <v>7</v>
      </c>
      <c r="B21" s="396" t="s">
        <v>18</v>
      </c>
      <c r="C21" s="262"/>
      <c r="D21" s="32"/>
      <c r="E21" s="32"/>
      <c r="F21" s="32"/>
      <c r="G21" s="32"/>
      <c r="H21" s="32"/>
      <c r="I21" s="32"/>
      <c r="J21" s="32"/>
      <c r="K21" s="37"/>
      <c r="L21" s="38"/>
    </row>
    <row r="22" spans="1:12" ht="14" customHeight="1" x14ac:dyDescent="0.2">
      <c r="A22" s="260">
        <v>8</v>
      </c>
      <c r="B22" s="396" t="s">
        <v>19</v>
      </c>
      <c r="C22" s="262"/>
      <c r="D22" s="32"/>
      <c r="E22" s="32"/>
      <c r="F22" s="32"/>
      <c r="G22" s="32"/>
      <c r="H22" s="32"/>
      <c r="I22" s="32"/>
      <c r="J22" s="32"/>
      <c r="K22" s="492"/>
      <c r="L22" s="492"/>
    </row>
    <row r="23" spans="1:12" ht="16" x14ac:dyDescent="0.2">
      <c r="A23" s="260">
        <v>9</v>
      </c>
      <c r="B23" s="263" t="s">
        <v>20</v>
      </c>
      <c r="C23" s="262"/>
      <c r="D23" s="32"/>
      <c r="E23" s="32"/>
      <c r="F23" s="32"/>
      <c r="G23" s="32"/>
      <c r="H23" s="32"/>
      <c r="I23" s="32"/>
      <c r="J23" s="32"/>
      <c r="K23" s="39"/>
      <c r="L23" s="36"/>
    </row>
    <row r="24" spans="1:12" ht="13" customHeight="1" x14ac:dyDescent="0.2">
      <c r="A24" s="260">
        <v>10</v>
      </c>
      <c r="B24" s="263" t="s">
        <v>21</v>
      </c>
      <c r="C24" s="262"/>
      <c r="D24" s="32"/>
      <c r="E24" s="32"/>
      <c r="F24" s="32"/>
      <c r="G24" s="32"/>
      <c r="H24" s="32"/>
      <c r="I24" s="32"/>
      <c r="J24" s="32"/>
      <c r="K24" s="495"/>
      <c r="L24" s="495"/>
    </row>
    <row r="25" spans="1:12" ht="13" customHeight="1" x14ac:dyDescent="0.2">
      <c r="A25" s="260">
        <v>11</v>
      </c>
      <c r="B25" s="263" t="s">
        <v>22</v>
      </c>
      <c r="C25" s="262"/>
      <c r="D25" s="32"/>
      <c r="E25" s="32"/>
      <c r="F25" s="32"/>
      <c r="G25" s="32"/>
      <c r="H25" s="32"/>
      <c r="I25" s="32"/>
      <c r="J25" s="32"/>
      <c r="K25" s="397"/>
      <c r="L25" s="397"/>
    </row>
    <row r="26" spans="1:12" ht="16" x14ac:dyDescent="0.2">
      <c r="A26" s="260">
        <v>12</v>
      </c>
      <c r="B26" s="263" t="s">
        <v>23</v>
      </c>
      <c r="C26" s="262"/>
      <c r="D26" s="32"/>
      <c r="E26" s="32"/>
      <c r="F26" s="32"/>
      <c r="G26" s="45"/>
      <c r="H26" s="32"/>
      <c r="I26" s="32"/>
      <c r="J26" s="32"/>
      <c r="K26" s="32"/>
      <c r="L26" s="32"/>
    </row>
    <row r="27" spans="1:12" ht="16" x14ac:dyDescent="0.2">
      <c r="A27" s="260">
        <v>13</v>
      </c>
      <c r="B27" s="396" t="s">
        <v>24</v>
      </c>
      <c r="C27" s="262"/>
      <c r="D27" s="32"/>
      <c r="E27" s="32"/>
      <c r="F27" s="32"/>
      <c r="G27" s="45"/>
      <c r="H27" s="32"/>
      <c r="I27" s="32"/>
      <c r="J27" s="32"/>
      <c r="K27" s="32"/>
      <c r="L27" s="32"/>
    </row>
    <row r="28" spans="1:12" ht="16" x14ac:dyDescent="0.2">
      <c r="A28" s="260">
        <v>14</v>
      </c>
      <c r="B28" s="396" t="s">
        <v>25</v>
      </c>
      <c r="C28" s="262"/>
      <c r="D28" s="32"/>
      <c r="E28" s="32"/>
      <c r="F28" s="32"/>
      <c r="G28" s="32"/>
      <c r="H28" s="32"/>
      <c r="I28" s="32"/>
      <c r="J28" s="32"/>
      <c r="K28" s="32"/>
      <c r="L28" s="32"/>
    </row>
    <row r="29" spans="1:12" ht="16" x14ac:dyDescent="0.2">
      <c r="A29" s="260">
        <v>15</v>
      </c>
      <c r="B29" s="264" t="s">
        <v>26</v>
      </c>
      <c r="C29" s="262"/>
      <c r="D29" s="32"/>
      <c r="E29" s="32"/>
      <c r="F29" s="32"/>
      <c r="G29" s="32"/>
      <c r="H29" s="32"/>
      <c r="I29" s="32"/>
      <c r="J29" s="32"/>
      <c r="K29" s="32"/>
      <c r="L29" s="32"/>
    </row>
    <row r="30" spans="1:12" ht="16" x14ac:dyDescent="0.2">
      <c r="A30" s="260">
        <v>16</v>
      </c>
      <c r="B30" s="264" t="s">
        <v>27</v>
      </c>
      <c r="C30" s="262"/>
      <c r="D30" s="32"/>
      <c r="E30" s="32"/>
      <c r="F30" s="32"/>
      <c r="G30" s="32"/>
      <c r="H30" s="32"/>
      <c r="I30" s="32"/>
      <c r="J30" s="32"/>
      <c r="K30" s="32"/>
      <c r="L30" s="32"/>
    </row>
    <row r="31" spans="1:12" ht="16" x14ac:dyDescent="0.2">
      <c r="A31" s="260">
        <v>17</v>
      </c>
      <c r="B31" s="264" t="s">
        <v>28</v>
      </c>
      <c r="C31" s="46"/>
      <c r="D31" s="32"/>
      <c r="E31" s="32"/>
      <c r="F31" s="32"/>
      <c r="G31" s="32"/>
      <c r="H31" s="32"/>
      <c r="I31" s="32"/>
      <c r="J31" s="32"/>
      <c r="K31" s="32"/>
      <c r="L31" s="32"/>
    </row>
    <row r="32" spans="1:12" x14ac:dyDescent="0.15">
      <c r="A32" s="41"/>
      <c r="B32" s="50"/>
      <c r="D32" s="32"/>
      <c r="E32" s="32"/>
      <c r="F32" s="32"/>
      <c r="G32" s="32"/>
      <c r="H32" s="32"/>
      <c r="I32" s="32"/>
      <c r="J32" s="32"/>
      <c r="K32" s="32"/>
      <c r="L32" s="32"/>
    </row>
    <row r="33" spans="1:2" x14ac:dyDescent="0.15">
      <c r="A33" s="34"/>
      <c r="B33" s="40"/>
    </row>
    <row r="34" spans="1:2" x14ac:dyDescent="0.15">
      <c r="A34" s="34"/>
    </row>
    <row r="35" spans="1:2" x14ac:dyDescent="0.15">
      <c r="A35" s="34"/>
    </row>
  </sheetData>
  <mergeCells count="5">
    <mergeCell ref="G7:H7"/>
    <mergeCell ref="G9:H9"/>
    <mergeCell ref="B15:C15"/>
    <mergeCell ref="K22:L22"/>
    <mergeCell ref="K24:L24"/>
  </mergeCells>
  <hyperlinks>
    <hyperlink ref="B15:C15" location="Instructions!A1" display="Instructions" xr:uid="{63645D15-9399-4D3C-9515-A41EEF190E14}"/>
    <hyperlink ref="B18" location="Dashboard!A1" display="Dashboard" xr:uid="{B9DB46E0-E3E9-45FD-A960-58F3A682B7DF}"/>
    <hyperlink ref="B19" location="Controls!A1" display="Controls" xr:uid="{AF1068EB-05F2-4735-91FC-8DED69568CD4}"/>
    <hyperlink ref="B20" location="'Revenue Asumptions'!A1" display="Revenue Asumptions" xr:uid="{1105F5DB-9805-4FE1-82FC-4751E8E8FFC4}"/>
    <hyperlink ref="B21" location="'Expense Assumptions'!A1" display="Expense Assumptions" xr:uid="{8A7D974A-F7EF-423F-A06D-B47191599E76}"/>
    <hyperlink ref="B22" location="'Payroll Assumptions'!A1" display="Payroll Assumptions" xr:uid="{622EA185-CCC7-4947-956C-5DDE6B769B29}"/>
    <hyperlink ref="B26" location="'Monthly P&amp;L'!A1" display="Monthly P&amp;L" xr:uid="{6B21792A-F069-7848-A7A6-EB6CB7C90CD5}"/>
    <hyperlink ref="B27" location="'Annual P&amp;L'!A1" display="Annual P&amp;L" xr:uid="{5EB87582-EA4A-F143-820A-DD06048219AD}"/>
    <hyperlink ref="B29" location="'Annual CFS'!A1" display="Annual CFS" xr:uid="{56972E2F-10F4-DF4C-887C-AB01612F71DE}"/>
    <hyperlink ref="B24" location="'Fixed Asset Schedules'!A1" display="Fixed Asset Schedules" xr:uid="{61D17558-6BF0-AC40-AF88-823D9809C54C}"/>
    <hyperlink ref="B28" location="'Monthly CFS'!A1" display="Monthly CFS" xr:uid="{425BC0E0-4AB4-8C42-9BB2-269878CB7E42}"/>
    <hyperlink ref="B30" location="' Balance Sheet'!A1" display="Balance Sheet" xr:uid="{57A22F4D-02A4-794C-B204-4CB951708EA6}"/>
    <hyperlink ref="G9:H9" r:id="rId1" display="Jc.havaux@brevomotors.com" xr:uid="{2F1284CA-597C-9948-A273-6A969DEE8A5C}"/>
    <hyperlink ref="B23" location="'Debt Schedule'!A1" display="Debt Schedule" xr:uid="{A6A94D6F-B796-9146-89BA-E6CA05DA555C}"/>
    <hyperlink ref="B31" location="Valuation!A1" display="Valuation" xr:uid="{8D5AB4D5-6727-084E-80AF-9DC970904DA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B17C-2A43-9D48-8B1E-68BAD591FFA5}">
  <dimension ref="A1:H55"/>
  <sheetViews>
    <sheetView topLeftCell="A13" zoomScale="199" zoomScaleNormal="199" workbookViewId="0">
      <selection activeCell="B20" sqref="B20"/>
    </sheetView>
  </sheetViews>
  <sheetFormatPr baseColWidth="10" defaultColWidth="11.5" defaultRowHeight="13" x14ac:dyDescent="0.15"/>
  <cols>
    <col min="1" max="1" width="48.33203125" bestFit="1" customWidth="1"/>
    <col min="2" max="2" width="7.33203125" bestFit="1" customWidth="1"/>
    <col min="3" max="3" width="32" bestFit="1" customWidth="1"/>
    <col min="4" max="4" width="8.6640625" bestFit="1" customWidth="1"/>
    <col min="5" max="5" width="10.1640625" bestFit="1" customWidth="1"/>
    <col min="6" max="6" width="10.1640625" customWidth="1"/>
    <col min="8" max="8" width="18.6640625" bestFit="1" customWidth="1"/>
  </cols>
  <sheetData>
    <row r="1" spans="1:7" ht="19" x14ac:dyDescent="0.25">
      <c r="A1" s="433" t="s">
        <v>29</v>
      </c>
      <c r="B1" s="434"/>
      <c r="C1" s="434"/>
      <c r="D1" s="434"/>
    </row>
    <row r="2" spans="1:7" ht="19" x14ac:dyDescent="0.25">
      <c r="A2" s="433"/>
      <c r="B2" s="434" t="s">
        <v>407</v>
      </c>
      <c r="C2" s="434" t="s">
        <v>408</v>
      </c>
      <c r="D2" s="434"/>
    </row>
    <row r="3" spans="1:7" ht="19" x14ac:dyDescent="0.25">
      <c r="A3" s="433" t="s">
        <v>398</v>
      </c>
      <c r="B3" s="434">
        <v>8</v>
      </c>
      <c r="C3" s="434">
        <v>12</v>
      </c>
      <c r="D3" s="434"/>
    </row>
    <row r="4" spans="1:7" ht="19" x14ac:dyDescent="0.25">
      <c r="A4" s="433"/>
      <c r="B4" s="434"/>
      <c r="C4" s="434"/>
      <c r="D4" s="434"/>
    </row>
    <row r="5" spans="1:7" ht="19" x14ac:dyDescent="0.25">
      <c r="A5" s="433" t="s">
        <v>399</v>
      </c>
      <c r="B5" s="434"/>
      <c r="C5" s="434"/>
      <c r="D5" s="434"/>
    </row>
    <row r="6" spans="1:7" ht="15" x14ac:dyDescent="0.2">
      <c r="A6" s="435" t="s">
        <v>412</v>
      </c>
      <c r="B6" s="434">
        <v>12</v>
      </c>
      <c r="C6" s="434">
        <v>18</v>
      </c>
      <c r="D6" s="434"/>
    </row>
    <row r="7" spans="1:7" ht="15" x14ac:dyDescent="0.2">
      <c r="A7" s="435" t="s">
        <v>411</v>
      </c>
      <c r="B7" s="434">
        <v>10</v>
      </c>
      <c r="C7" s="434">
        <v>14</v>
      </c>
      <c r="D7" s="434"/>
    </row>
    <row r="8" spans="1:7" ht="17" x14ac:dyDescent="0.2">
      <c r="A8" s="435" t="s">
        <v>410</v>
      </c>
      <c r="B8" s="434"/>
      <c r="C8" s="434">
        <v>25</v>
      </c>
      <c r="D8" s="434"/>
      <c r="G8" s="431" t="s">
        <v>401</v>
      </c>
    </row>
    <row r="9" spans="1:7" ht="15" x14ac:dyDescent="0.2">
      <c r="A9" s="435"/>
      <c r="B9" s="434"/>
      <c r="C9" s="434"/>
      <c r="D9" s="434"/>
      <c r="G9" s="432" t="s">
        <v>402</v>
      </c>
    </row>
    <row r="10" spans="1:7" ht="19" x14ac:dyDescent="0.25">
      <c r="A10" s="433" t="s">
        <v>400</v>
      </c>
      <c r="B10" s="434"/>
      <c r="C10" s="434"/>
      <c r="D10" s="434"/>
      <c r="G10" s="432" t="s">
        <v>403</v>
      </c>
    </row>
    <row r="11" spans="1:7" ht="14" x14ac:dyDescent="0.2">
      <c r="A11" s="432" t="s">
        <v>409</v>
      </c>
      <c r="B11" s="434"/>
      <c r="C11" s="434"/>
      <c r="D11" s="434"/>
      <c r="G11" s="432" t="s">
        <v>404</v>
      </c>
    </row>
    <row r="12" spans="1:7" ht="19" x14ac:dyDescent="0.25">
      <c r="A12" s="433" t="s">
        <v>418</v>
      </c>
      <c r="B12" s="434" t="s">
        <v>421</v>
      </c>
      <c r="C12" s="434" t="s">
        <v>422</v>
      </c>
      <c r="D12" s="434"/>
      <c r="G12" s="432" t="s">
        <v>405</v>
      </c>
    </row>
    <row r="13" spans="1:7" ht="14" x14ac:dyDescent="0.2">
      <c r="A13" s="432" t="s">
        <v>413</v>
      </c>
      <c r="B13" s="434">
        <v>85</v>
      </c>
      <c r="C13" s="434">
        <v>150</v>
      </c>
      <c r="D13" s="434"/>
      <c r="G13" s="432" t="s">
        <v>406</v>
      </c>
    </row>
    <row r="14" spans="1:7" ht="14" x14ac:dyDescent="0.2">
      <c r="A14" s="432" t="s">
        <v>414</v>
      </c>
      <c r="B14" s="434">
        <v>28</v>
      </c>
      <c r="C14" s="434">
        <v>45</v>
      </c>
      <c r="D14" s="434"/>
    </row>
    <row r="15" spans="1:7" ht="14" x14ac:dyDescent="0.2">
      <c r="A15" s="432" t="s">
        <v>415</v>
      </c>
      <c r="B15" s="434">
        <v>120</v>
      </c>
      <c r="C15" s="434">
        <v>180</v>
      </c>
      <c r="D15" s="434"/>
    </row>
    <row r="16" spans="1:7" ht="14" x14ac:dyDescent="0.2">
      <c r="A16" s="432" t="s">
        <v>416</v>
      </c>
      <c r="B16" s="437">
        <v>35</v>
      </c>
      <c r="C16" s="438">
        <v>39</v>
      </c>
      <c r="D16" s="434"/>
    </row>
    <row r="17" spans="1:4" ht="15" x14ac:dyDescent="0.2">
      <c r="A17" s="436" t="s">
        <v>417</v>
      </c>
      <c r="B17" s="437">
        <v>120</v>
      </c>
      <c r="C17" s="438">
        <v>150</v>
      </c>
      <c r="D17" s="434"/>
    </row>
    <row r="18" spans="1:4" ht="19" x14ac:dyDescent="0.25">
      <c r="A18" s="433" t="s">
        <v>419</v>
      </c>
      <c r="B18" s="434"/>
      <c r="C18" s="434"/>
      <c r="D18" s="434"/>
    </row>
    <row r="19" spans="1:4" ht="15" x14ac:dyDescent="0.2">
      <c r="A19" s="435" t="s">
        <v>420</v>
      </c>
      <c r="B19" s="434">
        <v>1000</v>
      </c>
      <c r="C19" s="434"/>
      <c r="D19" s="434"/>
    </row>
    <row r="20" spans="1:4" ht="15" x14ac:dyDescent="0.2">
      <c r="A20" s="435"/>
      <c r="B20" s="434"/>
      <c r="C20" s="434"/>
      <c r="D20" s="434"/>
    </row>
    <row r="21" spans="1:4" ht="19" x14ac:dyDescent="0.25">
      <c r="A21" s="440" t="s">
        <v>423</v>
      </c>
      <c r="B21" s="441" t="s">
        <v>440</v>
      </c>
      <c r="C21" s="441" t="s">
        <v>441</v>
      </c>
    </row>
    <row r="22" spans="1:4" x14ac:dyDescent="0.15">
      <c r="A22" s="285" t="s">
        <v>30</v>
      </c>
      <c r="B22" s="286">
        <v>7200</v>
      </c>
      <c r="C22" s="286">
        <v>270000</v>
      </c>
    </row>
    <row r="23" spans="1:4" x14ac:dyDescent="0.15">
      <c r="A23" s="285" t="s">
        <v>424</v>
      </c>
      <c r="B23" s="286">
        <v>10000</v>
      </c>
      <c r="C23" s="286">
        <f>+C22/B22*B23</f>
        <v>375000</v>
      </c>
    </row>
    <row r="24" spans="1:4" x14ac:dyDescent="0.15">
      <c r="A24" s="285" t="s">
        <v>32</v>
      </c>
      <c r="B24" s="286">
        <v>8500</v>
      </c>
      <c r="C24" s="286">
        <f t="shared" ref="C24:C26" si="0">+C23/B23*B24</f>
        <v>318750</v>
      </c>
    </row>
    <row r="25" spans="1:4" x14ac:dyDescent="0.15">
      <c r="A25" s="285" t="s">
        <v>33</v>
      </c>
      <c r="B25" s="286">
        <v>7100</v>
      </c>
      <c r="C25" s="286">
        <f t="shared" si="0"/>
        <v>266250</v>
      </c>
    </row>
    <row r="26" spans="1:4" x14ac:dyDescent="0.15">
      <c r="A26" s="285" t="s">
        <v>31</v>
      </c>
      <c r="B26" s="286">
        <v>750</v>
      </c>
      <c r="C26" s="286">
        <f t="shared" si="0"/>
        <v>28125</v>
      </c>
    </row>
    <row r="27" spans="1:4" x14ac:dyDescent="0.15">
      <c r="C27" s="286">
        <f>SUM(C22:C26)</f>
        <v>1258125</v>
      </c>
      <c r="D27" s="89" t="s">
        <v>442</v>
      </c>
    </row>
    <row r="32" spans="1:4" ht="15" x14ac:dyDescent="0.15">
      <c r="A32" s="439" t="s">
        <v>439</v>
      </c>
      <c r="B32" s="439" t="s">
        <v>425</v>
      </c>
      <c r="C32" s="439" t="s">
        <v>426</v>
      </c>
    </row>
    <row r="33" spans="1:8" x14ac:dyDescent="0.15">
      <c r="A33" t="s">
        <v>427</v>
      </c>
      <c r="B33">
        <v>7500</v>
      </c>
      <c r="C33" t="s">
        <v>428</v>
      </c>
      <c r="G33" s="287" t="e">
        <f>+#REF!*30000</f>
        <v>#REF!</v>
      </c>
      <c r="H33" s="285" t="s">
        <v>35</v>
      </c>
    </row>
    <row r="34" spans="1:8" x14ac:dyDescent="0.15">
      <c r="A34" t="s">
        <v>429</v>
      </c>
      <c r="B34">
        <v>7.6</v>
      </c>
      <c r="C34" t="s">
        <v>430</v>
      </c>
      <c r="G34" s="398"/>
      <c r="H34" s="266"/>
    </row>
    <row r="35" spans="1:8" x14ac:dyDescent="0.15">
      <c r="A35" t="s">
        <v>431</v>
      </c>
      <c r="B35">
        <v>15.1</v>
      </c>
      <c r="C35" t="s">
        <v>430</v>
      </c>
    </row>
    <row r="36" spans="1:8" x14ac:dyDescent="0.15">
      <c r="A36" t="s">
        <v>432</v>
      </c>
      <c r="B36" t="s">
        <v>433</v>
      </c>
      <c r="C36" t="s">
        <v>434</v>
      </c>
    </row>
    <row r="37" spans="1:8" x14ac:dyDescent="0.15">
      <c r="A37" t="s">
        <v>435</v>
      </c>
      <c r="B37">
        <v>35</v>
      </c>
      <c r="C37" t="s">
        <v>436</v>
      </c>
    </row>
    <row r="38" spans="1:8" x14ac:dyDescent="0.15">
      <c r="A38" t="s">
        <v>437</v>
      </c>
      <c r="B38">
        <v>60</v>
      </c>
      <c r="C38" t="s">
        <v>438</v>
      </c>
    </row>
    <row r="42" spans="1:8" x14ac:dyDescent="0.15">
      <c r="G42" s="287" t="e">
        <f>+#REF!*30000</f>
        <v>#REF!</v>
      </c>
      <c r="H42" s="285" t="s">
        <v>35</v>
      </c>
    </row>
    <row r="43" spans="1:8" x14ac:dyDescent="0.15">
      <c r="G43" s="398"/>
      <c r="H43" s="266"/>
    </row>
    <row r="44" spans="1:8" s="79" customFormat="1" x14ac:dyDescent="0.15">
      <c r="A44"/>
      <c r="B44"/>
      <c r="C44"/>
      <c r="D44"/>
      <c r="E44"/>
      <c r="F44"/>
    </row>
    <row r="45" spans="1:8" s="79" customFormat="1" x14ac:dyDescent="0.15">
      <c r="A45"/>
      <c r="B45"/>
      <c r="C45"/>
      <c r="D45"/>
      <c r="E45"/>
      <c r="F45"/>
    </row>
    <row r="46" spans="1:8" s="79" customFormat="1" x14ac:dyDescent="0.15">
      <c r="A46"/>
      <c r="B46"/>
      <c r="C46"/>
      <c r="D46"/>
      <c r="E46"/>
      <c r="F46"/>
      <c r="G46" s="266"/>
      <c r="H46" s="266"/>
    </row>
    <row r="47" spans="1:8" s="79" customFormat="1" x14ac:dyDescent="0.15">
      <c r="A47"/>
      <c r="B47"/>
      <c r="C47"/>
      <c r="D47"/>
      <c r="E47"/>
      <c r="F47"/>
      <c r="G47" s="266"/>
      <c r="H47" s="266"/>
    </row>
    <row r="48" spans="1:8" s="79" customFormat="1" x14ac:dyDescent="0.15">
      <c r="A48"/>
      <c r="B48"/>
      <c r="C48"/>
      <c r="D48"/>
      <c r="E48"/>
      <c r="F48"/>
      <c r="G48" s="266"/>
      <c r="H48" s="266"/>
    </row>
    <row r="49" spans="1:8" s="79" customFormat="1" x14ac:dyDescent="0.15">
      <c r="A49"/>
      <c r="B49"/>
      <c r="C49"/>
      <c r="D49"/>
      <c r="E49"/>
      <c r="F49"/>
      <c r="G49" s="266" t="s">
        <v>36</v>
      </c>
      <c r="H49" s="266" t="s">
        <v>34</v>
      </c>
    </row>
    <row r="50" spans="1:8" x14ac:dyDescent="0.15">
      <c r="G50" s="89" t="s">
        <v>36</v>
      </c>
    </row>
    <row r="51" spans="1:8" x14ac:dyDescent="0.15">
      <c r="G51" s="89" t="s">
        <v>36</v>
      </c>
    </row>
    <row r="55" spans="1:8" s="289" customFormat="1" x14ac:dyDescent="0.15">
      <c r="A55"/>
      <c r="B55"/>
      <c r="C55"/>
      <c r="D55"/>
      <c r="E55"/>
      <c r="F55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FFD9-F977-0A44-AD41-5C045C338438}">
  <dimension ref="A1:E24"/>
  <sheetViews>
    <sheetView zoomScale="158" zoomScaleNormal="256" workbookViewId="0">
      <selection activeCell="F4" sqref="F4"/>
    </sheetView>
  </sheetViews>
  <sheetFormatPr baseColWidth="10" defaultColWidth="10.83203125" defaultRowHeight="16" x14ac:dyDescent="0.2"/>
  <cols>
    <col min="1" max="1" width="45.1640625" style="368" bestFit="1" customWidth="1"/>
    <col min="2" max="2" width="11.33203125" style="368" bestFit="1" customWidth="1"/>
    <col min="3" max="3" width="12" style="368" bestFit="1" customWidth="1"/>
    <col min="4" max="4" width="16" style="368" bestFit="1" customWidth="1"/>
    <col min="5" max="5" width="10.33203125" style="368" bestFit="1" customWidth="1"/>
    <col min="6" max="6" width="107.5" style="368" bestFit="1" customWidth="1"/>
    <col min="7" max="16384" width="10.83203125" style="368"/>
  </cols>
  <sheetData>
    <row r="1" spans="1:5" x14ac:dyDescent="0.2">
      <c r="B1" s="370" t="s">
        <v>393</v>
      </c>
      <c r="C1" s="370" t="s">
        <v>394</v>
      </c>
      <c r="D1" s="370" t="s">
        <v>395</v>
      </c>
      <c r="E1" s="370" t="s">
        <v>38</v>
      </c>
    </row>
    <row r="2" spans="1:5" ht="20" x14ac:dyDescent="0.2">
      <c r="A2" s="385">
        <v>1</v>
      </c>
    </row>
    <row r="3" spans="1:5" x14ac:dyDescent="0.2">
      <c r="A3" s="386"/>
      <c r="B3" s="383"/>
      <c r="C3" s="374"/>
      <c r="D3" s="377"/>
      <c r="E3" s="377"/>
    </row>
    <row r="4" spans="1:5" x14ac:dyDescent="0.2">
      <c r="A4" s="386"/>
      <c r="B4" s="383"/>
      <c r="C4" s="374"/>
      <c r="D4" s="377"/>
      <c r="E4" s="377"/>
    </row>
    <row r="5" spans="1:5" x14ac:dyDescent="0.2">
      <c r="A5" s="386"/>
      <c r="B5" s="383"/>
      <c r="C5" s="374"/>
      <c r="D5" s="377"/>
      <c r="E5" s="377"/>
    </row>
    <row r="6" spans="1:5" x14ac:dyDescent="0.2">
      <c r="A6" s="386"/>
      <c r="B6" s="384"/>
      <c r="C6" s="374"/>
      <c r="D6" s="378"/>
      <c r="E6" s="378"/>
    </row>
    <row r="7" spans="1:5" x14ac:dyDescent="0.2">
      <c r="A7" s="386"/>
      <c r="B7" s="383"/>
      <c r="C7" s="374"/>
      <c r="D7" s="377"/>
      <c r="E7" s="377"/>
    </row>
    <row r="8" spans="1:5" ht="20" x14ac:dyDescent="0.2">
      <c r="A8" s="385">
        <v>2</v>
      </c>
      <c r="B8" s="379"/>
      <c r="D8" s="379"/>
      <c r="E8" s="379"/>
    </row>
    <row r="9" spans="1:5" x14ac:dyDescent="0.2">
      <c r="A9" s="386"/>
      <c r="B9" s="383"/>
      <c r="C9" s="375"/>
      <c r="D9" s="377"/>
      <c r="E9" s="377"/>
    </row>
    <row r="10" spans="1:5" x14ac:dyDescent="0.2">
      <c r="A10" s="386"/>
      <c r="B10" s="383"/>
      <c r="C10" s="375"/>
      <c r="D10" s="377"/>
      <c r="E10" s="377"/>
    </row>
    <row r="11" spans="1:5" x14ac:dyDescent="0.2">
      <c r="A11" s="386"/>
      <c r="B11" s="383"/>
      <c r="C11" s="375"/>
      <c r="D11" s="377"/>
      <c r="E11" s="377"/>
    </row>
    <row r="12" spans="1:5" x14ac:dyDescent="0.2">
      <c r="A12" s="386"/>
      <c r="B12" s="383"/>
      <c r="C12" s="375"/>
      <c r="D12" s="377"/>
      <c r="E12" s="377"/>
    </row>
    <row r="13" spans="1:5" x14ac:dyDescent="0.2">
      <c r="A13" s="391"/>
      <c r="B13" s="383"/>
      <c r="C13" s="375"/>
      <c r="D13" s="377"/>
      <c r="E13" s="377"/>
    </row>
    <row r="14" spans="1:5" x14ac:dyDescent="0.2">
      <c r="A14" s="386"/>
      <c r="B14" s="383"/>
      <c r="C14" s="375"/>
      <c r="D14" s="377"/>
      <c r="E14" s="377"/>
    </row>
    <row r="15" spans="1:5" x14ac:dyDescent="0.2">
      <c r="B15" s="379"/>
      <c r="D15" s="379"/>
      <c r="E15" s="379"/>
    </row>
    <row r="16" spans="1:5" x14ac:dyDescent="0.2">
      <c r="A16" s="376"/>
      <c r="B16" s="380"/>
      <c r="C16" s="369"/>
      <c r="D16" s="380"/>
      <c r="E16" s="380"/>
    </row>
    <row r="17" spans="1:5" x14ac:dyDescent="0.2">
      <c r="A17" s="376"/>
      <c r="B17" s="380"/>
      <c r="C17" s="369"/>
      <c r="D17" s="381"/>
      <c r="E17" s="380"/>
    </row>
    <row r="18" spans="1:5" s="369" customFormat="1" x14ac:dyDescent="0.2">
      <c r="A18" s="371"/>
      <c r="B18" s="382"/>
      <c r="C18" s="373"/>
      <c r="D18" s="382"/>
    </row>
    <row r="19" spans="1:5" s="369" customFormat="1" x14ac:dyDescent="0.2">
      <c r="A19" s="371"/>
    </row>
    <row r="20" spans="1:5" s="369" customFormat="1" x14ac:dyDescent="0.2">
      <c r="A20" s="371"/>
    </row>
    <row r="21" spans="1:5" s="393" customFormat="1" ht="12" x14ac:dyDescent="0.15">
      <c r="A21" s="392"/>
    </row>
    <row r="22" spans="1:5" s="393" customFormat="1" ht="12" x14ac:dyDescent="0.15">
      <c r="B22" s="394"/>
      <c r="C22" s="394"/>
      <c r="D22" s="395"/>
      <c r="E22" s="395"/>
    </row>
    <row r="23" spans="1:5" s="393" customFormat="1" ht="12" x14ac:dyDescent="0.15">
      <c r="B23" s="394"/>
      <c r="C23" s="394"/>
      <c r="D23" s="394"/>
      <c r="E23" s="394"/>
    </row>
    <row r="24" spans="1:5" s="393" customFormat="1" ht="12" x14ac:dyDescent="0.15">
      <c r="B24" s="394"/>
      <c r="C24" s="394"/>
      <c r="D24" s="394"/>
      <c r="E24" s="394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5DD2-99CD-449F-BD05-39850ADA9159}">
  <sheetPr codeName="Sheet3">
    <tabColor rgb="FF002060"/>
  </sheetPr>
  <dimension ref="A1:BG156"/>
  <sheetViews>
    <sheetView showGridLines="0" zoomScale="141" zoomScaleNormal="248" workbookViewId="0">
      <pane xSplit="1" ySplit="5" topLeftCell="B128" activePane="bottomRight" state="frozen"/>
      <selection pane="topRight" activeCell="H16" sqref="H16"/>
      <selection pane="bottomLeft" activeCell="H16" sqref="H16"/>
      <selection pane="bottomRight" activeCell="D156" sqref="D156"/>
    </sheetView>
  </sheetViews>
  <sheetFormatPr baseColWidth="10" defaultColWidth="8.5" defaultRowHeight="12" x14ac:dyDescent="0.15"/>
  <cols>
    <col min="1" max="1" width="50.6640625" style="68" customWidth="1"/>
    <col min="2" max="2" width="11.83203125" style="68" bestFit="1" customWidth="1"/>
    <col min="3" max="6" width="11.33203125" style="68" customWidth="1"/>
    <col min="7" max="7" width="1.6640625" style="68" bestFit="1" customWidth="1"/>
    <col min="8" max="8" width="9.5" style="68" bestFit="1" customWidth="1"/>
    <col min="9" max="16384" width="8.5" style="68"/>
  </cols>
  <sheetData>
    <row r="1" spans="1:59" s="121" customFormat="1" ht="26.25" customHeight="1" x14ac:dyDescent="0.15">
      <c r="A1" s="118" t="s">
        <v>386</v>
      </c>
      <c r="B1" s="119"/>
      <c r="C1" s="119"/>
      <c r="D1" s="119"/>
      <c r="E1" s="119"/>
      <c r="F1" s="119"/>
      <c r="G1" s="119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</row>
    <row r="2" spans="1:59" s="123" customFormat="1" ht="13" x14ac:dyDescent="0.15">
      <c r="A2" s="122" t="s">
        <v>41</v>
      </c>
    </row>
    <row r="3" spans="1:59" s="123" customFormat="1" ht="13" x14ac:dyDescent="0.15">
      <c r="A3" s="124" t="s">
        <v>42</v>
      </c>
    </row>
    <row r="4" spans="1:59" s="56" customFormat="1" x14ac:dyDescent="0.15">
      <c r="A4" s="54"/>
      <c r="B4" s="55" t="s">
        <v>43</v>
      </c>
      <c r="C4" s="55" t="s">
        <v>44</v>
      </c>
      <c r="D4" s="55" t="s">
        <v>45</v>
      </c>
      <c r="E4" s="55" t="s">
        <v>46</v>
      </c>
      <c r="F4" s="55" t="s">
        <v>47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</row>
    <row r="5" spans="1:59" s="123" customFormat="1" x14ac:dyDescent="0.15">
      <c r="A5" s="125" t="s">
        <v>48</v>
      </c>
      <c r="B5" s="126">
        <v>2026</v>
      </c>
      <c r="C5" s="126">
        <f>+B5+1</f>
        <v>2027</v>
      </c>
      <c r="D5" s="126">
        <f t="shared" ref="D5:F5" si="0">+C5+1</f>
        <v>2028</v>
      </c>
      <c r="E5" s="126">
        <f t="shared" si="0"/>
        <v>2029</v>
      </c>
      <c r="F5" s="126">
        <f t="shared" si="0"/>
        <v>2030</v>
      </c>
    </row>
    <row r="6" spans="1:59" customFormat="1" ht="13" x14ac:dyDescent="0.15">
      <c r="A6" s="90" t="s">
        <v>49</v>
      </c>
      <c r="B6" s="128">
        <v>46174</v>
      </c>
    </row>
    <row r="7" spans="1:59" s="57" customFormat="1" x14ac:dyDescent="0.15">
      <c r="A7" s="125" t="s">
        <v>50</v>
      </c>
      <c r="B7" s="126"/>
      <c r="C7" s="126"/>
      <c r="D7" s="126"/>
      <c r="E7" s="126"/>
      <c r="F7" s="126"/>
    </row>
    <row r="8" spans="1:59" s="60" customFormat="1" x14ac:dyDescent="0.15">
      <c r="A8" s="58"/>
      <c r="B8" s="59"/>
      <c r="C8" s="59"/>
      <c r="D8" s="59"/>
      <c r="E8" s="59"/>
      <c r="F8" s="59"/>
    </row>
    <row r="9" spans="1:59" s="60" customFormat="1" hidden="1" x14ac:dyDescent="0.15">
      <c r="A9" s="69" t="s">
        <v>51</v>
      </c>
      <c r="B9" s="59"/>
      <c r="C9" s="59"/>
      <c r="D9" s="59"/>
      <c r="E9" s="59"/>
      <c r="F9" s="59"/>
    </row>
    <row r="10" spans="1:59" s="60" customFormat="1" hidden="1" x14ac:dyDescent="0.15">
      <c r="A10" s="69"/>
      <c r="B10" s="59"/>
      <c r="C10" s="59"/>
      <c r="D10" s="59"/>
      <c r="E10" s="59"/>
      <c r="F10" s="59"/>
    </row>
    <row r="11" spans="1:59" s="60" customFormat="1" hidden="1" x14ac:dyDescent="0.15">
      <c r="A11" s="292" t="s">
        <v>52</v>
      </c>
      <c r="B11" s="59"/>
      <c r="C11" s="59"/>
      <c r="D11" s="59"/>
      <c r="E11" s="59"/>
      <c r="F11" s="59"/>
    </row>
    <row r="12" spans="1:59" s="60" customFormat="1" hidden="1" x14ac:dyDescent="0.15">
      <c r="A12" s="58" t="s">
        <v>53</v>
      </c>
      <c r="B12" s="164">
        <f>SUM('Revenue Asumptions'!B10:M10)</f>
        <v>0</v>
      </c>
      <c r="C12" s="164">
        <f>SUM('Revenue Asumptions'!N10:Y10)</f>
        <v>0</v>
      </c>
      <c r="D12" s="164">
        <f>SUM('Revenue Asumptions'!Z10:AK10)</f>
        <v>0</v>
      </c>
      <c r="E12" s="164">
        <f>SUM('Revenue Asumptions'!AL10:AW10)</f>
        <v>0</v>
      </c>
      <c r="F12" s="164">
        <f>SUM('Revenue Asumptions'!AX10:BI10)</f>
        <v>0</v>
      </c>
    </row>
    <row r="13" spans="1:59" s="60" customFormat="1" hidden="1" x14ac:dyDescent="0.15">
      <c r="A13" s="58" t="s">
        <v>54</v>
      </c>
      <c r="B13" s="164">
        <f>SUM('Revenue Asumptions'!B11:M11)</f>
        <v>0</v>
      </c>
      <c r="C13" s="164">
        <f>SUM('Revenue Asumptions'!N11:Y11)</f>
        <v>0</v>
      </c>
      <c r="D13" s="164">
        <f>SUM('Revenue Asumptions'!Z11:AK11)</f>
        <v>0</v>
      </c>
      <c r="E13" s="164">
        <f>SUM('Revenue Asumptions'!AL11:AW11)</f>
        <v>0</v>
      </c>
      <c r="F13" s="164">
        <f>SUM('Revenue Asumptions'!AX11:BI11)</f>
        <v>0</v>
      </c>
    </row>
    <row r="14" spans="1:59" s="60" customFormat="1" hidden="1" x14ac:dyDescent="0.15">
      <c r="A14" s="58" t="s">
        <v>55</v>
      </c>
      <c r="B14" s="164">
        <f>SUM('Revenue Asumptions'!B12:M12)</f>
        <v>0</v>
      </c>
      <c r="C14" s="164">
        <f>SUM('Revenue Asumptions'!N12:Y12)</f>
        <v>0</v>
      </c>
      <c r="D14" s="164">
        <f>SUM('Revenue Asumptions'!Z12:AK12)</f>
        <v>0</v>
      </c>
      <c r="E14" s="164">
        <f>SUM('Revenue Asumptions'!AL12:AW12)</f>
        <v>0</v>
      </c>
      <c r="F14" s="164">
        <f>SUM('Revenue Asumptions'!AX12:BI12)</f>
        <v>0</v>
      </c>
    </row>
    <row r="15" spans="1:59" s="60" customFormat="1" hidden="1" x14ac:dyDescent="0.15">
      <c r="A15" s="58" t="s">
        <v>56</v>
      </c>
      <c r="B15" s="164">
        <f>SUM('Revenue Asumptions'!B13:M13)</f>
        <v>0</v>
      </c>
      <c r="C15" s="164">
        <f>SUM('Revenue Asumptions'!N13:Y13)</f>
        <v>0</v>
      </c>
      <c r="D15" s="164">
        <f>SUM('Revenue Asumptions'!Z13:AK13)</f>
        <v>0</v>
      </c>
      <c r="E15" s="164">
        <f>SUM('Revenue Asumptions'!AL13:AW13)</f>
        <v>0</v>
      </c>
      <c r="F15" s="164">
        <f>SUM('Revenue Asumptions'!AX13:BI13)</f>
        <v>0</v>
      </c>
    </row>
    <row r="16" spans="1:59" s="60" customFormat="1" hidden="1" x14ac:dyDescent="0.15">
      <c r="A16" s="58" t="s">
        <v>57</v>
      </c>
      <c r="B16" s="164">
        <f>SUM('Revenue Asumptions'!B14:M14)</f>
        <v>0</v>
      </c>
      <c r="C16" s="164">
        <f>SUM('Revenue Asumptions'!N14:Y14)</f>
        <v>0</v>
      </c>
      <c r="D16" s="164">
        <f>SUM('Revenue Asumptions'!Z14:AK14)</f>
        <v>0</v>
      </c>
      <c r="E16" s="164">
        <f>SUM('Revenue Asumptions'!AL14:AW14)</f>
        <v>0</v>
      </c>
      <c r="F16" s="164">
        <f>SUM('Revenue Asumptions'!AX14:BI14)</f>
        <v>0</v>
      </c>
    </row>
    <row r="17" spans="1:6" s="60" customFormat="1" hidden="1" x14ac:dyDescent="0.15">
      <c r="A17" s="58"/>
      <c r="B17" s="290">
        <f>SUM(B12:B16)</f>
        <v>0</v>
      </c>
      <c r="C17" s="290">
        <f t="shared" ref="C17:F17" si="1">SUM(C12:C16)</f>
        <v>0</v>
      </c>
      <c r="D17" s="290">
        <f t="shared" si="1"/>
        <v>0</v>
      </c>
      <c r="E17" s="290">
        <f t="shared" si="1"/>
        <v>0</v>
      </c>
      <c r="F17" s="290">
        <f t="shared" si="1"/>
        <v>0</v>
      </c>
    </row>
    <row r="18" spans="1:6" s="60" customFormat="1" hidden="1" x14ac:dyDescent="0.15">
      <c r="A18" s="292" t="s">
        <v>58</v>
      </c>
      <c r="B18" s="59"/>
      <c r="C18" s="59"/>
      <c r="D18" s="59"/>
      <c r="E18" s="59"/>
      <c r="F18" s="59"/>
    </row>
    <row r="19" spans="1:6" s="60" customFormat="1" hidden="1" x14ac:dyDescent="0.15">
      <c r="A19" s="58" t="s">
        <v>59</v>
      </c>
      <c r="B19" s="164">
        <f>SUM('Revenue Asumptions'!B21:M21)</f>
        <v>0</v>
      </c>
      <c r="C19" s="164">
        <f>SUM('Revenue Asumptions'!N21:AK21)</f>
        <v>0</v>
      </c>
      <c r="D19" s="164">
        <f>SUM('Revenue Asumptions'!Z21:AK21)</f>
        <v>0</v>
      </c>
      <c r="E19" s="164">
        <f>SUM('Revenue Asumptions'!AL21:AW21)</f>
        <v>0</v>
      </c>
      <c r="F19" s="164">
        <f>SUM('Revenue Asumptions'!AX21:BI21)</f>
        <v>0</v>
      </c>
    </row>
    <row r="20" spans="1:6" s="60" customFormat="1" hidden="1" x14ac:dyDescent="0.15">
      <c r="A20" s="58" t="s">
        <v>60</v>
      </c>
      <c r="B20" s="164">
        <f>SUM('Revenue Asumptions'!B22:M22)</f>
        <v>0</v>
      </c>
      <c r="C20" s="164">
        <f>SUM('Revenue Asumptions'!N22:AK22)</f>
        <v>0</v>
      </c>
      <c r="D20" s="164">
        <f>SUM('Revenue Asumptions'!Z22:AK22)</f>
        <v>0</v>
      </c>
      <c r="E20" s="164">
        <f>SUM('Revenue Asumptions'!AL22:AW22)</f>
        <v>0</v>
      </c>
      <c r="F20" s="164">
        <f>SUM('Revenue Asumptions'!AX22:BI22)</f>
        <v>0</v>
      </c>
    </row>
    <row r="21" spans="1:6" s="60" customFormat="1" hidden="1" x14ac:dyDescent="0.15">
      <c r="A21" s="58" t="s">
        <v>61</v>
      </c>
      <c r="B21" s="164">
        <f>SUM('Revenue Asumptions'!B23:M23)</f>
        <v>0</v>
      </c>
      <c r="C21" s="164">
        <f>SUM('Revenue Asumptions'!N23:AK23)</f>
        <v>0</v>
      </c>
      <c r="D21" s="164">
        <f>SUM('Revenue Asumptions'!Z23:AK23)</f>
        <v>0</v>
      </c>
      <c r="E21" s="164">
        <f>SUM('Revenue Asumptions'!AL23:AW23)</f>
        <v>0</v>
      </c>
      <c r="F21" s="164">
        <f>SUM('Revenue Asumptions'!AX23:BI23)</f>
        <v>0</v>
      </c>
    </row>
    <row r="22" spans="1:6" s="60" customFormat="1" hidden="1" x14ac:dyDescent="0.15">
      <c r="A22" s="58" t="s">
        <v>62</v>
      </c>
      <c r="B22" s="164">
        <f>SUM('Revenue Asumptions'!B24:M24)</f>
        <v>0</v>
      </c>
      <c r="C22" s="164">
        <f>SUM('Revenue Asumptions'!N24:AK24)</f>
        <v>0</v>
      </c>
      <c r="D22" s="164">
        <f>SUM('Revenue Asumptions'!Z24:AK24)</f>
        <v>0</v>
      </c>
      <c r="E22" s="164">
        <f>SUM('Revenue Asumptions'!AL24:AW24)</f>
        <v>0</v>
      </c>
      <c r="F22" s="164">
        <f>SUM('Revenue Asumptions'!AX24:BI24)</f>
        <v>0</v>
      </c>
    </row>
    <row r="23" spans="1:6" s="60" customFormat="1" hidden="1" x14ac:dyDescent="0.15">
      <c r="A23" s="58" t="s">
        <v>63</v>
      </c>
      <c r="B23" s="164">
        <f>SUM('Revenue Asumptions'!B25:M25)</f>
        <v>0</v>
      </c>
      <c r="C23" s="164">
        <f>SUM('Revenue Asumptions'!N25:AK25)</f>
        <v>0</v>
      </c>
      <c r="D23" s="164">
        <f>SUM('Revenue Asumptions'!Z25:AK25)</f>
        <v>0</v>
      </c>
      <c r="E23" s="164">
        <f>SUM('Revenue Asumptions'!AL25:AW25)</f>
        <v>0</v>
      </c>
      <c r="F23" s="164">
        <f>SUM('Revenue Asumptions'!AX25:BI25)</f>
        <v>0</v>
      </c>
    </row>
    <row r="24" spans="1:6" s="60" customFormat="1" hidden="1" x14ac:dyDescent="0.15">
      <c r="A24" s="58"/>
      <c r="B24" s="290">
        <f>SUM(B19:B23)</f>
        <v>0</v>
      </c>
      <c r="C24" s="290">
        <f t="shared" ref="C24:F24" si="2">SUM(C19:C23)</f>
        <v>0</v>
      </c>
      <c r="D24" s="290">
        <f t="shared" si="2"/>
        <v>0</v>
      </c>
      <c r="E24" s="290">
        <f t="shared" si="2"/>
        <v>0</v>
      </c>
      <c r="F24" s="290">
        <f t="shared" si="2"/>
        <v>0</v>
      </c>
    </row>
    <row r="25" spans="1:6" s="142" customFormat="1" x14ac:dyDescent="0.15">
      <c r="A25" s="186" t="s">
        <v>396</v>
      </c>
    </row>
    <row r="26" spans="1:6" s="142" customFormat="1" x14ac:dyDescent="0.15">
      <c r="A26" s="189" t="s">
        <v>111</v>
      </c>
      <c r="B26" s="291">
        <f>SUM(B27:B29)</f>
        <v>8100</v>
      </c>
      <c r="C26" s="291">
        <f t="shared" ref="C26:F26" si="3">SUM(C27:C29)</f>
        <v>23137.5</v>
      </c>
      <c r="D26" s="291">
        <f t="shared" si="3"/>
        <v>46275</v>
      </c>
      <c r="E26" s="291">
        <f t="shared" si="3"/>
        <v>76350</v>
      </c>
      <c r="F26" s="291">
        <f t="shared" si="3"/>
        <v>104805</v>
      </c>
    </row>
    <row r="27" spans="1:6" s="142" customFormat="1" x14ac:dyDescent="0.15">
      <c r="A27" s="430" t="s">
        <v>389</v>
      </c>
      <c r="B27" s="444">
        <f>+'DATA Raw'!C22*0.03</f>
        <v>8100</v>
      </c>
      <c r="C27" s="444">
        <f>+B27*2</f>
        <v>16200</v>
      </c>
      <c r="D27" s="444">
        <f t="shared" ref="D27:D29" si="4">+C27*2</f>
        <v>32400</v>
      </c>
      <c r="E27" s="444">
        <f>+D27*1.5</f>
        <v>48600</v>
      </c>
      <c r="F27" s="444">
        <f>+E27*1.3</f>
        <v>63180</v>
      </c>
    </row>
    <row r="28" spans="1:6" s="60" customFormat="1" x14ac:dyDescent="0.15">
      <c r="A28" s="430" t="s">
        <v>390</v>
      </c>
      <c r="B28" s="444"/>
      <c r="C28" s="444">
        <f>+'DATA Raw'!C24*0.01</f>
        <v>3187.5</v>
      </c>
      <c r="D28" s="444">
        <f t="shared" si="4"/>
        <v>6375</v>
      </c>
      <c r="E28" s="444">
        <f>+D28*2</f>
        <v>12750</v>
      </c>
      <c r="F28" s="444">
        <f>+E28*1.5</f>
        <v>19125</v>
      </c>
    </row>
    <row r="29" spans="1:6" s="60" customFormat="1" x14ac:dyDescent="0.15">
      <c r="A29" s="430" t="s">
        <v>391</v>
      </c>
      <c r="B29" s="290">
        <f>+(B17+B24)*0.2</f>
        <v>0</v>
      </c>
      <c r="C29" s="290">
        <f>+'DATA Raw'!C23*0.01</f>
        <v>3750</v>
      </c>
      <c r="D29" s="444">
        <f t="shared" si="4"/>
        <v>7500</v>
      </c>
      <c r="E29" s="444">
        <f>+D29*2</f>
        <v>15000</v>
      </c>
      <c r="F29" s="444">
        <f>+E29*1.5</f>
        <v>22500</v>
      </c>
    </row>
    <row r="30" spans="1:6" s="60" customFormat="1" x14ac:dyDescent="0.15">
      <c r="A30" s="443" t="s">
        <v>115</v>
      </c>
      <c r="B30" s="445">
        <f>+B26*'DATA Raw'!$B$16</f>
        <v>283500</v>
      </c>
      <c r="C30" s="445">
        <f>+C26*'DATA Raw'!$B$16</f>
        <v>809812.5</v>
      </c>
      <c r="D30" s="445">
        <f>+D26*'DATA Raw'!$B$16</f>
        <v>1619625</v>
      </c>
      <c r="E30" s="445">
        <f>+E26*'DATA Raw'!$B$16</f>
        <v>2672250</v>
      </c>
      <c r="F30" s="445">
        <f>+F26*'DATA Raw'!$B$16</f>
        <v>3668175</v>
      </c>
    </row>
    <row r="31" spans="1:6" s="60" customFormat="1" x14ac:dyDescent="0.15">
      <c r="A31" s="186" t="s">
        <v>397</v>
      </c>
      <c r="B31" s="187">
        <f>+(B17+B24)*0.3</f>
        <v>0</v>
      </c>
      <c r="C31" s="187">
        <f t="shared" ref="C31:F31" si="5">+(C17+C24)*0.3</f>
        <v>0</v>
      </c>
      <c r="D31" s="187">
        <f t="shared" si="5"/>
        <v>0</v>
      </c>
      <c r="E31" s="187">
        <f t="shared" si="5"/>
        <v>0</v>
      </c>
      <c r="F31" s="187">
        <f t="shared" si="5"/>
        <v>0</v>
      </c>
    </row>
    <row r="32" spans="1:6" s="60" customFormat="1" x14ac:dyDescent="0.15">
      <c r="A32" s="189" t="s">
        <v>111</v>
      </c>
      <c r="B32" s="446">
        <f t="shared" ref="B32:E32" si="6">SUM(B33:B35)</f>
        <v>0</v>
      </c>
      <c r="C32" s="446">
        <f t="shared" si="6"/>
        <v>0</v>
      </c>
      <c r="D32" s="446">
        <f t="shared" si="6"/>
        <v>4860</v>
      </c>
      <c r="E32" s="446">
        <f t="shared" si="6"/>
        <v>13882.5</v>
      </c>
      <c r="F32" s="446">
        <f>SUM(F33:F35)</f>
        <v>27765</v>
      </c>
    </row>
    <row r="33" spans="1:7" s="60" customFormat="1" x14ac:dyDescent="0.15">
      <c r="A33" s="430" t="s">
        <v>389</v>
      </c>
      <c r="B33" s="447"/>
      <c r="C33" s="445"/>
      <c r="D33" s="290">
        <f>+B27*0.6</f>
        <v>4860</v>
      </c>
      <c r="E33" s="290">
        <f t="shared" ref="E33:F33" si="7">+C27*0.6</f>
        <v>9720</v>
      </c>
      <c r="F33" s="290">
        <f t="shared" si="7"/>
        <v>19440</v>
      </c>
    </row>
    <row r="34" spans="1:7" s="60" customFormat="1" x14ac:dyDescent="0.15">
      <c r="A34" s="430" t="s">
        <v>390</v>
      </c>
      <c r="B34" s="448"/>
      <c r="C34" s="448"/>
      <c r="D34" s="290">
        <f t="shared" ref="D34:D35" si="8">+B28*0.6</f>
        <v>0</v>
      </c>
      <c r="E34" s="290">
        <f t="shared" ref="E34:E35" si="9">+C28*0.6</f>
        <v>1912.5</v>
      </c>
      <c r="F34" s="290">
        <f t="shared" ref="F34:F35" si="10">+D28*0.6</f>
        <v>3825</v>
      </c>
    </row>
    <row r="35" spans="1:7" s="60" customFormat="1" x14ac:dyDescent="0.15">
      <c r="A35" s="430" t="s">
        <v>391</v>
      </c>
      <c r="B35" s="189"/>
      <c r="C35" s="189"/>
      <c r="D35" s="290">
        <f t="shared" si="8"/>
        <v>0</v>
      </c>
      <c r="E35" s="290">
        <f t="shared" si="9"/>
        <v>2250</v>
      </c>
      <c r="F35" s="290">
        <f t="shared" si="10"/>
        <v>4500</v>
      </c>
    </row>
    <row r="36" spans="1:7" s="60" customFormat="1" hidden="1" x14ac:dyDescent="0.15">
      <c r="A36" s="189" t="s">
        <v>115</v>
      </c>
      <c r="F36" s="442">
        <f>SUM(F33:F35)</f>
        <v>27765</v>
      </c>
    </row>
    <row r="37" spans="1:7" s="60" customFormat="1" hidden="1" x14ac:dyDescent="0.15">
      <c r="A37" s="186" t="s">
        <v>387</v>
      </c>
      <c r="B37" s="301">
        <v>0</v>
      </c>
      <c r="C37" s="301">
        <f>B37*(1+C38)</f>
        <v>0</v>
      </c>
      <c r="D37" s="136">
        <f t="shared" ref="D37" si="11">C37*(1+D38)</f>
        <v>0</v>
      </c>
      <c r="E37" s="136">
        <f t="shared" ref="E37" si="12">D37*(1+E38)</f>
        <v>0</v>
      </c>
      <c r="F37" s="136">
        <f t="shared" ref="F37" si="13">E37*(1+F38)</f>
        <v>0</v>
      </c>
      <c r="G37" s="60" t="s">
        <v>34</v>
      </c>
    </row>
    <row r="38" spans="1:7" s="60" customFormat="1" hidden="1" x14ac:dyDescent="0.15">
      <c r="A38" s="189" t="s">
        <v>111</v>
      </c>
      <c r="C38" s="64">
        <v>0.05</v>
      </c>
      <c r="D38" s="64">
        <v>0.05</v>
      </c>
      <c r="E38" s="64">
        <v>0.05</v>
      </c>
      <c r="F38" s="64">
        <v>0.05</v>
      </c>
    </row>
    <row r="39" spans="1:7" s="60" customFormat="1" hidden="1" x14ac:dyDescent="0.15">
      <c r="A39" s="430" t="s">
        <v>389</v>
      </c>
      <c r="B39" s="301">
        <v>0</v>
      </c>
      <c r="C39" s="136">
        <f>B39*(1+C40)</f>
        <v>0</v>
      </c>
      <c r="D39" s="136">
        <f t="shared" ref="D39" si="14">C39*(1+D40)</f>
        <v>0</v>
      </c>
      <c r="E39" s="136">
        <f t="shared" ref="E39" si="15">D39*(1+E40)</f>
        <v>0</v>
      </c>
      <c r="F39" s="136">
        <f t="shared" ref="F39" si="16">E39*(1+F40)</f>
        <v>0</v>
      </c>
    </row>
    <row r="40" spans="1:7" s="60" customFormat="1" hidden="1" x14ac:dyDescent="0.15">
      <c r="A40" s="430" t="s">
        <v>390</v>
      </c>
      <c r="C40" s="64">
        <v>0.05</v>
      </c>
      <c r="D40" s="64">
        <v>0.05</v>
      </c>
      <c r="E40" s="64">
        <v>0.05</v>
      </c>
      <c r="F40" s="64">
        <v>0.05</v>
      </c>
    </row>
    <row r="41" spans="1:7" s="60" customFormat="1" hidden="1" x14ac:dyDescent="0.15">
      <c r="A41" s="430" t="s">
        <v>391</v>
      </c>
      <c r="B41" s="64">
        <v>0.25</v>
      </c>
      <c r="C41" s="64">
        <v>0.25</v>
      </c>
      <c r="D41" s="64">
        <v>0.25</v>
      </c>
      <c r="E41" s="64">
        <v>0.25</v>
      </c>
      <c r="F41" s="64">
        <v>0.25</v>
      </c>
    </row>
    <row r="42" spans="1:7" s="60" customFormat="1" hidden="1" x14ac:dyDescent="0.15">
      <c r="A42" s="189" t="s">
        <v>115</v>
      </c>
      <c r="B42" s="64"/>
      <c r="C42" s="300" t="s">
        <v>68</v>
      </c>
      <c r="D42" s="300" t="s">
        <v>68</v>
      </c>
      <c r="E42" s="300" t="s">
        <v>68</v>
      </c>
      <c r="F42" s="300" t="s">
        <v>68</v>
      </c>
    </row>
    <row r="43" spans="1:7" s="60" customFormat="1" x14ac:dyDescent="0.15">
      <c r="A43" s="189" t="s">
        <v>115</v>
      </c>
      <c r="B43" s="445"/>
      <c r="C43" s="445"/>
      <c r="D43" s="445">
        <f>+D32*'DATA Raw'!$B$17</f>
        <v>583200</v>
      </c>
      <c r="E43" s="445">
        <f>+E32*'DATA Raw'!$B$17</f>
        <v>1665900</v>
      </c>
      <c r="F43" s="445">
        <f>+F32*'DATA Raw'!$B$17</f>
        <v>3331800</v>
      </c>
      <c r="G43" s="136">
        <f>+G32*'DATA Raw'!$B$17</f>
        <v>0</v>
      </c>
    </row>
    <row r="44" spans="1:7" s="62" customFormat="1" x14ac:dyDescent="0.15">
      <c r="A44" s="186" t="s">
        <v>387</v>
      </c>
      <c r="B44" s="301"/>
      <c r="C44" s="136"/>
      <c r="D44" s="136"/>
      <c r="E44" s="136"/>
      <c r="F44" s="136"/>
    </row>
    <row r="45" spans="1:7" s="62" customFormat="1" x14ac:dyDescent="0.15">
      <c r="A45" s="189" t="s">
        <v>111</v>
      </c>
      <c r="B45" s="290">
        <f>+B26/500</f>
        <v>16.2</v>
      </c>
      <c r="C45" s="290">
        <f t="shared" ref="C45:F45" si="17">+C26/500</f>
        <v>46.274999999999999</v>
      </c>
      <c r="D45" s="290">
        <f t="shared" si="17"/>
        <v>92.55</v>
      </c>
      <c r="E45" s="290">
        <f t="shared" si="17"/>
        <v>152.69999999999999</v>
      </c>
      <c r="F45" s="290">
        <f t="shared" si="17"/>
        <v>209.61</v>
      </c>
    </row>
    <row r="46" spans="1:7" s="56" customFormat="1" x14ac:dyDescent="0.15">
      <c r="A46" s="189" t="s">
        <v>115</v>
      </c>
      <c r="B46" s="445">
        <f>+B45*'DATA Raw'!$B$19</f>
        <v>16200</v>
      </c>
      <c r="C46" s="445">
        <f>+C45*'DATA Raw'!$B$19</f>
        <v>46275</v>
      </c>
      <c r="D46" s="445">
        <f>+D45*'DATA Raw'!$B$19</f>
        <v>92550</v>
      </c>
      <c r="E46" s="445">
        <f>+E45*'DATA Raw'!$B$19</f>
        <v>152700</v>
      </c>
      <c r="F46" s="445">
        <f>+F45*'DATA Raw'!$B$19</f>
        <v>209610</v>
      </c>
    </row>
    <row r="47" spans="1:7" s="56" customFormat="1" x14ac:dyDescent="0.15">
      <c r="A47" s="186" t="s">
        <v>388</v>
      </c>
    </row>
    <row r="48" spans="1:7" s="56" customFormat="1" x14ac:dyDescent="0.15">
      <c r="A48" s="58" t="s">
        <v>392</v>
      </c>
      <c r="B48" s="298" t="s">
        <v>443</v>
      </c>
      <c r="C48" s="298"/>
      <c r="D48" s="298"/>
      <c r="E48" s="298"/>
      <c r="F48" s="298"/>
    </row>
    <row r="49" spans="1:6" s="56" customFormat="1" x14ac:dyDescent="0.15">
      <c r="A49" s="451" t="s">
        <v>115</v>
      </c>
      <c r="B49" s="298" t="s">
        <v>443</v>
      </c>
      <c r="C49" s="298"/>
      <c r="D49" s="298"/>
      <c r="E49" s="298"/>
      <c r="F49" s="298"/>
    </row>
    <row r="50" spans="1:6" s="56" customFormat="1" x14ac:dyDescent="0.15">
      <c r="A50" s="299" t="s">
        <v>34</v>
      </c>
    </row>
    <row r="51" spans="1:6" s="56" customFormat="1" x14ac:dyDescent="0.15">
      <c r="A51" s="450" t="s">
        <v>444</v>
      </c>
      <c r="B51" s="449">
        <f>+B46+B43+B30</f>
        <v>299700</v>
      </c>
      <c r="C51" s="449">
        <f t="shared" ref="C51:F51" si="18">+C46+C43+C30</f>
        <v>856087.5</v>
      </c>
      <c r="D51" s="449">
        <f t="shared" si="18"/>
        <v>2295375</v>
      </c>
      <c r="E51" s="449">
        <f t="shared" si="18"/>
        <v>4490850</v>
      </c>
      <c r="F51" s="449">
        <f t="shared" si="18"/>
        <v>7209585</v>
      </c>
    </row>
    <row r="52" spans="1:6" s="56" customFormat="1" x14ac:dyDescent="0.15">
      <c r="A52" s="69"/>
    </row>
    <row r="53" spans="1:6" s="56" customFormat="1" x14ac:dyDescent="0.15">
      <c r="A53" s="293" t="s">
        <v>445</v>
      </c>
      <c r="B53" s="452">
        <v>0.21</v>
      </c>
    </row>
    <row r="54" spans="1:6" s="56" customFormat="1" x14ac:dyDescent="0.15">
      <c r="A54" s="454"/>
      <c r="B54" s="453"/>
    </row>
    <row r="55" spans="1:6" s="56" customFormat="1" x14ac:dyDescent="0.15">
      <c r="A55" s="303" t="s">
        <v>446</v>
      </c>
      <c r="B55" s="453"/>
    </row>
    <row r="56" spans="1:6" s="56" customFormat="1" x14ac:dyDescent="0.15">
      <c r="A56" s="58" t="s">
        <v>74</v>
      </c>
    </row>
    <row r="57" spans="1:6" s="56" customFormat="1" x14ac:dyDescent="0.15"/>
    <row r="58" spans="1:6" s="56" customFormat="1" x14ac:dyDescent="0.15">
      <c r="A58" s="69"/>
    </row>
    <row r="59" spans="1:6" s="56" customFormat="1" x14ac:dyDescent="0.15">
      <c r="A59" s="61"/>
    </row>
    <row r="60" spans="1:6" s="56" customFormat="1" x14ac:dyDescent="0.15"/>
    <row r="61" spans="1:6" s="56" customFormat="1" x14ac:dyDescent="0.15">
      <c r="A61" s="61"/>
    </row>
    <row r="62" spans="1:6" s="56" customFormat="1" ht="13" x14ac:dyDescent="0.15">
      <c r="A62" t="s">
        <v>76</v>
      </c>
      <c r="B62" s="135">
        <v>0</v>
      </c>
      <c r="C62" s="136">
        <v>300</v>
      </c>
      <c r="D62" s="136">
        <f t="shared" ref="D62" si="19">C62*(1+D63)</f>
        <v>330</v>
      </c>
      <c r="E62" s="136">
        <f t="shared" ref="E62" si="20">D62*(1+E63)</f>
        <v>379.49999999999994</v>
      </c>
      <c r="F62" s="136">
        <f t="shared" ref="F62" si="21">E62*(1+F63)</f>
        <v>417.45</v>
      </c>
    </row>
    <row r="63" spans="1:6" s="56" customFormat="1" x14ac:dyDescent="0.15">
      <c r="A63" s="161" t="s">
        <v>77</v>
      </c>
      <c r="C63" s="63">
        <v>0.1</v>
      </c>
      <c r="D63" s="63">
        <v>0.1</v>
      </c>
      <c r="E63" s="63">
        <v>0.15</v>
      </c>
      <c r="F63" s="63">
        <v>0.1</v>
      </c>
    </row>
    <row r="64" spans="1:6" s="56" customFormat="1" x14ac:dyDescent="0.15">
      <c r="B64" s="294">
        <f>+B62*12</f>
        <v>0</v>
      </c>
      <c r="C64" s="294">
        <f t="shared" ref="C64:F64" si="22">+C62*12</f>
        <v>3600</v>
      </c>
      <c r="D64" s="294">
        <f t="shared" si="22"/>
        <v>3960</v>
      </c>
      <c r="E64" s="294">
        <f t="shared" si="22"/>
        <v>4553.9999999999991</v>
      </c>
      <c r="F64" s="294">
        <f t="shared" si="22"/>
        <v>5009.3999999999996</v>
      </c>
    </row>
    <row r="65" spans="1:6" s="56" customFormat="1" x14ac:dyDescent="0.15">
      <c r="B65" s="294"/>
      <c r="C65" s="294"/>
      <c r="D65" s="294"/>
      <c r="E65" s="294"/>
      <c r="F65" s="294"/>
    </row>
    <row r="66" spans="1:6" s="56" customFormat="1" ht="13" x14ac:dyDescent="0.15">
      <c r="A66" t="s">
        <v>78</v>
      </c>
      <c r="B66" s="135">
        <v>0</v>
      </c>
      <c r="C66" s="136">
        <f>B66*(1+C67)</f>
        <v>0</v>
      </c>
      <c r="D66" s="136">
        <v>300</v>
      </c>
      <c r="E66" s="136">
        <f t="shared" ref="E66" si="23">D66*(1+E67)</f>
        <v>345</v>
      </c>
      <c r="F66" s="136">
        <f t="shared" ref="F66" si="24">E66*(1+F67)</f>
        <v>379.50000000000006</v>
      </c>
    </row>
    <row r="67" spans="1:6" s="56" customFormat="1" x14ac:dyDescent="0.15">
      <c r="A67" s="161" t="s">
        <v>77</v>
      </c>
      <c r="C67" s="63">
        <v>0.1</v>
      </c>
      <c r="D67" s="63">
        <v>0.1</v>
      </c>
      <c r="E67" s="63">
        <v>0.15</v>
      </c>
      <c r="F67" s="63">
        <v>0.1</v>
      </c>
    </row>
    <row r="68" spans="1:6" s="56" customFormat="1" x14ac:dyDescent="0.15">
      <c r="B68" s="294">
        <f>+B66*12</f>
        <v>0</v>
      </c>
      <c r="C68" s="294">
        <f t="shared" ref="C68:F68" si="25">+C66*12</f>
        <v>0</v>
      </c>
      <c r="D68" s="294">
        <f t="shared" si="25"/>
        <v>3600</v>
      </c>
      <c r="E68" s="294">
        <f t="shared" si="25"/>
        <v>4140</v>
      </c>
      <c r="F68" s="294">
        <f t="shared" si="25"/>
        <v>4554.0000000000009</v>
      </c>
    </row>
    <row r="69" spans="1:6" s="56" customFormat="1" x14ac:dyDescent="0.15">
      <c r="B69" s="295"/>
      <c r="C69" s="295"/>
      <c r="D69" s="295"/>
      <c r="E69" s="295"/>
      <c r="F69" s="295"/>
    </row>
    <row r="70" spans="1:6" s="56" customFormat="1" ht="13" x14ac:dyDescent="0.15">
      <c r="A70" t="s">
        <v>79</v>
      </c>
      <c r="B70" s="135">
        <v>0</v>
      </c>
      <c r="C70" s="136">
        <v>300</v>
      </c>
      <c r="D70" s="136">
        <f t="shared" ref="D70" si="26">C70*(1+D71)</f>
        <v>450</v>
      </c>
      <c r="E70" s="136">
        <f t="shared" ref="E70" si="27">D70*(1+E71)</f>
        <v>517.5</v>
      </c>
      <c r="F70" s="136">
        <f t="shared" ref="F70" si="28">E70*(1+F71)</f>
        <v>569.25</v>
      </c>
    </row>
    <row r="71" spans="1:6" s="56" customFormat="1" x14ac:dyDescent="0.15">
      <c r="A71" s="161" t="s">
        <v>77</v>
      </c>
      <c r="B71" s="70"/>
      <c r="C71" s="63">
        <v>0.1</v>
      </c>
      <c r="D71" s="63">
        <v>0.5</v>
      </c>
      <c r="E71" s="63">
        <v>0.15</v>
      </c>
      <c r="F71" s="63">
        <v>0.1</v>
      </c>
    </row>
    <row r="72" spans="1:6" s="56" customFormat="1" ht="13" x14ac:dyDescent="0.15">
      <c r="A72"/>
      <c r="B72" s="294">
        <f>+B70*12</f>
        <v>0</v>
      </c>
      <c r="C72" s="294">
        <f t="shared" ref="C72:F72" si="29">+C70*12</f>
        <v>3600</v>
      </c>
      <c r="D72" s="294">
        <f t="shared" si="29"/>
        <v>5400</v>
      </c>
      <c r="E72" s="294">
        <f t="shared" si="29"/>
        <v>6210</v>
      </c>
      <c r="F72" s="294">
        <f t="shared" si="29"/>
        <v>6831</v>
      </c>
    </row>
    <row r="73" spans="1:6" s="56" customFormat="1" ht="13" x14ac:dyDescent="0.15">
      <c r="A73"/>
      <c r="B73" s="70"/>
      <c r="C73" s="70"/>
      <c r="D73" s="70"/>
      <c r="E73" s="70"/>
      <c r="F73" s="70"/>
    </row>
    <row r="74" spans="1:6" s="56" customFormat="1" ht="13" x14ac:dyDescent="0.15">
      <c r="A74" t="s">
        <v>80</v>
      </c>
      <c r="B74" s="135">
        <v>400</v>
      </c>
      <c r="C74" s="136">
        <f>B74*(1+C75)</f>
        <v>500</v>
      </c>
      <c r="D74" s="136">
        <f t="shared" ref="D74" si="30">C74*(1+D75)</f>
        <v>625</v>
      </c>
      <c r="E74" s="136">
        <f t="shared" ref="E74" si="31">D74*(1+E75)</f>
        <v>687.5</v>
      </c>
      <c r="F74" s="136">
        <f t="shared" ref="F74" si="32">E74*(1+F75)</f>
        <v>756.25000000000011</v>
      </c>
    </row>
    <row r="75" spans="1:6" s="56" customFormat="1" x14ac:dyDescent="0.15">
      <c r="A75" s="161" t="s">
        <v>77</v>
      </c>
      <c r="B75" s="70"/>
      <c r="C75" s="63">
        <v>0.25</v>
      </c>
      <c r="D75" s="63">
        <v>0.25</v>
      </c>
      <c r="E75" s="63">
        <v>0.1</v>
      </c>
      <c r="F75" s="63">
        <v>0.1</v>
      </c>
    </row>
    <row r="76" spans="1:6" s="56" customFormat="1" ht="13" x14ac:dyDescent="0.15">
      <c r="A76"/>
      <c r="B76" s="456">
        <f>+B74*12</f>
        <v>4800</v>
      </c>
      <c r="C76" s="456">
        <f t="shared" ref="C76:F76" si="33">+C74*12</f>
        <v>6000</v>
      </c>
      <c r="D76" s="456">
        <f t="shared" si="33"/>
        <v>7500</v>
      </c>
      <c r="E76" s="456">
        <f t="shared" si="33"/>
        <v>8250</v>
      </c>
      <c r="F76" s="456">
        <f t="shared" si="33"/>
        <v>9075.0000000000018</v>
      </c>
    </row>
    <row r="77" spans="1:6" s="56" customFormat="1" ht="13" x14ac:dyDescent="0.15">
      <c r="A77"/>
      <c r="B77" s="296"/>
      <c r="C77" s="296"/>
      <c r="D77" s="296"/>
      <c r="E77" s="296"/>
      <c r="F77" s="296"/>
    </row>
    <row r="78" spans="1:6" s="56" customFormat="1" ht="13" x14ac:dyDescent="0.15">
      <c r="A78" t="s">
        <v>81</v>
      </c>
      <c r="B78" s="135">
        <v>0</v>
      </c>
      <c r="C78" s="136">
        <v>120</v>
      </c>
      <c r="D78" s="136">
        <f t="shared" ref="D78" si="34">C78*(1+D79)</f>
        <v>180</v>
      </c>
      <c r="E78" s="136">
        <f t="shared" ref="E78" si="35">D78*(1+E79)</f>
        <v>206.99999999999997</v>
      </c>
      <c r="F78" s="136">
        <f t="shared" ref="F78" si="36">E78*(1+F79)</f>
        <v>227.7</v>
      </c>
    </row>
    <row r="79" spans="1:6" s="56" customFormat="1" x14ac:dyDescent="0.15">
      <c r="A79" s="161" t="s">
        <v>77</v>
      </c>
      <c r="B79" s="70"/>
      <c r="C79" s="63">
        <v>0.1</v>
      </c>
      <c r="D79" s="63">
        <v>0.5</v>
      </c>
      <c r="E79" s="63">
        <v>0.15</v>
      </c>
      <c r="F79" s="63">
        <v>0.1</v>
      </c>
    </row>
    <row r="80" spans="1:6" s="56" customFormat="1" ht="13" x14ac:dyDescent="0.15">
      <c r="A80"/>
      <c r="B80" s="456">
        <f>+B78*12</f>
        <v>0</v>
      </c>
      <c r="C80" s="456">
        <f t="shared" ref="C80:F80" si="37">+C78*12</f>
        <v>1440</v>
      </c>
      <c r="D80" s="456">
        <f t="shared" si="37"/>
        <v>2160</v>
      </c>
      <c r="E80" s="456">
        <f t="shared" si="37"/>
        <v>2483.9999999999995</v>
      </c>
      <c r="F80" s="456">
        <f t="shared" si="37"/>
        <v>2732.3999999999996</v>
      </c>
    </row>
    <row r="81" spans="1:6" s="56" customFormat="1" ht="13" x14ac:dyDescent="0.15">
      <c r="A81"/>
      <c r="B81" s="70"/>
      <c r="C81" s="70"/>
      <c r="D81" s="70"/>
      <c r="E81" s="70"/>
      <c r="F81" s="70"/>
    </row>
    <row r="82" spans="1:6" s="56" customFormat="1" ht="13" x14ac:dyDescent="0.15">
      <c r="A82" s="89" t="s">
        <v>447</v>
      </c>
      <c r="B82" s="135">
        <v>150</v>
      </c>
      <c r="C82" s="136">
        <f>B82*(1+C83)</f>
        <v>300</v>
      </c>
      <c r="D82" s="136">
        <f t="shared" ref="D82" si="38">C82*(1+D83)</f>
        <v>330</v>
      </c>
      <c r="E82" s="136">
        <f t="shared" ref="E82" si="39">D82*(1+E83)</f>
        <v>379.49999999999994</v>
      </c>
      <c r="F82" s="136">
        <v>250</v>
      </c>
    </row>
    <row r="83" spans="1:6" s="56" customFormat="1" x14ac:dyDescent="0.15">
      <c r="A83" s="161" t="s">
        <v>77</v>
      </c>
      <c r="B83" s="70"/>
      <c r="C83" s="63">
        <v>1</v>
      </c>
      <c r="D83" s="63">
        <v>0.1</v>
      </c>
      <c r="E83" s="63">
        <v>0.15</v>
      </c>
      <c r="F83" s="63">
        <v>0.1</v>
      </c>
    </row>
    <row r="84" spans="1:6" s="56" customFormat="1" ht="13" x14ac:dyDescent="0.15">
      <c r="A84"/>
      <c r="B84" s="456">
        <f>+B82*12</f>
        <v>1800</v>
      </c>
      <c r="C84" s="456">
        <f t="shared" ref="C84:F84" si="40">+C82*12</f>
        <v>3600</v>
      </c>
      <c r="D84" s="456">
        <f t="shared" si="40"/>
        <v>3960</v>
      </c>
      <c r="E84" s="456">
        <f t="shared" si="40"/>
        <v>4553.9999999999991</v>
      </c>
      <c r="F84" s="456">
        <f t="shared" si="40"/>
        <v>3000</v>
      </c>
    </row>
    <row r="85" spans="1:6" s="56" customFormat="1" ht="13" x14ac:dyDescent="0.15">
      <c r="A85"/>
      <c r="B85" s="296"/>
      <c r="C85" s="296"/>
      <c r="D85" s="296"/>
      <c r="E85" s="296"/>
      <c r="F85" s="296"/>
    </row>
    <row r="86" spans="1:6" s="56" customFormat="1" ht="13" x14ac:dyDescent="0.15">
      <c r="A86" t="s">
        <v>86</v>
      </c>
      <c r="B86" s="135">
        <v>200</v>
      </c>
      <c r="C86" s="136">
        <f>B86*(1+C87)</f>
        <v>250</v>
      </c>
      <c r="D86" s="136">
        <f t="shared" ref="D86" si="41">C86*(1+D87)</f>
        <v>312.5</v>
      </c>
      <c r="E86" s="136">
        <f t="shared" ref="E86" si="42">D86*(1+E87)</f>
        <v>359.375</v>
      </c>
      <c r="F86" s="136">
        <f t="shared" ref="F86" si="43">E86*(1+F87)</f>
        <v>395.31250000000006</v>
      </c>
    </row>
    <row r="87" spans="1:6" s="56" customFormat="1" x14ac:dyDescent="0.15">
      <c r="A87" s="161" t="s">
        <v>77</v>
      </c>
      <c r="B87" s="70"/>
      <c r="C87" s="63">
        <v>0.25</v>
      </c>
      <c r="D87" s="63">
        <v>0.25</v>
      </c>
      <c r="E87" s="63">
        <v>0.15</v>
      </c>
      <c r="F87" s="63">
        <v>0.1</v>
      </c>
    </row>
    <row r="88" spans="1:6" s="56" customFormat="1" ht="13" x14ac:dyDescent="0.15">
      <c r="A88"/>
      <c r="B88" s="456">
        <f>+B86*12</f>
        <v>2400</v>
      </c>
      <c r="C88" s="456">
        <f t="shared" ref="C88:F88" si="44">+C86*12</f>
        <v>3000</v>
      </c>
      <c r="D88" s="456">
        <f t="shared" si="44"/>
        <v>3750</v>
      </c>
      <c r="E88" s="456">
        <f t="shared" si="44"/>
        <v>4312.5</v>
      </c>
      <c r="F88" s="456">
        <f t="shared" si="44"/>
        <v>4743.7500000000009</v>
      </c>
    </row>
    <row r="89" spans="1:6" s="56" customFormat="1" ht="13" x14ac:dyDescent="0.15">
      <c r="A89"/>
      <c r="B89" s="70"/>
      <c r="C89" s="70"/>
      <c r="D89" s="70"/>
      <c r="E89" s="70"/>
      <c r="F89" s="70"/>
    </row>
    <row r="90" spans="1:6" s="56" customFormat="1" ht="13" x14ac:dyDescent="0.15">
      <c r="A90" t="s">
        <v>88</v>
      </c>
      <c r="B90" s="135">
        <v>100</v>
      </c>
      <c r="C90" s="136">
        <f>B90*(1+C91)</f>
        <v>110.00000000000001</v>
      </c>
      <c r="D90" s="136">
        <f t="shared" ref="D90" si="45">C90*(1+D91)</f>
        <v>121.00000000000003</v>
      </c>
      <c r="E90" s="136">
        <f t="shared" ref="E90" si="46">D90*(1+E91)</f>
        <v>139.15000000000003</v>
      </c>
      <c r="F90" s="136">
        <f t="shared" ref="F90" si="47">E90*(1+F91)</f>
        <v>153.06500000000005</v>
      </c>
    </row>
    <row r="91" spans="1:6" s="56" customFormat="1" x14ac:dyDescent="0.15">
      <c r="A91" s="161" t="s">
        <v>77</v>
      </c>
      <c r="B91" s="70"/>
      <c r="C91" s="63">
        <v>0.1</v>
      </c>
      <c r="D91" s="63">
        <v>0.1</v>
      </c>
      <c r="E91" s="63">
        <v>0.15</v>
      </c>
      <c r="F91" s="63">
        <v>0.1</v>
      </c>
    </row>
    <row r="92" spans="1:6" s="56" customFormat="1" ht="13" x14ac:dyDescent="0.15">
      <c r="A92"/>
      <c r="B92" s="456">
        <f>+B90*12</f>
        <v>1200</v>
      </c>
      <c r="C92" s="456">
        <f t="shared" ref="C92:F92" si="48">+C90*12</f>
        <v>1320.0000000000002</v>
      </c>
      <c r="D92" s="456">
        <f t="shared" si="48"/>
        <v>1452.0000000000005</v>
      </c>
      <c r="E92" s="456">
        <f t="shared" si="48"/>
        <v>1669.8000000000004</v>
      </c>
      <c r="F92" s="456">
        <f t="shared" si="48"/>
        <v>1836.7800000000007</v>
      </c>
    </row>
    <row r="93" spans="1:6" s="56" customFormat="1" ht="13" x14ac:dyDescent="0.15">
      <c r="A93"/>
      <c r="B93" s="70"/>
      <c r="C93" s="70"/>
      <c r="D93" s="70"/>
      <c r="E93" s="70"/>
      <c r="F93" s="70"/>
    </row>
    <row r="94" spans="1:6" s="56" customFormat="1" ht="13" x14ac:dyDescent="0.15">
      <c r="A94" s="455" t="s">
        <v>89</v>
      </c>
      <c r="B94" s="135">
        <v>200</v>
      </c>
      <c r="C94" s="136">
        <v>500</v>
      </c>
      <c r="D94" s="136">
        <v>1000</v>
      </c>
      <c r="E94" s="136">
        <v>2000</v>
      </c>
      <c r="F94" s="136">
        <f t="shared" ref="F94" si="49">E94*(1+F95)</f>
        <v>2200</v>
      </c>
    </row>
    <row r="95" spans="1:6" s="56" customFormat="1" x14ac:dyDescent="0.15">
      <c r="A95" s="161" t="s">
        <v>77</v>
      </c>
      <c r="B95" s="70"/>
      <c r="C95" s="63">
        <v>0.1</v>
      </c>
      <c r="D95" s="63">
        <v>0.1</v>
      </c>
      <c r="E95" s="63">
        <v>0.15</v>
      </c>
      <c r="F95" s="63">
        <v>0.1</v>
      </c>
    </row>
    <row r="96" spans="1:6" s="56" customFormat="1" ht="13" x14ac:dyDescent="0.15">
      <c r="A96"/>
      <c r="B96" s="456">
        <f>+B94*12</f>
        <v>2400</v>
      </c>
      <c r="C96" s="456">
        <f t="shared" ref="C96:F96" si="50">+C94*12</f>
        <v>6000</v>
      </c>
      <c r="D96" s="456">
        <f t="shared" si="50"/>
        <v>12000</v>
      </c>
      <c r="E96" s="456">
        <f t="shared" si="50"/>
        <v>24000</v>
      </c>
      <c r="F96" s="456">
        <f t="shared" si="50"/>
        <v>26400</v>
      </c>
    </row>
    <row r="97" spans="1:6" s="56" customFormat="1" ht="13" x14ac:dyDescent="0.15">
      <c r="A97"/>
      <c r="B97" s="70"/>
      <c r="C97" s="70"/>
      <c r="D97" s="70"/>
      <c r="E97" s="70"/>
      <c r="F97" s="70"/>
    </row>
    <row r="98" spans="1:6" s="56" customFormat="1" ht="13" x14ac:dyDescent="0.15">
      <c r="A98" s="89" t="s">
        <v>90</v>
      </c>
      <c r="B98" s="135">
        <v>250</v>
      </c>
      <c r="C98" s="136">
        <f>B98*(1+C99)</f>
        <v>375</v>
      </c>
      <c r="D98" s="136">
        <f t="shared" ref="D98" si="51">C98*(1+D99)</f>
        <v>562.5</v>
      </c>
      <c r="E98" s="136">
        <f t="shared" ref="E98" si="52">D98*(1+E99)</f>
        <v>843.75</v>
      </c>
      <c r="F98" s="136">
        <f t="shared" ref="F98" si="53">E98*(1+F99)</f>
        <v>1265.625</v>
      </c>
    </row>
    <row r="99" spans="1:6" s="56" customFormat="1" x14ac:dyDescent="0.15">
      <c r="A99" s="161" t="s">
        <v>77</v>
      </c>
      <c r="B99" s="70"/>
      <c r="C99" s="63">
        <v>0.5</v>
      </c>
      <c r="D99" s="63">
        <v>0.5</v>
      </c>
      <c r="E99" s="63">
        <v>0.5</v>
      </c>
      <c r="F99" s="63">
        <v>0.5</v>
      </c>
    </row>
    <row r="100" spans="1:6" s="56" customFormat="1" ht="13" x14ac:dyDescent="0.15">
      <c r="A100"/>
      <c r="B100" s="456">
        <f>+B98*12</f>
        <v>3000</v>
      </c>
      <c r="C100" s="456">
        <f t="shared" ref="C100:F100" si="54">+C98*12</f>
        <v>4500</v>
      </c>
      <c r="D100" s="456">
        <f t="shared" si="54"/>
        <v>6750</v>
      </c>
      <c r="E100" s="456">
        <f t="shared" si="54"/>
        <v>10125</v>
      </c>
      <c r="F100" s="456">
        <f t="shared" si="54"/>
        <v>15187.5</v>
      </c>
    </row>
    <row r="101" spans="1:6" s="56" customFormat="1" ht="13" x14ac:dyDescent="0.15">
      <c r="A101"/>
      <c r="B101" s="70"/>
      <c r="C101" s="70"/>
      <c r="D101" s="70"/>
      <c r="E101" s="70"/>
      <c r="F101" s="70"/>
    </row>
    <row r="102" spans="1:6" s="56" customFormat="1" ht="13" x14ac:dyDescent="0.15">
      <c r="A102" s="89" t="s">
        <v>448</v>
      </c>
      <c r="B102" s="135">
        <v>3000</v>
      </c>
      <c r="C102" s="136">
        <f>B102*(1+C103)</f>
        <v>3600</v>
      </c>
      <c r="D102" s="136">
        <f t="shared" ref="D102" si="55">C102*(1+D103)</f>
        <v>4140</v>
      </c>
      <c r="E102" s="136">
        <f t="shared" ref="E102" si="56">D102*(1+E103)</f>
        <v>4761</v>
      </c>
      <c r="F102" s="136">
        <f t="shared" ref="F102" si="57">E102*(1+F103)</f>
        <v>5475.15</v>
      </c>
    </row>
    <row r="103" spans="1:6" s="56" customFormat="1" x14ac:dyDescent="0.15">
      <c r="A103" s="161" t="s">
        <v>77</v>
      </c>
      <c r="B103" s="70"/>
      <c r="C103" s="63">
        <v>0.2</v>
      </c>
      <c r="D103" s="63">
        <v>0.15</v>
      </c>
      <c r="E103" s="63">
        <v>0.15</v>
      </c>
      <c r="F103" s="63">
        <v>0.15</v>
      </c>
    </row>
    <row r="104" spans="1:6" s="56" customFormat="1" ht="13" x14ac:dyDescent="0.15">
      <c r="A104"/>
      <c r="B104" s="456">
        <f>+B102*12</f>
        <v>36000</v>
      </c>
      <c r="C104" s="456">
        <f t="shared" ref="C104:F104" si="58">+C102*12</f>
        <v>43200</v>
      </c>
      <c r="D104" s="456">
        <f t="shared" si="58"/>
        <v>49680</v>
      </c>
      <c r="E104" s="456">
        <f t="shared" si="58"/>
        <v>57132</v>
      </c>
      <c r="F104" s="456">
        <f t="shared" si="58"/>
        <v>65701.799999999988</v>
      </c>
    </row>
    <row r="105" spans="1:6" s="56" customFormat="1" ht="13" x14ac:dyDescent="0.15">
      <c r="A105"/>
      <c r="B105" s="456"/>
      <c r="C105" s="456"/>
      <c r="D105" s="456"/>
      <c r="E105" s="456"/>
      <c r="F105" s="456"/>
    </row>
    <row r="106" spans="1:6" s="56" customFormat="1" ht="13" x14ac:dyDescent="0.15">
      <c r="A106" s="89" t="s">
        <v>449</v>
      </c>
      <c r="B106" s="135">
        <v>3000</v>
      </c>
      <c r="C106" s="136">
        <f>B106*(1+C107)</f>
        <v>4050.0000000000005</v>
      </c>
      <c r="D106" s="136">
        <f t="shared" ref="D106" si="59">C106*(1+D107)</f>
        <v>5467.5000000000009</v>
      </c>
      <c r="E106" s="136">
        <f t="shared" ref="E106" si="60">D106*(1+E107)</f>
        <v>6287.6250000000009</v>
      </c>
      <c r="F106" s="136">
        <f t="shared" ref="F106" si="61">E106*(1+F107)</f>
        <v>7230.7687500000002</v>
      </c>
    </row>
    <row r="107" spans="1:6" s="56" customFormat="1" x14ac:dyDescent="0.15">
      <c r="A107" s="161" t="s">
        <v>77</v>
      </c>
      <c r="B107" s="70"/>
      <c r="C107" s="63">
        <v>0.35</v>
      </c>
      <c r="D107" s="63">
        <v>0.35</v>
      </c>
      <c r="E107" s="63">
        <v>0.15</v>
      </c>
      <c r="F107" s="63">
        <v>0.15</v>
      </c>
    </row>
    <row r="108" spans="1:6" s="56" customFormat="1" ht="13" x14ac:dyDescent="0.15">
      <c r="A108"/>
      <c r="B108" s="456">
        <f>+B106*12</f>
        <v>36000</v>
      </c>
      <c r="C108" s="456">
        <f t="shared" ref="C108:F108" si="62">+C106*12</f>
        <v>48600.000000000007</v>
      </c>
      <c r="D108" s="456">
        <f t="shared" si="62"/>
        <v>65610.000000000015</v>
      </c>
      <c r="E108" s="456">
        <f t="shared" si="62"/>
        <v>75451.500000000015</v>
      </c>
      <c r="F108" s="456">
        <f t="shared" si="62"/>
        <v>86769.225000000006</v>
      </c>
    </row>
    <row r="109" spans="1:6" s="56" customFormat="1" ht="13" x14ac:dyDescent="0.15">
      <c r="A109"/>
      <c r="B109" s="456"/>
      <c r="C109" s="456"/>
      <c r="D109" s="456"/>
      <c r="E109" s="456"/>
      <c r="F109" s="456"/>
    </row>
    <row r="110" spans="1:6" s="56" customFormat="1" ht="13" x14ac:dyDescent="0.15">
      <c r="A110" t="s">
        <v>92</v>
      </c>
      <c r="B110" s="135">
        <v>150</v>
      </c>
      <c r="C110" s="136">
        <f>B110*(1+C111)</f>
        <v>300</v>
      </c>
      <c r="D110" s="136">
        <f t="shared" ref="D110" si="63">C110*(1+D111)</f>
        <v>330</v>
      </c>
      <c r="E110" s="136">
        <f t="shared" ref="E110" si="64">D110*(1+E111)</f>
        <v>363.00000000000006</v>
      </c>
      <c r="F110" s="136">
        <f t="shared" ref="F110" si="65">E110*(1+F111)</f>
        <v>381.15000000000009</v>
      </c>
    </row>
    <row r="111" spans="1:6" s="56" customFormat="1" x14ac:dyDescent="0.15">
      <c r="A111" s="161" t="s">
        <v>77</v>
      </c>
      <c r="B111" s="70"/>
      <c r="C111" s="63">
        <v>1</v>
      </c>
      <c r="D111" s="63">
        <v>0.1</v>
      </c>
      <c r="E111" s="63">
        <v>0.1</v>
      </c>
      <c r="F111" s="63">
        <v>0.05</v>
      </c>
    </row>
    <row r="112" spans="1:6" s="56" customFormat="1" ht="13" x14ac:dyDescent="0.15">
      <c r="A112"/>
      <c r="B112" s="456">
        <f>+B110*12</f>
        <v>1800</v>
      </c>
      <c r="C112" s="456">
        <f t="shared" ref="C112:F112" si="66">+C110*12</f>
        <v>3600</v>
      </c>
      <c r="D112" s="456">
        <f t="shared" si="66"/>
        <v>3960</v>
      </c>
      <c r="E112" s="456">
        <f t="shared" si="66"/>
        <v>4356.0000000000009</v>
      </c>
      <c r="F112" s="456">
        <f t="shared" si="66"/>
        <v>4573.8000000000011</v>
      </c>
    </row>
    <row r="113" spans="1:11" s="56" customFormat="1" ht="13" x14ac:dyDescent="0.15">
      <c r="A113"/>
      <c r="B113" s="70"/>
      <c r="C113" s="70"/>
      <c r="D113" s="70"/>
      <c r="E113" s="70"/>
      <c r="F113" s="70"/>
    </row>
    <row r="114" spans="1:11" s="56" customFormat="1" ht="13" x14ac:dyDescent="0.15">
      <c r="A114" t="s">
        <v>93</v>
      </c>
      <c r="B114" s="135">
        <v>100</v>
      </c>
      <c r="C114" s="136">
        <f>B114*(1+C115)</f>
        <v>200</v>
      </c>
      <c r="D114" s="136">
        <f t="shared" ref="D114" si="67">C114*(1+D115)</f>
        <v>210</v>
      </c>
      <c r="E114" s="136">
        <f t="shared" ref="E114" si="68">D114*(1+E115)</f>
        <v>231.00000000000003</v>
      </c>
      <c r="F114" s="136">
        <f t="shared" ref="F114" si="69">E114*(1+F115)</f>
        <v>242.55000000000004</v>
      </c>
    </row>
    <row r="115" spans="1:11" s="56" customFormat="1" x14ac:dyDescent="0.15">
      <c r="A115" s="161" t="s">
        <v>77</v>
      </c>
      <c r="B115" s="70"/>
      <c r="C115" s="63">
        <v>1</v>
      </c>
      <c r="D115" s="63">
        <v>0.05</v>
      </c>
      <c r="E115" s="63">
        <v>0.1</v>
      </c>
      <c r="F115" s="63">
        <v>0.05</v>
      </c>
    </row>
    <row r="116" spans="1:11" s="56" customFormat="1" ht="13" x14ac:dyDescent="0.15">
      <c r="A116"/>
      <c r="B116" s="456">
        <f>+B114*12</f>
        <v>1200</v>
      </c>
      <c r="C116" s="456">
        <f t="shared" ref="C116:F116" si="70">+C114*12</f>
        <v>2400</v>
      </c>
      <c r="D116" s="456">
        <f t="shared" si="70"/>
        <v>2520</v>
      </c>
      <c r="E116" s="456">
        <f t="shared" si="70"/>
        <v>2772.0000000000005</v>
      </c>
      <c r="F116" s="456">
        <f t="shared" si="70"/>
        <v>2910.6000000000004</v>
      </c>
    </row>
    <row r="117" spans="1:11" s="56" customFormat="1" ht="13" x14ac:dyDescent="0.15">
      <c r="A117"/>
      <c r="B117" s="70"/>
      <c r="C117" s="70"/>
      <c r="D117" s="70"/>
      <c r="E117" s="70"/>
      <c r="F117" s="70"/>
    </row>
    <row r="118" spans="1:11" s="56" customFormat="1" ht="13" x14ac:dyDescent="0.15">
      <c r="A118" s="89" t="s">
        <v>450</v>
      </c>
      <c r="B118" s="135">
        <v>750</v>
      </c>
      <c r="C118" s="136">
        <f>B118*(1+C119)</f>
        <v>787.5</v>
      </c>
      <c r="D118" s="136">
        <f t="shared" ref="D118" si="71">C118*(1+D119)</f>
        <v>826.875</v>
      </c>
      <c r="E118" s="136">
        <f t="shared" ref="E118" si="72">D118*(1+E119)</f>
        <v>909.56250000000011</v>
      </c>
      <c r="F118" s="136">
        <f t="shared" ref="F118" si="73">E118*(1+F119)</f>
        <v>955.0406250000002</v>
      </c>
    </row>
    <row r="119" spans="1:11" s="56" customFormat="1" x14ac:dyDescent="0.15">
      <c r="A119" s="161" t="s">
        <v>77</v>
      </c>
      <c r="B119" s="70"/>
      <c r="C119" s="63">
        <v>0.05</v>
      </c>
      <c r="D119" s="63">
        <v>0.05</v>
      </c>
      <c r="E119" s="63">
        <v>0.1</v>
      </c>
      <c r="F119" s="63">
        <v>0.05</v>
      </c>
    </row>
    <row r="120" spans="1:11" s="56" customFormat="1" ht="13" x14ac:dyDescent="0.15">
      <c r="A120"/>
      <c r="B120" s="456">
        <f>+B118*12</f>
        <v>9000</v>
      </c>
      <c r="C120" s="456">
        <f t="shared" ref="C120:F120" si="74">+C118*12</f>
        <v>9450</v>
      </c>
      <c r="D120" s="456">
        <f t="shared" si="74"/>
        <v>9922.5</v>
      </c>
      <c r="E120" s="456">
        <f t="shared" si="74"/>
        <v>10914.750000000002</v>
      </c>
      <c r="F120" s="456">
        <f t="shared" si="74"/>
        <v>11460.487500000003</v>
      </c>
    </row>
    <row r="121" spans="1:11" s="56" customFormat="1" ht="13" x14ac:dyDescent="0.15">
      <c r="A121"/>
      <c r="B121" s="70"/>
      <c r="C121" s="70"/>
      <c r="D121" s="70"/>
      <c r="E121" s="70"/>
      <c r="F121" s="70"/>
    </row>
    <row r="122" spans="1:11" s="56" customFormat="1" ht="13" x14ac:dyDescent="0.15">
      <c r="A122" s="89" t="s">
        <v>95</v>
      </c>
      <c r="B122" s="135">
        <v>30</v>
      </c>
      <c r="C122" s="136">
        <f>B122*(1+C123)</f>
        <v>31.5</v>
      </c>
      <c r="D122" s="136">
        <f t="shared" ref="D122" si="75">C122*(1+D123)</f>
        <v>33.075000000000003</v>
      </c>
      <c r="E122" s="136">
        <f t="shared" ref="E122" si="76">D122*(1+E123)</f>
        <v>36.382500000000007</v>
      </c>
      <c r="F122" s="136">
        <f t="shared" ref="F122" si="77">E122*(1+F123)</f>
        <v>38.201625000000007</v>
      </c>
    </row>
    <row r="123" spans="1:11" s="56" customFormat="1" x14ac:dyDescent="0.15">
      <c r="A123" s="161" t="s">
        <v>77</v>
      </c>
      <c r="B123" s="70"/>
      <c r="C123" s="63">
        <v>0.05</v>
      </c>
      <c r="D123" s="63">
        <v>0.05</v>
      </c>
      <c r="E123" s="63">
        <v>0.1</v>
      </c>
      <c r="F123" s="63">
        <v>0.05</v>
      </c>
    </row>
    <row r="124" spans="1:11" s="56" customFormat="1" ht="13" x14ac:dyDescent="0.15">
      <c r="A124"/>
      <c r="B124" s="456">
        <f>+B122*12</f>
        <v>360</v>
      </c>
      <c r="C124" s="456">
        <f t="shared" ref="C124:F124" si="78">+C122*12</f>
        <v>378</v>
      </c>
      <c r="D124" s="456">
        <f t="shared" si="78"/>
        <v>396.90000000000003</v>
      </c>
      <c r="E124" s="456">
        <f t="shared" si="78"/>
        <v>436.59000000000009</v>
      </c>
      <c r="F124" s="456">
        <f t="shared" si="78"/>
        <v>458.41950000000008</v>
      </c>
      <c r="H124" s="297"/>
      <c r="I124" s="297"/>
      <c r="J124" s="297"/>
      <c r="K124" s="297"/>
    </row>
    <row r="125" spans="1:11" s="56" customFormat="1" ht="13" x14ac:dyDescent="0.15">
      <c r="A125"/>
      <c r="B125" s="456"/>
      <c r="C125" s="456"/>
      <c r="D125" s="456"/>
      <c r="E125" s="456"/>
      <c r="F125" s="456"/>
      <c r="H125" s="297"/>
      <c r="I125" s="297"/>
      <c r="J125" s="297"/>
      <c r="K125" s="297"/>
    </row>
    <row r="126" spans="1:11" s="56" customFormat="1" ht="13" x14ac:dyDescent="0.15">
      <c r="A126" s="458" t="s">
        <v>451</v>
      </c>
      <c r="B126" s="457">
        <f>+B122+B118+B114+B110+B106+B102+B98+B94+B90+B86+B82+B78+B74+B70+B66+B62</f>
        <v>8330</v>
      </c>
      <c r="C126" s="457">
        <f>+C122+C118+C114+C110+C106+C102+C98+C94+C90+C86+C82+C78+C74+C70+C66+C62</f>
        <v>11724</v>
      </c>
      <c r="D126" s="457">
        <f>+D122+D118+D114+D110+D106+D102+D98+D94+D90+D86+D82+D78+D74+D70+D66+D62</f>
        <v>15218.45</v>
      </c>
      <c r="E126" s="457">
        <f>+E122+E118+E114+E110+E106+E102+E98+E94+E90+E86+E82+E78+E74+E70+E66+E62</f>
        <v>18446.845000000001</v>
      </c>
      <c r="F126" s="457">
        <f>+F122+F118+F114+F110+F106+F102+F98+F94+F90+F86+F82+F78+F74+F70+F66+F62</f>
        <v>20937.013500000001</v>
      </c>
      <c r="H126" s="297"/>
      <c r="I126" s="297"/>
      <c r="J126" s="297"/>
      <c r="K126" s="297"/>
    </row>
    <row r="127" spans="1:11" s="56" customFormat="1" ht="13" x14ac:dyDescent="0.15">
      <c r="A127" s="89" t="s">
        <v>452</v>
      </c>
      <c r="B127" s="456">
        <f>+B126*12</f>
        <v>99960</v>
      </c>
      <c r="C127" s="456">
        <f t="shared" ref="C127:F127" si="79">+C126*12</f>
        <v>140688</v>
      </c>
      <c r="D127" s="456">
        <f t="shared" si="79"/>
        <v>182621.40000000002</v>
      </c>
      <c r="E127" s="456">
        <f t="shared" si="79"/>
        <v>221362.14</v>
      </c>
      <c r="F127" s="456">
        <f t="shared" si="79"/>
        <v>251244.16200000001</v>
      </c>
      <c r="H127" s="297"/>
      <c r="I127" s="297"/>
      <c r="J127" s="297"/>
      <c r="K127" s="297"/>
    </row>
    <row r="128" spans="1:11" s="56" customFormat="1" ht="13" x14ac:dyDescent="0.15">
      <c r="A128"/>
      <c r="B128" s="456"/>
      <c r="C128" s="456"/>
      <c r="D128" s="456"/>
      <c r="E128" s="456"/>
      <c r="F128" s="456"/>
      <c r="H128" s="297"/>
      <c r="I128" s="297"/>
      <c r="J128" s="297"/>
      <c r="K128" s="297"/>
    </row>
    <row r="129" spans="1:11" s="56" customFormat="1" ht="13" x14ac:dyDescent="0.15">
      <c r="A129"/>
      <c r="B129" s="456"/>
      <c r="C129" s="456"/>
      <c r="D129" s="456"/>
      <c r="E129" s="456"/>
      <c r="F129" s="456"/>
      <c r="H129" s="297"/>
      <c r="I129" s="297"/>
      <c r="J129" s="297"/>
      <c r="K129" s="297"/>
    </row>
    <row r="130" spans="1:11" s="56" customFormat="1" ht="13" x14ac:dyDescent="0.15">
      <c r="A130"/>
      <c r="B130" s="70"/>
      <c r="C130" s="70"/>
      <c r="D130" s="70"/>
      <c r="E130" s="70"/>
      <c r="F130" s="70"/>
      <c r="H130" s="297"/>
      <c r="I130" s="297"/>
      <c r="J130" s="297"/>
      <c r="K130" s="297"/>
    </row>
    <row r="131" spans="1:11" s="56" customFormat="1" x14ac:dyDescent="0.15">
      <c r="A131" s="71"/>
      <c r="B131" s="459"/>
      <c r="C131" s="136"/>
      <c r="D131" s="136"/>
      <c r="E131" s="136"/>
      <c r="F131" s="136"/>
      <c r="H131" s="160"/>
    </row>
    <row r="132" spans="1:11" s="56" customFormat="1" hidden="1" x14ac:dyDescent="0.15">
      <c r="A132" s="65"/>
      <c r="B132" s="459"/>
      <c r="C132" s="136"/>
      <c r="D132" s="136"/>
      <c r="E132" s="136"/>
      <c r="F132" s="136"/>
      <c r="H132" s="160"/>
    </row>
    <row r="133" spans="1:11" s="56" customFormat="1" x14ac:dyDescent="0.15">
      <c r="A133" s="65"/>
      <c r="B133" s="459"/>
      <c r="C133" s="136"/>
      <c r="D133" s="136"/>
      <c r="E133" s="136"/>
      <c r="F133" s="136"/>
    </row>
    <row r="134" spans="1:11" s="56" customFormat="1" x14ac:dyDescent="0.15">
      <c r="A134" s="125" t="s">
        <v>97</v>
      </c>
      <c r="B134" s="459"/>
      <c r="C134" s="136"/>
      <c r="D134" s="136"/>
      <c r="E134" s="136"/>
      <c r="F134" s="136"/>
    </row>
    <row r="135" spans="1:11" s="56" customFormat="1" x14ac:dyDescent="0.15">
      <c r="A135" s="66"/>
      <c r="B135" s="459"/>
      <c r="C135" s="136"/>
      <c r="D135" s="136"/>
      <c r="E135" s="136"/>
      <c r="F135" s="136"/>
    </row>
    <row r="136" spans="1:11" s="56" customFormat="1" x14ac:dyDescent="0.15">
      <c r="A136" s="66" t="s">
        <v>98</v>
      </c>
    </row>
    <row r="137" spans="1:11" s="56" customFormat="1" x14ac:dyDescent="0.15">
      <c r="A137" s="56" t="s">
        <v>99</v>
      </c>
      <c r="B137" s="459">
        <v>0</v>
      </c>
      <c r="C137" s="136">
        <v>3000</v>
      </c>
      <c r="D137" s="136">
        <v>6000</v>
      </c>
      <c r="E137" s="136">
        <f t="shared" ref="E137:F137" si="80">+D137*1.03</f>
        <v>6180</v>
      </c>
      <c r="F137" s="136">
        <f t="shared" si="80"/>
        <v>6365.4000000000005</v>
      </c>
    </row>
    <row r="138" spans="1:11" s="56" customFormat="1" x14ac:dyDescent="0.15">
      <c r="A138" s="91" t="s">
        <v>453</v>
      </c>
      <c r="B138" s="459">
        <v>0</v>
      </c>
      <c r="C138" s="459">
        <v>500</v>
      </c>
      <c r="D138" s="136">
        <f>+C138*1.1</f>
        <v>550</v>
      </c>
      <c r="E138" s="136">
        <f t="shared" ref="E138:F138" si="81">+D138*1.1</f>
        <v>605</v>
      </c>
      <c r="F138" s="136">
        <f t="shared" si="81"/>
        <v>665.5</v>
      </c>
    </row>
    <row r="139" spans="1:11" s="56" customFormat="1" x14ac:dyDescent="0.15">
      <c r="A139" s="91"/>
      <c r="B139" s="459"/>
      <c r="C139" s="136"/>
      <c r="E139" s="136"/>
      <c r="F139" s="136"/>
    </row>
    <row r="140" spans="1:11" s="56" customFormat="1" x14ac:dyDescent="0.15">
      <c r="A140" s="66" t="s">
        <v>100</v>
      </c>
      <c r="H140" s="160"/>
    </row>
    <row r="141" spans="1:11" s="56" customFormat="1" x14ac:dyDescent="0.15">
      <c r="A141" s="67" t="s">
        <v>454</v>
      </c>
      <c r="B141" s="459">
        <v>0</v>
      </c>
      <c r="C141" s="136">
        <v>0</v>
      </c>
      <c r="D141" s="136">
        <v>4500</v>
      </c>
      <c r="E141" s="136">
        <f t="shared" ref="E141:F142" si="82">+D141*1.03</f>
        <v>4635</v>
      </c>
      <c r="F141" s="136">
        <f t="shared" si="82"/>
        <v>4774.05</v>
      </c>
    </row>
    <row r="142" spans="1:11" s="56" customFormat="1" x14ac:dyDescent="0.15">
      <c r="A142" s="56" t="s">
        <v>101</v>
      </c>
      <c r="B142" s="459">
        <v>0</v>
      </c>
      <c r="C142" s="136">
        <v>0</v>
      </c>
      <c r="D142" s="136">
        <v>0</v>
      </c>
      <c r="E142" s="136">
        <v>4635</v>
      </c>
      <c r="F142" s="136">
        <f t="shared" si="82"/>
        <v>4774.05</v>
      </c>
    </row>
    <row r="143" spans="1:11" s="56" customFormat="1" x14ac:dyDescent="0.15">
      <c r="A143" s="56" t="s">
        <v>102</v>
      </c>
      <c r="B143" s="459">
        <v>0</v>
      </c>
      <c r="C143" s="459">
        <v>0</v>
      </c>
      <c r="D143" s="459">
        <v>0</v>
      </c>
      <c r="E143" s="136">
        <v>3000</v>
      </c>
      <c r="F143" s="136">
        <v>7000</v>
      </c>
    </row>
    <row r="144" spans="1:11" s="56" customFormat="1" x14ac:dyDescent="0.15">
      <c r="A144" s="56" t="s">
        <v>103</v>
      </c>
      <c r="B144" s="460"/>
      <c r="C144" s="460">
        <v>4000</v>
      </c>
      <c r="D144" s="460">
        <f>+C144*1.03</f>
        <v>4120</v>
      </c>
      <c r="E144" s="460">
        <f>+D144*1.03</f>
        <v>4243.6000000000004</v>
      </c>
      <c r="F144" s="460">
        <f>+E144*1.03</f>
        <v>4370.9080000000004</v>
      </c>
    </row>
    <row r="145" spans="1:6" s="56" customFormat="1" x14ac:dyDescent="0.15">
      <c r="B145" s="459"/>
      <c r="C145" s="136"/>
      <c r="D145" s="136"/>
      <c r="E145" s="136"/>
      <c r="F145" s="136"/>
    </row>
    <row r="146" spans="1:6" s="56" customFormat="1" x14ac:dyDescent="0.15">
      <c r="A146" s="54" t="s">
        <v>104</v>
      </c>
    </row>
    <row r="147" spans="1:6" s="56" customFormat="1" x14ac:dyDescent="0.15">
      <c r="A147" s="56" t="s">
        <v>456</v>
      </c>
      <c r="B147" s="459">
        <v>0</v>
      </c>
      <c r="C147" s="136">
        <v>5000</v>
      </c>
      <c r="D147" s="136">
        <f>+C147*1.25</f>
        <v>6250</v>
      </c>
      <c r="E147" s="136">
        <f t="shared" ref="E147:F147" si="83">+D147*1.25</f>
        <v>7812.5</v>
      </c>
      <c r="F147" s="136">
        <f t="shared" si="83"/>
        <v>9765.625</v>
      </c>
    </row>
    <row r="148" spans="1:6" s="56" customFormat="1" x14ac:dyDescent="0.15">
      <c r="A148" s="56" t="s">
        <v>457</v>
      </c>
      <c r="B148" s="459">
        <v>0</v>
      </c>
      <c r="C148" s="136">
        <v>0</v>
      </c>
      <c r="D148" s="136">
        <v>5000</v>
      </c>
      <c r="E148" s="136">
        <f>+D148*1.1</f>
        <v>5500</v>
      </c>
      <c r="F148" s="136">
        <f>+E148*1.1</f>
        <v>6050.0000000000009</v>
      </c>
    </row>
    <row r="149" spans="1:6" s="56" customFormat="1" x14ac:dyDescent="0.15">
      <c r="B149" s="139"/>
      <c r="C149" s="138"/>
      <c r="D149" s="138"/>
      <c r="E149" s="138"/>
      <c r="F149" s="138"/>
    </row>
    <row r="150" spans="1:6" x14ac:dyDescent="0.15">
      <c r="A150" s="54" t="s">
        <v>105</v>
      </c>
    </row>
    <row r="151" spans="1:6" x14ac:dyDescent="0.15">
      <c r="A151" s="56" t="s">
        <v>106</v>
      </c>
      <c r="B151" s="459">
        <v>0</v>
      </c>
      <c r="C151" s="136">
        <v>0</v>
      </c>
      <c r="D151" s="459">
        <v>0</v>
      </c>
      <c r="E151" s="136">
        <v>0</v>
      </c>
      <c r="F151" s="68">
        <v>6000</v>
      </c>
    </row>
    <row r="152" spans="1:6" x14ac:dyDescent="0.15">
      <c r="A152" s="56"/>
    </row>
    <row r="153" spans="1:6" x14ac:dyDescent="0.15">
      <c r="A153" s="76" t="s">
        <v>107</v>
      </c>
    </row>
    <row r="154" spans="1:6" x14ac:dyDescent="0.15">
      <c r="A154" s="67" t="s">
        <v>455</v>
      </c>
      <c r="B154" s="459">
        <v>0</v>
      </c>
      <c r="C154" s="136">
        <v>2000</v>
      </c>
      <c r="D154" s="459">
        <v>3000</v>
      </c>
      <c r="E154" s="136">
        <v>4000</v>
      </c>
      <c r="F154" s="68">
        <v>5000</v>
      </c>
    </row>
    <row r="156" spans="1:6" x14ac:dyDescent="0.15">
      <c r="B156" s="491">
        <f>SUM(B137:B154)</f>
        <v>0</v>
      </c>
      <c r="C156" s="491">
        <f>SUM(C137:C154)</f>
        <v>14500</v>
      </c>
      <c r="D156" s="491">
        <f>SUM(D137:D154)</f>
        <v>29420</v>
      </c>
      <c r="E156" s="491">
        <f t="shared" ref="E156:F156" si="84">SUM(E137:E154)</f>
        <v>40611.1</v>
      </c>
      <c r="F156" s="491">
        <f t="shared" si="84"/>
        <v>54765.532999999996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8A98-01F0-4F33-857B-AE39033F8B6F}">
  <sheetPr codeName="Sheet4">
    <tabColor rgb="FF0070C0"/>
  </sheetPr>
  <dimension ref="A1:BI60"/>
  <sheetViews>
    <sheetView showGridLines="0" zoomScale="150" zoomScaleNormal="150" workbookViewId="0">
      <pane xSplit="1" ySplit="5" topLeftCell="J35" activePane="bottomRight" state="frozen"/>
      <selection pane="topRight" activeCell="A2" sqref="A2"/>
      <selection pane="bottomLeft" activeCell="A2" sqref="A2"/>
      <selection pane="bottomRight" activeCell="K62" sqref="K62"/>
    </sheetView>
  </sheetViews>
  <sheetFormatPr baseColWidth="10" defaultColWidth="8.5" defaultRowHeight="12" x14ac:dyDescent="0.15"/>
  <cols>
    <col min="1" max="1" width="44.5" style="142" bestFit="1" customWidth="1"/>
    <col min="2" max="9" width="11.1640625" style="142" hidden="1" customWidth="1"/>
    <col min="10" max="10" width="6" style="142" bestFit="1" customWidth="1"/>
    <col min="11" max="13" width="11.1640625" style="142" customWidth="1"/>
    <col min="14" max="14" width="12.5" style="142" customWidth="1"/>
    <col min="15" max="21" width="12.1640625" style="142" customWidth="1"/>
    <col min="22" max="22" width="12.1640625" style="142" bestFit="1" customWidth="1"/>
    <col min="23" max="33" width="12.1640625" style="142" customWidth="1"/>
    <col min="34" max="34" width="12.1640625" style="142" bestFit="1" customWidth="1"/>
    <col min="35" max="45" width="12.1640625" style="142" customWidth="1"/>
    <col min="46" max="46" width="12.1640625" style="142" bestFit="1" customWidth="1"/>
    <col min="47" max="57" width="12.1640625" style="142" customWidth="1"/>
    <col min="58" max="58" width="12.1640625" style="142" bestFit="1" customWidth="1"/>
    <col min="59" max="60" width="12.1640625" style="142" hidden="1" customWidth="1"/>
    <col min="61" max="61" width="14.1640625" style="142" hidden="1" customWidth="1"/>
    <col min="62" max="16384" width="8.5" style="142"/>
  </cols>
  <sheetData>
    <row r="1" spans="1:61" s="106" customFormat="1" ht="26.25" customHeight="1" x14ac:dyDescent="0.3">
      <c r="A1" s="104" t="s">
        <v>386</v>
      </c>
      <c r="B1" s="113"/>
      <c r="C1" s="105"/>
      <c r="D1" s="105"/>
      <c r="E1" s="105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</row>
    <row r="2" spans="1:61" s="108" customFormat="1" ht="13" x14ac:dyDescent="0.15">
      <c r="A2" s="117" t="s">
        <v>108</v>
      </c>
    </row>
    <row r="3" spans="1:61" s="108" customFormat="1" ht="13" x14ac:dyDescent="0.15">
      <c r="A3" s="109" t="s">
        <v>42</v>
      </c>
      <c r="B3" s="116">
        <f>YEAR(B5)</f>
        <v>2026</v>
      </c>
      <c r="C3" s="116">
        <f t="shared" ref="C3:BI3" si="0">YEAR(C5)</f>
        <v>2026</v>
      </c>
      <c r="D3" s="116">
        <f t="shared" si="0"/>
        <v>2026</v>
      </c>
      <c r="E3" s="116">
        <f t="shared" si="0"/>
        <v>2026</v>
      </c>
      <c r="F3" s="116">
        <f t="shared" si="0"/>
        <v>2026</v>
      </c>
      <c r="G3" s="116">
        <f t="shared" si="0"/>
        <v>2026</v>
      </c>
      <c r="H3" s="116">
        <f t="shared" si="0"/>
        <v>2026</v>
      </c>
      <c r="I3" s="116">
        <f t="shared" si="0"/>
        <v>2027</v>
      </c>
      <c r="J3" s="116">
        <f t="shared" si="0"/>
        <v>2027</v>
      </c>
      <c r="K3" s="116">
        <f t="shared" si="0"/>
        <v>2027</v>
      </c>
      <c r="L3" s="116">
        <f t="shared" si="0"/>
        <v>2027</v>
      </c>
      <c r="M3" s="116">
        <f t="shared" si="0"/>
        <v>2027</v>
      </c>
      <c r="N3" s="116">
        <f t="shared" si="0"/>
        <v>2027</v>
      </c>
      <c r="O3" s="116">
        <f t="shared" si="0"/>
        <v>2027</v>
      </c>
      <c r="P3" s="116">
        <f t="shared" si="0"/>
        <v>2027</v>
      </c>
      <c r="Q3" s="116">
        <f t="shared" si="0"/>
        <v>2027</v>
      </c>
      <c r="R3" s="116">
        <f t="shared" si="0"/>
        <v>2027</v>
      </c>
      <c r="S3" s="116">
        <f t="shared" si="0"/>
        <v>2027</v>
      </c>
      <c r="T3" s="116">
        <f t="shared" si="0"/>
        <v>2027</v>
      </c>
      <c r="U3" s="116">
        <f t="shared" si="0"/>
        <v>2028</v>
      </c>
      <c r="V3" s="116">
        <f t="shared" si="0"/>
        <v>2028</v>
      </c>
      <c r="W3" s="116">
        <f t="shared" si="0"/>
        <v>2028</v>
      </c>
      <c r="X3" s="116">
        <f t="shared" si="0"/>
        <v>2028</v>
      </c>
      <c r="Y3" s="116">
        <f t="shared" si="0"/>
        <v>2028</v>
      </c>
      <c r="Z3" s="116">
        <f t="shared" si="0"/>
        <v>2028</v>
      </c>
      <c r="AA3" s="116">
        <f t="shared" si="0"/>
        <v>2028</v>
      </c>
      <c r="AB3" s="116">
        <f t="shared" si="0"/>
        <v>2028</v>
      </c>
      <c r="AC3" s="116">
        <f t="shared" si="0"/>
        <v>2028</v>
      </c>
      <c r="AD3" s="116">
        <f t="shared" si="0"/>
        <v>2028</v>
      </c>
      <c r="AE3" s="116">
        <f t="shared" si="0"/>
        <v>2028</v>
      </c>
      <c r="AF3" s="116">
        <f t="shared" si="0"/>
        <v>2028</v>
      </c>
      <c r="AG3" s="116">
        <f t="shared" si="0"/>
        <v>2029</v>
      </c>
      <c r="AH3" s="116">
        <f t="shared" si="0"/>
        <v>2029</v>
      </c>
      <c r="AI3" s="116">
        <f t="shared" si="0"/>
        <v>2029</v>
      </c>
      <c r="AJ3" s="116">
        <f t="shared" si="0"/>
        <v>2029</v>
      </c>
      <c r="AK3" s="116">
        <f t="shared" si="0"/>
        <v>2029</v>
      </c>
      <c r="AL3" s="116">
        <f t="shared" si="0"/>
        <v>2029</v>
      </c>
      <c r="AM3" s="116">
        <f t="shared" si="0"/>
        <v>2029</v>
      </c>
      <c r="AN3" s="116">
        <f t="shared" si="0"/>
        <v>2029</v>
      </c>
      <c r="AO3" s="116">
        <f t="shared" si="0"/>
        <v>2029</v>
      </c>
      <c r="AP3" s="116">
        <f t="shared" si="0"/>
        <v>2029</v>
      </c>
      <c r="AQ3" s="116">
        <f t="shared" si="0"/>
        <v>2029</v>
      </c>
      <c r="AR3" s="116">
        <f t="shared" si="0"/>
        <v>2029</v>
      </c>
      <c r="AS3" s="116">
        <f t="shared" si="0"/>
        <v>2030</v>
      </c>
      <c r="AT3" s="116">
        <f t="shared" si="0"/>
        <v>2030</v>
      </c>
      <c r="AU3" s="116">
        <f t="shared" si="0"/>
        <v>2030</v>
      </c>
      <c r="AV3" s="116">
        <f t="shared" si="0"/>
        <v>2030</v>
      </c>
      <c r="AW3" s="116">
        <f t="shared" si="0"/>
        <v>2030</v>
      </c>
      <c r="AX3" s="116">
        <f t="shared" si="0"/>
        <v>2030</v>
      </c>
      <c r="AY3" s="116">
        <f t="shared" si="0"/>
        <v>2030</v>
      </c>
      <c r="AZ3" s="116">
        <f t="shared" si="0"/>
        <v>2030</v>
      </c>
      <c r="BA3" s="116">
        <f t="shared" si="0"/>
        <v>2030</v>
      </c>
      <c r="BB3" s="116">
        <f t="shared" si="0"/>
        <v>2030</v>
      </c>
      <c r="BC3" s="116">
        <f t="shared" si="0"/>
        <v>2030</v>
      </c>
      <c r="BD3" s="116">
        <f t="shared" si="0"/>
        <v>2030</v>
      </c>
      <c r="BE3" s="116">
        <f t="shared" si="0"/>
        <v>2031</v>
      </c>
      <c r="BF3" s="116">
        <f t="shared" si="0"/>
        <v>2031</v>
      </c>
      <c r="BG3" s="116">
        <f t="shared" si="0"/>
        <v>2031</v>
      </c>
      <c r="BH3" s="116">
        <f t="shared" si="0"/>
        <v>2031</v>
      </c>
      <c r="BI3" s="116">
        <f t="shared" si="0"/>
        <v>2031</v>
      </c>
    </row>
    <row r="4" spans="1:61" s="5" customFormat="1" ht="11" x14ac:dyDescent="0.15">
      <c r="B4" s="127">
        <v>1</v>
      </c>
      <c r="C4" s="127">
        <f>B4+1</f>
        <v>2</v>
      </c>
      <c r="D4" s="127">
        <f t="shared" ref="D4:BI4" si="1">C4+1</f>
        <v>3</v>
      </c>
      <c r="E4" s="127">
        <f t="shared" si="1"/>
        <v>4</v>
      </c>
      <c r="F4" s="127">
        <f t="shared" si="1"/>
        <v>5</v>
      </c>
      <c r="G4" s="127">
        <f t="shared" si="1"/>
        <v>6</v>
      </c>
      <c r="H4" s="127">
        <f t="shared" si="1"/>
        <v>7</v>
      </c>
      <c r="I4" s="127">
        <f t="shared" si="1"/>
        <v>8</v>
      </c>
      <c r="J4" s="127">
        <f t="shared" si="1"/>
        <v>9</v>
      </c>
      <c r="K4" s="127">
        <f t="shared" si="1"/>
        <v>10</v>
      </c>
      <c r="L4" s="127">
        <f t="shared" si="1"/>
        <v>11</v>
      </c>
      <c r="M4" s="127">
        <f t="shared" si="1"/>
        <v>12</v>
      </c>
      <c r="N4" s="127">
        <f t="shared" si="1"/>
        <v>13</v>
      </c>
      <c r="O4" s="127">
        <f t="shared" si="1"/>
        <v>14</v>
      </c>
      <c r="P4" s="127">
        <f t="shared" si="1"/>
        <v>15</v>
      </c>
      <c r="Q4" s="127">
        <f t="shared" si="1"/>
        <v>16</v>
      </c>
      <c r="R4" s="127">
        <f t="shared" si="1"/>
        <v>17</v>
      </c>
      <c r="S4" s="127">
        <f t="shared" si="1"/>
        <v>18</v>
      </c>
      <c r="T4" s="127">
        <f t="shared" si="1"/>
        <v>19</v>
      </c>
      <c r="U4" s="127">
        <f t="shared" si="1"/>
        <v>20</v>
      </c>
      <c r="V4" s="127">
        <f t="shared" si="1"/>
        <v>21</v>
      </c>
      <c r="W4" s="127">
        <f t="shared" si="1"/>
        <v>22</v>
      </c>
      <c r="X4" s="127">
        <f t="shared" si="1"/>
        <v>23</v>
      </c>
      <c r="Y4" s="127">
        <f t="shared" si="1"/>
        <v>24</v>
      </c>
      <c r="Z4" s="127">
        <f t="shared" si="1"/>
        <v>25</v>
      </c>
      <c r="AA4" s="127">
        <f t="shared" si="1"/>
        <v>26</v>
      </c>
      <c r="AB4" s="127">
        <f t="shared" si="1"/>
        <v>27</v>
      </c>
      <c r="AC4" s="127">
        <f t="shared" si="1"/>
        <v>28</v>
      </c>
      <c r="AD4" s="127">
        <f t="shared" si="1"/>
        <v>29</v>
      </c>
      <c r="AE4" s="127">
        <f t="shared" si="1"/>
        <v>30</v>
      </c>
      <c r="AF4" s="127">
        <f t="shared" si="1"/>
        <v>31</v>
      </c>
      <c r="AG4" s="127">
        <f t="shared" si="1"/>
        <v>32</v>
      </c>
      <c r="AH4" s="127">
        <f t="shared" si="1"/>
        <v>33</v>
      </c>
      <c r="AI4" s="127">
        <f t="shared" si="1"/>
        <v>34</v>
      </c>
      <c r="AJ4" s="127">
        <f t="shared" si="1"/>
        <v>35</v>
      </c>
      <c r="AK4" s="127">
        <f t="shared" si="1"/>
        <v>36</v>
      </c>
      <c r="AL4" s="127">
        <f t="shared" si="1"/>
        <v>37</v>
      </c>
      <c r="AM4" s="127">
        <f t="shared" si="1"/>
        <v>38</v>
      </c>
      <c r="AN4" s="127">
        <f t="shared" si="1"/>
        <v>39</v>
      </c>
      <c r="AO4" s="127">
        <f t="shared" si="1"/>
        <v>40</v>
      </c>
      <c r="AP4" s="127">
        <f t="shared" si="1"/>
        <v>41</v>
      </c>
      <c r="AQ4" s="127">
        <f t="shared" si="1"/>
        <v>42</v>
      </c>
      <c r="AR4" s="127">
        <f t="shared" si="1"/>
        <v>43</v>
      </c>
      <c r="AS4" s="127">
        <f t="shared" si="1"/>
        <v>44</v>
      </c>
      <c r="AT4" s="127">
        <f t="shared" si="1"/>
        <v>45</v>
      </c>
      <c r="AU4" s="127">
        <f t="shared" si="1"/>
        <v>46</v>
      </c>
      <c r="AV4" s="127">
        <f t="shared" si="1"/>
        <v>47</v>
      </c>
      <c r="AW4" s="127">
        <f t="shared" si="1"/>
        <v>48</v>
      </c>
      <c r="AX4" s="127">
        <f t="shared" si="1"/>
        <v>49</v>
      </c>
      <c r="AY4" s="127">
        <f t="shared" si="1"/>
        <v>50</v>
      </c>
      <c r="AZ4" s="127">
        <f t="shared" si="1"/>
        <v>51</v>
      </c>
      <c r="BA4" s="127">
        <f t="shared" si="1"/>
        <v>52</v>
      </c>
      <c r="BB4" s="127">
        <f t="shared" si="1"/>
        <v>53</v>
      </c>
      <c r="BC4" s="127">
        <f t="shared" si="1"/>
        <v>54</v>
      </c>
      <c r="BD4" s="127">
        <f t="shared" si="1"/>
        <v>55</v>
      </c>
      <c r="BE4" s="127">
        <f t="shared" si="1"/>
        <v>56</v>
      </c>
      <c r="BF4" s="127">
        <f t="shared" si="1"/>
        <v>57</v>
      </c>
      <c r="BG4" s="127">
        <f t="shared" si="1"/>
        <v>58</v>
      </c>
      <c r="BH4" s="127">
        <f t="shared" si="1"/>
        <v>59</v>
      </c>
      <c r="BI4" s="127">
        <f t="shared" si="1"/>
        <v>60</v>
      </c>
    </row>
    <row r="5" spans="1:61" s="108" customFormat="1" x14ac:dyDescent="0.15">
      <c r="A5" s="110" t="s">
        <v>109</v>
      </c>
      <c r="B5" s="111">
        <f>Controls!B6</f>
        <v>46174</v>
      </c>
      <c r="C5" s="111">
        <f>DATE(YEAR(B5),MONTH(B5)+1,DAY(B5))</f>
        <v>46204</v>
      </c>
      <c r="D5" s="111">
        <f t="shared" ref="D5:BI5" si="2">DATE(YEAR(C5),MONTH(C5)+1,DAY(C5))</f>
        <v>46235</v>
      </c>
      <c r="E5" s="111">
        <f t="shared" si="2"/>
        <v>46266</v>
      </c>
      <c r="F5" s="111">
        <f t="shared" si="2"/>
        <v>46296</v>
      </c>
      <c r="G5" s="111">
        <f t="shared" si="2"/>
        <v>46327</v>
      </c>
      <c r="H5" s="111">
        <f t="shared" si="2"/>
        <v>46357</v>
      </c>
      <c r="I5" s="111">
        <f t="shared" si="2"/>
        <v>46388</v>
      </c>
      <c r="J5" s="111">
        <f t="shared" si="2"/>
        <v>46419</v>
      </c>
      <c r="K5" s="111">
        <f t="shared" si="2"/>
        <v>46447</v>
      </c>
      <c r="L5" s="111">
        <f t="shared" si="2"/>
        <v>46478</v>
      </c>
      <c r="M5" s="111">
        <f t="shared" si="2"/>
        <v>46508</v>
      </c>
      <c r="N5" s="111">
        <f t="shared" si="2"/>
        <v>46539</v>
      </c>
      <c r="O5" s="111">
        <f t="shared" si="2"/>
        <v>46569</v>
      </c>
      <c r="P5" s="111">
        <f t="shared" si="2"/>
        <v>46600</v>
      </c>
      <c r="Q5" s="111">
        <f t="shared" si="2"/>
        <v>46631</v>
      </c>
      <c r="R5" s="111">
        <f t="shared" si="2"/>
        <v>46661</v>
      </c>
      <c r="S5" s="111">
        <f t="shared" si="2"/>
        <v>46692</v>
      </c>
      <c r="T5" s="111">
        <f t="shared" si="2"/>
        <v>46722</v>
      </c>
      <c r="U5" s="111">
        <f t="shared" si="2"/>
        <v>46753</v>
      </c>
      <c r="V5" s="111">
        <f t="shared" si="2"/>
        <v>46784</v>
      </c>
      <c r="W5" s="111">
        <f t="shared" si="2"/>
        <v>46813</v>
      </c>
      <c r="X5" s="111">
        <f t="shared" si="2"/>
        <v>46844</v>
      </c>
      <c r="Y5" s="111">
        <f t="shared" si="2"/>
        <v>46874</v>
      </c>
      <c r="Z5" s="111">
        <f t="shared" si="2"/>
        <v>46905</v>
      </c>
      <c r="AA5" s="111">
        <f t="shared" si="2"/>
        <v>46935</v>
      </c>
      <c r="AB5" s="111">
        <f t="shared" si="2"/>
        <v>46966</v>
      </c>
      <c r="AC5" s="111">
        <f t="shared" si="2"/>
        <v>46997</v>
      </c>
      <c r="AD5" s="111">
        <f t="shared" si="2"/>
        <v>47027</v>
      </c>
      <c r="AE5" s="111">
        <f t="shared" si="2"/>
        <v>47058</v>
      </c>
      <c r="AF5" s="111">
        <f t="shared" si="2"/>
        <v>47088</v>
      </c>
      <c r="AG5" s="111">
        <f t="shared" si="2"/>
        <v>47119</v>
      </c>
      <c r="AH5" s="111">
        <f t="shared" si="2"/>
        <v>47150</v>
      </c>
      <c r="AI5" s="111">
        <f t="shared" si="2"/>
        <v>47178</v>
      </c>
      <c r="AJ5" s="111">
        <f t="shared" si="2"/>
        <v>47209</v>
      </c>
      <c r="AK5" s="111">
        <f t="shared" si="2"/>
        <v>47239</v>
      </c>
      <c r="AL5" s="111">
        <f t="shared" si="2"/>
        <v>47270</v>
      </c>
      <c r="AM5" s="111">
        <f t="shared" si="2"/>
        <v>47300</v>
      </c>
      <c r="AN5" s="111">
        <f t="shared" si="2"/>
        <v>47331</v>
      </c>
      <c r="AO5" s="111">
        <f t="shared" si="2"/>
        <v>47362</v>
      </c>
      <c r="AP5" s="111">
        <f t="shared" si="2"/>
        <v>47392</v>
      </c>
      <c r="AQ5" s="111">
        <f t="shared" si="2"/>
        <v>47423</v>
      </c>
      <c r="AR5" s="111">
        <f t="shared" si="2"/>
        <v>47453</v>
      </c>
      <c r="AS5" s="111">
        <f t="shared" si="2"/>
        <v>47484</v>
      </c>
      <c r="AT5" s="111">
        <f t="shared" si="2"/>
        <v>47515</v>
      </c>
      <c r="AU5" s="111">
        <f t="shared" si="2"/>
        <v>47543</v>
      </c>
      <c r="AV5" s="111">
        <f t="shared" si="2"/>
        <v>47574</v>
      </c>
      <c r="AW5" s="111">
        <f t="shared" si="2"/>
        <v>47604</v>
      </c>
      <c r="AX5" s="111">
        <f t="shared" si="2"/>
        <v>47635</v>
      </c>
      <c r="AY5" s="111">
        <f t="shared" si="2"/>
        <v>47665</v>
      </c>
      <c r="AZ5" s="111">
        <f t="shared" si="2"/>
        <v>47696</v>
      </c>
      <c r="BA5" s="111">
        <f t="shared" si="2"/>
        <v>47727</v>
      </c>
      <c r="BB5" s="111">
        <f t="shared" si="2"/>
        <v>47757</v>
      </c>
      <c r="BC5" s="111">
        <f t="shared" si="2"/>
        <v>47788</v>
      </c>
      <c r="BD5" s="111">
        <f t="shared" si="2"/>
        <v>47818</v>
      </c>
      <c r="BE5" s="111">
        <f t="shared" si="2"/>
        <v>47849</v>
      </c>
      <c r="BF5" s="111">
        <f t="shared" si="2"/>
        <v>47880</v>
      </c>
      <c r="BG5" s="111">
        <f t="shared" si="2"/>
        <v>47908</v>
      </c>
      <c r="BH5" s="111">
        <f t="shared" si="2"/>
        <v>47939</v>
      </c>
      <c r="BI5" s="111">
        <f t="shared" si="2"/>
        <v>47969</v>
      </c>
    </row>
    <row r="6" spans="1:61" s="141" customFormat="1" x14ac:dyDescent="0.15">
      <c r="A6" s="140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</row>
    <row r="7" spans="1:61" x14ac:dyDescent="0.15">
      <c r="A7" s="69" t="s">
        <v>110</v>
      </c>
      <c r="B7" s="194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</row>
    <row r="8" spans="1:61" x14ac:dyDescent="0.15">
      <c r="A8" s="69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6"/>
      <c r="AL8" s="226"/>
      <c r="AM8" s="226"/>
      <c r="AN8" s="226"/>
      <c r="AO8" s="226"/>
      <c r="AP8" s="226"/>
      <c r="AQ8" s="226"/>
      <c r="AR8" s="226"/>
      <c r="AS8" s="226"/>
      <c r="AT8" s="226"/>
      <c r="AU8" s="226"/>
      <c r="AV8" s="226"/>
      <c r="AW8" s="226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</row>
    <row r="9" spans="1:61" hidden="1" x14ac:dyDescent="0.15">
      <c r="A9" s="184" t="s">
        <v>52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</row>
    <row r="10" spans="1:61" ht="14" hidden="1" x14ac:dyDescent="0.15">
      <c r="A10" s="58" t="s">
        <v>53</v>
      </c>
      <c r="B10" s="197">
        <v>0</v>
      </c>
      <c r="C10" s="197">
        <v>0</v>
      </c>
      <c r="D10" s="197">
        <v>0</v>
      </c>
      <c r="E10" s="197">
        <v>0</v>
      </c>
      <c r="F10" s="197">
        <v>0</v>
      </c>
      <c r="G10" s="197">
        <v>0</v>
      </c>
      <c r="H10" s="197">
        <v>0</v>
      </c>
      <c r="I10" s="197">
        <v>0</v>
      </c>
      <c r="J10" s="197">
        <v>0</v>
      </c>
      <c r="K10" s="197">
        <v>0</v>
      </c>
      <c r="L10" s="197">
        <v>0</v>
      </c>
      <c r="M10" s="197">
        <v>0</v>
      </c>
      <c r="N10" s="197">
        <v>0</v>
      </c>
      <c r="O10" s="197">
        <v>0</v>
      </c>
      <c r="P10" s="197">
        <v>0</v>
      </c>
      <c r="Q10" s="197">
        <v>0</v>
      </c>
      <c r="R10" s="197">
        <v>0</v>
      </c>
      <c r="S10" s="197">
        <v>0</v>
      </c>
      <c r="T10" s="197">
        <v>0</v>
      </c>
      <c r="U10" s="197">
        <v>0</v>
      </c>
      <c r="V10" s="197">
        <v>0</v>
      </c>
      <c r="W10" s="197">
        <v>0</v>
      </c>
      <c r="X10" s="197">
        <v>0</v>
      </c>
      <c r="Y10" s="197">
        <v>0</v>
      </c>
      <c r="Z10" s="197">
        <v>0</v>
      </c>
      <c r="AA10" s="197">
        <v>0</v>
      </c>
      <c r="AB10" s="197">
        <v>0</v>
      </c>
      <c r="AC10" s="197">
        <v>0</v>
      </c>
      <c r="AD10" s="197">
        <v>0</v>
      </c>
      <c r="AE10" s="197">
        <v>0</v>
      </c>
      <c r="AF10" s="197">
        <v>0</v>
      </c>
      <c r="AG10" s="197">
        <v>0</v>
      </c>
      <c r="AH10" s="197">
        <v>0</v>
      </c>
      <c r="AI10" s="197">
        <v>0</v>
      </c>
      <c r="AJ10" s="197">
        <v>0</v>
      </c>
      <c r="AK10" s="197">
        <v>0</v>
      </c>
      <c r="AL10" s="197">
        <v>0</v>
      </c>
      <c r="AM10" s="197">
        <v>0</v>
      </c>
      <c r="AN10" s="197">
        <v>0</v>
      </c>
      <c r="AO10" s="197">
        <v>0</v>
      </c>
      <c r="AP10" s="197">
        <v>0</v>
      </c>
      <c r="AQ10" s="197">
        <v>0</v>
      </c>
      <c r="AR10" s="197">
        <v>0</v>
      </c>
      <c r="AS10" s="197">
        <v>0</v>
      </c>
      <c r="AT10" s="197">
        <v>0</v>
      </c>
      <c r="AU10" s="197">
        <v>0</v>
      </c>
      <c r="AV10" s="197">
        <v>0</v>
      </c>
      <c r="AW10" s="197">
        <v>0</v>
      </c>
      <c r="AX10" s="197">
        <v>0</v>
      </c>
      <c r="AY10" s="197">
        <v>0</v>
      </c>
      <c r="AZ10" s="197">
        <v>0</v>
      </c>
      <c r="BA10" s="197">
        <v>0</v>
      </c>
      <c r="BB10" s="197">
        <v>0</v>
      </c>
      <c r="BC10" s="197">
        <v>0</v>
      </c>
      <c r="BD10" s="197">
        <v>0</v>
      </c>
      <c r="BE10" s="197">
        <v>0</v>
      </c>
      <c r="BF10" s="197">
        <v>0</v>
      </c>
      <c r="BG10" s="197">
        <v>0</v>
      </c>
      <c r="BH10" s="197">
        <v>0</v>
      </c>
      <c r="BI10" s="197">
        <v>0</v>
      </c>
    </row>
    <row r="11" spans="1:61" ht="14" hidden="1" x14ac:dyDescent="0.15">
      <c r="A11" s="58" t="s">
        <v>54</v>
      </c>
      <c r="B11" s="197">
        <v>0</v>
      </c>
      <c r="C11" s="197">
        <v>0</v>
      </c>
      <c r="D11" s="197">
        <v>0</v>
      </c>
      <c r="E11" s="197">
        <v>0</v>
      </c>
      <c r="F11" s="197">
        <v>0</v>
      </c>
      <c r="G11" s="197">
        <v>0</v>
      </c>
      <c r="H11" s="197">
        <v>0</v>
      </c>
      <c r="I11" s="197">
        <v>0</v>
      </c>
      <c r="J11" s="197">
        <v>0</v>
      </c>
      <c r="K11" s="197">
        <v>0</v>
      </c>
      <c r="L11" s="197">
        <v>0</v>
      </c>
      <c r="M11" s="197">
        <v>0</v>
      </c>
      <c r="N11" s="197">
        <v>0</v>
      </c>
      <c r="O11" s="197">
        <v>0</v>
      </c>
      <c r="P11" s="197">
        <v>0</v>
      </c>
      <c r="Q11" s="197">
        <v>0</v>
      </c>
      <c r="R11" s="197">
        <v>0</v>
      </c>
      <c r="S11" s="197">
        <v>0</v>
      </c>
      <c r="T11" s="197">
        <v>0</v>
      </c>
      <c r="U11" s="197">
        <v>0</v>
      </c>
      <c r="V11" s="197">
        <v>0</v>
      </c>
      <c r="W11" s="197">
        <v>0</v>
      </c>
      <c r="X11" s="197">
        <v>0</v>
      </c>
      <c r="Y11" s="197">
        <v>0</v>
      </c>
      <c r="Z11" s="197">
        <v>0</v>
      </c>
      <c r="AA11" s="197">
        <v>0</v>
      </c>
      <c r="AB11" s="197">
        <v>0</v>
      </c>
      <c r="AC11" s="197">
        <v>0</v>
      </c>
      <c r="AD11" s="197">
        <v>0</v>
      </c>
      <c r="AE11" s="197">
        <v>0</v>
      </c>
      <c r="AF11" s="197">
        <v>0</v>
      </c>
      <c r="AG11" s="197">
        <v>0</v>
      </c>
      <c r="AH11" s="197">
        <v>0</v>
      </c>
      <c r="AI11" s="197">
        <v>0</v>
      </c>
      <c r="AJ11" s="197">
        <v>0</v>
      </c>
      <c r="AK11" s="197">
        <v>0</v>
      </c>
      <c r="AL11" s="197">
        <v>0</v>
      </c>
      <c r="AM11" s="197">
        <v>0</v>
      </c>
      <c r="AN11" s="197">
        <v>0</v>
      </c>
      <c r="AO11" s="197">
        <v>0</v>
      </c>
      <c r="AP11" s="197">
        <v>0</v>
      </c>
      <c r="AQ11" s="197">
        <v>0</v>
      </c>
      <c r="AR11" s="197">
        <v>0</v>
      </c>
      <c r="AS11" s="197">
        <v>0</v>
      </c>
      <c r="AT11" s="197">
        <v>0</v>
      </c>
      <c r="AU11" s="197">
        <v>0</v>
      </c>
      <c r="AV11" s="197">
        <v>0</v>
      </c>
      <c r="AW11" s="197">
        <v>0</v>
      </c>
      <c r="AX11" s="197">
        <v>0</v>
      </c>
      <c r="AY11" s="197">
        <v>0</v>
      </c>
      <c r="AZ11" s="197">
        <v>0</v>
      </c>
      <c r="BA11" s="197">
        <v>0</v>
      </c>
      <c r="BB11" s="197">
        <v>0</v>
      </c>
      <c r="BC11" s="197">
        <v>0</v>
      </c>
      <c r="BD11" s="197">
        <v>0</v>
      </c>
      <c r="BE11" s="197">
        <v>0</v>
      </c>
      <c r="BF11" s="197">
        <v>0</v>
      </c>
      <c r="BG11" s="197">
        <v>0</v>
      </c>
      <c r="BH11" s="197">
        <v>0</v>
      </c>
      <c r="BI11" s="197">
        <v>0</v>
      </c>
    </row>
    <row r="12" spans="1:61" ht="14" hidden="1" x14ac:dyDescent="0.15">
      <c r="A12" s="58" t="s">
        <v>55</v>
      </c>
      <c r="B12" s="197">
        <v>0</v>
      </c>
      <c r="C12" s="197">
        <v>0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7">
        <v>0</v>
      </c>
      <c r="Q12" s="197">
        <v>0</v>
      </c>
      <c r="R12" s="197">
        <v>0</v>
      </c>
      <c r="S12" s="197">
        <v>0</v>
      </c>
      <c r="T12" s="197">
        <v>0</v>
      </c>
      <c r="U12" s="197">
        <v>0</v>
      </c>
      <c r="V12" s="197">
        <v>0</v>
      </c>
      <c r="W12" s="197">
        <v>0</v>
      </c>
      <c r="X12" s="197">
        <v>0</v>
      </c>
      <c r="Y12" s="197">
        <v>0</v>
      </c>
      <c r="Z12" s="197">
        <v>0</v>
      </c>
      <c r="AA12" s="197">
        <v>0</v>
      </c>
      <c r="AB12" s="197">
        <v>0</v>
      </c>
      <c r="AC12" s="197">
        <v>0</v>
      </c>
      <c r="AD12" s="197">
        <v>0</v>
      </c>
      <c r="AE12" s="197">
        <v>0</v>
      </c>
      <c r="AF12" s="197">
        <v>0</v>
      </c>
      <c r="AG12" s="197">
        <v>0</v>
      </c>
      <c r="AH12" s="197">
        <v>0</v>
      </c>
      <c r="AI12" s="197">
        <v>0</v>
      </c>
      <c r="AJ12" s="197">
        <v>0</v>
      </c>
      <c r="AK12" s="197">
        <v>0</v>
      </c>
      <c r="AL12" s="197">
        <v>0</v>
      </c>
      <c r="AM12" s="197">
        <v>0</v>
      </c>
      <c r="AN12" s="197">
        <v>0</v>
      </c>
      <c r="AO12" s="197">
        <v>0</v>
      </c>
      <c r="AP12" s="197">
        <v>0</v>
      </c>
      <c r="AQ12" s="197">
        <v>0</v>
      </c>
      <c r="AR12" s="197">
        <v>0</v>
      </c>
      <c r="AS12" s="197">
        <v>0</v>
      </c>
      <c r="AT12" s="197">
        <v>0</v>
      </c>
      <c r="AU12" s="197">
        <v>0</v>
      </c>
      <c r="AV12" s="197">
        <v>0</v>
      </c>
      <c r="AW12" s="197">
        <v>0</v>
      </c>
      <c r="AX12" s="197">
        <v>0</v>
      </c>
      <c r="AY12" s="197">
        <v>0</v>
      </c>
      <c r="AZ12" s="197">
        <v>0</v>
      </c>
      <c r="BA12" s="197">
        <v>0</v>
      </c>
      <c r="BB12" s="197">
        <v>0</v>
      </c>
      <c r="BC12" s="197">
        <v>0</v>
      </c>
      <c r="BD12" s="197">
        <v>0</v>
      </c>
      <c r="BE12" s="197">
        <v>0</v>
      </c>
      <c r="BF12" s="197">
        <v>0</v>
      </c>
      <c r="BG12" s="197">
        <v>0</v>
      </c>
      <c r="BH12" s="197">
        <v>0</v>
      </c>
      <c r="BI12" s="197">
        <v>0</v>
      </c>
    </row>
    <row r="13" spans="1:61" ht="14" hidden="1" x14ac:dyDescent="0.15">
      <c r="A13" s="58" t="s">
        <v>56</v>
      </c>
      <c r="B13" s="197">
        <v>0</v>
      </c>
      <c r="C13" s="197">
        <v>0</v>
      </c>
      <c r="D13" s="197">
        <v>0</v>
      </c>
      <c r="E13" s="197">
        <v>0</v>
      </c>
      <c r="F13" s="197">
        <v>0</v>
      </c>
      <c r="G13" s="197">
        <v>0</v>
      </c>
      <c r="H13" s="197">
        <v>0</v>
      </c>
      <c r="I13" s="197">
        <v>0</v>
      </c>
      <c r="J13" s="197">
        <v>0</v>
      </c>
      <c r="K13" s="197">
        <v>0</v>
      </c>
      <c r="L13" s="197">
        <v>0</v>
      </c>
      <c r="M13" s="197">
        <v>0</v>
      </c>
      <c r="N13" s="197">
        <v>0</v>
      </c>
      <c r="O13" s="197">
        <v>0</v>
      </c>
      <c r="P13" s="197">
        <v>0</v>
      </c>
      <c r="Q13" s="197">
        <v>0</v>
      </c>
      <c r="R13" s="197">
        <v>0</v>
      </c>
      <c r="S13" s="197">
        <v>0</v>
      </c>
      <c r="T13" s="197">
        <v>0</v>
      </c>
      <c r="U13" s="197">
        <v>0</v>
      </c>
      <c r="V13" s="197">
        <v>0</v>
      </c>
      <c r="W13" s="197">
        <v>0</v>
      </c>
      <c r="X13" s="197">
        <v>0</v>
      </c>
      <c r="Y13" s="197">
        <v>0</v>
      </c>
      <c r="Z13" s="197">
        <v>0</v>
      </c>
      <c r="AA13" s="197">
        <v>0</v>
      </c>
      <c r="AB13" s="197">
        <v>0</v>
      </c>
      <c r="AC13" s="197">
        <v>0</v>
      </c>
      <c r="AD13" s="197">
        <v>0</v>
      </c>
      <c r="AE13" s="197">
        <v>0</v>
      </c>
      <c r="AF13" s="197">
        <v>0</v>
      </c>
      <c r="AG13" s="197">
        <v>0</v>
      </c>
      <c r="AH13" s="197">
        <v>0</v>
      </c>
      <c r="AI13" s="197">
        <v>0</v>
      </c>
      <c r="AJ13" s="197">
        <v>0</v>
      </c>
      <c r="AK13" s="197">
        <v>0</v>
      </c>
      <c r="AL13" s="197">
        <v>0</v>
      </c>
      <c r="AM13" s="197">
        <v>0</v>
      </c>
      <c r="AN13" s="197">
        <v>0</v>
      </c>
      <c r="AO13" s="197">
        <v>0</v>
      </c>
      <c r="AP13" s="197">
        <v>0</v>
      </c>
      <c r="AQ13" s="197">
        <v>0</v>
      </c>
      <c r="AR13" s="197">
        <v>0</v>
      </c>
      <c r="AS13" s="197">
        <v>0</v>
      </c>
      <c r="AT13" s="197">
        <v>0</v>
      </c>
      <c r="AU13" s="197">
        <v>0</v>
      </c>
      <c r="AV13" s="197">
        <v>0</v>
      </c>
      <c r="AW13" s="197">
        <v>0</v>
      </c>
      <c r="AX13" s="197">
        <v>0</v>
      </c>
      <c r="AY13" s="197">
        <v>0</v>
      </c>
      <c r="AZ13" s="197">
        <v>0</v>
      </c>
      <c r="BA13" s="197">
        <v>0</v>
      </c>
      <c r="BB13" s="197">
        <v>0</v>
      </c>
      <c r="BC13" s="197">
        <v>0</v>
      </c>
      <c r="BD13" s="197">
        <v>0</v>
      </c>
      <c r="BE13" s="197">
        <v>0</v>
      </c>
      <c r="BF13" s="197">
        <v>0</v>
      </c>
      <c r="BG13" s="197">
        <v>0</v>
      </c>
      <c r="BH13" s="197">
        <v>0</v>
      </c>
      <c r="BI13" s="197">
        <v>0</v>
      </c>
    </row>
    <row r="14" spans="1:61" ht="14" hidden="1" x14ac:dyDescent="0.15">
      <c r="A14" s="58" t="s">
        <v>57</v>
      </c>
      <c r="B14" s="197">
        <v>0</v>
      </c>
      <c r="C14" s="197">
        <v>0</v>
      </c>
      <c r="D14" s="197">
        <v>0</v>
      </c>
      <c r="E14" s="197">
        <v>0</v>
      </c>
      <c r="F14" s="197">
        <v>0</v>
      </c>
      <c r="G14" s="197">
        <v>0</v>
      </c>
      <c r="H14" s="197">
        <v>0</v>
      </c>
      <c r="I14" s="197">
        <v>0</v>
      </c>
      <c r="J14" s="197">
        <v>0</v>
      </c>
      <c r="K14" s="197">
        <v>0</v>
      </c>
      <c r="L14" s="197">
        <v>0</v>
      </c>
      <c r="M14" s="197">
        <v>0</v>
      </c>
      <c r="N14" s="197">
        <v>0</v>
      </c>
      <c r="O14" s="197">
        <v>0</v>
      </c>
      <c r="P14" s="197">
        <v>0</v>
      </c>
      <c r="Q14" s="197">
        <v>0</v>
      </c>
      <c r="R14" s="197">
        <v>0</v>
      </c>
      <c r="S14" s="197">
        <v>0</v>
      </c>
      <c r="T14" s="197">
        <v>0</v>
      </c>
      <c r="U14" s="197">
        <v>0</v>
      </c>
      <c r="V14" s="197">
        <v>0</v>
      </c>
      <c r="W14" s="197">
        <v>0</v>
      </c>
      <c r="X14" s="197">
        <v>0</v>
      </c>
      <c r="Y14" s="197">
        <v>0</v>
      </c>
      <c r="Z14" s="197">
        <v>0</v>
      </c>
      <c r="AA14" s="197">
        <v>0</v>
      </c>
      <c r="AB14" s="197">
        <v>0</v>
      </c>
      <c r="AC14" s="197">
        <v>0</v>
      </c>
      <c r="AD14" s="197">
        <v>0</v>
      </c>
      <c r="AE14" s="197">
        <v>0</v>
      </c>
      <c r="AF14" s="197">
        <v>0</v>
      </c>
      <c r="AG14" s="197">
        <v>0</v>
      </c>
      <c r="AH14" s="197">
        <v>0</v>
      </c>
      <c r="AI14" s="197">
        <v>0</v>
      </c>
      <c r="AJ14" s="197">
        <v>0</v>
      </c>
      <c r="AK14" s="197">
        <v>0</v>
      </c>
      <c r="AL14" s="197">
        <v>0</v>
      </c>
      <c r="AM14" s="197">
        <v>0</v>
      </c>
      <c r="AN14" s="197">
        <v>0</v>
      </c>
      <c r="AO14" s="197">
        <v>0</v>
      </c>
      <c r="AP14" s="197">
        <v>0</v>
      </c>
      <c r="AQ14" s="197">
        <v>0</v>
      </c>
      <c r="AR14" s="197">
        <v>0</v>
      </c>
      <c r="AS14" s="197">
        <v>0</v>
      </c>
      <c r="AT14" s="197">
        <v>0</v>
      </c>
      <c r="AU14" s="197">
        <v>0</v>
      </c>
      <c r="AV14" s="197">
        <v>0</v>
      </c>
      <c r="AW14" s="197">
        <v>0</v>
      </c>
      <c r="AX14" s="197">
        <v>0</v>
      </c>
      <c r="AY14" s="197">
        <v>0</v>
      </c>
      <c r="AZ14" s="197">
        <v>0</v>
      </c>
      <c r="BA14" s="197">
        <v>0</v>
      </c>
      <c r="BB14" s="197">
        <v>0</v>
      </c>
      <c r="BC14" s="197">
        <v>0</v>
      </c>
      <c r="BD14" s="197">
        <v>0</v>
      </c>
      <c r="BE14" s="197">
        <v>0</v>
      </c>
      <c r="BF14" s="197">
        <v>0</v>
      </c>
      <c r="BG14" s="197">
        <v>0</v>
      </c>
      <c r="BH14" s="197">
        <v>0</v>
      </c>
      <c r="BI14" s="197">
        <v>0</v>
      </c>
    </row>
    <row r="15" spans="1:61" hidden="1" x14ac:dyDescent="0.15">
      <c r="A15" s="190" t="s">
        <v>111</v>
      </c>
      <c r="B15" s="198">
        <f>ROUND(SUM(B10:B14),0)</f>
        <v>0</v>
      </c>
      <c r="C15" s="198">
        <f t="shared" ref="C15:BI15" si="3">ROUND(SUM(C10:C14),0)</f>
        <v>0</v>
      </c>
      <c r="D15" s="198">
        <f t="shared" si="3"/>
        <v>0</v>
      </c>
      <c r="E15" s="198">
        <f t="shared" si="3"/>
        <v>0</v>
      </c>
      <c r="F15" s="198">
        <f t="shared" si="3"/>
        <v>0</v>
      </c>
      <c r="G15" s="198">
        <f t="shared" si="3"/>
        <v>0</v>
      </c>
      <c r="H15" s="198">
        <f t="shared" si="3"/>
        <v>0</v>
      </c>
      <c r="I15" s="198">
        <f t="shared" si="3"/>
        <v>0</v>
      </c>
      <c r="J15" s="198">
        <f t="shared" si="3"/>
        <v>0</v>
      </c>
      <c r="K15" s="198">
        <f t="shared" si="3"/>
        <v>0</v>
      </c>
      <c r="L15" s="198">
        <f t="shared" si="3"/>
        <v>0</v>
      </c>
      <c r="M15" s="198">
        <f t="shared" si="3"/>
        <v>0</v>
      </c>
      <c r="N15" s="198">
        <f t="shared" si="3"/>
        <v>0</v>
      </c>
      <c r="O15" s="198">
        <f t="shared" si="3"/>
        <v>0</v>
      </c>
      <c r="P15" s="198">
        <f t="shared" si="3"/>
        <v>0</v>
      </c>
      <c r="Q15" s="198">
        <f t="shared" si="3"/>
        <v>0</v>
      </c>
      <c r="R15" s="198">
        <f t="shared" si="3"/>
        <v>0</v>
      </c>
      <c r="S15" s="198">
        <f t="shared" si="3"/>
        <v>0</v>
      </c>
      <c r="T15" s="198">
        <f t="shared" si="3"/>
        <v>0</v>
      </c>
      <c r="U15" s="198">
        <f t="shared" si="3"/>
        <v>0</v>
      </c>
      <c r="V15" s="198">
        <f t="shared" si="3"/>
        <v>0</v>
      </c>
      <c r="W15" s="198">
        <f t="shared" si="3"/>
        <v>0</v>
      </c>
      <c r="X15" s="198">
        <f t="shared" si="3"/>
        <v>0</v>
      </c>
      <c r="Y15" s="198">
        <f t="shared" si="3"/>
        <v>0</v>
      </c>
      <c r="Z15" s="198">
        <f t="shared" si="3"/>
        <v>0</v>
      </c>
      <c r="AA15" s="198">
        <f t="shared" si="3"/>
        <v>0</v>
      </c>
      <c r="AB15" s="198">
        <f t="shared" si="3"/>
        <v>0</v>
      </c>
      <c r="AC15" s="198">
        <f t="shared" si="3"/>
        <v>0</v>
      </c>
      <c r="AD15" s="198">
        <f t="shared" si="3"/>
        <v>0</v>
      </c>
      <c r="AE15" s="198">
        <f t="shared" si="3"/>
        <v>0</v>
      </c>
      <c r="AF15" s="198">
        <f t="shared" si="3"/>
        <v>0</v>
      </c>
      <c r="AG15" s="198">
        <f t="shared" si="3"/>
        <v>0</v>
      </c>
      <c r="AH15" s="198">
        <f t="shared" si="3"/>
        <v>0</v>
      </c>
      <c r="AI15" s="198">
        <f t="shared" si="3"/>
        <v>0</v>
      </c>
      <c r="AJ15" s="198">
        <f t="shared" si="3"/>
        <v>0</v>
      </c>
      <c r="AK15" s="198">
        <f t="shared" si="3"/>
        <v>0</v>
      </c>
      <c r="AL15" s="198">
        <f t="shared" si="3"/>
        <v>0</v>
      </c>
      <c r="AM15" s="198">
        <f t="shared" si="3"/>
        <v>0</v>
      </c>
      <c r="AN15" s="198">
        <f t="shared" si="3"/>
        <v>0</v>
      </c>
      <c r="AO15" s="198">
        <f t="shared" si="3"/>
        <v>0</v>
      </c>
      <c r="AP15" s="198">
        <f t="shared" si="3"/>
        <v>0</v>
      </c>
      <c r="AQ15" s="198">
        <f t="shared" si="3"/>
        <v>0</v>
      </c>
      <c r="AR15" s="198">
        <f t="shared" si="3"/>
        <v>0</v>
      </c>
      <c r="AS15" s="198">
        <f t="shared" si="3"/>
        <v>0</v>
      </c>
      <c r="AT15" s="198">
        <f t="shared" si="3"/>
        <v>0</v>
      </c>
      <c r="AU15" s="198">
        <f t="shared" si="3"/>
        <v>0</v>
      </c>
      <c r="AV15" s="198">
        <f t="shared" si="3"/>
        <v>0</v>
      </c>
      <c r="AW15" s="198">
        <f t="shared" si="3"/>
        <v>0</v>
      </c>
      <c r="AX15" s="198">
        <f t="shared" si="3"/>
        <v>0</v>
      </c>
      <c r="AY15" s="198">
        <f t="shared" si="3"/>
        <v>0</v>
      </c>
      <c r="AZ15" s="198">
        <f t="shared" si="3"/>
        <v>0</v>
      </c>
      <c r="BA15" s="198">
        <f t="shared" si="3"/>
        <v>0</v>
      </c>
      <c r="BB15" s="198">
        <f t="shared" si="3"/>
        <v>0</v>
      </c>
      <c r="BC15" s="198">
        <f t="shared" si="3"/>
        <v>0</v>
      </c>
      <c r="BD15" s="198">
        <f t="shared" si="3"/>
        <v>0</v>
      </c>
      <c r="BE15" s="198">
        <f t="shared" si="3"/>
        <v>0</v>
      </c>
      <c r="BF15" s="198">
        <f t="shared" si="3"/>
        <v>0</v>
      </c>
      <c r="BG15" s="198">
        <f t="shared" si="3"/>
        <v>0</v>
      </c>
      <c r="BH15" s="198">
        <f t="shared" si="3"/>
        <v>0</v>
      </c>
      <c r="BI15" s="198">
        <f t="shared" si="3"/>
        <v>0</v>
      </c>
    </row>
    <row r="16" spans="1:61" hidden="1" x14ac:dyDescent="0.15"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35"/>
      <c r="AY16" s="235"/>
      <c r="AZ16" s="235"/>
      <c r="BA16" s="235"/>
      <c r="BB16" s="235"/>
      <c r="BC16" s="235"/>
      <c r="BD16" s="235"/>
      <c r="BE16" s="235"/>
      <c r="BF16" s="235"/>
      <c r="BG16" s="235"/>
      <c r="BH16" s="235"/>
      <c r="BI16" s="235"/>
    </row>
    <row r="17" spans="1:61" hidden="1" x14ac:dyDescent="0.15">
      <c r="A17" s="189" t="s">
        <v>65</v>
      </c>
      <c r="B17" s="199" t="e">
        <f>HLOOKUP(B$3,Controls!$A$5:$F$558,MATCH($A17,Controls!$A$5:$A$564,0),0)</f>
        <v>#N/A</v>
      </c>
      <c r="C17" s="199" t="e">
        <f>HLOOKUP(C$3,Controls!$A$5:$F$558,MATCH($A17,Controls!$A$5:$A$564,0),0)</f>
        <v>#N/A</v>
      </c>
      <c r="D17" s="199" t="e">
        <f>HLOOKUP(D$3,Controls!$A$5:$F$558,MATCH($A17,Controls!$A$5:$A$564,0),0)</f>
        <v>#N/A</v>
      </c>
      <c r="E17" s="199" t="e">
        <f>HLOOKUP(E$3,Controls!$A$5:$F$558,MATCH($A17,Controls!$A$5:$A$564,0),0)</f>
        <v>#N/A</v>
      </c>
      <c r="F17" s="199" t="e">
        <f>HLOOKUP(F$3,Controls!$A$5:$F$558,MATCH($A17,Controls!$A$5:$A$564,0),0)</f>
        <v>#N/A</v>
      </c>
      <c r="G17" s="199" t="e">
        <f>HLOOKUP(G$3,Controls!$A$5:$F$558,MATCH($A17,Controls!$A$5:$A$564,0),0)</f>
        <v>#N/A</v>
      </c>
      <c r="H17" s="199" t="e">
        <f>HLOOKUP(H$3,Controls!$A$5:$F$558,MATCH($A17,Controls!$A$5:$A$564,0),0)</f>
        <v>#N/A</v>
      </c>
      <c r="I17" s="199" t="e">
        <f>HLOOKUP(I$3,Controls!$A$5:$F$558,MATCH($A17,Controls!$A$5:$A$564,0),0)</f>
        <v>#N/A</v>
      </c>
      <c r="J17" s="199" t="e">
        <f>HLOOKUP(J$3,Controls!$A$5:$F$558,MATCH($A17,Controls!$A$5:$A$564,0),0)</f>
        <v>#N/A</v>
      </c>
      <c r="K17" s="199" t="e">
        <f>HLOOKUP(K$3,Controls!$A$5:$F$558,MATCH($A17,Controls!$A$5:$A$564,0),0)</f>
        <v>#N/A</v>
      </c>
      <c r="L17" s="199" t="e">
        <f>HLOOKUP(L$3,Controls!$A$5:$F$558,MATCH($A17,Controls!$A$5:$A$564,0),0)</f>
        <v>#N/A</v>
      </c>
      <c r="M17" s="199" t="e">
        <f>HLOOKUP(M$3,Controls!$A$5:$F$558,MATCH($A17,Controls!$A$5:$A$564,0),0)</f>
        <v>#N/A</v>
      </c>
      <c r="N17" s="208" t="e">
        <f>HLOOKUP(N$3,Controls!$A$5:$F$558,MATCH($A17,Controls!$A$5:$A$564,0),0)</f>
        <v>#N/A</v>
      </c>
      <c r="O17" s="208" t="e">
        <f>HLOOKUP(O$3,Controls!$A$5:$F$558,MATCH($A17,Controls!$A$5:$A$564,0),0)</f>
        <v>#N/A</v>
      </c>
      <c r="P17" s="208" t="e">
        <f>HLOOKUP(P$3,Controls!$A$5:$F$558,MATCH($A17,Controls!$A$5:$A$564,0),0)</f>
        <v>#N/A</v>
      </c>
      <c r="Q17" s="208" t="e">
        <f>HLOOKUP(Q$3,Controls!$A$5:$F$558,MATCH($A17,Controls!$A$5:$A$564,0),0)</f>
        <v>#N/A</v>
      </c>
      <c r="R17" s="208" t="e">
        <f>HLOOKUP(R$3,Controls!$A$5:$F$558,MATCH($A17,Controls!$A$5:$A$564,0),0)</f>
        <v>#N/A</v>
      </c>
      <c r="S17" s="208" t="e">
        <f>HLOOKUP(S$3,Controls!$A$5:$F$558,MATCH($A17,Controls!$A$5:$A$564,0),0)</f>
        <v>#N/A</v>
      </c>
      <c r="T17" s="208" t="e">
        <f>HLOOKUP(T$3,Controls!$A$5:$F$558,MATCH($A17,Controls!$A$5:$A$564,0),0)</f>
        <v>#N/A</v>
      </c>
      <c r="U17" s="208" t="e">
        <f>HLOOKUP(U$3,Controls!$A$5:$F$558,MATCH($A17,Controls!$A$5:$A$564,0),0)</f>
        <v>#N/A</v>
      </c>
      <c r="V17" s="208" t="e">
        <f>HLOOKUP(V$3,Controls!$A$5:$F$558,MATCH($A17,Controls!$A$5:$A$564,0),0)</f>
        <v>#N/A</v>
      </c>
      <c r="W17" s="208" t="e">
        <f>HLOOKUP(W$3,Controls!$A$5:$F$558,MATCH($A17,Controls!$A$5:$A$564,0),0)</f>
        <v>#N/A</v>
      </c>
      <c r="X17" s="208" t="e">
        <f>HLOOKUP(X$3,Controls!$A$5:$F$558,MATCH($A17,Controls!$A$5:$A$564,0),0)</f>
        <v>#N/A</v>
      </c>
      <c r="Y17" s="208" t="e">
        <f>HLOOKUP(Y$3,Controls!$A$5:$F$558,MATCH($A17,Controls!$A$5:$A$564,0),0)</f>
        <v>#N/A</v>
      </c>
      <c r="Z17" s="219" t="e">
        <f>HLOOKUP(Z$3,Controls!$A$5:$F$558,MATCH($A17,Controls!$A$5:$A$564,0),0)</f>
        <v>#N/A</v>
      </c>
      <c r="AA17" s="219" t="e">
        <f>HLOOKUP(AA$3,Controls!$A$5:$F$558,MATCH($A17,Controls!$A$5:$A$564,0),0)</f>
        <v>#N/A</v>
      </c>
      <c r="AB17" s="219" t="e">
        <f>HLOOKUP(AB$3,Controls!$A$5:$F$558,MATCH($A17,Controls!$A$5:$A$564,0),0)</f>
        <v>#N/A</v>
      </c>
      <c r="AC17" s="219" t="e">
        <f>HLOOKUP(AC$3,Controls!$A$5:$F$558,MATCH($A17,Controls!$A$5:$A$564,0),0)</f>
        <v>#N/A</v>
      </c>
      <c r="AD17" s="219" t="e">
        <f>HLOOKUP(AD$3,Controls!$A$5:$F$558,MATCH($A17,Controls!$A$5:$A$564,0),0)</f>
        <v>#N/A</v>
      </c>
      <c r="AE17" s="219" t="e">
        <f>HLOOKUP(AE$3,Controls!$A$5:$F$558,MATCH($A17,Controls!$A$5:$A$564,0),0)</f>
        <v>#N/A</v>
      </c>
      <c r="AF17" s="219" t="e">
        <f>HLOOKUP(AF$3,Controls!$A$5:$F$558,MATCH($A17,Controls!$A$5:$A$564,0),0)</f>
        <v>#N/A</v>
      </c>
      <c r="AG17" s="219" t="e">
        <f>HLOOKUP(AG$3,Controls!$A$5:$F$558,MATCH($A17,Controls!$A$5:$A$564,0),0)</f>
        <v>#N/A</v>
      </c>
      <c r="AH17" s="219" t="e">
        <f>HLOOKUP(AH$3,Controls!$A$5:$F$558,MATCH($A17,Controls!$A$5:$A$564,0),0)</f>
        <v>#N/A</v>
      </c>
      <c r="AI17" s="219" t="e">
        <f>HLOOKUP(AI$3,Controls!$A$5:$F$558,MATCH($A17,Controls!$A$5:$A$564,0),0)</f>
        <v>#N/A</v>
      </c>
      <c r="AJ17" s="219" t="e">
        <f>HLOOKUP(AJ$3,Controls!$A$5:$F$558,MATCH($A17,Controls!$A$5:$A$564,0),0)</f>
        <v>#N/A</v>
      </c>
      <c r="AK17" s="219" t="e">
        <f>HLOOKUP(AK$3,Controls!$A$5:$F$558,MATCH($A17,Controls!$A$5:$A$564,0),0)</f>
        <v>#N/A</v>
      </c>
      <c r="AL17" s="228" t="e">
        <f>HLOOKUP(AL$3,Controls!$A$5:$F$558,MATCH($A17,Controls!$A$5:$A$564,0),0)</f>
        <v>#N/A</v>
      </c>
      <c r="AM17" s="228" t="e">
        <f>HLOOKUP(AM$3,Controls!$A$5:$F$558,MATCH($A17,Controls!$A$5:$A$564,0),0)</f>
        <v>#N/A</v>
      </c>
      <c r="AN17" s="228" t="e">
        <f>HLOOKUP(AN$3,Controls!$A$5:$F$558,MATCH($A17,Controls!$A$5:$A$564,0),0)</f>
        <v>#N/A</v>
      </c>
      <c r="AO17" s="228" t="e">
        <f>HLOOKUP(AO$3,Controls!$A$5:$F$558,MATCH($A17,Controls!$A$5:$A$564,0),0)</f>
        <v>#N/A</v>
      </c>
      <c r="AP17" s="228" t="e">
        <f>HLOOKUP(AP$3,Controls!$A$5:$F$558,MATCH($A17,Controls!$A$5:$A$564,0),0)</f>
        <v>#N/A</v>
      </c>
      <c r="AQ17" s="228" t="e">
        <f>HLOOKUP(AQ$3,Controls!$A$5:$F$558,MATCH($A17,Controls!$A$5:$A$564,0),0)</f>
        <v>#N/A</v>
      </c>
      <c r="AR17" s="228" t="e">
        <f>HLOOKUP(AR$3,Controls!$A$5:$F$558,MATCH($A17,Controls!$A$5:$A$564,0),0)</f>
        <v>#N/A</v>
      </c>
      <c r="AS17" s="228" t="e">
        <f>HLOOKUP(AS$3,Controls!$A$5:$F$558,MATCH($A17,Controls!$A$5:$A$564,0),0)</f>
        <v>#N/A</v>
      </c>
      <c r="AT17" s="228" t="e">
        <f>HLOOKUP(AT$3,Controls!$A$5:$F$558,MATCH($A17,Controls!$A$5:$A$564,0),0)</f>
        <v>#N/A</v>
      </c>
      <c r="AU17" s="228" t="e">
        <f>HLOOKUP(AU$3,Controls!$A$5:$F$558,MATCH($A17,Controls!$A$5:$A$564,0),0)</f>
        <v>#N/A</v>
      </c>
      <c r="AV17" s="228" t="e">
        <f>HLOOKUP(AV$3,Controls!$A$5:$F$558,MATCH($A17,Controls!$A$5:$A$564,0),0)</f>
        <v>#N/A</v>
      </c>
      <c r="AW17" s="228" t="e">
        <f>HLOOKUP(AW$3,Controls!$A$5:$F$558,MATCH($A17,Controls!$A$5:$A$564,0),0)</f>
        <v>#N/A</v>
      </c>
      <c r="AX17" s="237" t="e">
        <f>HLOOKUP(AX$3,Controls!$A$5:$F$558,MATCH($A17,Controls!$A$5:$A$564,0),0)</f>
        <v>#N/A</v>
      </c>
      <c r="AY17" s="237" t="e">
        <f>HLOOKUP(AY$3,Controls!$A$5:$F$558,MATCH($A17,Controls!$A$5:$A$564,0),0)</f>
        <v>#N/A</v>
      </c>
      <c r="AZ17" s="237" t="e">
        <f>HLOOKUP(AZ$3,Controls!$A$5:$F$558,MATCH($A17,Controls!$A$5:$A$564,0),0)</f>
        <v>#N/A</v>
      </c>
      <c r="BA17" s="237" t="e">
        <f>HLOOKUP(BA$3,Controls!$A$5:$F$558,MATCH($A17,Controls!$A$5:$A$564,0),0)</f>
        <v>#N/A</v>
      </c>
      <c r="BB17" s="237" t="e">
        <f>HLOOKUP(BB$3,Controls!$A$5:$F$558,MATCH($A17,Controls!$A$5:$A$564,0),0)</f>
        <v>#N/A</v>
      </c>
      <c r="BC17" s="237" t="e">
        <f>HLOOKUP(BC$3,Controls!$A$5:$F$558,MATCH($A17,Controls!$A$5:$A$564,0),0)</f>
        <v>#N/A</v>
      </c>
      <c r="BD17" s="237" t="e">
        <f>HLOOKUP(BD$3,Controls!$A$5:$F$558,MATCH($A17,Controls!$A$5:$A$564,0),0)</f>
        <v>#N/A</v>
      </c>
      <c r="BE17" s="237" t="e">
        <f>HLOOKUP(BE$3,Controls!$A$5:$F$558,MATCH($A17,Controls!$A$5:$A$564,0),0)</f>
        <v>#N/A</v>
      </c>
      <c r="BF17" s="237" t="e">
        <f>HLOOKUP(BF$3,Controls!$A$5:$F$558,MATCH($A17,Controls!$A$5:$A$564,0),0)</f>
        <v>#N/A</v>
      </c>
      <c r="BG17" s="237" t="e">
        <f>HLOOKUP(BG$3,Controls!$A$5:$F$558,MATCH($A17,Controls!$A$5:$A$564,0),0)</f>
        <v>#N/A</v>
      </c>
      <c r="BH17" s="237" t="e">
        <f>HLOOKUP(BH$3,Controls!$A$5:$F$558,MATCH($A17,Controls!$A$5:$A$564,0),0)</f>
        <v>#N/A</v>
      </c>
      <c r="BI17" s="237" t="e">
        <f>HLOOKUP(BI$3,Controls!$A$5:$F$558,MATCH($A17,Controls!$A$5:$A$564,0),0)</f>
        <v>#N/A</v>
      </c>
    </row>
    <row r="18" spans="1:61" hidden="1" x14ac:dyDescent="0.15">
      <c r="A18" s="189" t="s">
        <v>112</v>
      </c>
      <c r="B18" s="200" t="e">
        <f>B15*B17</f>
        <v>#N/A</v>
      </c>
      <c r="C18" s="200" t="e">
        <f t="shared" ref="C18:BI18" si="4">C15*C17</f>
        <v>#N/A</v>
      </c>
      <c r="D18" s="200" t="e">
        <f t="shared" si="4"/>
        <v>#N/A</v>
      </c>
      <c r="E18" s="200" t="e">
        <f t="shared" si="4"/>
        <v>#N/A</v>
      </c>
      <c r="F18" s="200" t="e">
        <f t="shared" si="4"/>
        <v>#N/A</v>
      </c>
      <c r="G18" s="200" t="e">
        <f t="shared" si="4"/>
        <v>#N/A</v>
      </c>
      <c r="H18" s="200" t="e">
        <f t="shared" si="4"/>
        <v>#N/A</v>
      </c>
      <c r="I18" s="200" t="e">
        <f t="shared" si="4"/>
        <v>#N/A</v>
      </c>
      <c r="J18" s="200" t="e">
        <f t="shared" si="4"/>
        <v>#N/A</v>
      </c>
      <c r="K18" s="200" t="e">
        <f t="shared" si="4"/>
        <v>#N/A</v>
      </c>
      <c r="L18" s="200" t="e">
        <f t="shared" si="4"/>
        <v>#N/A</v>
      </c>
      <c r="M18" s="200" t="e">
        <f t="shared" si="4"/>
        <v>#N/A</v>
      </c>
      <c r="N18" s="209" t="e">
        <f t="shared" si="4"/>
        <v>#N/A</v>
      </c>
      <c r="O18" s="209" t="e">
        <f t="shared" si="4"/>
        <v>#N/A</v>
      </c>
      <c r="P18" s="209" t="e">
        <f t="shared" si="4"/>
        <v>#N/A</v>
      </c>
      <c r="Q18" s="209" t="e">
        <f t="shared" si="4"/>
        <v>#N/A</v>
      </c>
      <c r="R18" s="209" t="e">
        <f t="shared" si="4"/>
        <v>#N/A</v>
      </c>
      <c r="S18" s="209" t="e">
        <f t="shared" si="4"/>
        <v>#N/A</v>
      </c>
      <c r="T18" s="209" t="e">
        <f t="shared" si="4"/>
        <v>#N/A</v>
      </c>
      <c r="U18" s="209" t="e">
        <f t="shared" si="4"/>
        <v>#N/A</v>
      </c>
      <c r="V18" s="209" t="e">
        <f t="shared" si="4"/>
        <v>#N/A</v>
      </c>
      <c r="W18" s="209" t="e">
        <f t="shared" si="4"/>
        <v>#N/A</v>
      </c>
      <c r="X18" s="209" t="e">
        <f t="shared" si="4"/>
        <v>#N/A</v>
      </c>
      <c r="Y18" s="209" t="e">
        <f t="shared" si="4"/>
        <v>#N/A</v>
      </c>
      <c r="Z18" s="220" t="e">
        <f t="shared" si="4"/>
        <v>#N/A</v>
      </c>
      <c r="AA18" s="220" t="e">
        <f t="shared" si="4"/>
        <v>#N/A</v>
      </c>
      <c r="AB18" s="220" t="e">
        <f t="shared" si="4"/>
        <v>#N/A</v>
      </c>
      <c r="AC18" s="220" t="e">
        <f t="shared" si="4"/>
        <v>#N/A</v>
      </c>
      <c r="AD18" s="220" t="e">
        <f t="shared" si="4"/>
        <v>#N/A</v>
      </c>
      <c r="AE18" s="220" t="e">
        <f t="shared" si="4"/>
        <v>#N/A</v>
      </c>
      <c r="AF18" s="220" t="e">
        <f t="shared" si="4"/>
        <v>#N/A</v>
      </c>
      <c r="AG18" s="220" t="e">
        <f t="shared" si="4"/>
        <v>#N/A</v>
      </c>
      <c r="AH18" s="220" t="e">
        <f t="shared" si="4"/>
        <v>#N/A</v>
      </c>
      <c r="AI18" s="220" t="e">
        <f t="shared" si="4"/>
        <v>#N/A</v>
      </c>
      <c r="AJ18" s="220" t="e">
        <f t="shared" si="4"/>
        <v>#N/A</v>
      </c>
      <c r="AK18" s="220" t="e">
        <f t="shared" si="4"/>
        <v>#N/A</v>
      </c>
      <c r="AL18" s="229" t="e">
        <f t="shared" si="4"/>
        <v>#N/A</v>
      </c>
      <c r="AM18" s="229" t="e">
        <f t="shared" si="4"/>
        <v>#N/A</v>
      </c>
      <c r="AN18" s="229" t="e">
        <f t="shared" si="4"/>
        <v>#N/A</v>
      </c>
      <c r="AO18" s="229" t="e">
        <f t="shared" si="4"/>
        <v>#N/A</v>
      </c>
      <c r="AP18" s="229" t="e">
        <f t="shared" si="4"/>
        <v>#N/A</v>
      </c>
      <c r="AQ18" s="229" t="e">
        <f t="shared" si="4"/>
        <v>#N/A</v>
      </c>
      <c r="AR18" s="229" t="e">
        <f t="shared" si="4"/>
        <v>#N/A</v>
      </c>
      <c r="AS18" s="229" t="e">
        <f t="shared" si="4"/>
        <v>#N/A</v>
      </c>
      <c r="AT18" s="229" t="e">
        <f t="shared" si="4"/>
        <v>#N/A</v>
      </c>
      <c r="AU18" s="229" t="e">
        <f t="shared" si="4"/>
        <v>#N/A</v>
      </c>
      <c r="AV18" s="229" t="e">
        <f t="shared" si="4"/>
        <v>#N/A</v>
      </c>
      <c r="AW18" s="229" t="e">
        <f t="shared" si="4"/>
        <v>#N/A</v>
      </c>
      <c r="AX18" s="238" t="e">
        <f t="shared" si="4"/>
        <v>#N/A</v>
      </c>
      <c r="AY18" s="238" t="e">
        <f t="shared" si="4"/>
        <v>#N/A</v>
      </c>
      <c r="AZ18" s="238" t="e">
        <f t="shared" si="4"/>
        <v>#N/A</v>
      </c>
      <c r="BA18" s="238" t="e">
        <f t="shared" si="4"/>
        <v>#N/A</v>
      </c>
      <c r="BB18" s="238" t="e">
        <f t="shared" si="4"/>
        <v>#N/A</v>
      </c>
      <c r="BC18" s="238" t="e">
        <f t="shared" si="4"/>
        <v>#N/A</v>
      </c>
      <c r="BD18" s="238" t="e">
        <f t="shared" si="4"/>
        <v>#N/A</v>
      </c>
      <c r="BE18" s="238" t="e">
        <f t="shared" si="4"/>
        <v>#N/A</v>
      </c>
      <c r="BF18" s="238" t="e">
        <f t="shared" si="4"/>
        <v>#N/A</v>
      </c>
      <c r="BG18" s="238" t="e">
        <f t="shared" si="4"/>
        <v>#N/A</v>
      </c>
      <c r="BH18" s="238" t="e">
        <f t="shared" si="4"/>
        <v>#N/A</v>
      </c>
      <c r="BI18" s="238" t="e">
        <f t="shared" si="4"/>
        <v>#N/A</v>
      </c>
    </row>
    <row r="19" spans="1:61" hidden="1" x14ac:dyDescent="0.15">
      <c r="A19" s="58"/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</row>
    <row r="20" spans="1:61" hidden="1" x14ac:dyDescent="0.15">
      <c r="A20" s="185" t="s">
        <v>58</v>
      </c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</row>
    <row r="21" spans="1:61" ht="14" hidden="1" x14ac:dyDescent="0.15">
      <c r="A21" s="58" t="s">
        <v>59</v>
      </c>
      <c r="B21" s="197">
        <v>0</v>
      </c>
      <c r="C21" s="197">
        <v>0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7">
        <v>0</v>
      </c>
      <c r="J21" s="197">
        <v>0</v>
      </c>
      <c r="K21" s="197">
        <v>0</v>
      </c>
      <c r="L21" s="197">
        <v>0</v>
      </c>
      <c r="M21" s="197">
        <v>0</v>
      </c>
      <c r="N21" s="197">
        <v>0</v>
      </c>
      <c r="O21" s="197">
        <v>0</v>
      </c>
      <c r="P21" s="197">
        <v>0</v>
      </c>
      <c r="Q21" s="197">
        <v>0</v>
      </c>
      <c r="R21" s="197">
        <v>0</v>
      </c>
      <c r="S21" s="197">
        <v>0</v>
      </c>
      <c r="T21" s="197">
        <v>0</v>
      </c>
      <c r="U21" s="197">
        <v>0</v>
      </c>
      <c r="V21" s="197">
        <v>0</v>
      </c>
      <c r="W21" s="197">
        <v>0</v>
      </c>
      <c r="X21" s="197">
        <v>0</v>
      </c>
      <c r="Y21" s="197">
        <v>0</v>
      </c>
      <c r="Z21" s="197">
        <v>0</v>
      </c>
      <c r="AA21" s="197">
        <v>0</v>
      </c>
      <c r="AB21" s="197">
        <v>0</v>
      </c>
      <c r="AC21" s="197">
        <v>0</v>
      </c>
      <c r="AD21" s="197">
        <v>0</v>
      </c>
      <c r="AE21" s="197">
        <v>0</v>
      </c>
      <c r="AF21" s="197">
        <v>0</v>
      </c>
      <c r="AG21" s="197">
        <v>0</v>
      </c>
      <c r="AH21" s="197">
        <v>0</v>
      </c>
      <c r="AI21" s="197">
        <v>0</v>
      </c>
      <c r="AJ21" s="197">
        <v>0</v>
      </c>
      <c r="AK21" s="197">
        <v>0</v>
      </c>
      <c r="AL21" s="197">
        <v>0</v>
      </c>
      <c r="AM21" s="197">
        <v>0</v>
      </c>
      <c r="AN21" s="197">
        <v>0</v>
      </c>
      <c r="AO21" s="197">
        <v>0</v>
      </c>
      <c r="AP21" s="197">
        <v>0</v>
      </c>
      <c r="AQ21" s="197">
        <v>0</v>
      </c>
      <c r="AR21" s="197">
        <v>0</v>
      </c>
      <c r="AS21" s="197">
        <v>0</v>
      </c>
      <c r="AT21" s="197">
        <v>0</v>
      </c>
      <c r="AU21" s="197">
        <v>0</v>
      </c>
      <c r="AV21" s="197">
        <v>0</v>
      </c>
      <c r="AW21" s="197">
        <v>0</v>
      </c>
      <c r="AX21" s="197">
        <v>0</v>
      </c>
      <c r="AY21" s="197">
        <v>0</v>
      </c>
      <c r="AZ21" s="197">
        <v>0</v>
      </c>
      <c r="BA21" s="197">
        <v>0</v>
      </c>
      <c r="BB21" s="197">
        <v>0</v>
      </c>
      <c r="BC21" s="197">
        <v>0</v>
      </c>
      <c r="BD21" s="197">
        <v>0</v>
      </c>
      <c r="BE21" s="197">
        <v>0</v>
      </c>
      <c r="BF21" s="197">
        <v>0</v>
      </c>
      <c r="BG21" s="197">
        <v>0</v>
      </c>
      <c r="BH21" s="197">
        <v>0</v>
      </c>
      <c r="BI21" s="197">
        <v>0</v>
      </c>
    </row>
    <row r="22" spans="1:61" ht="14" hidden="1" x14ac:dyDescent="0.15">
      <c r="A22" s="58" t="s">
        <v>60</v>
      </c>
      <c r="B22" s="197">
        <v>0</v>
      </c>
      <c r="C22" s="197">
        <v>0</v>
      </c>
      <c r="D22" s="197">
        <v>0</v>
      </c>
      <c r="E22" s="197">
        <v>0</v>
      </c>
      <c r="F22" s="197">
        <v>0</v>
      </c>
      <c r="G22" s="197">
        <v>0</v>
      </c>
      <c r="H22" s="197">
        <v>0</v>
      </c>
      <c r="I22" s="197">
        <v>0</v>
      </c>
      <c r="J22" s="197">
        <v>0</v>
      </c>
      <c r="K22" s="197">
        <v>0</v>
      </c>
      <c r="L22" s="197">
        <v>0</v>
      </c>
      <c r="M22" s="197">
        <v>0</v>
      </c>
      <c r="N22" s="197">
        <v>0</v>
      </c>
      <c r="O22" s="197">
        <v>0</v>
      </c>
      <c r="P22" s="197">
        <v>0</v>
      </c>
      <c r="Q22" s="197">
        <v>0</v>
      </c>
      <c r="R22" s="197">
        <v>0</v>
      </c>
      <c r="S22" s="197">
        <v>0</v>
      </c>
      <c r="T22" s="197">
        <v>0</v>
      </c>
      <c r="U22" s="197">
        <v>0</v>
      </c>
      <c r="V22" s="197">
        <v>0</v>
      </c>
      <c r="W22" s="197">
        <v>0</v>
      </c>
      <c r="X22" s="197">
        <v>0</v>
      </c>
      <c r="Y22" s="197">
        <v>0</v>
      </c>
      <c r="Z22" s="197">
        <v>0</v>
      </c>
      <c r="AA22" s="197">
        <v>0</v>
      </c>
      <c r="AB22" s="197">
        <v>0</v>
      </c>
      <c r="AC22" s="197">
        <v>0</v>
      </c>
      <c r="AD22" s="197">
        <v>0</v>
      </c>
      <c r="AE22" s="197">
        <v>0</v>
      </c>
      <c r="AF22" s="197">
        <v>0</v>
      </c>
      <c r="AG22" s="197">
        <v>0</v>
      </c>
      <c r="AH22" s="197">
        <v>0</v>
      </c>
      <c r="AI22" s="197">
        <v>0</v>
      </c>
      <c r="AJ22" s="197">
        <v>0</v>
      </c>
      <c r="AK22" s="197">
        <v>0</v>
      </c>
      <c r="AL22" s="197">
        <v>0</v>
      </c>
      <c r="AM22" s="197">
        <v>0</v>
      </c>
      <c r="AN22" s="197">
        <v>0</v>
      </c>
      <c r="AO22" s="197">
        <v>0</v>
      </c>
      <c r="AP22" s="197">
        <v>0</v>
      </c>
      <c r="AQ22" s="197">
        <v>0</v>
      </c>
      <c r="AR22" s="197">
        <v>0</v>
      </c>
      <c r="AS22" s="197">
        <v>0</v>
      </c>
      <c r="AT22" s="197">
        <v>0</v>
      </c>
      <c r="AU22" s="197">
        <v>0</v>
      </c>
      <c r="AV22" s="197">
        <v>0</v>
      </c>
      <c r="AW22" s="197">
        <v>0</v>
      </c>
      <c r="AX22" s="197">
        <v>0</v>
      </c>
      <c r="AY22" s="197">
        <v>0</v>
      </c>
      <c r="AZ22" s="197">
        <v>0</v>
      </c>
      <c r="BA22" s="197">
        <v>0</v>
      </c>
      <c r="BB22" s="197">
        <v>0</v>
      </c>
      <c r="BC22" s="197">
        <v>0</v>
      </c>
      <c r="BD22" s="197">
        <v>0</v>
      </c>
      <c r="BE22" s="197">
        <v>0</v>
      </c>
      <c r="BF22" s="197">
        <v>0</v>
      </c>
      <c r="BG22" s="197">
        <v>0</v>
      </c>
      <c r="BH22" s="197">
        <v>0</v>
      </c>
      <c r="BI22" s="197">
        <v>0</v>
      </c>
    </row>
    <row r="23" spans="1:61" ht="14" hidden="1" x14ac:dyDescent="0.15">
      <c r="A23" s="58" t="s">
        <v>61</v>
      </c>
      <c r="B23" s="197">
        <v>0</v>
      </c>
      <c r="C23" s="197">
        <v>0</v>
      </c>
      <c r="D23" s="197">
        <v>0</v>
      </c>
      <c r="E23" s="197">
        <v>0</v>
      </c>
      <c r="F23" s="197">
        <v>0</v>
      </c>
      <c r="G23" s="197">
        <v>0</v>
      </c>
      <c r="H23" s="197">
        <v>0</v>
      </c>
      <c r="I23" s="197">
        <v>0</v>
      </c>
      <c r="J23" s="197">
        <v>0</v>
      </c>
      <c r="K23" s="197">
        <v>0</v>
      </c>
      <c r="L23" s="197">
        <v>0</v>
      </c>
      <c r="M23" s="197">
        <v>0</v>
      </c>
      <c r="N23" s="197">
        <v>0</v>
      </c>
      <c r="O23" s="197">
        <v>0</v>
      </c>
      <c r="P23" s="197">
        <v>0</v>
      </c>
      <c r="Q23" s="197">
        <v>0</v>
      </c>
      <c r="R23" s="197">
        <v>0</v>
      </c>
      <c r="S23" s="197">
        <v>0</v>
      </c>
      <c r="T23" s="197">
        <v>0</v>
      </c>
      <c r="U23" s="197">
        <v>0</v>
      </c>
      <c r="V23" s="197">
        <v>0</v>
      </c>
      <c r="W23" s="197">
        <v>0</v>
      </c>
      <c r="X23" s="197">
        <v>0</v>
      </c>
      <c r="Y23" s="197">
        <v>0</v>
      </c>
      <c r="Z23" s="197">
        <v>0</v>
      </c>
      <c r="AA23" s="197">
        <v>0</v>
      </c>
      <c r="AB23" s="197">
        <v>0</v>
      </c>
      <c r="AC23" s="197">
        <v>0</v>
      </c>
      <c r="AD23" s="197">
        <v>0</v>
      </c>
      <c r="AE23" s="197">
        <v>0</v>
      </c>
      <c r="AF23" s="197">
        <v>0</v>
      </c>
      <c r="AG23" s="197">
        <v>0</v>
      </c>
      <c r="AH23" s="197">
        <v>0</v>
      </c>
      <c r="AI23" s="197">
        <v>0</v>
      </c>
      <c r="AJ23" s="197">
        <v>0</v>
      </c>
      <c r="AK23" s="197">
        <v>0</v>
      </c>
      <c r="AL23" s="197">
        <v>0</v>
      </c>
      <c r="AM23" s="197">
        <v>0</v>
      </c>
      <c r="AN23" s="197">
        <v>0</v>
      </c>
      <c r="AO23" s="197">
        <v>0</v>
      </c>
      <c r="AP23" s="197">
        <v>0</v>
      </c>
      <c r="AQ23" s="197">
        <v>0</v>
      </c>
      <c r="AR23" s="197">
        <v>0</v>
      </c>
      <c r="AS23" s="197">
        <v>0</v>
      </c>
      <c r="AT23" s="197">
        <v>0</v>
      </c>
      <c r="AU23" s="197">
        <v>0</v>
      </c>
      <c r="AV23" s="197">
        <v>0</v>
      </c>
      <c r="AW23" s="197">
        <v>0</v>
      </c>
      <c r="AX23" s="197">
        <v>0</v>
      </c>
      <c r="AY23" s="197">
        <v>0</v>
      </c>
      <c r="AZ23" s="197">
        <v>0</v>
      </c>
      <c r="BA23" s="197">
        <v>0</v>
      </c>
      <c r="BB23" s="197">
        <v>0</v>
      </c>
      <c r="BC23" s="197">
        <v>0</v>
      </c>
      <c r="BD23" s="197">
        <v>0</v>
      </c>
      <c r="BE23" s="197">
        <v>0</v>
      </c>
      <c r="BF23" s="197">
        <v>0</v>
      </c>
      <c r="BG23" s="197">
        <v>0</v>
      </c>
      <c r="BH23" s="197">
        <v>0</v>
      </c>
      <c r="BI23" s="197">
        <v>0</v>
      </c>
    </row>
    <row r="24" spans="1:61" ht="14" hidden="1" x14ac:dyDescent="0.15">
      <c r="A24" s="58" t="s">
        <v>62</v>
      </c>
      <c r="B24" s="197">
        <v>0</v>
      </c>
      <c r="C24" s="197">
        <v>0</v>
      </c>
      <c r="D24" s="197">
        <v>0</v>
      </c>
      <c r="E24" s="197">
        <v>0</v>
      </c>
      <c r="F24" s="197">
        <v>0</v>
      </c>
      <c r="G24" s="197">
        <v>0</v>
      </c>
      <c r="H24" s="197">
        <v>0</v>
      </c>
      <c r="I24" s="197">
        <v>0</v>
      </c>
      <c r="J24" s="197">
        <v>0</v>
      </c>
      <c r="K24" s="197">
        <v>0</v>
      </c>
      <c r="L24" s="197">
        <v>0</v>
      </c>
      <c r="M24" s="197">
        <v>0</v>
      </c>
      <c r="N24" s="197">
        <v>0</v>
      </c>
      <c r="O24" s="197">
        <v>0</v>
      </c>
      <c r="P24" s="197">
        <v>0</v>
      </c>
      <c r="Q24" s="197">
        <v>0</v>
      </c>
      <c r="R24" s="197">
        <v>0</v>
      </c>
      <c r="S24" s="197">
        <v>0</v>
      </c>
      <c r="T24" s="197">
        <v>0</v>
      </c>
      <c r="U24" s="197">
        <v>0</v>
      </c>
      <c r="V24" s="197">
        <v>0</v>
      </c>
      <c r="W24" s="197">
        <v>0</v>
      </c>
      <c r="X24" s="197">
        <v>0</v>
      </c>
      <c r="Y24" s="197">
        <v>0</v>
      </c>
      <c r="Z24" s="197">
        <v>0</v>
      </c>
      <c r="AA24" s="197">
        <v>0</v>
      </c>
      <c r="AB24" s="197">
        <v>0</v>
      </c>
      <c r="AC24" s="197">
        <v>0</v>
      </c>
      <c r="AD24" s="197">
        <v>0</v>
      </c>
      <c r="AE24" s="197">
        <v>0</v>
      </c>
      <c r="AF24" s="197">
        <v>0</v>
      </c>
      <c r="AG24" s="197">
        <v>0</v>
      </c>
      <c r="AH24" s="197">
        <v>0</v>
      </c>
      <c r="AI24" s="197">
        <v>0</v>
      </c>
      <c r="AJ24" s="197">
        <v>0</v>
      </c>
      <c r="AK24" s="197">
        <v>0</v>
      </c>
      <c r="AL24" s="197">
        <v>0</v>
      </c>
      <c r="AM24" s="197">
        <v>0</v>
      </c>
      <c r="AN24" s="197">
        <v>0</v>
      </c>
      <c r="AO24" s="197">
        <v>0</v>
      </c>
      <c r="AP24" s="197">
        <v>0</v>
      </c>
      <c r="AQ24" s="197">
        <v>0</v>
      </c>
      <c r="AR24" s="197">
        <v>0</v>
      </c>
      <c r="AS24" s="197">
        <v>0</v>
      </c>
      <c r="AT24" s="197">
        <v>0</v>
      </c>
      <c r="AU24" s="197">
        <v>0</v>
      </c>
      <c r="AV24" s="197">
        <v>0</v>
      </c>
      <c r="AW24" s="197">
        <v>0</v>
      </c>
      <c r="AX24" s="197">
        <v>0</v>
      </c>
      <c r="AY24" s="197">
        <v>0</v>
      </c>
      <c r="AZ24" s="197">
        <v>0</v>
      </c>
      <c r="BA24" s="197">
        <v>0</v>
      </c>
      <c r="BB24" s="197">
        <v>0</v>
      </c>
      <c r="BC24" s="197">
        <v>0</v>
      </c>
      <c r="BD24" s="197">
        <v>0</v>
      </c>
      <c r="BE24" s="197">
        <v>0</v>
      </c>
      <c r="BF24" s="197">
        <v>0</v>
      </c>
      <c r="BG24" s="197">
        <v>0</v>
      </c>
      <c r="BH24" s="197">
        <v>0</v>
      </c>
      <c r="BI24" s="197">
        <v>0</v>
      </c>
    </row>
    <row r="25" spans="1:61" ht="14" hidden="1" x14ac:dyDescent="0.15">
      <c r="A25" s="58" t="s">
        <v>63</v>
      </c>
      <c r="B25" s="197">
        <v>0</v>
      </c>
      <c r="C25" s="197">
        <v>0</v>
      </c>
      <c r="D25" s="197">
        <v>0</v>
      </c>
      <c r="E25" s="197">
        <v>0</v>
      </c>
      <c r="F25" s="197">
        <v>0</v>
      </c>
      <c r="G25" s="197">
        <v>0</v>
      </c>
      <c r="H25" s="197">
        <v>0</v>
      </c>
      <c r="I25" s="197">
        <v>0</v>
      </c>
      <c r="J25" s="197">
        <v>0</v>
      </c>
      <c r="K25" s="197">
        <v>0</v>
      </c>
      <c r="L25" s="197">
        <v>0</v>
      </c>
      <c r="M25" s="197">
        <v>0</v>
      </c>
      <c r="N25" s="197">
        <v>0</v>
      </c>
      <c r="O25" s="197">
        <v>0</v>
      </c>
      <c r="P25" s="197">
        <v>0</v>
      </c>
      <c r="Q25" s="197">
        <v>0</v>
      </c>
      <c r="R25" s="197">
        <v>0</v>
      </c>
      <c r="S25" s="197">
        <v>0</v>
      </c>
      <c r="T25" s="197">
        <v>0</v>
      </c>
      <c r="U25" s="197">
        <v>0</v>
      </c>
      <c r="V25" s="197">
        <v>0</v>
      </c>
      <c r="W25" s="197">
        <v>0</v>
      </c>
      <c r="X25" s="197">
        <v>0</v>
      </c>
      <c r="Y25" s="197">
        <v>0</v>
      </c>
      <c r="Z25" s="197">
        <v>0</v>
      </c>
      <c r="AA25" s="197">
        <v>0</v>
      </c>
      <c r="AB25" s="197">
        <v>0</v>
      </c>
      <c r="AC25" s="197">
        <v>0</v>
      </c>
      <c r="AD25" s="197">
        <v>0</v>
      </c>
      <c r="AE25" s="197">
        <v>0</v>
      </c>
      <c r="AF25" s="197">
        <v>0</v>
      </c>
      <c r="AG25" s="197">
        <v>0</v>
      </c>
      <c r="AH25" s="197">
        <v>0</v>
      </c>
      <c r="AI25" s="197">
        <v>0</v>
      </c>
      <c r="AJ25" s="197">
        <v>0</v>
      </c>
      <c r="AK25" s="197">
        <v>0</v>
      </c>
      <c r="AL25" s="197">
        <v>0</v>
      </c>
      <c r="AM25" s="197">
        <v>0</v>
      </c>
      <c r="AN25" s="197">
        <v>0</v>
      </c>
      <c r="AO25" s="197">
        <v>0</v>
      </c>
      <c r="AP25" s="197">
        <v>0</v>
      </c>
      <c r="AQ25" s="197">
        <v>0</v>
      </c>
      <c r="AR25" s="197">
        <v>0</v>
      </c>
      <c r="AS25" s="197">
        <v>0</v>
      </c>
      <c r="AT25" s="197">
        <v>0</v>
      </c>
      <c r="AU25" s="197">
        <v>0</v>
      </c>
      <c r="AV25" s="197">
        <v>0</v>
      </c>
      <c r="AW25" s="197">
        <v>0</v>
      </c>
      <c r="AX25" s="197">
        <v>0</v>
      </c>
      <c r="AY25" s="197">
        <v>0</v>
      </c>
      <c r="AZ25" s="197">
        <v>0</v>
      </c>
      <c r="BA25" s="197">
        <v>0</v>
      </c>
      <c r="BB25" s="197">
        <v>0</v>
      </c>
      <c r="BC25" s="197">
        <v>0</v>
      </c>
      <c r="BD25" s="197">
        <v>0</v>
      </c>
      <c r="BE25" s="197">
        <v>0</v>
      </c>
      <c r="BF25" s="197">
        <v>0</v>
      </c>
      <c r="BG25" s="197">
        <v>0</v>
      </c>
      <c r="BH25" s="197">
        <v>0</v>
      </c>
      <c r="BI25" s="197">
        <v>0</v>
      </c>
    </row>
    <row r="26" spans="1:61" hidden="1" x14ac:dyDescent="0.15">
      <c r="A26" s="191" t="s">
        <v>111</v>
      </c>
      <c r="B26" s="201">
        <f>ROUND(SUM(B21:B25),0)</f>
        <v>0</v>
      </c>
      <c r="C26" s="201">
        <f t="shared" ref="C26" si="5">ROUND(SUM(C21:C25),0)</f>
        <v>0</v>
      </c>
      <c r="D26" s="201">
        <f t="shared" ref="D26" si="6">ROUND(SUM(D21:D25),0)</f>
        <v>0</v>
      </c>
      <c r="E26" s="201">
        <f t="shared" ref="E26" si="7">ROUND(SUM(E21:E25),0)</f>
        <v>0</v>
      </c>
      <c r="F26" s="201">
        <f t="shared" ref="F26" si="8">ROUND(SUM(F21:F25),0)</f>
        <v>0</v>
      </c>
      <c r="G26" s="201">
        <f t="shared" ref="G26" si="9">ROUND(SUM(G21:G25),0)</f>
        <v>0</v>
      </c>
      <c r="H26" s="201">
        <f t="shared" ref="H26" si="10">ROUND(SUM(H21:H25),0)</f>
        <v>0</v>
      </c>
      <c r="I26" s="201">
        <f t="shared" ref="I26" si="11">ROUND(SUM(I21:I25),0)</f>
        <v>0</v>
      </c>
      <c r="J26" s="201">
        <f t="shared" ref="J26" si="12">ROUND(SUM(J21:J25),0)</f>
        <v>0</v>
      </c>
      <c r="K26" s="201">
        <f t="shared" ref="K26" si="13">ROUND(SUM(K21:K25),0)</f>
        <v>0</v>
      </c>
      <c r="L26" s="201">
        <f t="shared" ref="L26" si="14">ROUND(SUM(L21:L25),0)</f>
        <v>0</v>
      </c>
      <c r="M26" s="201">
        <f t="shared" ref="M26" si="15">ROUND(SUM(M21:M25),0)</f>
        <v>0</v>
      </c>
      <c r="N26" s="210">
        <f t="shared" ref="N26" si="16">ROUND(SUM(N21:N25),0)</f>
        <v>0</v>
      </c>
      <c r="O26" s="210">
        <f t="shared" ref="O26" si="17">ROUND(SUM(O21:O25),0)</f>
        <v>0</v>
      </c>
      <c r="P26" s="210">
        <f t="shared" ref="P26" si="18">ROUND(SUM(P21:P25),0)</f>
        <v>0</v>
      </c>
      <c r="Q26" s="210">
        <f t="shared" ref="Q26" si="19">ROUND(SUM(Q21:Q25),0)</f>
        <v>0</v>
      </c>
      <c r="R26" s="210">
        <f t="shared" ref="R26" si="20">ROUND(SUM(R21:R25),0)</f>
        <v>0</v>
      </c>
      <c r="S26" s="210">
        <f t="shared" ref="S26" si="21">ROUND(SUM(S21:S25),0)</f>
        <v>0</v>
      </c>
      <c r="T26" s="210">
        <f t="shared" ref="T26" si="22">ROUND(SUM(T21:T25),0)</f>
        <v>0</v>
      </c>
      <c r="U26" s="210">
        <f t="shared" ref="U26" si="23">ROUND(SUM(U21:U25),0)</f>
        <v>0</v>
      </c>
      <c r="V26" s="210">
        <f t="shared" ref="V26" si="24">ROUND(SUM(V21:V25),0)</f>
        <v>0</v>
      </c>
      <c r="W26" s="210">
        <f t="shared" ref="W26" si="25">ROUND(SUM(W21:W25),0)</f>
        <v>0</v>
      </c>
      <c r="X26" s="210">
        <f t="shared" ref="X26" si="26">ROUND(SUM(X21:X25),0)</f>
        <v>0</v>
      </c>
      <c r="Y26" s="210">
        <f t="shared" ref="Y26" si="27">ROUND(SUM(Y21:Y25),0)</f>
        <v>0</v>
      </c>
      <c r="Z26" s="221">
        <f t="shared" ref="Z26" si="28">ROUND(SUM(Z21:Z25),0)</f>
        <v>0</v>
      </c>
      <c r="AA26" s="221">
        <f t="shared" ref="AA26" si="29">ROUND(SUM(AA21:AA25),0)</f>
        <v>0</v>
      </c>
      <c r="AB26" s="221">
        <f t="shared" ref="AB26" si="30">ROUND(SUM(AB21:AB25),0)</f>
        <v>0</v>
      </c>
      <c r="AC26" s="221">
        <f t="shared" ref="AC26" si="31">ROUND(SUM(AC21:AC25),0)</f>
        <v>0</v>
      </c>
      <c r="AD26" s="221">
        <f t="shared" ref="AD26" si="32">ROUND(SUM(AD21:AD25),0)</f>
        <v>0</v>
      </c>
      <c r="AE26" s="221">
        <f t="shared" ref="AE26" si="33">ROUND(SUM(AE21:AE25),0)</f>
        <v>0</v>
      </c>
      <c r="AF26" s="221">
        <f t="shared" ref="AF26" si="34">ROUND(SUM(AF21:AF25),0)</f>
        <v>0</v>
      </c>
      <c r="AG26" s="221">
        <f t="shared" ref="AG26" si="35">ROUND(SUM(AG21:AG25),0)</f>
        <v>0</v>
      </c>
      <c r="AH26" s="221">
        <f t="shared" ref="AH26" si="36">ROUND(SUM(AH21:AH25),0)</f>
        <v>0</v>
      </c>
      <c r="AI26" s="221">
        <f t="shared" ref="AI26" si="37">ROUND(SUM(AI21:AI25),0)</f>
        <v>0</v>
      </c>
      <c r="AJ26" s="221">
        <f t="shared" ref="AJ26" si="38">ROUND(SUM(AJ21:AJ25),0)</f>
        <v>0</v>
      </c>
      <c r="AK26" s="221">
        <f t="shared" ref="AK26" si="39">ROUND(SUM(AK21:AK25),0)</f>
        <v>0</v>
      </c>
      <c r="AL26" s="230">
        <f t="shared" ref="AL26" si="40">ROUND(SUM(AL21:AL25),0)</f>
        <v>0</v>
      </c>
      <c r="AM26" s="230">
        <f t="shared" ref="AM26" si="41">ROUND(SUM(AM21:AM25),0)</f>
        <v>0</v>
      </c>
      <c r="AN26" s="230">
        <f t="shared" ref="AN26" si="42">ROUND(SUM(AN21:AN25),0)</f>
        <v>0</v>
      </c>
      <c r="AO26" s="230">
        <f t="shared" ref="AO26" si="43">ROUND(SUM(AO21:AO25),0)</f>
        <v>0</v>
      </c>
      <c r="AP26" s="230">
        <f t="shared" ref="AP26" si="44">ROUND(SUM(AP21:AP25),0)</f>
        <v>0</v>
      </c>
      <c r="AQ26" s="230">
        <f t="shared" ref="AQ26" si="45">ROUND(SUM(AQ21:AQ25),0)</f>
        <v>0</v>
      </c>
      <c r="AR26" s="230">
        <f t="shared" ref="AR26" si="46">ROUND(SUM(AR21:AR25),0)</f>
        <v>0</v>
      </c>
      <c r="AS26" s="230">
        <f t="shared" ref="AS26" si="47">ROUND(SUM(AS21:AS25),0)</f>
        <v>0</v>
      </c>
      <c r="AT26" s="230">
        <f t="shared" ref="AT26" si="48">ROUND(SUM(AT21:AT25),0)</f>
        <v>0</v>
      </c>
      <c r="AU26" s="230">
        <f t="shared" ref="AU26" si="49">ROUND(SUM(AU21:AU25),0)</f>
        <v>0</v>
      </c>
      <c r="AV26" s="230">
        <f t="shared" ref="AV26" si="50">ROUND(SUM(AV21:AV25),0)</f>
        <v>0</v>
      </c>
      <c r="AW26" s="230">
        <f t="shared" ref="AW26" si="51">ROUND(SUM(AW21:AW25),0)</f>
        <v>0</v>
      </c>
      <c r="AX26" s="239">
        <f t="shared" ref="AX26" si="52">ROUND(SUM(AX21:AX25),0)</f>
        <v>0</v>
      </c>
      <c r="AY26" s="239">
        <f t="shared" ref="AY26" si="53">ROUND(SUM(AY21:AY25),0)</f>
        <v>0</v>
      </c>
      <c r="AZ26" s="239">
        <f t="shared" ref="AZ26" si="54">ROUND(SUM(AZ21:AZ25),0)</f>
        <v>0</v>
      </c>
      <c r="BA26" s="239">
        <f t="shared" ref="BA26" si="55">ROUND(SUM(BA21:BA25),0)</f>
        <v>0</v>
      </c>
      <c r="BB26" s="239">
        <f t="shared" ref="BB26" si="56">ROUND(SUM(BB21:BB25),0)</f>
        <v>0</v>
      </c>
      <c r="BC26" s="239">
        <f t="shared" ref="BC26" si="57">ROUND(SUM(BC21:BC25),0)</f>
        <v>0</v>
      </c>
      <c r="BD26" s="239">
        <f t="shared" ref="BD26" si="58">ROUND(SUM(BD21:BD25),0)</f>
        <v>0</v>
      </c>
      <c r="BE26" s="239">
        <f t="shared" ref="BE26" si="59">ROUND(SUM(BE21:BE25),0)</f>
        <v>0</v>
      </c>
      <c r="BF26" s="239">
        <f t="shared" ref="BF26" si="60">ROUND(SUM(BF21:BF25),0)</f>
        <v>0</v>
      </c>
      <c r="BG26" s="239">
        <f t="shared" ref="BG26" si="61">ROUND(SUM(BG21:BG25),0)</f>
        <v>0</v>
      </c>
      <c r="BH26" s="239">
        <f t="shared" ref="BH26" si="62">ROUND(SUM(BH21:BH25),0)</f>
        <v>0</v>
      </c>
      <c r="BI26" s="239">
        <f t="shared" ref="BI26" si="63">ROUND(SUM(BI21:BI25),0)</f>
        <v>0</v>
      </c>
    </row>
    <row r="27" spans="1:61" hidden="1" x14ac:dyDescent="0.15">
      <c r="A27" s="69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35"/>
      <c r="AY27" s="23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5"/>
    </row>
    <row r="28" spans="1:61" hidden="1" x14ac:dyDescent="0.15">
      <c r="A28" s="58" t="s">
        <v>66</v>
      </c>
      <c r="B28" s="199" t="e">
        <f>HLOOKUP(B$3,Controls!$A$5:$F$558,MATCH($A28,Controls!$A$5:$A$564,0),0)</f>
        <v>#N/A</v>
      </c>
      <c r="C28" s="199" t="e">
        <f>HLOOKUP(C$3,Controls!$A$5:$F$558,MATCH($A28,Controls!$A$5:$A$564,0),0)</f>
        <v>#N/A</v>
      </c>
      <c r="D28" s="199" t="e">
        <f>HLOOKUP(D$3,Controls!$A$5:$F$558,MATCH($A28,Controls!$A$5:$A$564,0),0)</f>
        <v>#N/A</v>
      </c>
      <c r="E28" s="199" t="e">
        <f>HLOOKUP(E$3,Controls!$A$5:$F$558,MATCH($A28,Controls!$A$5:$A$564,0),0)</f>
        <v>#N/A</v>
      </c>
      <c r="F28" s="199" t="e">
        <f>HLOOKUP(F$3,Controls!$A$5:$F$558,MATCH($A28,Controls!$A$5:$A$564,0),0)</f>
        <v>#N/A</v>
      </c>
      <c r="G28" s="199" t="e">
        <f>HLOOKUP(G$3,Controls!$A$5:$F$558,MATCH($A28,Controls!$A$5:$A$564,0),0)</f>
        <v>#N/A</v>
      </c>
      <c r="H28" s="199" t="e">
        <f>HLOOKUP(H$3,Controls!$A$5:$F$558,MATCH($A28,Controls!$A$5:$A$564,0),0)</f>
        <v>#N/A</v>
      </c>
      <c r="I28" s="199" t="e">
        <f>HLOOKUP(I$3,Controls!$A$5:$F$558,MATCH($A28,Controls!$A$5:$A$564,0),0)</f>
        <v>#N/A</v>
      </c>
      <c r="J28" s="199" t="e">
        <f>HLOOKUP(J$3,Controls!$A$5:$F$558,MATCH($A28,Controls!$A$5:$A$564,0),0)</f>
        <v>#N/A</v>
      </c>
      <c r="K28" s="199" t="e">
        <f>HLOOKUP(K$3,Controls!$A$5:$F$558,MATCH($A28,Controls!$A$5:$A$564,0),0)</f>
        <v>#N/A</v>
      </c>
      <c r="L28" s="199" t="e">
        <f>HLOOKUP(L$3,Controls!$A$5:$F$558,MATCH($A28,Controls!$A$5:$A$564,0),0)</f>
        <v>#N/A</v>
      </c>
      <c r="M28" s="199" t="e">
        <f>HLOOKUP(M$3,Controls!$A$5:$F$558,MATCH($A28,Controls!$A$5:$A$564,0),0)</f>
        <v>#N/A</v>
      </c>
      <c r="N28" s="208" t="e">
        <f>HLOOKUP(N$3,Controls!$A$5:$F$558,MATCH($A28,Controls!$A$5:$A$564,0),0)</f>
        <v>#N/A</v>
      </c>
      <c r="O28" s="208" t="e">
        <f>HLOOKUP(O$3,Controls!$A$5:$F$558,MATCH($A28,Controls!$A$5:$A$564,0),0)</f>
        <v>#N/A</v>
      </c>
      <c r="P28" s="208" t="e">
        <f>HLOOKUP(P$3,Controls!$A$5:$F$558,MATCH($A28,Controls!$A$5:$A$564,0),0)</f>
        <v>#N/A</v>
      </c>
      <c r="Q28" s="208" t="e">
        <f>HLOOKUP(Q$3,Controls!$A$5:$F$558,MATCH($A28,Controls!$A$5:$A$564,0),0)</f>
        <v>#N/A</v>
      </c>
      <c r="R28" s="208" t="e">
        <f>HLOOKUP(R$3,Controls!$A$5:$F$558,MATCH($A28,Controls!$A$5:$A$564,0),0)</f>
        <v>#N/A</v>
      </c>
      <c r="S28" s="208" t="e">
        <f>HLOOKUP(S$3,Controls!$A$5:$F$558,MATCH($A28,Controls!$A$5:$A$564,0),0)</f>
        <v>#N/A</v>
      </c>
      <c r="T28" s="208" t="e">
        <f>HLOOKUP(T$3,Controls!$A$5:$F$558,MATCH($A28,Controls!$A$5:$A$564,0),0)</f>
        <v>#N/A</v>
      </c>
      <c r="U28" s="208" t="e">
        <f>HLOOKUP(U$3,Controls!$A$5:$F$558,MATCH($A28,Controls!$A$5:$A$564,0),0)</f>
        <v>#N/A</v>
      </c>
      <c r="V28" s="208" t="e">
        <f>HLOOKUP(V$3,Controls!$A$5:$F$558,MATCH($A28,Controls!$A$5:$A$564,0),0)</f>
        <v>#N/A</v>
      </c>
      <c r="W28" s="208" t="e">
        <f>HLOOKUP(W$3,Controls!$A$5:$F$558,MATCH($A28,Controls!$A$5:$A$564,0),0)</f>
        <v>#N/A</v>
      </c>
      <c r="X28" s="208" t="e">
        <f>HLOOKUP(X$3,Controls!$A$5:$F$558,MATCH($A28,Controls!$A$5:$A$564,0),0)</f>
        <v>#N/A</v>
      </c>
      <c r="Y28" s="208" t="e">
        <f>HLOOKUP(Y$3,Controls!$A$5:$F$558,MATCH($A28,Controls!$A$5:$A$564,0),0)</f>
        <v>#N/A</v>
      </c>
      <c r="Z28" s="219" t="e">
        <f>HLOOKUP(Z$3,Controls!$A$5:$F$558,MATCH($A28,Controls!$A$5:$A$564,0),0)</f>
        <v>#N/A</v>
      </c>
      <c r="AA28" s="219" t="e">
        <f>HLOOKUP(AA$3,Controls!$A$5:$F$558,MATCH($A28,Controls!$A$5:$A$564,0),0)</f>
        <v>#N/A</v>
      </c>
      <c r="AB28" s="219" t="e">
        <f>HLOOKUP(AB$3,Controls!$A$5:$F$558,MATCH($A28,Controls!$A$5:$A$564,0),0)</f>
        <v>#N/A</v>
      </c>
      <c r="AC28" s="219" t="e">
        <f>HLOOKUP(AC$3,Controls!$A$5:$F$558,MATCH($A28,Controls!$A$5:$A$564,0),0)</f>
        <v>#N/A</v>
      </c>
      <c r="AD28" s="219" t="e">
        <f>HLOOKUP(AD$3,Controls!$A$5:$F$558,MATCH($A28,Controls!$A$5:$A$564,0),0)</f>
        <v>#N/A</v>
      </c>
      <c r="AE28" s="219" t="e">
        <f>HLOOKUP(AE$3,Controls!$A$5:$F$558,MATCH($A28,Controls!$A$5:$A$564,0),0)</f>
        <v>#N/A</v>
      </c>
      <c r="AF28" s="219" t="e">
        <f>HLOOKUP(AF$3,Controls!$A$5:$F$558,MATCH($A28,Controls!$A$5:$A$564,0),0)</f>
        <v>#N/A</v>
      </c>
      <c r="AG28" s="219" t="e">
        <f>HLOOKUP(AG$3,Controls!$A$5:$F$558,MATCH($A28,Controls!$A$5:$A$564,0),0)</f>
        <v>#N/A</v>
      </c>
      <c r="AH28" s="219" t="e">
        <f>HLOOKUP(AH$3,Controls!$A$5:$F$558,MATCH($A28,Controls!$A$5:$A$564,0),0)</f>
        <v>#N/A</v>
      </c>
      <c r="AI28" s="219" t="e">
        <f>HLOOKUP(AI$3,Controls!$A$5:$F$558,MATCH($A28,Controls!$A$5:$A$564,0),0)</f>
        <v>#N/A</v>
      </c>
      <c r="AJ28" s="219" t="e">
        <f>HLOOKUP(AJ$3,Controls!$A$5:$F$558,MATCH($A28,Controls!$A$5:$A$564,0),0)</f>
        <v>#N/A</v>
      </c>
      <c r="AK28" s="219" t="e">
        <f>HLOOKUP(AK$3,Controls!$A$5:$F$558,MATCH($A28,Controls!$A$5:$A$564,0),0)</f>
        <v>#N/A</v>
      </c>
      <c r="AL28" s="228" t="e">
        <f>HLOOKUP(AL$3,Controls!$A$5:$F$558,MATCH($A28,Controls!$A$5:$A$564,0),0)</f>
        <v>#N/A</v>
      </c>
      <c r="AM28" s="228" t="e">
        <f>HLOOKUP(AM$3,Controls!$A$5:$F$558,MATCH($A28,Controls!$A$5:$A$564,0),0)</f>
        <v>#N/A</v>
      </c>
      <c r="AN28" s="228" t="e">
        <f>HLOOKUP(AN$3,Controls!$A$5:$F$558,MATCH($A28,Controls!$A$5:$A$564,0),0)</f>
        <v>#N/A</v>
      </c>
      <c r="AO28" s="228" t="e">
        <f>HLOOKUP(AO$3,Controls!$A$5:$F$558,MATCH($A28,Controls!$A$5:$A$564,0),0)</f>
        <v>#N/A</v>
      </c>
      <c r="AP28" s="228" t="e">
        <f>HLOOKUP(AP$3,Controls!$A$5:$F$558,MATCH($A28,Controls!$A$5:$A$564,0),0)</f>
        <v>#N/A</v>
      </c>
      <c r="AQ28" s="228" t="e">
        <f>HLOOKUP(AQ$3,Controls!$A$5:$F$558,MATCH($A28,Controls!$A$5:$A$564,0),0)</f>
        <v>#N/A</v>
      </c>
      <c r="AR28" s="228" t="e">
        <f>HLOOKUP(AR$3,Controls!$A$5:$F$558,MATCH($A28,Controls!$A$5:$A$564,0),0)</f>
        <v>#N/A</v>
      </c>
      <c r="AS28" s="228" t="e">
        <f>HLOOKUP(AS$3,Controls!$A$5:$F$558,MATCH($A28,Controls!$A$5:$A$564,0),0)</f>
        <v>#N/A</v>
      </c>
      <c r="AT28" s="228" t="e">
        <f>HLOOKUP(AT$3,Controls!$A$5:$F$558,MATCH($A28,Controls!$A$5:$A$564,0),0)</f>
        <v>#N/A</v>
      </c>
      <c r="AU28" s="228" t="e">
        <f>HLOOKUP(AU$3,Controls!$A$5:$F$558,MATCH($A28,Controls!$A$5:$A$564,0),0)</f>
        <v>#N/A</v>
      </c>
      <c r="AV28" s="228" t="e">
        <f>HLOOKUP(AV$3,Controls!$A$5:$F$558,MATCH($A28,Controls!$A$5:$A$564,0),0)</f>
        <v>#N/A</v>
      </c>
      <c r="AW28" s="228" t="e">
        <f>HLOOKUP(AW$3,Controls!$A$5:$F$558,MATCH($A28,Controls!$A$5:$A$564,0),0)</f>
        <v>#N/A</v>
      </c>
      <c r="AX28" s="237" t="e">
        <f>HLOOKUP(AX$3,Controls!$A$5:$F$558,MATCH($A28,Controls!$A$5:$A$564,0),0)</f>
        <v>#N/A</v>
      </c>
      <c r="AY28" s="237" t="e">
        <f>HLOOKUP(AY$3,Controls!$A$5:$F$558,MATCH($A28,Controls!$A$5:$A$564,0),0)</f>
        <v>#N/A</v>
      </c>
      <c r="AZ28" s="237" t="e">
        <f>HLOOKUP(AZ$3,Controls!$A$5:$F$558,MATCH($A28,Controls!$A$5:$A$564,0),0)</f>
        <v>#N/A</v>
      </c>
      <c r="BA28" s="237" t="e">
        <f>HLOOKUP(BA$3,Controls!$A$5:$F$558,MATCH($A28,Controls!$A$5:$A$564,0),0)</f>
        <v>#N/A</v>
      </c>
      <c r="BB28" s="237" t="e">
        <f>HLOOKUP(BB$3,Controls!$A$5:$F$558,MATCH($A28,Controls!$A$5:$A$564,0),0)</f>
        <v>#N/A</v>
      </c>
      <c r="BC28" s="237" t="e">
        <f>HLOOKUP(BC$3,Controls!$A$5:$F$558,MATCH($A28,Controls!$A$5:$A$564,0),0)</f>
        <v>#N/A</v>
      </c>
      <c r="BD28" s="237" t="e">
        <f>HLOOKUP(BD$3,Controls!$A$5:$F$558,MATCH($A28,Controls!$A$5:$A$564,0),0)</f>
        <v>#N/A</v>
      </c>
      <c r="BE28" s="237" t="e">
        <f>HLOOKUP(BE$3,Controls!$A$5:$F$558,MATCH($A28,Controls!$A$5:$A$564,0),0)</f>
        <v>#N/A</v>
      </c>
      <c r="BF28" s="237" t="e">
        <f>HLOOKUP(BF$3,Controls!$A$5:$F$558,MATCH($A28,Controls!$A$5:$A$564,0),0)</f>
        <v>#N/A</v>
      </c>
      <c r="BG28" s="237" t="e">
        <f>HLOOKUP(BG$3,Controls!$A$5:$F$558,MATCH($A28,Controls!$A$5:$A$564,0),0)</f>
        <v>#N/A</v>
      </c>
      <c r="BH28" s="237" t="e">
        <f>HLOOKUP(BH$3,Controls!$A$5:$F$558,MATCH($A28,Controls!$A$5:$A$564,0),0)</f>
        <v>#N/A</v>
      </c>
      <c r="BI28" s="237" t="e">
        <f>HLOOKUP(BI$3,Controls!$A$5:$F$558,MATCH($A28,Controls!$A$5:$A$564,0),0)</f>
        <v>#N/A</v>
      </c>
    </row>
    <row r="29" spans="1:61" hidden="1" x14ac:dyDescent="0.15">
      <c r="A29" s="165" t="s">
        <v>113</v>
      </c>
      <c r="B29" s="200" t="e">
        <f>B26*B28</f>
        <v>#N/A</v>
      </c>
      <c r="C29" s="200" t="e">
        <f t="shared" ref="C29" si="64">C26*C28</f>
        <v>#N/A</v>
      </c>
      <c r="D29" s="200" t="e">
        <f t="shared" ref="D29" si="65">D26*D28</f>
        <v>#N/A</v>
      </c>
      <c r="E29" s="200" t="e">
        <f t="shared" ref="E29" si="66">E26*E28</f>
        <v>#N/A</v>
      </c>
      <c r="F29" s="200" t="e">
        <f t="shared" ref="F29" si="67">F26*F28</f>
        <v>#N/A</v>
      </c>
      <c r="G29" s="200" t="e">
        <f t="shared" ref="G29" si="68">G26*G28</f>
        <v>#N/A</v>
      </c>
      <c r="H29" s="200" t="e">
        <f t="shared" ref="H29" si="69">H26*H28</f>
        <v>#N/A</v>
      </c>
      <c r="I29" s="200" t="e">
        <f t="shared" ref="I29" si="70">I26*I28</f>
        <v>#N/A</v>
      </c>
      <c r="J29" s="200" t="e">
        <f t="shared" ref="J29" si="71">J26*J28</f>
        <v>#N/A</v>
      </c>
      <c r="K29" s="200" t="e">
        <f t="shared" ref="K29" si="72">K26*K28</f>
        <v>#N/A</v>
      </c>
      <c r="L29" s="200" t="e">
        <f t="shared" ref="L29" si="73">L26*L28</f>
        <v>#N/A</v>
      </c>
      <c r="M29" s="200" t="e">
        <f t="shared" ref="M29" si="74">M26*M28</f>
        <v>#N/A</v>
      </c>
      <c r="N29" s="209" t="e">
        <f t="shared" ref="N29" si="75">N26*N28</f>
        <v>#N/A</v>
      </c>
      <c r="O29" s="209" t="e">
        <f t="shared" ref="O29" si="76">O26*O28</f>
        <v>#N/A</v>
      </c>
      <c r="P29" s="209" t="e">
        <f t="shared" ref="P29" si="77">P26*P28</f>
        <v>#N/A</v>
      </c>
      <c r="Q29" s="209" t="e">
        <f t="shared" ref="Q29" si="78">Q26*Q28</f>
        <v>#N/A</v>
      </c>
      <c r="R29" s="209" t="e">
        <f t="shared" ref="R29" si="79">R26*R28</f>
        <v>#N/A</v>
      </c>
      <c r="S29" s="209" t="e">
        <f t="shared" ref="S29" si="80">S26*S28</f>
        <v>#N/A</v>
      </c>
      <c r="T29" s="209" t="e">
        <f t="shared" ref="T29" si="81">T26*T28</f>
        <v>#N/A</v>
      </c>
      <c r="U29" s="209" t="e">
        <f t="shared" ref="U29" si="82">U26*U28</f>
        <v>#N/A</v>
      </c>
      <c r="V29" s="209" t="e">
        <f t="shared" ref="V29" si="83">V26*V28</f>
        <v>#N/A</v>
      </c>
      <c r="W29" s="209" t="e">
        <f t="shared" ref="W29" si="84">W26*W28</f>
        <v>#N/A</v>
      </c>
      <c r="X29" s="209" t="e">
        <f t="shared" ref="X29" si="85">X26*X28</f>
        <v>#N/A</v>
      </c>
      <c r="Y29" s="209" t="e">
        <f t="shared" ref="Y29" si="86">Y26*Y28</f>
        <v>#N/A</v>
      </c>
      <c r="Z29" s="220" t="e">
        <f t="shared" ref="Z29" si="87">Z26*Z28</f>
        <v>#N/A</v>
      </c>
      <c r="AA29" s="220" t="e">
        <f t="shared" ref="AA29" si="88">AA26*AA28</f>
        <v>#N/A</v>
      </c>
      <c r="AB29" s="220" t="e">
        <f t="shared" ref="AB29" si="89">AB26*AB28</f>
        <v>#N/A</v>
      </c>
      <c r="AC29" s="220" t="e">
        <f t="shared" ref="AC29" si="90">AC26*AC28</f>
        <v>#N/A</v>
      </c>
      <c r="AD29" s="220" t="e">
        <f t="shared" ref="AD29" si="91">AD26*AD28</f>
        <v>#N/A</v>
      </c>
      <c r="AE29" s="220" t="e">
        <f t="shared" ref="AE29" si="92">AE26*AE28</f>
        <v>#N/A</v>
      </c>
      <c r="AF29" s="220" t="e">
        <f t="shared" ref="AF29" si="93">AF26*AF28</f>
        <v>#N/A</v>
      </c>
      <c r="AG29" s="220" t="e">
        <f t="shared" ref="AG29" si="94">AG26*AG28</f>
        <v>#N/A</v>
      </c>
      <c r="AH29" s="220" t="e">
        <f t="shared" ref="AH29" si="95">AH26*AH28</f>
        <v>#N/A</v>
      </c>
      <c r="AI29" s="220" t="e">
        <f t="shared" ref="AI29" si="96">AI26*AI28</f>
        <v>#N/A</v>
      </c>
      <c r="AJ29" s="220" t="e">
        <f t="shared" ref="AJ29" si="97">AJ26*AJ28</f>
        <v>#N/A</v>
      </c>
      <c r="AK29" s="220" t="e">
        <f t="shared" ref="AK29" si="98">AK26*AK28</f>
        <v>#N/A</v>
      </c>
      <c r="AL29" s="229" t="e">
        <f t="shared" ref="AL29" si="99">AL26*AL28</f>
        <v>#N/A</v>
      </c>
      <c r="AM29" s="229" t="e">
        <f t="shared" ref="AM29" si="100">AM26*AM28</f>
        <v>#N/A</v>
      </c>
      <c r="AN29" s="229" t="e">
        <f t="shared" ref="AN29" si="101">AN26*AN28</f>
        <v>#N/A</v>
      </c>
      <c r="AO29" s="229" t="e">
        <f t="shared" ref="AO29" si="102">AO26*AO28</f>
        <v>#N/A</v>
      </c>
      <c r="AP29" s="229" t="e">
        <f t="shared" ref="AP29" si="103">AP26*AP28</f>
        <v>#N/A</v>
      </c>
      <c r="AQ29" s="229" t="e">
        <f t="shared" ref="AQ29" si="104">AQ26*AQ28</f>
        <v>#N/A</v>
      </c>
      <c r="AR29" s="229" t="e">
        <f t="shared" ref="AR29" si="105">AR26*AR28</f>
        <v>#N/A</v>
      </c>
      <c r="AS29" s="229" t="e">
        <f t="shared" ref="AS29" si="106">AS26*AS28</f>
        <v>#N/A</v>
      </c>
      <c r="AT29" s="229" t="e">
        <f t="shared" ref="AT29" si="107">AT26*AT28</f>
        <v>#N/A</v>
      </c>
      <c r="AU29" s="229" t="e">
        <f t="shared" ref="AU29" si="108">AU26*AU28</f>
        <v>#N/A</v>
      </c>
      <c r="AV29" s="229" t="e">
        <f t="shared" ref="AV29" si="109">AV26*AV28</f>
        <v>#N/A</v>
      </c>
      <c r="AW29" s="229" t="e">
        <f t="shared" ref="AW29" si="110">AW26*AW28</f>
        <v>#N/A</v>
      </c>
      <c r="AX29" s="238" t="e">
        <f t="shared" ref="AX29" si="111">AX26*AX28</f>
        <v>#N/A</v>
      </c>
      <c r="AY29" s="238" t="e">
        <f t="shared" ref="AY29" si="112">AY26*AY28</f>
        <v>#N/A</v>
      </c>
      <c r="AZ29" s="238" t="e">
        <f t="shared" ref="AZ29" si="113">AZ26*AZ28</f>
        <v>#N/A</v>
      </c>
      <c r="BA29" s="238" t="e">
        <f t="shared" ref="BA29" si="114">BA26*BA28</f>
        <v>#N/A</v>
      </c>
      <c r="BB29" s="238" t="e">
        <f t="shared" ref="BB29" si="115">BB26*BB28</f>
        <v>#N/A</v>
      </c>
      <c r="BC29" s="238" t="e">
        <f t="shared" ref="BC29" si="116">BC26*BC28</f>
        <v>#N/A</v>
      </c>
      <c r="BD29" s="238" t="e">
        <f t="shared" ref="BD29" si="117">BD26*BD28</f>
        <v>#N/A</v>
      </c>
      <c r="BE29" s="238" t="e">
        <f t="shared" ref="BE29" si="118">BE26*BE28</f>
        <v>#N/A</v>
      </c>
      <c r="BF29" s="238" t="e">
        <f t="shared" ref="BF29" si="119">BF26*BF28</f>
        <v>#N/A</v>
      </c>
      <c r="BG29" s="238" t="e">
        <f t="shared" ref="BG29" si="120">BG26*BG28</f>
        <v>#N/A</v>
      </c>
      <c r="BH29" s="238" t="e">
        <f t="shared" ref="BH29" si="121">BH26*BH28</f>
        <v>#N/A</v>
      </c>
      <c r="BI29" s="238" t="e">
        <f t="shared" ref="BI29" si="122">BI26*BI28</f>
        <v>#N/A</v>
      </c>
    </row>
    <row r="30" spans="1:61" hidden="1" x14ac:dyDescent="0.15">
      <c r="A30" s="69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</row>
    <row r="31" spans="1:61" hidden="1" x14ac:dyDescent="0.15">
      <c r="A31" s="188" t="s">
        <v>114</v>
      </c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</row>
    <row r="32" spans="1:61" hidden="1" x14ac:dyDescent="0.15">
      <c r="A32" s="58" t="s">
        <v>67</v>
      </c>
      <c r="B32" s="202" t="e">
        <f>HLOOKUP(B$3,Controls!$A$5:$F$558,MATCH($A32,Controls!$A$5:$A$564,0),0)</f>
        <v>#N/A</v>
      </c>
      <c r="C32" s="202" t="e">
        <f>HLOOKUP(C$3,Controls!$A$5:$F$558,MATCH($A32,Controls!$A$5:$A$564,0),0)</f>
        <v>#N/A</v>
      </c>
      <c r="D32" s="202" t="e">
        <f>HLOOKUP(D$3,Controls!$A$5:$F$558,MATCH($A32,Controls!$A$5:$A$564,0),0)</f>
        <v>#N/A</v>
      </c>
      <c r="E32" s="202" t="e">
        <f>HLOOKUP(E$3,Controls!$A$5:$F$558,MATCH($A32,Controls!$A$5:$A$564,0),0)</f>
        <v>#N/A</v>
      </c>
      <c r="F32" s="202" t="e">
        <f>HLOOKUP(F$3,Controls!$A$5:$F$558,MATCH($A32,Controls!$A$5:$A$564,0),0)</f>
        <v>#N/A</v>
      </c>
      <c r="G32" s="202" t="e">
        <f>HLOOKUP(G$3,Controls!$A$5:$F$558,MATCH($A32,Controls!$A$5:$A$564,0),0)</f>
        <v>#N/A</v>
      </c>
      <c r="H32" s="202" t="e">
        <f>HLOOKUP(H$3,Controls!$A$5:$F$558,MATCH($A32,Controls!$A$5:$A$564,0),0)</f>
        <v>#N/A</v>
      </c>
      <c r="I32" s="202" t="e">
        <f>HLOOKUP(I$3,Controls!$A$5:$F$558,MATCH($A32,Controls!$A$5:$A$564,0),0)</f>
        <v>#N/A</v>
      </c>
      <c r="J32" s="202" t="e">
        <f>HLOOKUP(J$3,Controls!$A$5:$F$558,MATCH($A32,Controls!$A$5:$A$564,0),0)</f>
        <v>#N/A</v>
      </c>
      <c r="K32" s="202" t="e">
        <f>HLOOKUP(K$3,Controls!$A$5:$F$558,MATCH($A32,Controls!$A$5:$A$564,0),0)</f>
        <v>#N/A</v>
      </c>
      <c r="L32" s="202" t="e">
        <f>HLOOKUP(L$3,Controls!$A$5:$F$558,MATCH($A32,Controls!$A$5:$A$564,0),0)</f>
        <v>#N/A</v>
      </c>
      <c r="M32" s="202" t="e">
        <f>HLOOKUP(M$3,Controls!$A$5:$F$558,MATCH($A32,Controls!$A$5:$A$564,0),0)</f>
        <v>#N/A</v>
      </c>
      <c r="N32" s="211" t="e">
        <f>HLOOKUP(N$3,Controls!$A$5:$F$558,MATCH($A32,Controls!$A$5:$A$564,0),0)</f>
        <v>#N/A</v>
      </c>
      <c r="O32" s="211" t="e">
        <f>HLOOKUP(O$3,Controls!$A$5:$F$558,MATCH($A32,Controls!$A$5:$A$564,0),0)</f>
        <v>#N/A</v>
      </c>
      <c r="P32" s="211" t="e">
        <f>HLOOKUP(P$3,Controls!$A$5:$F$558,MATCH($A32,Controls!$A$5:$A$564,0),0)</f>
        <v>#N/A</v>
      </c>
      <c r="Q32" s="211" t="e">
        <f>HLOOKUP(Q$3,Controls!$A$5:$F$558,MATCH($A32,Controls!$A$5:$A$564,0),0)</f>
        <v>#N/A</v>
      </c>
      <c r="R32" s="211" t="e">
        <f>HLOOKUP(R$3,Controls!$A$5:$F$558,MATCH($A32,Controls!$A$5:$A$564,0),0)</f>
        <v>#N/A</v>
      </c>
      <c r="S32" s="211" t="e">
        <f>HLOOKUP(S$3,Controls!$A$5:$F$558,MATCH($A32,Controls!$A$5:$A$564,0),0)</f>
        <v>#N/A</v>
      </c>
      <c r="T32" s="211" t="e">
        <f>HLOOKUP(T$3,Controls!$A$5:$F$558,MATCH($A32,Controls!$A$5:$A$564,0),0)</f>
        <v>#N/A</v>
      </c>
      <c r="U32" s="211" t="e">
        <f>HLOOKUP(U$3,Controls!$A$5:$F$558,MATCH($A32,Controls!$A$5:$A$564,0),0)</f>
        <v>#N/A</v>
      </c>
      <c r="V32" s="211" t="e">
        <f>HLOOKUP(V$3,Controls!$A$5:$F$558,MATCH($A32,Controls!$A$5:$A$564,0),0)</f>
        <v>#N/A</v>
      </c>
      <c r="W32" s="211" t="e">
        <f>HLOOKUP(W$3,Controls!$A$5:$F$558,MATCH($A32,Controls!$A$5:$A$564,0),0)</f>
        <v>#N/A</v>
      </c>
      <c r="X32" s="211" t="e">
        <f>HLOOKUP(X$3,Controls!$A$5:$F$558,MATCH($A32,Controls!$A$5:$A$564,0),0)</f>
        <v>#N/A</v>
      </c>
      <c r="Y32" s="211" t="e">
        <f>HLOOKUP(Y$3,Controls!$A$5:$F$558,MATCH($A32,Controls!$A$5:$A$564,0),0)</f>
        <v>#N/A</v>
      </c>
      <c r="Z32" s="222" t="e">
        <f>HLOOKUP(Z$3,Controls!$A$5:$F$558,MATCH($A32,Controls!$A$5:$A$564,0),0)</f>
        <v>#N/A</v>
      </c>
      <c r="AA32" s="222" t="e">
        <f>HLOOKUP(AA$3,Controls!$A$5:$F$558,MATCH($A32,Controls!$A$5:$A$564,0),0)</f>
        <v>#N/A</v>
      </c>
      <c r="AB32" s="222" t="e">
        <f>HLOOKUP(AB$3,Controls!$A$5:$F$558,MATCH($A32,Controls!$A$5:$A$564,0),0)</f>
        <v>#N/A</v>
      </c>
      <c r="AC32" s="222" t="e">
        <f>HLOOKUP(AC$3,Controls!$A$5:$F$558,MATCH($A32,Controls!$A$5:$A$564,0),0)</f>
        <v>#N/A</v>
      </c>
      <c r="AD32" s="222" t="e">
        <f>HLOOKUP(AD$3,Controls!$A$5:$F$558,MATCH($A32,Controls!$A$5:$A$564,0),0)</f>
        <v>#N/A</v>
      </c>
      <c r="AE32" s="222" t="e">
        <f>HLOOKUP(AE$3,Controls!$A$5:$F$558,MATCH($A32,Controls!$A$5:$A$564,0),0)</f>
        <v>#N/A</v>
      </c>
      <c r="AF32" s="222" t="e">
        <f>HLOOKUP(AF$3,Controls!$A$5:$F$558,MATCH($A32,Controls!$A$5:$A$564,0),0)</f>
        <v>#N/A</v>
      </c>
      <c r="AG32" s="222" t="e">
        <f>HLOOKUP(AG$3,Controls!$A$5:$F$558,MATCH($A32,Controls!$A$5:$A$564,0),0)</f>
        <v>#N/A</v>
      </c>
      <c r="AH32" s="222" t="e">
        <f>HLOOKUP(AH$3,Controls!$A$5:$F$558,MATCH($A32,Controls!$A$5:$A$564,0),0)</f>
        <v>#N/A</v>
      </c>
      <c r="AI32" s="222" t="e">
        <f>HLOOKUP(AI$3,Controls!$A$5:$F$558,MATCH($A32,Controls!$A$5:$A$564,0),0)</f>
        <v>#N/A</v>
      </c>
      <c r="AJ32" s="222" t="e">
        <f>HLOOKUP(AJ$3,Controls!$A$5:$F$558,MATCH($A32,Controls!$A$5:$A$564,0),0)</f>
        <v>#N/A</v>
      </c>
      <c r="AK32" s="222" t="e">
        <f>HLOOKUP(AK$3,Controls!$A$5:$F$558,MATCH($A32,Controls!$A$5:$A$564,0),0)</f>
        <v>#N/A</v>
      </c>
      <c r="AL32" s="231" t="e">
        <f>HLOOKUP(AL$3,Controls!$A$5:$F$558,MATCH($A32,Controls!$A$5:$A$564,0),0)</f>
        <v>#N/A</v>
      </c>
      <c r="AM32" s="231" t="e">
        <f>HLOOKUP(AM$3,Controls!$A$5:$F$558,MATCH($A32,Controls!$A$5:$A$564,0),0)</f>
        <v>#N/A</v>
      </c>
      <c r="AN32" s="231" t="e">
        <f>HLOOKUP(AN$3,Controls!$A$5:$F$558,MATCH($A32,Controls!$A$5:$A$564,0),0)</f>
        <v>#N/A</v>
      </c>
      <c r="AO32" s="231" t="e">
        <f>HLOOKUP(AO$3,Controls!$A$5:$F$558,MATCH($A32,Controls!$A$5:$A$564,0),0)</f>
        <v>#N/A</v>
      </c>
      <c r="AP32" s="231" t="e">
        <f>HLOOKUP(AP$3,Controls!$A$5:$F$558,MATCH($A32,Controls!$A$5:$A$564,0),0)</f>
        <v>#N/A</v>
      </c>
      <c r="AQ32" s="231" t="e">
        <f>HLOOKUP(AQ$3,Controls!$A$5:$F$558,MATCH($A32,Controls!$A$5:$A$564,0),0)</f>
        <v>#N/A</v>
      </c>
      <c r="AR32" s="231" t="e">
        <f>HLOOKUP(AR$3,Controls!$A$5:$F$558,MATCH($A32,Controls!$A$5:$A$564,0),0)</f>
        <v>#N/A</v>
      </c>
      <c r="AS32" s="231" t="e">
        <f>HLOOKUP(AS$3,Controls!$A$5:$F$558,MATCH($A32,Controls!$A$5:$A$564,0),0)</f>
        <v>#N/A</v>
      </c>
      <c r="AT32" s="231" t="e">
        <f>HLOOKUP(AT$3,Controls!$A$5:$F$558,MATCH($A32,Controls!$A$5:$A$564,0),0)</f>
        <v>#N/A</v>
      </c>
      <c r="AU32" s="231" t="e">
        <f>HLOOKUP(AU$3,Controls!$A$5:$F$558,MATCH($A32,Controls!$A$5:$A$564,0),0)</f>
        <v>#N/A</v>
      </c>
      <c r="AV32" s="231" t="e">
        <f>HLOOKUP(AV$3,Controls!$A$5:$F$558,MATCH($A32,Controls!$A$5:$A$564,0),0)</f>
        <v>#N/A</v>
      </c>
      <c r="AW32" s="231" t="e">
        <f>HLOOKUP(AW$3,Controls!$A$5:$F$558,MATCH($A32,Controls!$A$5:$A$564,0),0)</f>
        <v>#N/A</v>
      </c>
      <c r="AX32" s="240" t="e">
        <f>HLOOKUP(AX$3,Controls!$A$5:$F$558,MATCH($A32,Controls!$A$5:$A$564,0),0)</f>
        <v>#N/A</v>
      </c>
      <c r="AY32" s="240" t="e">
        <f>HLOOKUP(AY$3,Controls!$A$5:$F$558,MATCH($A32,Controls!$A$5:$A$564,0),0)</f>
        <v>#N/A</v>
      </c>
      <c r="AZ32" s="240" t="e">
        <f>HLOOKUP(AZ$3,Controls!$A$5:$F$558,MATCH($A32,Controls!$A$5:$A$564,0),0)</f>
        <v>#N/A</v>
      </c>
      <c r="BA32" s="240" t="e">
        <f>HLOOKUP(BA$3,Controls!$A$5:$F$558,MATCH($A32,Controls!$A$5:$A$564,0),0)</f>
        <v>#N/A</v>
      </c>
      <c r="BB32" s="240" t="e">
        <f>HLOOKUP(BB$3,Controls!$A$5:$F$558,MATCH($A32,Controls!$A$5:$A$564,0),0)</f>
        <v>#N/A</v>
      </c>
      <c r="BC32" s="240" t="e">
        <f>HLOOKUP(BC$3,Controls!$A$5:$F$558,MATCH($A32,Controls!$A$5:$A$564,0),0)</f>
        <v>#N/A</v>
      </c>
      <c r="BD32" s="240" t="e">
        <f>HLOOKUP(BD$3,Controls!$A$5:$F$558,MATCH($A32,Controls!$A$5:$A$564,0),0)</f>
        <v>#N/A</v>
      </c>
      <c r="BE32" s="240" t="e">
        <f>HLOOKUP(BE$3,Controls!$A$5:$F$558,MATCH($A32,Controls!$A$5:$A$564,0),0)</f>
        <v>#N/A</v>
      </c>
      <c r="BF32" s="240" t="e">
        <f>HLOOKUP(BF$3,Controls!$A$5:$F$558,MATCH($A32,Controls!$A$5:$A$564,0),0)</f>
        <v>#N/A</v>
      </c>
      <c r="BG32" s="240" t="e">
        <f>HLOOKUP(BG$3,Controls!$A$5:$F$558,MATCH($A32,Controls!$A$5:$A$564,0),0)</f>
        <v>#N/A</v>
      </c>
      <c r="BH32" s="240" t="e">
        <f>HLOOKUP(BH$3,Controls!$A$5:$F$558,MATCH($A32,Controls!$A$5:$A$564,0),0)</f>
        <v>#N/A</v>
      </c>
      <c r="BI32" s="240" t="e">
        <f>HLOOKUP(BI$3,Controls!$A$5:$F$558,MATCH($A32,Controls!$A$5:$A$564,0),0)</f>
        <v>#N/A</v>
      </c>
    </row>
    <row r="33" spans="1:61" hidden="1" x14ac:dyDescent="0.15">
      <c r="A33" s="165" t="s">
        <v>115</v>
      </c>
      <c r="B33" s="200" t="e">
        <f t="shared" ref="B33:AG33" si="123">(B18+B29)*B32</f>
        <v>#N/A</v>
      </c>
      <c r="C33" s="200" t="e">
        <f t="shared" si="123"/>
        <v>#N/A</v>
      </c>
      <c r="D33" s="200" t="e">
        <f t="shared" si="123"/>
        <v>#N/A</v>
      </c>
      <c r="E33" s="200" t="e">
        <f t="shared" si="123"/>
        <v>#N/A</v>
      </c>
      <c r="F33" s="200" t="e">
        <f t="shared" si="123"/>
        <v>#N/A</v>
      </c>
      <c r="G33" s="200" t="e">
        <f t="shared" si="123"/>
        <v>#N/A</v>
      </c>
      <c r="H33" s="200" t="e">
        <f t="shared" si="123"/>
        <v>#N/A</v>
      </c>
      <c r="I33" s="200" t="e">
        <f t="shared" si="123"/>
        <v>#N/A</v>
      </c>
      <c r="J33" s="200" t="e">
        <f t="shared" si="123"/>
        <v>#N/A</v>
      </c>
      <c r="K33" s="200" t="e">
        <f t="shared" si="123"/>
        <v>#N/A</v>
      </c>
      <c r="L33" s="200" t="e">
        <f t="shared" si="123"/>
        <v>#N/A</v>
      </c>
      <c r="M33" s="200" t="e">
        <f t="shared" si="123"/>
        <v>#N/A</v>
      </c>
      <c r="N33" s="209" t="e">
        <f t="shared" si="123"/>
        <v>#N/A</v>
      </c>
      <c r="O33" s="209" t="e">
        <f t="shared" si="123"/>
        <v>#N/A</v>
      </c>
      <c r="P33" s="209" t="e">
        <f t="shared" si="123"/>
        <v>#N/A</v>
      </c>
      <c r="Q33" s="209" t="e">
        <f t="shared" si="123"/>
        <v>#N/A</v>
      </c>
      <c r="R33" s="209" t="e">
        <f t="shared" si="123"/>
        <v>#N/A</v>
      </c>
      <c r="S33" s="209" t="e">
        <f t="shared" si="123"/>
        <v>#N/A</v>
      </c>
      <c r="T33" s="209" t="e">
        <f t="shared" si="123"/>
        <v>#N/A</v>
      </c>
      <c r="U33" s="209" t="e">
        <f t="shared" si="123"/>
        <v>#N/A</v>
      </c>
      <c r="V33" s="209" t="e">
        <f t="shared" si="123"/>
        <v>#N/A</v>
      </c>
      <c r="W33" s="209" t="e">
        <f t="shared" si="123"/>
        <v>#N/A</v>
      </c>
      <c r="X33" s="209" t="e">
        <f t="shared" si="123"/>
        <v>#N/A</v>
      </c>
      <c r="Y33" s="209" t="e">
        <f t="shared" si="123"/>
        <v>#N/A</v>
      </c>
      <c r="Z33" s="220" t="e">
        <f t="shared" si="123"/>
        <v>#N/A</v>
      </c>
      <c r="AA33" s="220" t="e">
        <f t="shared" si="123"/>
        <v>#N/A</v>
      </c>
      <c r="AB33" s="220" t="e">
        <f t="shared" si="123"/>
        <v>#N/A</v>
      </c>
      <c r="AC33" s="220" t="e">
        <f t="shared" si="123"/>
        <v>#N/A</v>
      </c>
      <c r="AD33" s="220" t="e">
        <f t="shared" si="123"/>
        <v>#N/A</v>
      </c>
      <c r="AE33" s="220" t="e">
        <f t="shared" si="123"/>
        <v>#N/A</v>
      </c>
      <c r="AF33" s="220" t="e">
        <f t="shared" si="123"/>
        <v>#N/A</v>
      </c>
      <c r="AG33" s="220" t="e">
        <f t="shared" si="123"/>
        <v>#N/A</v>
      </c>
      <c r="AH33" s="220" t="e">
        <f t="shared" ref="AH33:BI33" si="124">(AH18+AH29)*AH32</f>
        <v>#N/A</v>
      </c>
      <c r="AI33" s="220" t="e">
        <f t="shared" si="124"/>
        <v>#N/A</v>
      </c>
      <c r="AJ33" s="220" t="e">
        <f t="shared" si="124"/>
        <v>#N/A</v>
      </c>
      <c r="AK33" s="220" t="e">
        <f t="shared" si="124"/>
        <v>#N/A</v>
      </c>
      <c r="AL33" s="229" t="e">
        <f t="shared" si="124"/>
        <v>#N/A</v>
      </c>
      <c r="AM33" s="229" t="e">
        <f t="shared" si="124"/>
        <v>#N/A</v>
      </c>
      <c r="AN33" s="229" t="e">
        <f t="shared" si="124"/>
        <v>#N/A</v>
      </c>
      <c r="AO33" s="229" t="e">
        <f t="shared" si="124"/>
        <v>#N/A</v>
      </c>
      <c r="AP33" s="229" t="e">
        <f t="shared" si="124"/>
        <v>#N/A</v>
      </c>
      <c r="AQ33" s="229" t="e">
        <f t="shared" si="124"/>
        <v>#N/A</v>
      </c>
      <c r="AR33" s="229" t="e">
        <f t="shared" si="124"/>
        <v>#N/A</v>
      </c>
      <c r="AS33" s="229" t="e">
        <f t="shared" si="124"/>
        <v>#N/A</v>
      </c>
      <c r="AT33" s="229" t="e">
        <f t="shared" si="124"/>
        <v>#N/A</v>
      </c>
      <c r="AU33" s="229" t="e">
        <f t="shared" si="124"/>
        <v>#N/A</v>
      </c>
      <c r="AV33" s="229" t="e">
        <f t="shared" si="124"/>
        <v>#N/A</v>
      </c>
      <c r="AW33" s="229" t="e">
        <f t="shared" si="124"/>
        <v>#N/A</v>
      </c>
      <c r="AX33" s="238" t="e">
        <f t="shared" si="124"/>
        <v>#N/A</v>
      </c>
      <c r="AY33" s="238" t="e">
        <f t="shared" si="124"/>
        <v>#N/A</v>
      </c>
      <c r="AZ33" s="238" t="e">
        <f t="shared" si="124"/>
        <v>#N/A</v>
      </c>
      <c r="BA33" s="238" t="e">
        <f t="shared" si="124"/>
        <v>#N/A</v>
      </c>
      <c r="BB33" s="238" t="e">
        <f t="shared" si="124"/>
        <v>#N/A</v>
      </c>
      <c r="BC33" s="238" t="e">
        <f t="shared" si="124"/>
        <v>#N/A</v>
      </c>
      <c r="BD33" s="238" t="e">
        <f t="shared" si="124"/>
        <v>#N/A</v>
      </c>
      <c r="BE33" s="238" t="e">
        <f t="shared" si="124"/>
        <v>#N/A</v>
      </c>
      <c r="BF33" s="238" t="e">
        <f t="shared" si="124"/>
        <v>#N/A</v>
      </c>
      <c r="BG33" s="238" t="e">
        <f t="shared" si="124"/>
        <v>#N/A</v>
      </c>
      <c r="BH33" s="238" t="e">
        <f t="shared" si="124"/>
        <v>#N/A</v>
      </c>
      <c r="BI33" s="238" t="e">
        <f t="shared" si="124"/>
        <v>#N/A</v>
      </c>
    </row>
    <row r="34" spans="1:61" x14ac:dyDescent="0.15">
      <c r="A34" s="58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2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</row>
    <row r="35" spans="1:61" x14ac:dyDescent="0.15">
      <c r="A35" s="186" t="s">
        <v>396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32"/>
      <c r="AM35" s="232"/>
      <c r="AN35" s="232"/>
      <c r="AO35" s="232"/>
      <c r="AP35" s="232"/>
      <c r="AQ35" s="232"/>
      <c r="AR35" s="232"/>
      <c r="AS35" s="232"/>
      <c r="AT35" s="232"/>
      <c r="AU35" s="232"/>
      <c r="AV35" s="232"/>
      <c r="AW35" s="232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</row>
    <row r="36" spans="1:61" ht="14" x14ac:dyDescent="0.15">
      <c r="A36" s="189" t="s">
        <v>111</v>
      </c>
      <c r="B36" s="200"/>
      <c r="C36" s="200"/>
      <c r="D36" s="200"/>
      <c r="E36" s="200"/>
      <c r="F36" s="200"/>
      <c r="G36" s="200"/>
      <c r="H36" s="200"/>
      <c r="I36" s="200"/>
      <c r="J36" s="197" t="e">
        <f>+('DATA Raw'!#REF!/10+'DATA Raw'!#REF!/10)/2</f>
        <v>#REF!</v>
      </c>
      <c r="K36" s="197"/>
      <c r="L36" s="197"/>
      <c r="M36" s="197"/>
      <c r="N36" s="207"/>
      <c r="O36" s="207"/>
      <c r="P36" s="207"/>
      <c r="Q36" s="207"/>
      <c r="R36" s="207"/>
      <c r="S36" s="207"/>
      <c r="T36" s="207"/>
      <c r="U36" s="207"/>
      <c r="V36" s="207" t="e">
        <f>+J36*1.5</f>
        <v>#REF!</v>
      </c>
      <c r="W36" s="213"/>
      <c r="X36" s="213"/>
      <c r="Y36" s="213"/>
      <c r="Z36" s="217"/>
      <c r="AA36" s="217"/>
      <c r="AB36" s="217"/>
      <c r="AC36" s="217"/>
      <c r="AD36" s="217"/>
      <c r="AE36" s="217"/>
      <c r="AF36" s="217"/>
      <c r="AG36" s="218"/>
      <c r="AH36" s="218" t="e">
        <f>+V36*2</f>
        <v>#REF!</v>
      </c>
      <c r="AI36" s="218"/>
      <c r="AJ36" s="218"/>
      <c r="AK36" s="218"/>
      <c r="AL36" s="227"/>
      <c r="AM36" s="227"/>
      <c r="AN36" s="227"/>
      <c r="AO36" s="227"/>
      <c r="AP36" s="227"/>
      <c r="AQ36" s="227"/>
      <c r="AR36" s="227"/>
      <c r="AS36" s="227"/>
      <c r="AT36" s="227" t="e">
        <f>+AH36*1.7</f>
        <v>#REF!</v>
      </c>
      <c r="AU36" s="227"/>
      <c r="AV36" s="227"/>
      <c r="AW36" s="227"/>
      <c r="AX36" s="236"/>
      <c r="AY36" s="236"/>
      <c r="AZ36" s="236"/>
      <c r="BA36" s="236"/>
      <c r="BB36" s="236"/>
      <c r="BC36" s="236"/>
      <c r="BD36" s="236"/>
      <c r="BE36" s="236"/>
      <c r="BF36" s="236" t="e">
        <f>+AT36*1.75</f>
        <v>#REF!</v>
      </c>
      <c r="BG36" s="236"/>
      <c r="BH36" s="236"/>
      <c r="BI36" s="236"/>
    </row>
    <row r="37" spans="1:61" ht="14" x14ac:dyDescent="0.15">
      <c r="A37" s="430" t="s">
        <v>389</v>
      </c>
      <c r="B37" s="200"/>
      <c r="C37" s="200"/>
      <c r="D37" s="200"/>
      <c r="E37" s="200"/>
      <c r="F37" s="200"/>
      <c r="G37" s="200"/>
      <c r="H37" s="200"/>
      <c r="I37" s="200"/>
      <c r="J37" s="197"/>
      <c r="K37" s="197"/>
      <c r="L37" s="197"/>
      <c r="M37" s="197"/>
      <c r="N37" s="207"/>
      <c r="O37" s="207"/>
      <c r="P37" s="207"/>
      <c r="Q37" s="207"/>
      <c r="R37" s="207"/>
      <c r="S37" s="207"/>
      <c r="T37" s="207"/>
      <c r="U37" s="207"/>
      <c r="V37" s="207"/>
      <c r="W37" s="213"/>
      <c r="X37" s="213"/>
      <c r="Y37" s="213"/>
      <c r="Z37" s="217"/>
      <c r="AA37" s="217"/>
      <c r="AB37" s="217"/>
      <c r="AC37" s="217"/>
      <c r="AD37" s="217"/>
      <c r="AE37" s="217"/>
      <c r="AF37" s="217"/>
      <c r="AG37" s="218"/>
      <c r="AH37" s="218"/>
      <c r="AI37" s="218"/>
      <c r="AJ37" s="218"/>
      <c r="AK37" s="218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6"/>
    </row>
    <row r="38" spans="1:61" ht="14" x14ac:dyDescent="0.15">
      <c r="A38" s="430" t="s">
        <v>390</v>
      </c>
      <c r="B38" s="200"/>
      <c r="C38" s="200"/>
      <c r="D38" s="200"/>
      <c r="E38" s="200"/>
      <c r="F38" s="200"/>
      <c r="G38" s="200"/>
      <c r="H38" s="200"/>
      <c r="I38" s="200"/>
      <c r="J38" s="197"/>
      <c r="K38" s="197"/>
      <c r="L38" s="197"/>
      <c r="M38" s="197"/>
      <c r="N38" s="207"/>
      <c r="O38" s="207"/>
      <c r="P38" s="207"/>
      <c r="Q38" s="207"/>
      <c r="R38" s="207"/>
      <c r="S38" s="207"/>
      <c r="T38" s="207"/>
      <c r="U38" s="207"/>
      <c r="V38" s="207"/>
      <c r="W38" s="213"/>
      <c r="X38" s="213"/>
      <c r="Y38" s="213"/>
      <c r="Z38" s="217"/>
      <c r="AA38" s="217"/>
      <c r="AB38" s="217"/>
      <c r="AC38" s="217"/>
      <c r="AD38" s="217"/>
      <c r="AE38" s="217"/>
      <c r="AF38" s="217"/>
      <c r="AG38" s="218"/>
      <c r="AH38" s="218"/>
      <c r="AI38" s="218"/>
      <c r="AJ38" s="218"/>
      <c r="AK38" s="218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</row>
    <row r="39" spans="1:61" ht="14" x14ac:dyDescent="0.15">
      <c r="A39" s="430" t="s">
        <v>391</v>
      </c>
      <c r="B39" s="200"/>
      <c r="C39" s="200"/>
      <c r="D39" s="200"/>
      <c r="E39" s="200"/>
      <c r="F39" s="200"/>
      <c r="G39" s="200"/>
      <c r="H39" s="200"/>
      <c r="I39" s="200"/>
      <c r="J39" s="197"/>
      <c r="K39" s="197"/>
      <c r="L39" s="197"/>
      <c r="M39" s="197"/>
      <c r="N39" s="207"/>
      <c r="O39" s="207"/>
      <c r="P39" s="207"/>
      <c r="Q39" s="207"/>
      <c r="R39" s="207"/>
      <c r="S39" s="207"/>
      <c r="T39" s="207"/>
      <c r="U39" s="207"/>
      <c r="V39" s="207"/>
      <c r="W39" s="213"/>
      <c r="X39" s="213"/>
      <c r="Y39" s="213"/>
      <c r="Z39" s="217"/>
      <c r="AA39" s="217"/>
      <c r="AB39" s="217"/>
      <c r="AC39" s="217"/>
      <c r="AD39" s="217"/>
      <c r="AE39" s="217"/>
      <c r="AF39" s="217"/>
      <c r="AG39" s="218"/>
      <c r="AH39" s="218"/>
      <c r="AI39" s="218"/>
      <c r="AJ39" s="218"/>
      <c r="AK39" s="218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</row>
    <row r="40" spans="1:61" x14ac:dyDescent="0.15">
      <c r="A40" s="189" t="s">
        <v>115</v>
      </c>
      <c r="B40" s="200">
        <f>+B36*Controls!$B$43</f>
        <v>0</v>
      </c>
      <c r="C40" s="200">
        <f>+C36*Controls!$B$43</f>
        <v>0</v>
      </c>
      <c r="D40" s="200">
        <f>+D36*Controls!$B$43</f>
        <v>0</v>
      </c>
      <c r="E40" s="200">
        <f>+E36*Controls!$B$43</f>
        <v>0</v>
      </c>
      <c r="F40" s="200">
        <f>+F36*Controls!$B$43</f>
        <v>0</v>
      </c>
      <c r="G40" s="200">
        <f>+G36*Controls!$B$43</f>
        <v>0</v>
      </c>
      <c r="H40" s="200">
        <f>+H36*Controls!$B$43</f>
        <v>0</v>
      </c>
      <c r="I40" s="200">
        <f>+I36*Controls!$B$43</f>
        <v>0</v>
      </c>
      <c r="J40" s="200" t="e">
        <f>+J36*Controls!$B$43</f>
        <v>#REF!</v>
      </c>
      <c r="K40" s="200">
        <f>+K36*Controls!$B$43</f>
        <v>0</v>
      </c>
      <c r="L40" s="200">
        <f>+L36*Controls!$B$43</f>
        <v>0</v>
      </c>
      <c r="M40" s="200">
        <f>+M36*Controls!$B$43</f>
        <v>0</v>
      </c>
      <c r="N40" s="209">
        <f>+N36*Controls!$C$43</f>
        <v>0</v>
      </c>
      <c r="O40" s="209">
        <f>+O36*Controls!$C$43</f>
        <v>0</v>
      </c>
      <c r="P40" s="209">
        <f>+P36*Controls!$C$43</f>
        <v>0</v>
      </c>
      <c r="Q40" s="209">
        <f>+Q36*Controls!$C$43</f>
        <v>0</v>
      </c>
      <c r="R40" s="209">
        <f>+R36*Controls!$C$43</f>
        <v>0</v>
      </c>
      <c r="S40" s="209">
        <f>+S36*Controls!$C$43</f>
        <v>0</v>
      </c>
      <c r="T40" s="209">
        <f>+T36*Controls!$C$43</f>
        <v>0</v>
      </c>
      <c r="U40" s="209">
        <f>+U36*Controls!$C$43</f>
        <v>0</v>
      </c>
      <c r="V40" s="209" t="e">
        <f>+V36*Controls!$C$43</f>
        <v>#REF!</v>
      </c>
      <c r="W40" s="209">
        <f>+W36*Controls!$C$43</f>
        <v>0</v>
      </c>
      <c r="X40" s="209">
        <f>+X36*Controls!$C$43</f>
        <v>0</v>
      </c>
      <c r="Y40" s="209">
        <f>+Y36*Controls!$C$43</f>
        <v>0</v>
      </c>
      <c r="Z40" s="220">
        <f>+Z36*Controls!$D$43</f>
        <v>0</v>
      </c>
      <c r="AA40" s="220">
        <f>+AA36*Controls!$D$43</f>
        <v>0</v>
      </c>
      <c r="AB40" s="220">
        <f>+AB36*Controls!$D$43</f>
        <v>0</v>
      </c>
      <c r="AC40" s="220">
        <f>+AC36*Controls!$D$43</f>
        <v>0</v>
      </c>
      <c r="AD40" s="220">
        <f>+AD36*Controls!$D$43</f>
        <v>0</v>
      </c>
      <c r="AE40" s="220">
        <f>+AE36*Controls!$D$43</f>
        <v>0</v>
      </c>
      <c r="AF40" s="220">
        <f>+AF36*Controls!$D$43</f>
        <v>0</v>
      </c>
      <c r="AG40" s="220">
        <f>+AG36*Controls!$D$43</f>
        <v>0</v>
      </c>
      <c r="AH40" s="220" t="e">
        <f>+AH36*Controls!$D$43</f>
        <v>#REF!</v>
      </c>
      <c r="AI40" s="220">
        <f>+AI36*Controls!$D$43</f>
        <v>0</v>
      </c>
      <c r="AJ40" s="220">
        <f>+AJ36*Controls!$D$43</f>
        <v>0</v>
      </c>
      <c r="AK40" s="220">
        <f>+AK36*Controls!$D$43</f>
        <v>0</v>
      </c>
      <c r="AL40" s="229">
        <f>+AL36*Controls!$E$43</f>
        <v>0</v>
      </c>
      <c r="AM40" s="229">
        <f>+AM36*Controls!$E$43</f>
        <v>0</v>
      </c>
      <c r="AN40" s="229">
        <f>+AN36*Controls!$E$43</f>
        <v>0</v>
      </c>
      <c r="AO40" s="229">
        <f>+AO36*Controls!$E$43</f>
        <v>0</v>
      </c>
      <c r="AP40" s="229">
        <f>+AP36*Controls!$E$43</f>
        <v>0</v>
      </c>
      <c r="AQ40" s="229">
        <f>+AQ36*Controls!$E$43</f>
        <v>0</v>
      </c>
      <c r="AR40" s="229">
        <f>+AR36*Controls!$E$43</f>
        <v>0</v>
      </c>
      <c r="AS40" s="229">
        <f>+AS36*Controls!$E$43</f>
        <v>0</v>
      </c>
      <c r="AT40" s="229" t="e">
        <f>+AT36*Controls!$E$43</f>
        <v>#REF!</v>
      </c>
      <c r="AU40" s="229">
        <f>+AU36*Controls!$E$43</f>
        <v>0</v>
      </c>
      <c r="AV40" s="229">
        <f>+AV36*Controls!$E$43</f>
        <v>0</v>
      </c>
      <c r="AW40" s="229">
        <f>+AW36*Controls!$E$43</f>
        <v>0</v>
      </c>
      <c r="AX40" s="238">
        <f>+AX36*Controls!$F$43</f>
        <v>0</v>
      </c>
      <c r="AY40" s="238">
        <f>+AY36*Controls!$F$43</f>
        <v>0</v>
      </c>
      <c r="AZ40" s="238">
        <f>+AZ36*Controls!$F$43</f>
        <v>0</v>
      </c>
      <c r="BA40" s="238">
        <f>+BA36*Controls!$F$43</f>
        <v>0</v>
      </c>
      <c r="BB40" s="238">
        <f>+BB36*Controls!$F$43</f>
        <v>0</v>
      </c>
      <c r="BC40" s="238">
        <f>+BC36*Controls!$F$43</f>
        <v>0</v>
      </c>
      <c r="BD40" s="238">
        <f>+BD36*Controls!$F$43</f>
        <v>0</v>
      </c>
      <c r="BE40" s="238">
        <f>+BE36*Controls!$F$43</f>
        <v>0</v>
      </c>
      <c r="BF40" s="238" t="e">
        <f>+BF36*Controls!$F$43</f>
        <v>#REF!</v>
      </c>
      <c r="BG40" s="238">
        <f>+BG36*Controls!$F$43</f>
        <v>0</v>
      </c>
      <c r="BH40" s="238">
        <f>+BH36*Controls!$F$43</f>
        <v>0</v>
      </c>
      <c r="BI40" s="238">
        <f>+BI36*Controls!$F$43</f>
        <v>0</v>
      </c>
    </row>
    <row r="41" spans="1:61" x14ac:dyDescent="0.15">
      <c r="A41" s="186" t="s">
        <v>397</v>
      </c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32"/>
      <c r="AM41" s="232"/>
      <c r="AN41" s="232"/>
      <c r="AO41" s="232"/>
      <c r="AP41" s="232"/>
      <c r="AQ41" s="232"/>
      <c r="AR41" s="232"/>
      <c r="AS41" s="232"/>
      <c r="AT41" s="232"/>
      <c r="AU41" s="232"/>
      <c r="AV41" s="232"/>
      <c r="AW41" s="232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</row>
    <row r="42" spans="1:61" ht="14" x14ac:dyDescent="0.15">
      <c r="A42" s="189" t="s">
        <v>111</v>
      </c>
      <c r="B42" s="200"/>
      <c r="C42" s="200"/>
      <c r="D42" s="200"/>
      <c r="E42" s="200"/>
      <c r="F42" s="200"/>
      <c r="G42" s="200"/>
      <c r="H42" s="200"/>
      <c r="I42" s="200"/>
      <c r="J42" s="197" t="e">
        <f>+('DATA Raw'!#REF!/10+'DATA Raw'!#REF!/10)/2</f>
        <v>#REF!</v>
      </c>
      <c r="K42" s="197"/>
      <c r="L42" s="197"/>
      <c r="M42" s="197"/>
      <c r="N42" s="207"/>
      <c r="O42" s="207"/>
      <c r="P42" s="207"/>
      <c r="Q42" s="207"/>
      <c r="R42" s="207"/>
      <c r="S42" s="207"/>
      <c r="T42" s="207"/>
      <c r="U42" s="207"/>
      <c r="V42" s="207" t="e">
        <f>+J42*1.5</f>
        <v>#REF!</v>
      </c>
      <c r="W42" s="213"/>
      <c r="X42" s="213"/>
      <c r="Y42" s="213"/>
      <c r="Z42" s="217"/>
      <c r="AA42" s="217"/>
      <c r="AB42" s="217"/>
      <c r="AC42" s="217"/>
      <c r="AD42" s="217"/>
      <c r="AE42" s="217"/>
      <c r="AF42" s="217"/>
      <c r="AG42" s="218"/>
      <c r="AH42" s="218" t="e">
        <f>+V42*2</f>
        <v>#REF!</v>
      </c>
      <c r="AI42" s="218"/>
      <c r="AJ42" s="218"/>
      <c r="AK42" s="218"/>
      <c r="AL42" s="227"/>
      <c r="AM42" s="227"/>
      <c r="AN42" s="227"/>
      <c r="AO42" s="227"/>
      <c r="AP42" s="227"/>
      <c r="AQ42" s="227"/>
      <c r="AR42" s="227"/>
      <c r="AS42" s="227"/>
      <c r="AT42" s="227" t="e">
        <f>+AH42*1.7</f>
        <v>#REF!</v>
      </c>
      <c r="AU42" s="227"/>
      <c r="AV42" s="227"/>
      <c r="AW42" s="227"/>
      <c r="AX42" s="236"/>
      <c r="AY42" s="236"/>
      <c r="AZ42" s="236"/>
      <c r="BA42" s="236"/>
      <c r="BB42" s="236"/>
      <c r="BC42" s="236"/>
      <c r="BD42" s="236"/>
      <c r="BE42" s="236"/>
      <c r="BF42" s="236" t="e">
        <f>+AT42*1.75</f>
        <v>#REF!</v>
      </c>
      <c r="BG42" s="241"/>
      <c r="BH42" s="241"/>
      <c r="BI42" s="241"/>
    </row>
    <row r="43" spans="1:61" ht="14" x14ac:dyDescent="0.15">
      <c r="A43" s="430" t="s">
        <v>389</v>
      </c>
      <c r="B43" s="200"/>
      <c r="C43" s="200"/>
      <c r="D43" s="200"/>
      <c r="E43" s="200"/>
      <c r="F43" s="200"/>
      <c r="G43" s="200"/>
      <c r="H43" s="200"/>
      <c r="I43" s="200"/>
      <c r="J43" s="197"/>
      <c r="K43" s="197"/>
      <c r="L43" s="197"/>
      <c r="M43" s="197"/>
      <c r="N43" s="207"/>
      <c r="O43" s="207"/>
      <c r="P43" s="207"/>
      <c r="Q43" s="207"/>
      <c r="R43" s="207"/>
      <c r="S43" s="207"/>
      <c r="T43" s="207"/>
      <c r="U43" s="207"/>
      <c r="V43" s="207"/>
      <c r="W43" s="213"/>
      <c r="X43" s="213"/>
      <c r="Y43" s="213"/>
      <c r="Z43" s="217"/>
      <c r="AA43" s="217"/>
      <c r="AB43" s="217"/>
      <c r="AC43" s="217"/>
      <c r="AD43" s="217"/>
      <c r="AE43" s="217"/>
      <c r="AF43" s="217"/>
      <c r="AG43" s="218"/>
      <c r="AH43" s="218"/>
      <c r="AI43" s="218"/>
      <c r="AJ43" s="218"/>
      <c r="AK43" s="218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36"/>
      <c r="AY43" s="236"/>
      <c r="AZ43" s="236"/>
      <c r="BA43" s="236"/>
      <c r="BB43" s="236"/>
      <c r="BC43" s="236"/>
      <c r="BD43" s="236"/>
      <c r="BE43" s="236"/>
      <c r="BF43" s="236"/>
      <c r="BG43" s="241"/>
      <c r="BH43" s="241"/>
      <c r="BI43" s="241"/>
    </row>
    <row r="44" spans="1:61" ht="14" x14ac:dyDescent="0.15">
      <c r="A44" s="430" t="s">
        <v>390</v>
      </c>
      <c r="B44" s="200"/>
      <c r="C44" s="200"/>
      <c r="D44" s="200"/>
      <c r="E44" s="200"/>
      <c r="F44" s="200"/>
      <c r="G44" s="200"/>
      <c r="H44" s="200"/>
      <c r="I44" s="200"/>
      <c r="J44" s="197"/>
      <c r="K44" s="197"/>
      <c r="L44" s="197"/>
      <c r="M44" s="197"/>
      <c r="N44" s="207"/>
      <c r="O44" s="207"/>
      <c r="P44" s="207"/>
      <c r="Q44" s="207"/>
      <c r="R44" s="207"/>
      <c r="S44" s="207"/>
      <c r="T44" s="207"/>
      <c r="U44" s="207"/>
      <c r="V44" s="207"/>
      <c r="W44" s="213"/>
      <c r="X44" s="213"/>
      <c r="Y44" s="213"/>
      <c r="Z44" s="217"/>
      <c r="AA44" s="217"/>
      <c r="AB44" s="217"/>
      <c r="AC44" s="217"/>
      <c r="AD44" s="217"/>
      <c r="AE44" s="217"/>
      <c r="AF44" s="217"/>
      <c r="AG44" s="218"/>
      <c r="AH44" s="218"/>
      <c r="AI44" s="218"/>
      <c r="AJ44" s="218"/>
      <c r="AK44" s="218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36"/>
      <c r="AY44" s="236"/>
      <c r="AZ44" s="236"/>
      <c r="BA44" s="236"/>
      <c r="BB44" s="236"/>
      <c r="BC44" s="236"/>
      <c r="BD44" s="236"/>
      <c r="BE44" s="236"/>
      <c r="BF44" s="236"/>
      <c r="BG44" s="241"/>
      <c r="BH44" s="241"/>
      <c r="BI44" s="241"/>
    </row>
    <row r="45" spans="1:61" ht="14" x14ac:dyDescent="0.15">
      <c r="A45" s="430" t="s">
        <v>391</v>
      </c>
      <c r="B45" s="200"/>
      <c r="C45" s="200"/>
      <c r="D45" s="200"/>
      <c r="E45" s="200"/>
      <c r="F45" s="200"/>
      <c r="G45" s="200"/>
      <c r="H45" s="200"/>
      <c r="I45" s="200"/>
      <c r="J45" s="197"/>
      <c r="K45" s="197"/>
      <c r="L45" s="197"/>
      <c r="M45" s="197"/>
      <c r="N45" s="207"/>
      <c r="O45" s="207"/>
      <c r="P45" s="207"/>
      <c r="Q45" s="207"/>
      <c r="R45" s="207"/>
      <c r="S45" s="207"/>
      <c r="T45" s="207"/>
      <c r="U45" s="207"/>
      <c r="V45" s="207"/>
      <c r="W45" s="213"/>
      <c r="X45" s="213"/>
      <c r="Y45" s="213"/>
      <c r="Z45" s="217"/>
      <c r="AA45" s="217"/>
      <c r="AB45" s="217"/>
      <c r="AC45" s="217"/>
      <c r="AD45" s="217"/>
      <c r="AE45" s="217"/>
      <c r="AF45" s="217"/>
      <c r="AG45" s="218"/>
      <c r="AH45" s="218"/>
      <c r="AI45" s="218"/>
      <c r="AJ45" s="218"/>
      <c r="AK45" s="218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36"/>
      <c r="AY45" s="236"/>
      <c r="AZ45" s="236"/>
      <c r="BA45" s="236"/>
      <c r="BB45" s="236"/>
      <c r="BC45" s="236"/>
      <c r="BD45" s="236"/>
      <c r="BE45" s="236"/>
      <c r="BF45" s="236"/>
      <c r="BG45" s="241"/>
      <c r="BH45" s="241"/>
      <c r="BI45" s="241"/>
    </row>
    <row r="46" spans="1:61" x14ac:dyDescent="0.15">
      <c r="A46" s="189" t="s">
        <v>115</v>
      </c>
      <c r="B46" s="200">
        <f>+B42*Controls!$B$43</f>
        <v>0</v>
      </c>
      <c r="C46" s="200">
        <f>+C42*Controls!$B$43</f>
        <v>0</v>
      </c>
      <c r="D46" s="200">
        <f>+D42*Controls!$B$43</f>
        <v>0</v>
      </c>
      <c r="E46" s="200">
        <f>+E42*Controls!$B$43</f>
        <v>0</v>
      </c>
      <c r="F46" s="200">
        <f>+F42*Controls!$B$43</f>
        <v>0</v>
      </c>
      <c r="G46" s="200">
        <f>+G42*Controls!$B$43</f>
        <v>0</v>
      </c>
      <c r="H46" s="200">
        <f>+H42*Controls!$B$43</f>
        <v>0</v>
      </c>
      <c r="I46" s="200">
        <f>+I42*Controls!$B$43</f>
        <v>0</v>
      </c>
      <c r="J46" s="200" t="e">
        <f>+J42*Controls!$B$43</f>
        <v>#REF!</v>
      </c>
      <c r="K46" s="200">
        <f>+K42*Controls!$B$43</f>
        <v>0</v>
      </c>
      <c r="L46" s="200">
        <f>+L42*Controls!$B$43</f>
        <v>0</v>
      </c>
      <c r="M46" s="200">
        <f>+M42*Controls!$B$43</f>
        <v>0</v>
      </c>
      <c r="N46" s="209">
        <f>+N42*Controls!$C$43</f>
        <v>0</v>
      </c>
      <c r="O46" s="209">
        <f>+O42*Controls!$C$43</f>
        <v>0</v>
      </c>
      <c r="P46" s="209">
        <f>+P42*Controls!$C$43</f>
        <v>0</v>
      </c>
      <c r="Q46" s="209">
        <f>+Q42*Controls!$C$43</f>
        <v>0</v>
      </c>
      <c r="R46" s="209">
        <f>+R42*Controls!$C$43</f>
        <v>0</v>
      </c>
      <c r="S46" s="209">
        <f>+S42*Controls!$C$43</f>
        <v>0</v>
      </c>
      <c r="T46" s="209">
        <f>+T42*Controls!$C$43</f>
        <v>0</v>
      </c>
      <c r="U46" s="209">
        <f>+U42*Controls!$C$43</f>
        <v>0</v>
      </c>
      <c r="V46" s="209" t="e">
        <f>+V42*Controls!$C$43</f>
        <v>#REF!</v>
      </c>
      <c r="W46" s="209">
        <f>+W42*Controls!$C$43</f>
        <v>0</v>
      </c>
      <c r="X46" s="209">
        <f>+X42*Controls!$C$43</f>
        <v>0</v>
      </c>
      <c r="Y46" s="209">
        <f>+Y42*Controls!$C$43</f>
        <v>0</v>
      </c>
      <c r="Z46" s="220">
        <f>+Z42*Controls!$D$43</f>
        <v>0</v>
      </c>
      <c r="AA46" s="220">
        <f>+AA42*Controls!$D$43</f>
        <v>0</v>
      </c>
      <c r="AB46" s="220">
        <f>+AB42*Controls!$D$43</f>
        <v>0</v>
      </c>
      <c r="AC46" s="220">
        <f>+AC42*Controls!$D$43</f>
        <v>0</v>
      </c>
      <c r="AD46" s="220">
        <f>+AD42*Controls!$D$43</f>
        <v>0</v>
      </c>
      <c r="AE46" s="220">
        <f>+AE42*Controls!$D$43</f>
        <v>0</v>
      </c>
      <c r="AF46" s="220">
        <f>+AF42*Controls!$D$43</f>
        <v>0</v>
      </c>
      <c r="AG46" s="220">
        <f>+AG42*Controls!$D$43</f>
        <v>0</v>
      </c>
      <c r="AH46" s="220" t="e">
        <f>+AH42*Controls!$D$43</f>
        <v>#REF!</v>
      </c>
      <c r="AI46" s="220">
        <f>+AI42*Controls!$D$43</f>
        <v>0</v>
      </c>
      <c r="AJ46" s="220">
        <f>+AJ42*Controls!$D$43</f>
        <v>0</v>
      </c>
      <c r="AK46" s="220">
        <f>+AK42*Controls!$D$43</f>
        <v>0</v>
      </c>
      <c r="AL46" s="229">
        <f>+AL42*Controls!$E$43</f>
        <v>0</v>
      </c>
      <c r="AM46" s="229">
        <f>+AM42*Controls!$E$43</f>
        <v>0</v>
      </c>
      <c r="AN46" s="229">
        <f>+AN42*Controls!$E$43</f>
        <v>0</v>
      </c>
      <c r="AO46" s="229">
        <f>+AO42*Controls!$E$43</f>
        <v>0</v>
      </c>
      <c r="AP46" s="229">
        <f>+AP42*Controls!$E$43</f>
        <v>0</v>
      </c>
      <c r="AQ46" s="229">
        <f>+AQ42*Controls!$E$43</f>
        <v>0</v>
      </c>
      <c r="AR46" s="229">
        <f>+AR42*Controls!$E$43</f>
        <v>0</v>
      </c>
      <c r="AS46" s="229">
        <f>+AS42*Controls!$E$43</f>
        <v>0</v>
      </c>
      <c r="AT46" s="229" t="e">
        <f>+AT42*Controls!$E$43</f>
        <v>#REF!</v>
      </c>
      <c r="AU46" s="229">
        <f>+AU42*Controls!$E$43</f>
        <v>0</v>
      </c>
      <c r="AV46" s="229">
        <f>+AV42*Controls!$E$43</f>
        <v>0</v>
      </c>
      <c r="AW46" s="229">
        <f>+AW42*Controls!$E$43</f>
        <v>0</v>
      </c>
      <c r="AX46" s="238">
        <f>+AX42*Controls!$F$43</f>
        <v>0</v>
      </c>
      <c r="AY46" s="238">
        <f>+AY42*Controls!$F$43</f>
        <v>0</v>
      </c>
      <c r="AZ46" s="238">
        <f>+AZ42*Controls!$F$43</f>
        <v>0</v>
      </c>
      <c r="BA46" s="238">
        <f>+BA42*Controls!$F$43</f>
        <v>0</v>
      </c>
      <c r="BB46" s="238">
        <f>+BB42*Controls!$F$43</f>
        <v>0</v>
      </c>
      <c r="BC46" s="238">
        <f>+BC42*Controls!$F$43</f>
        <v>0</v>
      </c>
      <c r="BD46" s="238">
        <f>+BD42*Controls!$F$43</f>
        <v>0</v>
      </c>
      <c r="BE46" s="238">
        <f>+BE42*Controls!$F$43</f>
        <v>0</v>
      </c>
      <c r="BF46" s="238" t="e">
        <f>+BF42*Controls!$F$43</f>
        <v>#REF!</v>
      </c>
      <c r="BG46" s="241"/>
      <c r="BH46" s="241"/>
      <c r="BI46" s="241"/>
    </row>
    <row r="47" spans="1:61" x14ac:dyDescent="0.15">
      <c r="A47" s="186" t="s">
        <v>387</v>
      </c>
      <c r="B47" s="203"/>
      <c r="C47" s="203"/>
      <c r="D47" s="203"/>
      <c r="E47" s="203"/>
      <c r="F47" s="203"/>
      <c r="G47" s="203"/>
      <c r="H47" s="203"/>
      <c r="I47" s="20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241"/>
      <c r="BH47" s="241"/>
      <c r="BI47" s="241"/>
    </row>
    <row r="48" spans="1:61" x14ac:dyDescent="0.15">
      <c r="A48" s="189" t="s">
        <v>111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</row>
    <row r="49" spans="1:61" x14ac:dyDescent="0.15">
      <c r="A49" s="430" t="s">
        <v>389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</row>
    <row r="50" spans="1:61" x14ac:dyDescent="0.15">
      <c r="A50" s="430" t="s">
        <v>390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</row>
    <row r="51" spans="1:61" x14ac:dyDescent="0.15">
      <c r="A51" s="430" t="s">
        <v>391</v>
      </c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</row>
    <row r="52" spans="1:61" x14ac:dyDescent="0.15">
      <c r="A52" s="189" t="s">
        <v>115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</row>
    <row r="53" spans="1:61" x14ac:dyDescent="0.15">
      <c r="A53" s="186" t="s">
        <v>388</v>
      </c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</row>
    <row r="54" spans="1:61" hidden="1" x14ac:dyDescent="0.15">
      <c r="A54" s="58" t="s">
        <v>116</v>
      </c>
      <c r="B54" s="200" t="e">
        <f>+(B15+B26)*0.2*Controls!#REF!</f>
        <v>#REF!</v>
      </c>
      <c r="C54" s="200" t="e">
        <f>+(C15+C26)*0.2*Controls!#REF!</f>
        <v>#REF!</v>
      </c>
      <c r="D54" s="200" t="e">
        <f>+(D15+D26)*0.2*Controls!#REF!</f>
        <v>#REF!</v>
      </c>
      <c r="E54" s="200" t="e">
        <f>+(E15+E26)*0.2*Controls!#REF!</f>
        <v>#REF!</v>
      </c>
      <c r="F54" s="200" t="e">
        <f>+(F15+F26)*0.2*Controls!#REF!</f>
        <v>#REF!</v>
      </c>
      <c r="G54" s="200" t="e">
        <f>+(G15+G26)*0.2*Controls!#REF!</f>
        <v>#REF!</v>
      </c>
      <c r="H54" s="200" t="e">
        <f>+(H15+H26)*0.2*Controls!#REF!</f>
        <v>#REF!</v>
      </c>
      <c r="I54" s="200" t="e">
        <f>+(I15+I26)*0.2*Controls!#REF!</f>
        <v>#REF!</v>
      </c>
      <c r="J54" s="200" t="e">
        <f>+(J15+J26)*0.2*Controls!#REF!</f>
        <v>#REF!</v>
      </c>
      <c r="K54" s="200" t="e">
        <f>+(K15+K26)*0.2*Controls!#REF!</f>
        <v>#REF!</v>
      </c>
      <c r="L54" s="200" t="e">
        <f>+(L15+L26)*0.2*Controls!#REF!</f>
        <v>#REF!</v>
      </c>
      <c r="M54" s="200" t="e">
        <f>+(M15+M26)*0.2*Controls!#REF!</f>
        <v>#REF!</v>
      </c>
      <c r="N54" s="209">
        <v>0</v>
      </c>
      <c r="O54" s="209">
        <v>0</v>
      </c>
      <c r="P54" s="209">
        <v>0</v>
      </c>
      <c r="Q54" s="209">
        <v>0</v>
      </c>
      <c r="R54" s="209">
        <v>0</v>
      </c>
      <c r="S54" s="209">
        <v>0</v>
      </c>
      <c r="T54" s="209" t="e">
        <f>+Controls!#REF!*Controls!C30</f>
        <v>#REF!</v>
      </c>
      <c r="U54" s="209">
        <v>0</v>
      </c>
      <c r="V54" s="209">
        <v>0</v>
      </c>
      <c r="W54" s="209">
        <v>0</v>
      </c>
      <c r="X54" s="209">
        <v>0</v>
      </c>
      <c r="Y54" s="209">
        <v>0</v>
      </c>
      <c r="Z54" s="220">
        <v>0</v>
      </c>
      <c r="AA54" s="220">
        <v>0</v>
      </c>
      <c r="AB54" s="220">
        <v>0</v>
      </c>
      <c r="AC54" s="220">
        <v>0</v>
      </c>
      <c r="AD54" s="220">
        <v>0</v>
      </c>
      <c r="AE54" s="220">
        <v>0</v>
      </c>
      <c r="AF54" s="220" t="e">
        <f>+Controls!#REF!*Controls!D30</f>
        <v>#REF!</v>
      </c>
      <c r="AG54" s="220">
        <v>0</v>
      </c>
      <c r="AH54" s="220">
        <v>0</v>
      </c>
      <c r="AI54" s="220">
        <v>0</v>
      </c>
      <c r="AJ54" s="220">
        <v>0</v>
      </c>
      <c r="AK54" s="220">
        <v>0</v>
      </c>
      <c r="AL54" s="229">
        <v>0</v>
      </c>
      <c r="AM54" s="229">
        <v>0</v>
      </c>
      <c r="AN54" s="229">
        <v>0</v>
      </c>
      <c r="AO54" s="229">
        <v>0</v>
      </c>
      <c r="AP54" s="229">
        <v>0</v>
      </c>
      <c r="AQ54" s="229">
        <v>0</v>
      </c>
      <c r="AR54" s="229" t="e">
        <f>+Controls!#REF!*Controls!E30</f>
        <v>#REF!</v>
      </c>
      <c r="AS54" s="229">
        <v>0</v>
      </c>
      <c r="AT54" s="229">
        <v>0</v>
      </c>
      <c r="AU54" s="229">
        <v>0</v>
      </c>
      <c r="AV54" s="229">
        <v>0</v>
      </c>
      <c r="AW54" s="229">
        <v>0</v>
      </c>
      <c r="AX54" s="238">
        <v>0</v>
      </c>
      <c r="AY54" s="238">
        <v>0</v>
      </c>
      <c r="AZ54" s="238">
        <v>0</v>
      </c>
      <c r="BA54" s="238">
        <v>0</v>
      </c>
      <c r="BB54" s="238">
        <v>0</v>
      </c>
      <c r="BC54" s="238">
        <v>0</v>
      </c>
      <c r="BD54" s="238" t="e">
        <f>+Controls!#REF!*Controls!F30</f>
        <v>#REF!</v>
      </c>
      <c r="BE54" s="238">
        <v>0</v>
      </c>
      <c r="BF54" s="238">
        <v>0</v>
      </c>
      <c r="BG54" s="238">
        <v>0</v>
      </c>
      <c r="BH54" s="238">
        <v>0</v>
      </c>
      <c r="BI54" s="238">
        <v>0</v>
      </c>
    </row>
    <row r="55" spans="1:61" hidden="1" x14ac:dyDescent="0.15">
      <c r="A55" s="58" t="s">
        <v>117</v>
      </c>
      <c r="B55" s="200">
        <v>0</v>
      </c>
      <c r="C55" s="200">
        <v>0</v>
      </c>
      <c r="D55" s="200">
        <v>0</v>
      </c>
      <c r="E55" s="200">
        <v>0</v>
      </c>
      <c r="F55" s="200">
        <v>0</v>
      </c>
      <c r="G55" s="200" t="e">
        <f>+Controls!#REF!*Controls!B31</f>
        <v>#REF!</v>
      </c>
      <c r="H55" s="200">
        <v>0</v>
      </c>
      <c r="I55" s="200">
        <v>0</v>
      </c>
      <c r="J55" s="200">
        <v>0</v>
      </c>
      <c r="K55" s="200">
        <v>0</v>
      </c>
      <c r="L55" s="200">
        <v>0</v>
      </c>
      <c r="M55" s="200">
        <v>0</v>
      </c>
      <c r="N55" s="209">
        <v>0</v>
      </c>
      <c r="O55" s="209">
        <v>0</v>
      </c>
      <c r="P55" s="209">
        <v>0</v>
      </c>
      <c r="Q55" s="209">
        <v>0</v>
      </c>
      <c r="R55" s="209">
        <v>0</v>
      </c>
      <c r="S55" s="209" t="e">
        <f>+Controls!#REF!*Controls!C31</f>
        <v>#REF!</v>
      </c>
      <c r="T55" s="209">
        <v>0</v>
      </c>
      <c r="U55" s="209">
        <v>0</v>
      </c>
      <c r="V55" s="209">
        <v>0</v>
      </c>
      <c r="W55" s="209">
        <v>0</v>
      </c>
      <c r="X55" s="209">
        <v>0</v>
      </c>
      <c r="Y55" s="209">
        <v>0</v>
      </c>
      <c r="Z55" s="220">
        <v>0</v>
      </c>
      <c r="AA55" s="220">
        <v>0</v>
      </c>
      <c r="AB55" s="220">
        <v>0</v>
      </c>
      <c r="AC55" s="220">
        <v>0</v>
      </c>
      <c r="AD55" s="220">
        <v>0</v>
      </c>
      <c r="AE55" s="220" t="e">
        <f>+Controls!#REF!*Controls!D31</f>
        <v>#REF!</v>
      </c>
      <c r="AF55" s="220">
        <v>0</v>
      </c>
      <c r="AG55" s="220">
        <v>0</v>
      </c>
      <c r="AH55" s="220">
        <v>0</v>
      </c>
      <c r="AI55" s="220">
        <v>0</v>
      </c>
      <c r="AJ55" s="220">
        <v>0</v>
      </c>
      <c r="AK55" s="220">
        <v>0</v>
      </c>
      <c r="AL55" s="229">
        <v>0</v>
      </c>
      <c r="AM55" s="229">
        <v>0</v>
      </c>
      <c r="AN55" s="229">
        <v>0</v>
      </c>
      <c r="AO55" s="229">
        <v>0</v>
      </c>
      <c r="AP55" s="229">
        <v>0</v>
      </c>
      <c r="AQ55" s="229">
        <f>+Controls!E30*Controls!E31</f>
        <v>0</v>
      </c>
      <c r="AR55" s="229">
        <v>0</v>
      </c>
      <c r="AS55" s="229">
        <v>0</v>
      </c>
      <c r="AT55" s="229">
        <v>0</v>
      </c>
      <c r="AU55" s="229">
        <v>0</v>
      </c>
      <c r="AV55" s="229">
        <v>0</v>
      </c>
      <c r="AW55" s="229">
        <v>0</v>
      </c>
      <c r="AX55" s="238">
        <v>0</v>
      </c>
      <c r="AY55" s="238">
        <v>0</v>
      </c>
      <c r="AZ55" s="238">
        <v>0</v>
      </c>
      <c r="BA55" s="238">
        <v>0</v>
      </c>
      <c r="BB55" s="238">
        <v>0</v>
      </c>
      <c r="BC55" s="238" t="e">
        <f>+Controls!#REF!*Controls!F31</f>
        <v>#REF!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</row>
    <row r="56" spans="1:61" x14ac:dyDescent="0.15">
      <c r="A56" s="58" t="s">
        <v>392</v>
      </c>
      <c r="B56" s="200">
        <v>0</v>
      </c>
      <c r="C56" s="200">
        <v>0</v>
      </c>
      <c r="D56" s="200">
        <v>0</v>
      </c>
      <c r="E56" s="200">
        <v>0</v>
      </c>
      <c r="F56" s="200">
        <v>0</v>
      </c>
      <c r="G56" s="200">
        <v>0</v>
      </c>
      <c r="H56" s="200">
        <v>0</v>
      </c>
      <c r="I56" s="200">
        <v>0</v>
      </c>
      <c r="J56" s="200"/>
      <c r="K56" s="200"/>
      <c r="L56" s="200"/>
      <c r="M56" s="200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9"/>
      <c r="AM56" s="229"/>
      <c r="AN56" s="229"/>
      <c r="AO56" s="229"/>
      <c r="AP56" s="229"/>
      <c r="AQ56" s="229"/>
      <c r="AR56" s="229"/>
      <c r="AS56" s="229"/>
      <c r="AT56" s="229"/>
      <c r="AU56" s="229"/>
      <c r="AV56" s="229"/>
      <c r="AW56" s="229"/>
      <c r="AX56" s="238"/>
      <c r="AY56" s="238"/>
      <c r="AZ56" s="238"/>
      <c r="BA56" s="238"/>
      <c r="BB56" s="238"/>
      <c r="BC56" s="238"/>
      <c r="BD56" s="238"/>
      <c r="BE56" s="238"/>
      <c r="BF56" s="238"/>
      <c r="BG56" s="238">
        <v>0</v>
      </c>
      <c r="BH56" s="238">
        <v>0</v>
      </c>
      <c r="BI56" s="238">
        <v>0</v>
      </c>
    </row>
    <row r="57" spans="1:61" x14ac:dyDescent="0.15">
      <c r="A57" s="189" t="s">
        <v>115</v>
      </c>
      <c r="B57" s="200" t="e">
        <f>SUM(B54:B56)</f>
        <v>#REF!</v>
      </c>
      <c r="C57" s="200" t="e">
        <f t="shared" ref="C57:BI57" si="125">SUM(C54:C56)</f>
        <v>#REF!</v>
      </c>
      <c r="D57" s="200" t="e">
        <f t="shared" si="125"/>
        <v>#REF!</v>
      </c>
      <c r="E57" s="200" t="e">
        <f t="shared" si="125"/>
        <v>#REF!</v>
      </c>
      <c r="F57" s="200" t="e">
        <f t="shared" si="125"/>
        <v>#REF!</v>
      </c>
      <c r="G57" s="200" t="e">
        <f t="shared" si="125"/>
        <v>#REF!</v>
      </c>
      <c r="H57" s="200" t="e">
        <f t="shared" si="125"/>
        <v>#REF!</v>
      </c>
      <c r="I57" s="200" t="e">
        <f t="shared" si="125"/>
        <v>#REF!</v>
      </c>
      <c r="J57" s="200"/>
      <c r="K57" s="200"/>
      <c r="L57" s="200"/>
      <c r="M57" s="200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9"/>
      <c r="AM57" s="229"/>
      <c r="AN57" s="229"/>
      <c r="AO57" s="229"/>
      <c r="AP57" s="229"/>
      <c r="AQ57" s="229"/>
      <c r="AR57" s="229"/>
      <c r="AS57" s="229"/>
      <c r="AT57" s="229"/>
      <c r="AU57" s="229"/>
      <c r="AV57" s="229"/>
      <c r="AW57" s="229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>
        <f t="shared" si="125"/>
        <v>0</v>
      </c>
      <c r="BH57" s="238">
        <f t="shared" si="125"/>
        <v>0</v>
      </c>
      <c r="BI57" s="238">
        <f t="shared" si="125"/>
        <v>0</v>
      </c>
    </row>
    <row r="58" spans="1:61" x14ac:dyDescent="0.15">
      <c r="A58" s="58"/>
      <c r="B58" s="196"/>
      <c r="C58" s="196"/>
      <c r="D58" s="196"/>
      <c r="E58" s="196"/>
      <c r="F58" s="196"/>
      <c r="G58" s="196"/>
      <c r="H58" s="196"/>
      <c r="I58" s="196"/>
      <c r="BG58" s="235"/>
      <c r="BH58" s="235"/>
      <c r="BI58" s="235"/>
    </row>
    <row r="59" spans="1:61" x14ac:dyDescent="0.15">
      <c r="A59" s="58" t="s">
        <v>118</v>
      </c>
      <c r="B59" s="196"/>
      <c r="C59" s="196"/>
      <c r="D59" s="196"/>
      <c r="E59" s="196"/>
      <c r="F59" s="196"/>
      <c r="G59" s="196"/>
      <c r="H59" s="196"/>
      <c r="I59" s="196"/>
      <c r="BG59" s="235"/>
      <c r="BH59" s="235"/>
      <c r="BI59" s="235"/>
    </row>
    <row r="60" spans="1:61" x14ac:dyDescent="0.15">
      <c r="A60" s="166" t="s">
        <v>119</v>
      </c>
      <c r="B60" s="196"/>
      <c r="C60" s="196"/>
      <c r="D60" s="196"/>
      <c r="E60" s="196"/>
      <c r="F60" s="196"/>
      <c r="G60" s="196"/>
      <c r="H60" s="196"/>
      <c r="I60" s="196"/>
      <c r="BG60" s="235"/>
      <c r="BH60" s="235"/>
      <c r="BI60" s="235"/>
    </row>
  </sheetData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E336-87A7-4750-83E4-2C90AC462C65}">
  <sheetPr codeName="Sheet5">
    <tabColor rgb="FF0070C0"/>
  </sheetPr>
  <dimension ref="A1:F70"/>
  <sheetViews>
    <sheetView showGridLines="0" zoomScale="144" zoomScaleNormal="150" workbookViewId="0">
      <pane xSplit="1" ySplit="5" topLeftCell="B50" activePane="bottomRight" state="frozen"/>
      <selection pane="topRight" activeCell="A2" sqref="A2"/>
      <selection pane="bottomLeft" activeCell="A2" sqref="A2"/>
      <selection pane="bottomRight" activeCell="B70" sqref="B70"/>
    </sheetView>
  </sheetViews>
  <sheetFormatPr baseColWidth="10" defaultColWidth="8.5" defaultRowHeight="12" x14ac:dyDescent="0.15"/>
  <cols>
    <col min="1" max="1" width="52" style="1" bestFit="1" customWidth="1"/>
    <col min="2" max="2" width="8.83203125" style="142" bestFit="1" customWidth="1"/>
    <col min="3" max="3" width="8.5" style="142"/>
    <col min="4" max="6" width="10.1640625" style="142" bestFit="1" customWidth="1"/>
    <col min="7" max="16384" width="8.5" style="142"/>
  </cols>
  <sheetData>
    <row r="1" spans="1:6" s="106" customFormat="1" ht="26.25" customHeight="1" x14ac:dyDescent="0.3">
      <c r="A1" s="104" t="s">
        <v>369</v>
      </c>
    </row>
    <row r="2" spans="1:6" s="108" customFormat="1" ht="13" x14ac:dyDescent="0.15">
      <c r="A2" s="117" t="s">
        <v>120</v>
      </c>
    </row>
    <row r="3" spans="1:6" s="108" customFormat="1" ht="13" x14ac:dyDescent="0.15">
      <c r="A3" s="109" t="s">
        <v>42</v>
      </c>
    </row>
    <row r="4" spans="1:6" s="5" customFormat="1" ht="11" x14ac:dyDescent="0.15"/>
    <row r="5" spans="1:6" s="108" customFormat="1" x14ac:dyDescent="0.15">
      <c r="A5" s="110" t="s">
        <v>109</v>
      </c>
    </row>
    <row r="6" spans="1:6" s="143" customFormat="1" x14ac:dyDescent="0.15">
      <c r="A6" s="3"/>
    </row>
    <row r="7" spans="1:6" s="143" customFormat="1" x14ac:dyDescent="0.15">
      <c r="A7" s="72" t="s">
        <v>70</v>
      </c>
    </row>
    <row r="8" spans="1:6" s="143" customFormat="1" x14ac:dyDescent="0.15">
      <c r="A8" s="72"/>
      <c r="B8" s="463" t="s">
        <v>43</v>
      </c>
      <c r="C8" s="463" t="s">
        <v>44</v>
      </c>
      <c r="D8" s="463" t="s">
        <v>45</v>
      </c>
      <c r="E8" s="463" t="s">
        <v>46</v>
      </c>
      <c r="F8" s="463" t="s">
        <v>47</v>
      </c>
    </row>
    <row r="9" spans="1:6" s="143" customFormat="1" hidden="1" x14ac:dyDescent="0.15">
      <c r="A9" s="58" t="s">
        <v>121</v>
      </c>
      <c r="B9" s="126">
        <v>2026</v>
      </c>
      <c r="C9" s="126">
        <f>+B9+1</f>
        <v>2027</v>
      </c>
      <c r="D9" s="126">
        <f t="shared" ref="D9:F9" si="0">+C9+1</f>
        <v>2028</v>
      </c>
      <c r="E9" s="126">
        <f t="shared" si="0"/>
        <v>2029</v>
      </c>
      <c r="F9" s="126">
        <f t="shared" si="0"/>
        <v>2030</v>
      </c>
    </row>
    <row r="10" spans="1:6" s="143" customFormat="1" hidden="1" x14ac:dyDescent="0.15">
      <c r="A10" s="58" t="s">
        <v>71</v>
      </c>
    </row>
    <row r="11" spans="1:6" s="143" customFormat="1" hidden="1" x14ac:dyDescent="0.15">
      <c r="A11" s="58" t="s">
        <v>122</v>
      </c>
    </row>
    <row r="12" spans="1:6" s="302" customFormat="1" hidden="1" x14ac:dyDescent="0.15">
      <c r="A12" s="166" t="s">
        <v>123</v>
      </c>
    </row>
    <row r="13" spans="1:6" s="143" customFormat="1" hidden="1" x14ac:dyDescent="0.15">
      <c r="A13" s="69"/>
    </row>
    <row r="14" spans="1:6" s="143" customFormat="1" hidden="1" x14ac:dyDescent="0.15">
      <c r="A14" s="58" t="s">
        <v>124</v>
      </c>
    </row>
    <row r="15" spans="1:6" s="143" customFormat="1" hidden="1" x14ac:dyDescent="0.15">
      <c r="A15" s="58" t="s">
        <v>72</v>
      </c>
    </row>
    <row r="16" spans="1:6" s="143" customFormat="1" hidden="1" x14ac:dyDescent="0.15">
      <c r="A16" s="58" t="s">
        <v>122</v>
      </c>
    </row>
    <row r="17" spans="1:6" s="302" customFormat="1" hidden="1" x14ac:dyDescent="0.15">
      <c r="A17" s="166" t="s">
        <v>125</v>
      </c>
    </row>
    <row r="18" spans="1:6" s="143" customFormat="1" hidden="1" x14ac:dyDescent="0.15">
      <c r="A18" s="69"/>
    </row>
    <row r="19" spans="1:6" s="143" customFormat="1" hidden="1" x14ac:dyDescent="0.15">
      <c r="A19" s="58" t="s">
        <v>73</v>
      </c>
    </row>
    <row r="20" spans="1:6" s="143" customFormat="1" hidden="1" x14ac:dyDescent="0.15">
      <c r="A20" s="58" t="s">
        <v>126</v>
      </c>
    </row>
    <row r="21" spans="1:6" s="171" customFormat="1" hidden="1" x14ac:dyDescent="0.15">
      <c r="A21" s="166" t="s">
        <v>127</v>
      </c>
    </row>
    <row r="22" spans="1:6" x14ac:dyDescent="0.15">
      <c r="A22" s="61"/>
    </row>
    <row r="23" spans="1:6" s="143" customFormat="1" x14ac:dyDescent="0.15">
      <c r="A23" s="462" t="s">
        <v>460</v>
      </c>
    </row>
    <row r="24" spans="1:6" x14ac:dyDescent="0.15">
      <c r="A24" s="189" t="s">
        <v>458</v>
      </c>
      <c r="B24" s="461">
        <f>+Controls!B30*0.5</f>
        <v>141750</v>
      </c>
      <c r="C24" s="461">
        <f>+Controls!C30*0.5</f>
        <v>404906.25</v>
      </c>
      <c r="D24" s="461">
        <f>+Controls!D30*0.5</f>
        <v>809812.5</v>
      </c>
      <c r="E24" s="461">
        <f>+Controls!E30*0.5</f>
        <v>1336125</v>
      </c>
      <c r="F24" s="461">
        <f>+Controls!F30*0.5</f>
        <v>1834087.5</v>
      </c>
    </row>
    <row r="25" spans="1:6" x14ac:dyDescent="0.15">
      <c r="A25" s="189" t="s">
        <v>459</v>
      </c>
      <c r="B25" s="461">
        <f>+Controls!B46*0.55</f>
        <v>8910</v>
      </c>
      <c r="C25" s="461">
        <f>+Controls!C46*0.55</f>
        <v>25451.250000000004</v>
      </c>
      <c r="D25" s="461">
        <f>+Controls!D46*0.55</f>
        <v>50902.500000000007</v>
      </c>
      <c r="E25" s="461">
        <f>+Controls!E46*0.55</f>
        <v>83985</v>
      </c>
      <c r="F25" s="461">
        <f>+Controls!F46*0.55</f>
        <v>115285.50000000001</v>
      </c>
    </row>
    <row r="26" spans="1:6" x14ac:dyDescent="0.15">
      <c r="A26" s="189" t="s">
        <v>461</v>
      </c>
      <c r="B26" s="461">
        <f>+Controls!B46*0.5</f>
        <v>8100</v>
      </c>
      <c r="C26" s="461">
        <f>+Controls!C46*0.5</f>
        <v>23137.5</v>
      </c>
      <c r="D26" s="461">
        <f>+Controls!D46*0.5</f>
        <v>46275</v>
      </c>
      <c r="E26" s="461">
        <f>+Controls!E46*0.5</f>
        <v>76350</v>
      </c>
      <c r="F26" s="461">
        <f>+Controls!F46*0.5</f>
        <v>104805</v>
      </c>
    </row>
    <row r="27" spans="1:6" x14ac:dyDescent="0.15">
      <c r="A27" s="464" t="s">
        <v>462</v>
      </c>
      <c r="B27" s="465">
        <f>SUM(B24:B26)</f>
        <v>158760</v>
      </c>
      <c r="C27" s="465">
        <f t="shared" ref="C27:F27" si="1">SUM(C24:C26)</f>
        <v>453495</v>
      </c>
      <c r="D27" s="465">
        <f t="shared" si="1"/>
        <v>906990</v>
      </c>
      <c r="E27" s="465">
        <f t="shared" si="1"/>
        <v>1496460</v>
      </c>
      <c r="F27" s="465">
        <f t="shared" si="1"/>
        <v>2054178</v>
      </c>
    </row>
    <row r="28" spans="1:6" x14ac:dyDescent="0.15">
      <c r="A28" s="58"/>
    </row>
    <row r="29" spans="1:6" x14ac:dyDescent="0.15">
      <c r="A29" s="61"/>
    </row>
    <row r="30" spans="1:6" x14ac:dyDescent="0.15">
      <c r="A30" s="468" t="s">
        <v>75</v>
      </c>
    </row>
    <row r="31" spans="1:6" x14ac:dyDescent="0.15">
      <c r="A31" s="61"/>
    </row>
    <row r="32" spans="1:6" ht="13" x14ac:dyDescent="0.15">
      <c r="A32" s="286" t="s">
        <v>76</v>
      </c>
      <c r="B32" s="461">
        <f>+Controls!B64</f>
        <v>0</v>
      </c>
      <c r="C32" s="461">
        <f>+Controls!C64</f>
        <v>3600</v>
      </c>
      <c r="D32" s="461">
        <f>+Controls!D64</f>
        <v>3960</v>
      </c>
      <c r="E32" s="461">
        <f>+Controls!E64</f>
        <v>4553.9999999999991</v>
      </c>
      <c r="F32" s="461">
        <f>+Controls!F64</f>
        <v>5009.3999999999996</v>
      </c>
    </row>
    <row r="33" spans="1:6" ht="13" x14ac:dyDescent="0.15">
      <c r="A33" s="286" t="s">
        <v>78</v>
      </c>
      <c r="B33" s="461">
        <f>+Controls!B68</f>
        <v>0</v>
      </c>
      <c r="C33" s="461">
        <f>+Controls!C68</f>
        <v>0</v>
      </c>
      <c r="D33" s="461">
        <f>+Controls!D68</f>
        <v>3600</v>
      </c>
      <c r="E33" s="461">
        <f>+Controls!E68</f>
        <v>4140</v>
      </c>
      <c r="F33" s="461">
        <f>+Controls!F68</f>
        <v>4554.0000000000009</v>
      </c>
    </row>
    <row r="34" spans="1:6" ht="13" x14ac:dyDescent="0.15">
      <c r="A34" s="286" t="s">
        <v>79</v>
      </c>
      <c r="B34" s="461">
        <f>+Controls!B70</f>
        <v>0</v>
      </c>
      <c r="C34" s="461">
        <f>+Controls!C70</f>
        <v>300</v>
      </c>
      <c r="D34" s="461">
        <f>+Controls!D70</f>
        <v>450</v>
      </c>
      <c r="E34" s="461">
        <f>+Controls!E70</f>
        <v>517.5</v>
      </c>
      <c r="F34" s="461">
        <f>+Controls!F70</f>
        <v>569.25</v>
      </c>
    </row>
    <row r="35" spans="1:6" ht="13" x14ac:dyDescent="0.15">
      <c r="A35" s="286" t="s">
        <v>80</v>
      </c>
      <c r="B35" s="461">
        <f>+Controls!B76</f>
        <v>4800</v>
      </c>
      <c r="C35" s="461">
        <f>+Controls!C76</f>
        <v>6000</v>
      </c>
      <c r="D35" s="461">
        <f>+Controls!D76</f>
        <v>7500</v>
      </c>
      <c r="E35" s="461">
        <f>+Controls!E76</f>
        <v>8250</v>
      </c>
      <c r="F35" s="461">
        <f>+Controls!F76</f>
        <v>9075.0000000000018</v>
      </c>
    </row>
    <row r="36" spans="1:6" ht="13" x14ac:dyDescent="0.15">
      <c r="A36" s="286" t="s">
        <v>81</v>
      </c>
      <c r="B36" s="461">
        <f>+Controls!B80</f>
        <v>0</v>
      </c>
      <c r="C36" s="461">
        <f>+Controls!C80</f>
        <v>1440</v>
      </c>
      <c r="D36" s="461">
        <f>+Controls!D80</f>
        <v>2160</v>
      </c>
      <c r="E36" s="461">
        <f>+Controls!E80</f>
        <v>2483.9999999999995</v>
      </c>
      <c r="F36" s="461">
        <f>+Controls!F80</f>
        <v>2732.3999999999996</v>
      </c>
    </row>
    <row r="37" spans="1:6" ht="13" x14ac:dyDescent="0.15">
      <c r="A37" s="285" t="s">
        <v>447</v>
      </c>
      <c r="B37" s="461">
        <f>+Controls!B84</f>
        <v>1800</v>
      </c>
      <c r="C37" s="461">
        <f>+Controls!C84</f>
        <v>3600</v>
      </c>
      <c r="D37" s="461">
        <f>+Controls!D84</f>
        <v>3960</v>
      </c>
      <c r="E37" s="461">
        <f>+Controls!E84</f>
        <v>4553.9999999999991</v>
      </c>
      <c r="F37" s="461">
        <f>+Controls!F84</f>
        <v>3000</v>
      </c>
    </row>
    <row r="38" spans="1:6" ht="13" x14ac:dyDescent="0.15">
      <c r="A38" s="286" t="s">
        <v>86</v>
      </c>
      <c r="B38" s="461">
        <f>+Controls!B88</f>
        <v>2400</v>
      </c>
      <c r="C38" s="461">
        <f>+Controls!C88</f>
        <v>3000</v>
      </c>
      <c r="D38" s="461">
        <f>+Controls!D88</f>
        <v>3750</v>
      </c>
      <c r="E38" s="461">
        <f>+Controls!E88</f>
        <v>4312.5</v>
      </c>
      <c r="F38" s="461">
        <f>+Controls!F88</f>
        <v>4743.7500000000009</v>
      </c>
    </row>
    <row r="39" spans="1:6" ht="13" x14ac:dyDescent="0.15">
      <c r="A39" s="286" t="s">
        <v>88</v>
      </c>
      <c r="B39" s="461">
        <f>+Controls!B92</f>
        <v>1200</v>
      </c>
      <c r="C39" s="461">
        <f>+Controls!C92</f>
        <v>1320.0000000000002</v>
      </c>
      <c r="D39" s="461">
        <f>+Controls!D92</f>
        <v>1452.0000000000005</v>
      </c>
      <c r="E39" s="461">
        <f>+Controls!E92</f>
        <v>1669.8000000000004</v>
      </c>
      <c r="F39" s="461">
        <f>+Controls!F92</f>
        <v>1836.7800000000007</v>
      </c>
    </row>
    <row r="40" spans="1:6" ht="13" x14ac:dyDescent="0.15">
      <c r="A40" s="466" t="s">
        <v>89</v>
      </c>
      <c r="B40" s="461">
        <f>+Controls!B96</f>
        <v>2400</v>
      </c>
      <c r="C40" s="461">
        <f>+Controls!C96</f>
        <v>6000</v>
      </c>
      <c r="D40" s="461">
        <f>+Controls!D96</f>
        <v>12000</v>
      </c>
      <c r="E40" s="461">
        <f>+Controls!E96</f>
        <v>24000</v>
      </c>
      <c r="F40" s="461">
        <f>+Controls!F96</f>
        <v>26400</v>
      </c>
    </row>
    <row r="41" spans="1:6" ht="13" x14ac:dyDescent="0.15">
      <c r="A41" s="285" t="s">
        <v>90</v>
      </c>
      <c r="B41" s="461">
        <f>+Controls!B100</f>
        <v>3000</v>
      </c>
      <c r="C41" s="461">
        <f>+Controls!C100</f>
        <v>4500</v>
      </c>
      <c r="D41" s="461">
        <f>+Controls!D100</f>
        <v>6750</v>
      </c>
      <c r="E41" s="461">
        <f>+Controls!E100</f>
        <v>10125</v>
      </c>
      <c r="F41" s="461">
        <f>+Controls!F100</f>
        <v>15187.5</v>
      </c>
    </row>
    <row r="42" spans="1:6" ht="13" x14ac:dyDescent="0.15">
      <c r="A42" s="285" t="s">
        <v>463</v>
      </c>
      <c r="B42" s="461">
        <f>+Controls!B104</f>
        <v>36000</v>
      </c>
      <c r="C42" s="461">
        <f>+Controls!C104</f>
        <v>43200</v>
      </c>
      <c r="D42" s="461">
        <f>+Controls!D104</f>
        <v>49680</v>
      </c>
      <c r="E42" s="461">
        <f>+Controls!E104</f>
        <v>57132</v>
      </c>
      <c r="F42" s="461">
        <f>+Controls!F104</f>
        <v>65701.799999999988</v>
      </c>
    </row>
    <row r="43" spans="1:6" ht="13" x14ac:dyDescent="0.15">
      <c r="A43" s="285" t="s">
        <v>464</v>
      </c>
      <c r="B43" s="461">
        <f>+Controls!B108</f>
        <v>36000</v>
      </c>
      <c r="C43" s="461">
        <f>+Controls!C108</f>
        <v>48600.000000000007</v>
      </c>
      <c r="D43" s="461">
        <f>+Controls!D108</f>
        <v>65610.000000000015</v>
      </c>
      <c r="E43" s="461">
        <f>+Controls!E108</f>
        <v>75451.500000000015</v>
      </c>
      <c r="F43" s="461">
        <f>+Controls!F108</f>
        <v>86769.225000000006</v>
      </c>
    </row>
    <row r="44" spans="1:6" ht="13" x14ac:dyDescent="0.15">
      <c r="A44" s="286" t="s">
        <v>92</v>
      </c>
      <c r="B44" s="461">
        <f>+Controls!B112</f>
        <v>1800</v>
      </c>
      <c r="C44" s="461">
        <f>+Controls!C112</f>
        <v>3600</v>
      </c>
      <c r="D44" s="461">
        <f>+Controls!D112</f>
        <v>3960</v>
      </c>
      <c r="E44" s="461">
        <f>+Controls!E112</f>
        <v>4356.0000000000009</v>
      </c>
      <c r="F44" s="461">
        <f>+Controls!F112</f>
        <v>4573.8000000000011</v>
      </c>
    </row>
    <row r="45" spans="1:6" ht="13" x14ac:dyDescent="0.15">
      <c r="A45" s="286" t="s">
        <v>93</v>
      </c>
      <c r="B45" s="461">
        <f>+Controls!B116</f>
        <v>1200</v>
      </c>
      <c r="C45" s="461">
        <f>+Controls!C116</f>
        <v>2400</v>
      </c>
      <c r="D45" s="461">
        <f>+Controls!D116</f>
        <v>2520</v>
      </c>
      <c r="E45" s="461">
        <f>+Controls!E116</f>
        <v>2772.0000000000005</v>
      </c>
      <c r="F45" s="461">
        <f>+Controls!F116</f>
        <v>2910.6000000000004</v>
      </c>
    </row>
    <row r="46" spans="1:6" ht="13" x14ac:dyDescent="0.15">
      <c r="A46" s="285" t="s">
        <v>450</v>
      </c>
      <c r="B46" s="461">
        <f>+Controls!B120</f>
        <v>9000</v>
      </c>
      <c r="C46" s="461">
        <f>+Controls!C120</f>
        <v>9450</v>
      </c>
      <c r="D46" s="461">
        <f>+Controls!D120</f>
        <v>9922.5</v>
      </c>
      <c r="E46" s="461">
        <f>+Controls!E120</f>
        <v>10914.750000000002</v>
      </c>
      <c r="F46" s="461">
        <f>+Controls!F120</f>
        <v>11460.487500000003</v>
      </c>
    </row>
    <row r="47" spans="1:6" ht="13" x14ac:dyDescent="0.15">
      <c r="A47" s="286" t="s">
        <v>95</v>
      </c>
      <c r="B47" s="461">
        <f>+Controls!B124</f>
        <v>360</v>
      </c>
      <c r="C47" s="461">
        <f>+Controls!C124</f>
        <v>378</v>
      </c>
      <c r="D47" s="461">
        <f>+Controls!D124</f>
        <v>396.90000000000003</v>
      </c>
      <c r="E47" s="461">
        <f>+Controls!E124</f>
        <v>436.59000000000009</v>
      </c>
      <c r="F47" s="461">
        <f>+Controls!F124</f>
        <v>458.41950000000008</v>
      </c>
    </row>
    <row r="48" spans="1:6" ht="13" x14ac:dyDescent="0.15">
      <c r="A48" s="286" t="s">
        <v>96</v>
      </c>
      <c r="B48" s="461">
        <v>0</v>
      </c>
      <c r="C48" s="461">
        <v>0</v>
      </c>
      <c r="D48" s="461">
        <v>0</v>
      </c>
      <c r="E48" s="461">
        <v>0</v>
      </c>
      <c r="F48" s="461">
        <v>0</v>
      </c>
    </row>
    <row r="49" spans="1:6" x14ac:dyDescent="0.15">
      <c r="A49" s="467" t="s">
        <v>128</v>
      </c>
      <c r="B49" s="465">
        <f>SUM(B32:B48)</f>
        <v>99960</v>
      </c>
      <c r="C49" s="465">
        <f t="shared" ref="C49:F49" si="2">SUM(C32:C48)</f>
        <v>137388</v>
      </c>
      <c r="D49" s="465">
        <f t="shared" si="2"/>
        <v>177671.4</v>
      </c>
      <c r="E49" s="465">
        <f t="shared" si="2"/>
        <v>215669.64</v>
      </c>
      <c r="F49" s="465">
        <f t="shared" si="2"/>
        <v>244982.41199999998</v>
      </c>
    </row>
    <row r="52" spans="1:6" x14ac:dyDescent="0.15">
      <c r="A52" s="125" t="s">
        <v>97</v>
      </c>
      <c r="B52" s="459"/>
      <c r="C52" s="136"/>
      <c r="D52" s="136"/>
      <c r="E52" s="136"/>
      <c r="F52" s="136"/>
    </row>
    <row r="53" spans="1:6" x14ac:dyDescent="0.15">
      <c r="A53" s="66"/>
      <c r="B53" s="459"/>
      <c r="C53" s="136"/>
      <c r="D53" s="136"/>
      <c r="E53" s="136"/>
      <c r="F53" s="136"/>
    </row>
    <row r="54" spans="1:6" x14ac:dyDescent="0.15">
      <c r="A54" s="66" t="s">
        <v>98</v>
      </c>
      <c r="B54" s="56"/>
      <c r="C54" s="56"/>
      <c r="D54" s="56"/>
      <c r="E54" s="56"/>
      <c r="F54" s="56"/>
    </row>
    <row r="55" spans="1:6" x14ac:dyDescent="0.15">
      <c r="A55" s="56" t="s">
        <v>99</v>
      </c>
      <c r="B55" s="459">
        <v>0</v>
      </c>
      <c r="C55" s="136">
        <f>+Controls!B137*13*1.5</f>
        <v>0</v>
      </c>
      <c r="D55" s="136">
        <f>+Controls!C137*13*1.5</f>
        <v>58500</v>
      </c>
      <c r="E55" s="136">
        <f>+Controls!D137*13*1.5</f>
        <v>117000</v>
      </c>
      <c r="F55" s="136">
        <f>+Controls!E137*13*1.5</f>
        <v>120510</v>
      </c>
    </row>
    <row r="56" spans="1:6" x14ac:dyDescent="0.15">
      <c r="A56" s="91" t="s">
        <v>453</v>
      </c>
      <c r="B56" s="459">
        <v>0</v>
      </c>
      <c r="C56" s="459">
        <v>7000</v>
      </c>
      <c r="D56" s="136">
        <f>+C56*1.1</f>
        <v>7700.0000000000009</v>
      </c>
      <c r="E56" s="136">
        <f t="shared" ref="E56:F56" si="3">+D56*1.1</f>
        <v>8470.0000000000018</v>
      </c>
      <c r="F56" s="136">
        <f t="shared" si="3"/>
        <v>9317.0000000000036</v>
      </c>
    </row>
    <row r="57" spans="1:6" x14ac:dyDescent="0.15">
      <c r="A57" s="66" t="s">
        <v>100</v>
      </c>
      <c r="B57" s="459"/>
      <c r="C57" s="136"/>
      <c r="D57" s="136"/>
      <c r="E57" s="136"/>
      <c r="F57" s="136"/>
    </row>
    <row r="58" spans="1:6" x14ac:dyDescent="0.15">
      <c r="A58" s="67" t="s">
        <v>454</v>
      </c>
      <c r="B58" s="136">
        <v>0</v>
      </c>
      <c r="C58" s="136">
        <f>+Controls!B141*13*1.5</f>
        <v>0</v>
      </c>
      <c r="D58" s="136">
        <f>+Controls!C141*13*1.5</f>
        <v>0</v>
      </c>
      <c r="E58" s="136">
        <f>+Controls!D141*13*1.5</f>
        <v>87750</v>
      </c>
      <c r="F58" s="136">
        <f>+Controls!E141*13*1.5</f>
        <v>90382.5</v>
      </c>
    </row>
    <row r="59" spans="1:6" x14ac:dyDescent="0.15">
      <c r="A59" s="56" t="s">
        <v>101</v>
      </c>
      <c r="B59" s="459">
        <v>0</v>
      </c>
      <c r="C59" s="136">
        <f>+Controls!B142*13*1.5</f>
        <v>0</v>
      </c>
      <c r="D59" s="136">
        <f>+Controls!C142*13*1.5</f>
        <v>0</v>
      </c>
      <c r="E59" s="136">
        <f>+Controls!D142*13*1.5</f>
        <v>0</v>
      </c>
      <c r="F59" s="136">
        <f>+Controls!E142*13*1.5</f>
        <v>90382.5</v>
      </c>
    </row>
    <row r="60" spans="1:6" x14ac:dyDescent="0.15">
      <c r="A60" s="56" t="s">
        <v>102</v>
      </c>
      <c r="B60" s="459">
        <v>0</v>
      </c>
      <c r="C60" s="136">
        <f>+Controls!B143*13*1.5</f>
        <v>0</v>
      </c>
      <c r="D60" s="136">
        <f>+Controls!C143*13*1.5</f>
        <v>0</v>
      </c>
      <c r="E60" s="136">
        <f>+Controls!D143*13*1.5</f>
        <v>0</v>
      </c>
      <c r="F60" s="136">
        <f>+Controls!E143*13*1.5</f>
        <v>58500</v>
      </c>
    </row>
    <row r="61" spans="1:6" x14ac:dyDescent="0.15">
      <c r="A61" s="56" t="s">
        <v>103</v>
      </c>
      <c r="B61" s="460"/>
      <c r="C61" s="136">
        <f>+Controls!C144*12*1.5</f>
        <v>72000</v>
      </c>
      <c r="D61" s="136">
        <f>+Controls!D144*12*1.5</f>
        <v>74160</v>
      </c>
      <c r="E61" s="136">
        <f>+Controls!E144*12*1.5</f>
        <v>76384.800000000003</v>
      </c>
      <c r="F61" s="136">
        <f>+Controls!F144*12*1.5</f>
        <v>78676.344000000012</v>
      </c>
    </row>
    <row r="62" spans="1:6" x14ac:dyDescent="0.15">
      <c r="A62" s="54" t="s">
        <v>104</v>
      </c>
      <c r="B62" s="56"/>
      <c r="C62" s="56"/>
      <c r="D62" s="56"/>
      <c r="E62" s="56"/>
      <c r="F62" s="56"/>
    </row>
    <row r="63" spans="1:6" x14ac:dyDescent="0.15">
      <c r="A63" s="56" t="s">
        <v>456</v>
      </c>
      <c r="B63" s="459">
        <v>0</v>
      </c>
      <c r="C63" s="136">
        <f>+Controls!C147*12</f>
        <v>60000</v>
      </c>
      <c r="D63" s="136">
        <f>+Controls!D147*12</f>
        <v>75000</v>
      </c>
      <c r="E63" s="136">
        <f>+Controls!E147*12</f>
        <v>93750</v>
      </c>
      <c r="F63" s="136">
        <f>+Controls!F147*12</f>
        <v>117187.5</v>
      </c>
    </row>
    <row r="64" spans="1:6" x14ac:dyDescent="0.15">
      <c r="A64" s="56" t="s">
        <v>457</v>
      </c>
      <c r="B64" s="459">
        <v>0</v>
      </c>
      <c r="C64" s="136">
        <f>+Controls!C148*12</f>
        <v>0</v>
      </c>
      <c r="D64" s="136">
        <f>+Controls!D148*12</f>
        <v>60000</v>
      </c>
      <c r="E64" s="136">
        <f>+Controls!E148*12</f>
        <v>66000</v>
      </c>
      <c r="F64" s="136">
        <f>+Controls!F148*12</f>
        <v>72600.000000000015</v>
      </c>
    </row>
    <row r="65" spans="1:6" x14ac:dyDescent="0.15">
      <c r="A65" s="54" t="s">
        <v>105</v>
      </c>
      <c r="B65" s="68"/>
      <c r="C65" s="68"/>
      <c r="D65" s="68"/>
      <c r="E65" s="68"/>
      <c r="F65" s="68"/>
    </row>
    <row r="66" spans="1:6" x14ac:dyDescent="0.15">
      <c r="A66" s="56" t="s">
        <v>106</v>
      </c>
      <c r="B66" s="68">
        <f>+Controls!B151*13*1.05</f>
        <v>0</v>
      </c>
      <c r="C66" s="68">
        <f>+Controls!C151*13*1.05</f>
        <v>0</v>
      </c>
      <c r="D66" s="68">
        <f>+Controls!D151*13*1.05</f>
        <v>0</v>
      </c>
      <c r="E66" s="68">
        <f>+Controls!E151*13*1.05</f>
        <v>0</v>
      </c>
      <c r="F66" s="68">
        <f>+Controls!F151*13*1.05</f>
        <v>81900</v>
      </c>
    </row>
    <row r="67" spans="1:6" x14ac:dyDescent="0.15">
      <c r="A67" s="76" t="s">
        <v>107</v>
      </c>
      <c r="B67" s="68"/>
      <c r="C67" s="68"/>
      <c r="D67" s="68"/>
      <c r="E67" s="68"/>
      <c r="F67" s="68"/>
    </row>
    <row r="68" spans="1:6" x14ac:dyDescent="0.15">
      <c r="A68" s="67" t="s">
        <v>455</v>
      </c>
      <c r="B68" s="459">
        <f>+Controls!B154*12</f>
        <v>0</v>
      </c>
      <c r="C68" s="459">
        <f>+Controls!C154*12</f>
        <v>24000</v>
      </c>
      <c r="D68" s="459">
        <f>+Controls!D154*12</f>
        <v>36000</v>
      </c>
      <c r="E68" s="459">
        <f>+Controls!E154*12</f>
        <v>48000</v>
      </c>
      <c r="F68" s="459">
        <f>+Controls!F154*12</f>
        <v>60000</v>
      </c>
    </row>
    <row r="69" spans="1:6" x14ac:dyDescent="0.15">
      <c r="A69" s="68"/>
      <c r="B69" s="68"/>
      <c r="C69" s="68"/>
      <c r="D69" s="68"/>
      <c r="E69" s="68"/>
      <c r="F69" s="68"/>
    </row>
    <row r="70" spans="1:6" x14ac:dyDescent="0.15">
      <c r="B70" s="142">
        <f>+B68+B66+B64+B63+B60+B59+B58+B56+B55</f>
        <v>0</v>
      </c>
      <c r="C70" s="142">
        <f>+C68+C66+C64+C63+C60+C59+C58+C56+C55</f>
        <v>91000</v>
      </c>
      <c r="D70" s="142">
        <f>+D68+D66+D64+D63+D60+D59+D58+D56+D55</f>
        <v>237200</v>
      </c>
      <c r="E70" s="142">
        <f>+E68+E66+E64+E63+E60+E59+E58+E56+E55</f>
        <v>420970</v>
      </c>
      <c r="F70" s="142">
        <f>+F68+F66+F64+F63+F60+F59+F58+F56+F55</f>
        <v>700779.5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8B32-3F5A-7A4F-A8EE-A50EF16ED54E}">
  <sheetPr>
    <tabColor rgb="FF0070C0"/>
  </sheetPr>
  <dimension ref="A1:W40"/>
  <sheetViews>
    <sheetView topLeftCell="A13" zoomScale="150" zoomScaleNormal="82" workbookViewId="0">
      <selection activeCell="B3" sqref="B3"/>
    </sheetView>
  </sheetViews>
  <sheetFormatPr baseColWidth="10" defaultColWidth="11.5" defaultRowHeight="13" x14ac:dyDescent="0.15"/>
  <cols>
    <col min="2" max="2" width="24" bestFit="1" customWidth="1"/>
  </cols>
  <sheetData>
    <row r="1" spans="1:23" x14ac:dyDescent="0.15">
      <c r="A1" s="266"/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</row>
    <row r="2" spans="1:23" x14ac:dyDescent="0.15">
      <c r="A2" s="266"/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</row>
    <row r="3" spans="1:23" x14ac:dyDescent="0.15">
      <c r="A3" s="266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</row>
    <row r="4" spans="1:23" x14ac:dyDescent="0.15">
      <c r="A4" s="266"/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</row>
    <row r="5" spans="1:23" x14ac:dyDescent="0.15">
      <c r="A5" s="266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</row>
    <row r="6" spans="1:23" x14ac:dyDescent="0.15">
      <c r="A6" s="266"/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</row>
    <row r="7" spans="1:23" x14ac:dyDescent="0.15">
      <c r="A7" s="266"/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</row>
    <row r="8" spans="1:23" x14ac:dyDescent="0.15">
      <c r="A8" s="266"/>
      <c r="B8" s="266"/>
      <c r="C8" s="266"/>
      <c r="D8" s="267" t="s">
        <v>129</v>
      </c>
      <c r="E8" s="268" t="s">
        <v>130</v>
      </c>
      <c r="F8" s="268" t="s">
        <v>131</v>
      </c>
      <c r="G8" s="268" t="s">
        <v>132</v>
      </c>
      <c r="H8" s="269" t="s">
        <v>133</v>
      </c>
      <c r="I8" s="269" t="s">
        <v>134</v>
      </c>
      <c r="J8" s="269" t="s">
        <v>135</v>
      </c>
      <c r="K8" s="269" t="s">
        <v>136</v>
      </c>
      <c r="L8" s="270" t="s">
        <v>137</v>
      </c>
      <c r="M8" s="270" t="s">
        <v>138</v>
      </c>
      <c r="N8" s="270" t="s">
        <v>139</v>
      </c>
      <c r="O8" s="270" t="s">
        <v>140</v>
      </c>
      <c r="P8" s="271" t="s">
        <v>141</v>
      </c>
      <c r="Q8" s="271" t="s">
        <v>142</v>
      </c>
      <c r="R8" s="271" t="s">
        <v>143</v>
      </c>
      <c r="S8" s="271" t="s">
        <v>144</v>
      </c>
      <c r="T8" s="272" t="s">
        <v>145</v>
      </c>
      <c r="U8" s="272" t="s">
        <v>146</v>
      </c>
      <c r="V8" s="272" t="s">
        <v>147</v>
      </c>
      <c r="W8" s="272" t="s">
        <v>148</v>
      </c>
    </row>
    <row r="9" spans="1:23" ht="14" x14ac:dyDescent="0.15">
      <c r="A9" s="266"/>
      <c r="B9" s="273"/>
      <c r="C9" s="274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</row>
    <row r="10" spans="1:23" ht="14" x14ac:dyDescent="0.15">
      <c r="A10" s="266"/>
      <c r="B10" s="276"/>
      <c r="C10" s="277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</row>
    <row r="11" spans="1:23" ht="14" x14ac:dyDescent="0.15">
      <c r="A11" s="266"/>
      <c r="B11" s="276"/>
      <c r="C11" s="277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</row>
    <row r="12" spans="1:23" ht="14" x14ac:dyDescent="0.15">
      <c r="A12" s="266"/>
      <c r="B12" s="276"/>
      <c r="C12" s="277"/>
      <c r="D12" s="27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</row>
    <row r="13" spans="1:23" ht="14" x14ac:dyDescent="0.15">
      <c r="A13" s="266"/>
      <c r="B13" s="276"/>
      <c r="C13" s="277"/>
      <c r="D13" s="275"/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</row>
    <row r="14" spans="1:23" ht="14" x14ac:dyDescent="0.15">
      <c r="A14" s="266"/>
      <c r="B14" s="276"/>
      <c r="C14" s="277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</row>
    <row r="15" spans="1:23" ht="14" x14ac:dyDescent="0.15">
      <c r="A15" s="266"/>
      <c r="B15" s="276"/>
      <c r="C15" s="277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</row>
    <row r="16" spans="1:23" ht="14" x14ac:dyDescent="0.15">
      <c r="A16" s="266"/>
      <c r="B16" s="276"/>
      <c r="C16" s="277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</row>
    <row r="17" spans="1:23" ht="14" x14ac:dyDescent="0.15">
      <c r="A17" s="266"/>
      <c r="B17" s="276"/>
      <c r="C17" s="277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</row>
    <row r="18" spans="1:23" ht="14" x14ac:dyDescent="0.15">
      <c r="A18" s="266"/>
      <c r="B18" s="278"/>
      <c r="C18" s="277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</row>
    <row r="19" spans="1:23" ht="14" x14ac:dyDescent="0.15">
      <c r="A19" s="266"/>
      <c r="B19" s="278"/>
      <c r="C19" s="277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</row>
    <row r="20" spans="1:23" ht="14" x14ac:dyDescent="0.15">
      <c r="A20" s="266"/>
      <c r="B20" s="278"/>
      <c r="C20" s="277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</row>
    <row r="21" spans="1:23" ht="14" x14ac:dyDescent="0.15">
      <c r="A21" s="266"/>
      <c r="B21" s="278"/>
      <c r="C21" s="277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</row>
    <row r="22" spans="1:23" ht="14" x14ac:dyDescent="0.15">
      <c r="A22" s="266"/>
      <c r="B22" s="278"/>
      <c r="C22" s="277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</row>
    <row r="23" spans="1:23" ht="14" x14ac:dyDescent="0.15">
      <c r="A23" s="266"/>
      <c r="B23" s="278"/>
      <c r="C23" s="277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</row>
    <row r="24" spans="1:23" ht="14" x14ac:dyDescent="0.15">
      <c r="A24" s="266"/>
      <c r="B24" s="278"/>
      <c r="C24" s="277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</row>
    <row r="25" spans="1:23" ht="14" x14ac:dyDescent="0.15">
      <c r="A25" s="266"/>
      <c r="B25" s="278"/>
      <c r="C25" s="277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</row>
    <row r="26" spans="1:23" ht="14" x14ac:dyDescent="0.15">
      <c r="A26" s="266"/>
      <c r="B26" s="278"/>
      <c r="C26" s="277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</row>
    <row r="27" spans="1:23" ht="14" x14ac:dyDescent="0.15">
      <c r="A27" s="266"/>
      <c r="B27" s="278"/>
      <c r="C27" s="277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</row>
    <row r="28" spans="1:23" ht="14" x14ac:dyDescent="0.15">
      <c r="A28" s="266"/>
      <c r="B28" s="279"/>
      <c r="C28" s="277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</row>
    <row r="29" spans="1:23" ht="14" x14ac:dyDescent="0.15">
      <c r="A29" s="266"/>
      <c r="B29" s="279"/>
      <c r="C29" s="277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</row>
    <row r="30" spans="1:23" ht="14" x14ac:dyDescent="0.15">
      <c r="A30" s="266"/>
      <c r="B30" s="280"/>
      <c r="C30" s="277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</row>
    <row r="31" spans="1:23" ht="14" x14ac:dyDescent="0.15">
      <c r="A31" s="266"/>
      <c r="B31" s="280"/>
      <c r="C31" s="277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</row>
    <row r="32" spans="1:23" ht="14" x14ac:dyDescent="0.15">
      <c r="A32" s="266"/>
      <c r="B32" s="280"/>
      <c r="C32" s="277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</row>
    <row r="33" spans="1:23" ht="14" x14ac:dyDescent="0.15">
      <c r="A33" s="266"/>
      <c r="B33" s="280"/>
      <c r="C33" s="277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</row>
    <row r="34" spans="1:23" ht="14" x14ac:dyDescent="0.15">
      <c r="A34" s="266"/>
      <c r="B34" s="279"/>
      <c r="C34" s="277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</row>
    <row r="35" spans="1:23" x14ac:dyDescent="0.15">
      <c r="A35" s="266"/>
      <c r="B35" s="281" t="s">
        <v>149</v>
      </c>
      <c r="C35" s="275">
        <v>24</v>
      </c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</row>
    <row r="36" spans="1:23" x14ac:dyDescent="0.15">
      <c r="A36" s="266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</row>
    <row r="37" spans="1:23" x14ac:dyDescent="0.15">
      <c r="A37" s="266"/>
      <c r="B37" s="282" t="s">
        <v>150</v>
      </c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</row>
    <row r="38" spans="1:23" x14ac:dyDescent="0.15">
      <c r="A38" s="266"/>
      <c r="B38" s="283" t="s">
        <v>151</v>
      </c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</row>
    <row r="39" spans="1:23" x14ac:dyDescent="0.15">
      <c r="A39" s="266"/>
      <c r="B39" s="266"/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</row>
    <row r="40" spans="1:23" x14ac:dyDescent="0.15">
      <c r="A40" s="266"/>
      <c r="B40" s="284" t="s">
        <v>152</v>
      </c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A166-8560-DC4E-B688-D4BDEC3240FC}">
  <sheetPr>
    <tabColor rgb="FF0070C0"/>
  </sheetPr>
  <dimension ref="A1:A158"/>
  <sheetViews>
    <sheetView showGridLines="0" zoomScale="150" zoomScaleNormal="150" workbookViewId="0">
      <pane xSplit="1" ySplit="5" topLeftCell="B6" activePane="bottomRight" state="frozen"/>
      <selection pane="topRight" activeCell="A2" sqref="A2"/>
      <selection pane="bottomLeft" activeCell="A2" sqref="A2"/>
      <selection pane="bottomRight" activeCell="B87" sqref="B87"/>
    </sheetView>
  </sheetViews>
  <sheetFormatPr baseColWidth="10" defaultColWidth="8.83203125" defaultRowHeight="13" x14ac:dyDescent="0.15"/>
  <cols>
    <col min="1" max="1" width="30" style="26" customWidth="1"/>
    <col min="2" max="16384" width="8.83203125" style="26"/>
  </cols>
  <sheetData>
    <row r="1" spans="1:1" s="106" customFormat="1" ht="26.25" customHeight="1" x14ac:dyDescent="0.3">
      <c r="A1" s="104" t="s">
        <v>369</v>
      </c>
    </row>
    <row r="2" spans="1:1" s="108" customFormat="1" x14ac:dyDescent="0.15">
      <c r="A2" s="107" t="s">
        <v>153</v>
      </c>
    </row>
    <row r="3" spans="1:1" s="108" customFormat="1" x14ac:dyDescent="0.15">
      <c r="A3" s="109" t="s">
        <v>42</v>
      </c>
    </row>
    <row r="4" spans="1:1" s="5" customFormat="1" ht="11" x14ac:dyDescent="0.15"/>
    <row r="5" spans="1:1" s="108" customFormat="1" ht="12" x14ac:dyDescent="0.15">
      <c r="A5" s="110" t="s">
        <v>109</v>
      </c>
    </row>
    <row r="6" spans="1:1" s="15" customFormat="1" ht="12" x14ac:dyDescent="0.15">
      <c r="A6" s="14"/>
    </row>
    <row r="7" spans="1:1" s="25" customFormat="1" ht="12" x14ac:dyDescent="0.15">
      <c r="A7" s="130" t="s">
        <v>154</v>
      </c>
    </row>
    <row r="8" spans="1:1" s="3" customFormat="1" ht="12" x14ac:dyDescent="0.15">
      <c r="A8" s="44"/>
    </row>
    <row r="9" spans="1:1" s="3" customFormat="1" ht="12" x14ac:dyDescent="0.15">
      <c r="A9" s="66"/>
    </row>
    <row r="10" spans="1:1" s="3" customFormat="1" ht="12" x14ac:dyDescent="0.15">
      <c r="A10" s="91"/>
    </row>
    <row r="11" spans="1:1" s="3" customFormat="1" ht="12" x14ac:dyDescent="0.15">
      <c r="A11" s="91"/>
    </row>
    <row r="12" spans="1:1" s="3" customFormat="1" ht="12" x14ac:dyDescent="0.15">
      <c r="A12" s="91"/>
    </row>
    <row r="13" spans="1:1" s="3" customFormat="1" ht="12" x14ac:dyDescent="0.15">
      <c r="A13" s="91"/>
    </row>
    <row r="14" spans="1:1" s="3" customFormat="1" ht="12" x14ac:dyDescent="0.15">
      <c r="A14" s="56"/>
    </row>
    <row r="15" spans="1:1" s="3" customFormat="1" ht="12" x14ac:dyDescent="0.15">
      <c r="A15" s="91"/>
    </row>
    <row r="16" spans="1:1" s="3" customFormat="1" ht="12" x14ac:dyDescent="0.15">
      <c r="A16" s="66"/>
    </row>
    <row r="17" spans="1:1" s="3" customFormat="1" ht="12" x14ac:dyDescent="0.15">
      <c r="A17" s="67"/>
    </row>
    <row r="18" spans="1:1" s="3" customFormat="1" ht="12" x14ac:dyDescent="0.15">
      <c r="A18" s="56"/>
    </row>
    <row r="19" spans="1:1" s="3" customFormat="1" ht="12" x14ac:dyDescent="0.15">
      <c r="A19" s="56"/>
    </row>
    <row r="20" spans="1:1" s="3" customFormat="1" ht="12" x14ac:dyDescent="0.15">
      <c r="A20" s="56"/>
    </row>
    <row r="21" spans="1:1" s="3" customFormat="1" ht="12" x14ac:dyDescent="0.15">
      <c r="A21" s="56"/>
    </row>
    <row r="22" spans="1:1" s="3" customFormat="1" ht="12" x14ac:dyDescent="0.15">
      <c r="A22" s="56"/>
    </row>
    <row r="23" spans="1:1" s="3" customFormat="1" ht="12" x14ac:dyDescent="0.15">
      <c r="A23" s="56"/>
    </row>
    <row r="24" spans="1:1" s="3" customFormat="1" ht="12" x14ac:dyDescent="0.15">
      <c r="A24" s="56"/>
    </row>
    <row r="25" spans="1:1" s="3" customFormat="1" ht="12" x14ac:dyDescent="0.15">
      <c r="A25" s="54"/>
    </row>
    <row r="26" spans="1:1" s="3" customFormat="1" ht="12" x14ac:dyDescent="0.15">
      <c r="A26" s="56"/>
    </row>
    <row r="27" spans="1:1" s="3" customFormat="1" ht="12" x14ac:dyDescent="0.15">
      <c r="A27" s="56"/>
    </row>
    <row r="28" spans="1:1" s="3" customFormat="1" ht="12" x14ac:dyDescent="0.15">
      <c r="A28" s="56"/>
    </row>
    <row r="29" spans="1:1" s="3" customFormat="1" ht="12" x14ac:dyDescent="0.15">
      <c r="A29" s="67"/>
    </row>
    <row r="30" spans="1:1" s="3" customFormat="1" ht="12" x14ac:dyDescent="0.15">
      <c r="A30" s="54"/>
    </row>
    <row r="31" spans="1:1" s="3" customFormat="1" ht="12" x14ac:dyDescent="0.15">
      <c r="A31" s="56"/>
    </row>
    <row r="32" spans="1:1" s="3" customFormat="1" ht="12" x14ac:dyDescent="0.15">
      <c r="A32" s="56"/>
    </row>
    <row r="33" spans="1:1" s="3" customFormat="1" ht="12" x14ac:dyDescent="0.15">
      <c r="A33" s="56"/>
    </row>
    <row r="34" spans="1:1" s="3" customFormat="1" ht="12" x14ac:dyDescent="0.15">
      <c r="A34" s="56"/>
    </row>
    <row r="35" spans="1:1" s="3" customFormat="1" ht="12" x14ac:dyDescent="0.15">
      <c r="A35" s="56"/>
    </row>
    <row r="36" spans="1:1" s="3" customFormat="1" ht="12" x14ac:dyDescent="0.15">
      <c r="A36" s="67"/>
    </row>
    <row r="37" spans="1:1" s="3" customFormat="1" ht="12" x14ac:dyDescent="0.15">
      <c r="A37" s="76"/>
    </row>
    <row r="38" spans="1:1" s="3" customFormat="1" ht="12" x14ac:dyDescent="0.15">
      <c r="A38" s="67"/>
    </row>
    <row r="39" spans="1:1" s="3" customFormat="1" ht="12" x14ac:dyDescent="0.15">
      <c r="A39" s="67"/>
    </row>
    <row r="40" spans="1:1" s="3" customFormat="1" ht="12" x14ac:dyDescent="0.15">
      <c r="A40" s="67"/>
    </row>
    <row r="41" spans="1:1" s="3" customFormat="1" ht="12" x14ac:dyDescent="0.15">
      <c r="A41" s="487"/>
    </row>
    <row r="42" spans="1:1" s="3" customFormat="1" ht="12" x14ac:dyDescent="0.15">
      <c r="A42" s="67"/>
    </row>
    <row r="43" spans="1:1" s="3" customFormat="1" ht="12" x14ac:dyDescent="0.15"/>
    <row r="44" spans="1:1" s="3" customFormat="1" ht="12" x14ac:dyDescent="0.15">
      <c r="A44" s="14"/>
    </row>
    <row r="45" spans="1:1" s="3" customFormat="1" ht="12" x14ac:dyDescent="0.15">
      <c r="A45" s="66"/>
    </row>
    <row r="46" spans="1:1" s="3" customFormat="1" ht="12" x14ac:dyDescent="0.15">
      <c r="A46" s="91"/>
    </row>
    <row r="47" spans="1:1" s="3" customFormat="1" ht="12" x14ac:dyDescent="0.15">
      <c r="A47" s="91"/>
    </row>
    <row r="48" spans="1:1" s="3" customFormat="1" ht="12" x14ac:dyDescent="0.15">
      <c r="A48" s="91"/>
    </row>
    <row r="49" spans="1:1" s="3" customFormat="1" ht="12" x14ac:dyDescent="0.15">
      <c r="A49" s="91"/>
    </row>
    <row r="50" spans="1:1" s="3" customFormat="1" ht="12" x14ac:dyDescent="0.15">
      <c r="A50" s="56"/>
    </row>
    <row r="51" spans="1:1" s="3" customFormat="1" ht="12" x14ac:dyDescent="0.15">
      <c r="A51" s="91"/>
    </row>
    <row r="52" spans="1:1" s="3" customFormat="1" ht="12" x14ac:dyDescent="0.15">
      <c r="A52" s="66"/>
    </row>
    <row r="53" spans="1:1" s="3" customFormat="1" ht="12" x14ac:dyDescent="0.15">
      <c r="A53" s="67"/>
    </row>
    <row r="54" spans="1:1" s="3" customFormat="1" ht="12" x14ac:dyDescent="0.15">
      <c r="A54" s="56"/>
    </row>
    <row r="55" spans="1:1" s="3" customFormat="1" ht="12" x14ac:dyDescent="0.15">
      <c r="A55" s="56"/>
    </row>
    <row r="56" spans="1:1" s="3" customFormat="1" ht="12" x14ac:dyDescent="0.15">
      <c r="A56" s="56"/>
    </row>
    <row r="57" spans="1:1" s="3" customFormat="1" ht="12" x14ac:dyDescent="0.15">
      <c r="A57" s="56"/>
    </row>
    <row r="58" spans="1:1" s="3" customFormat="1" ht="12" x14ac:dyDescent="0.15">
      <c r="A58" s="56"/>
    </row>
    <row r="59" spans="1:1" s="3" customFormat="1" ht="12" x14ac:dyDescent="0.15">
      <c r="A59" s="56"/>
    </row>
    <row r="60" spans="1:1" s="3" customFormat="1" ht="12" x14ac:dyDescent="0.15">
      <c r="A60" s="56"/>
    </row>
    <row r="61" spans="1:1" s="3" customFormat="1" ht="12" x14ac:dyDescent="0.15">
      <c r="A61" s="54"/>
    </row>
    <row r="62" spans="1:1" s="3" customFormat="1" ht="12" x14ac:dyDescent="0.15">
      <c r="A62" s="56"/>
    </row>
    <row r="63" spans="1:1" s="3" customFormat="1" ht="12" x14ac:dyDescent="0.15">
      <c r="A63" s="56"/>
    </row>
    <row r="64" spans="1:1" s="3" customFormat="1" ht="12" x14ac:dyDescent="0.15">
      <c r="A64" s="56"/>
    </row>
    <row r="65" spans="1:1" s="3" customFormat="1" ht="12" x14ac:dyDescent="0.15">
      <c r="A65" s="67"/>
    </row>
    <row r="66" spans="1:1" s="3" customFormat="1" ht="12" x14ac:dyDescent="0.15">
      <c r="A66" s="54"/>
    </row>
    <row r="67" spans="1:1" s="3" customFormat="1" ht="12" x14ac:dyDescent="0.15">
      <c r="A67" s="56"/>
    </row>
    <row r="68" spans="1:1" s="3" customFormat="1" ht="12" x14ac:dyDescent="0.15">
      <c r="A68" s="56"/>
    </row>
    <row r="69" spans="1:1" s="3" customFormat="1" ht="12" x14ac:dyDescent="0.15">
      <c r="A69" s="56"/>
    </row>
    <row r="70" spans="1:1" s="3" customFormat="1" ht="12" x14ac:dyDescent="0.15">
      <c r="A70" s="56"/>
    </row>
    <row r="71" spans="1:1" s="3" customFormat="1" ht="12" x14ac:dyDescent="0.15">
      <c r="A71" s="56"/>
    </row>
    <row r="72" spans="1:1" s="3" customFormat="1" ht="12" x14ac:dyDescent="0.15">
      <c r="A72" s="67"/>
    </row>
    <row r="73" spans="1:1" s="3" customFormat="1" ht="12" x14ac:dyDescent="0.15">
      <c r="A73" s="76"/>
    </row>
    <row r="74" spans="1:1" s="3" customFormat="1" ht="12" x14ac:dyDescent="0.15">
      <c r="A74" s="67"/>
    </row>
    <row r="75" spans="1:1" s="3" customFormat="1" ht="12" x14ac:dyDescent="0.15">
      <c r="A75" s="67"/>
    </row>
    <row r="76" spans="1:1" s="3" customFormat="1" ht="12" x14ac:dyDescent="0.15">
      <c r="A76" s="67"/>
    </row>
    <row r="77" spans="1:1" s="3" customFormat="1" thickBot="1" x14ac:dyDescent="0.2">
      <c r="A77" s="488"/>
    </row>
    <row r="78" spans="1:1" s="3" customFormat="1" thickTop="1" x14ac:dyDescent="0.15"/>
    <row r="79" spans="1:1" s="3" customFormat="1" ht="12" x14ac:dyDescent="0.15"/>
    <row r="80" spans="1:1" s="3" customFormat="1" ht="12" x14ac:dyDescent="0.15"/>
    <row r="81" s="3" customFormat="1" ht="12" x14ac:dyDescent="0.15"/>
    <row r="82" s="3" customFormat="1" ht="12" x14ac:dyDescent="0.15"/>
    <row r="83" s="3" customFormat="1" ht="12" x14ac:dyDescent="0.15"/>
    <row r="84" s="3" customFormat="1" ht="12" x14ac:dyDescent="0.15"/>
    <row r="85" s="3" customFormat="1" ht="12" x14ac:dyDescent="0.15"/>
    <row r="86" s="3" customFormat="1" ht="12" x14ac:dyDescent="0.15"/>
    <row r="87" s="3" customFormat="1" ht="12" x14ac:dyDescent="0.15"/>
    <row r="88" s="3" customFormat="1" ht="12" x14ac:dyDescent="0.15"/>
    <row r="89" s="3" customFormat="1" ht="12" x14ac:dyDescent="0.15"/>
    <row r="90" s="3" customFormat="1" ht="12" x14ac:dyDescent="0.15"/>
    <row r="91" s="3" customFormat="1" ht="12" x14ac:dyDescent="0.15"/>
    <row r="92" s="3" customFormat="1" ht="12" x14ac:dyDescent="0.15"/>
    <row r="93" s="3" customFormat="1" ht="12" x14ac:dyDescent="0.15"/>
    <row r="94" s="3" customFormat="1" ht="12" x14ac:dyDescent="0.15"/>
    <row r="95" s="3" customFormat="1" ht="12" x14ac:dyDescent="0.15"/>
    <row r="96" s="3" customFormat="1" ht="12" x14ac:dyDescent="0.15"/>
    <row r="97" s="3" customFormat="1" ht="12" x14ac:dyDescent="0.15"/>
    <row r="98" s="3" customFormat="1" ht="12" x14ac:dyDescent="0.15"/>
    <row r="99" s="3" customFormat="1" ht="12" x14ac:dyDescent="0.15"/>
    <row r="100" s="3" customFormat="1" ht="12" x14ac:dyDescent="0.15"/>
    <row r="101" s="3" customFormat="1" ht="12" x14ac:dyDescent="0.15"/>
    <row r="102" s="3" customFormat="1" ht="12" x14ac:dyDescent="0.15"/>
    <row r="103" s="3" customFormat="1" ht="12" x14ac:dyDescent="0.15"/>
    <row r="104" s="3" customFormat="1" ht="12" x14ac:dyDescent="0.15"/>
    <row r="105" s="3" customFormat="1" ht="12" x14ac:dyDescent="0.15"/>
    <row r="106" s="3" customFormat="1" ht="12" x14ac:dyDescent="0.15"/>
    <row r="107" s="3" customFormat="1" ht="12" x14ac:dyDescent="0.15"/>
    <row r="108" s="3" customFormat="1" ht="12" x14ac:dyDescent="0.15"/>
    <row r="109" s="3" customFormat="1" ht="12" x14ac:dyDescent="0.15"/>
    <row r="110" s="3" customFormat="1" ht="12" x14ac:dyDescent="0.15"/>
    <row r="111" s="3" customFormat="1" ht="12" x14ac:dyDescent="0.15"/>
    <row r="112" s="3" customFormat="1" ht="12" x14ac:dyDescent="0.15"/>
    <row r="113" s="3" customFormat="1" ht="12" x14ac:dyDescent="0.15"/>
    <row r="114" s="3" customFormat="1" ht="12" x14ac:dyDescent="0.15"/>
    <row r="115" s="3" customFormat="1" ht="12" x14ac:dyDescent="0.15"/>
    <row r="116" s="3" customFormat="1" ht="12" x14ac:dyDescent="0.15"/>
    <row r="117" s="3" customFormat="1" ht="12" x14ac:dyDescent="0.15"/>
    <row r="118" s="3" customFormat="1" ht="12" x14ac:dyDescent="0.15"/>
    <row r="119" s="3" customFormat="1" ht="12" x14ac:dyDescent="0.15"/>
    <row r="120" s="3" customFormat="1" ht="12" x14ac:dyDescent="0.15"/>
    <row r="121" s="3" customFormat="1" ht="12" x14ac:dyDescent="0.15"/>
    <row r="122" s="3" customFormat="1" ht="12" x14ac:dyDescent="0.15"/>
    <row r="123" s="3" customFormat="1" ht="12" x14ac:dyDescent="0.15"/>
    <row r="124" s="3" customFormat="1" ht="12" x14ac:dyDescent="0.15"/>
    <row r="125" s="3" customFormat="1" ht="12" x14ac:dyDescent="0.15"/>
    <row r="126" s="3" customFormat="1" ht="12" x14ac:dyDescent="0.15"/>
    <row r="127" s="3" customFormat="1" ht="12" x14ac:dyDescent="0.15"/>
    <row r="128" s="3" customFormat="1" ht="12" x14ac:dyDescent="0.15"/>
    <row r="129" s="3" customFormat="1" ht="12" x14ac:dyDescent="0.15"/>
    <row r="130" s="3" customFormat="1" ht="12" x14ac:dyDescent="0.15"/>
    <row r="131" s="3" customFormat="1" ht="12" x14ac:dyDescent="0.15"/>
    <row r="132" s="3" customFormat="1" ht="12" x14ac:dyDescent="0.15"/>
    <row r="133" s="3" customFormat="1" ht="12" x14ac:dyDescent="0.15"/>
    <row r="134" s="3" customFormat="1" ht="12" x14ac:dyDescent="0.15"/>
    <row r="135" s="3" customFormat="1" ht="12" x14ac:dyDescent="0.15"/>
    <row r="136" s="3" customFormat="1" ht="12" x14ac:dyDescent="0.15"/>
    <row r="137" s="3" customFormat="1" ht="12" x14ac:dyDescent="0.15"/>
    <row r="138" s="3" customFormat="1" ht="12" x14ac:dyDescent="0.15"/>
    <row r="139" s="3" customFormat="1" ht="12" x14ac:dyDescent="0.15"/>
    <row r="140" s="3" customFormat="1" ht="12" x14ac:dyDescent="0.15"/>
    <row r="141" s="3" customFormat="1" ht="12" x14ac:dyDescent="0.15"/>
    <row r="142" s="3" customFormat="1" ht="12" x14ac:dyDescent="0.15"/>
    <row r="143" s="3" customFormat="1" ht="12" x14ac:dyDescent="0.15"/>
    <row r="144" s="3" customFormat="1" ht="12" x14ac:dyDescent="0.15"/>
    <row r="145" s="3" customFormat="1" ht="12" x14ac:dyDescent="0.15"/>
    <row r="146" s="3" customFormat="1" ht="12" x14ac:dyDescent="0.15"/>
    <row r="147" s="3" customFormat="1" ht="12" x14ac:dyDescent="0.15"/>
    <row r="148" s="3" customFormat="1" ht="12" x14ac:dyDescent="0.15"/>
    <row r="149" s="3" customFormat="1" ht="12" x14ac:dyDescent="0.15"/>
    <row r="150" s="3" customFormat="1" ht="12" x14ac:dyDescent="0.15"/>
    <row r="151" s="3" customFormat="1" ht="12" x14ac:dyDescent="0.15"/>
    <row r="152" s="3" customFormat="1" ht="12" x14ac:dyDescent="0.15"/>
    <row r="153" s="3" customFormat="1" ht="12" x14ac:dyDescent="0.15"/>
    <row r="154" s="3" customFormat="1" ht="12" x14ac:dyDescent="0.15"/>
    <row r="155" s="3" customFormat="1" ht="12" x14ac:dyDescent="0.15"/>
    <row r="156" s="3" customFormat="1" ht="12" x14ac:dyDescent="0.15"/>
    <row r="157" s="3" customFormat="1" ht="12" x14ac:dyDescent="0.15"/>
    <row r="158" s="3" customFormat="1" ht="12" x14ac:dyDescent="0.1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18A3-E013-1045-8FD3-B790138C380A}">
  <sheetPr>
    <tabColor rgb="FF0070C0"/>
  </sheetPr>
  <dimension ref="A1:B51"/>
  <sheetViews>
    <sheetView showGridLines="0" zoomScale="150" zoomScaleNormal="150" workbookViewId="0">
      <pane xSplit="1" ySplit="5" topLeftCell="B26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83203125" defaultRowHeight="13" x14ac:dyDescent="0.15"/>
  <cols>
    <col min="1" max="1" width="35" style="4" bestFit="1" customWidth="1"/>
    <col min="2" max="16384" width="8.83203125" style="4"/>
  </cols>
  <sheetData>
    <row r="1" spans="1:2" s="106" customFormat="1" ht="26.25" customHeight="1" x14ac:dyDescent="0.3">
      <c r="A1" s="104" t="s">
        <v>386</v>
      </c>
    </row>
    <row r="2" spans="1:2" s="108" customFormat="1" x14ac:dyDescent="0.15">
      <c r="A2" s="107" t="s">
        <v>20</v>
      </c>
    </row>
    <row r="3" spans="1:2" s="108" customFormat="1" x14ac:dyDescent="0.15">
      <c r="A3" s="109" t="s">
        <v>42</v>
      </c>
    </row>
    <row r="4" spans="1:2" s="5" customFormat="1" ht="11" x14ac:dyDescent="0.15"/>
    <row r="5" spans="1:2" s="108" customFormat="1" ht="12" x14ac:dyDescent="0.15">
      <c r="A5" s="110" t="s">
        <v>109</v>
      </c>
    </row>
    <row r="7" spans="1:2" x14ac:dyDescent="0.15">
      <c r="A7" s="4" t="s">
        <v>155</v>
      </c>
    </row>
    <row r="8" spans="1:2" x14ac:dyDescent="0.15">
      <c r="A8" s="4" t="s">
        <v>156</v>
      </c>
    </row>
    <row r="9" spans="1:2" x14ac:dyDescent="0.15">
      <c r="A9" s="162" t="s">
        <v>157</v>
      </c>
    </row>
    <row r="12" spans="1:2" s="1" customFormat="1" ht="12" x14ac:dyDescent="0.15">
      <c r="A12" s="176" t="s">
        <v>372</v>
      </c>
    </row>
    <row r="13" spans="1:2" s="1" customFormat="1" ht="12" x14ac:dyDescent="0.15">
      <c r="A13" s="177" t="s">
        <v>158</v>
      </c>
    </row>
    <row r="14" spans="1:2" s="1" customFormat="1" ht="12" x14ac:dyDescent="0.15">
      <c r="A14" s="177" t="s">
        <v>159</v>
      </c>
    </row>
    <row r="15" spans="1:2" s="1" customFormat="1" ht="12" x14ac:dyDescent="0.15">
      <c r="A15" s="177" t="s">
        <v>160</v>
      </c>
      <c r="B15" s="73"/>
    </row>
    <row r="16" spans="1:2" s="23" customFormat="1" ht="12" x14ac:dyDescent="0.15">
      <c r="A16" s="177" t="s">
        <v>161</v>
      </c>
      <c r="B16" s="73"/>
    </row>
    <row r="17" spans="1:2" s="178" customFormat="1" ht="12" x14ac:dyDescent="0.15">
      <c r="A17" s="179" t="s">
        <v>162</v>
      </c>
    </row>
    <row r="18" spans="1:2" s="178" customFormat="1" ht="12" x14ac:dyDescent="0.15">
      <c r="A18" s="177"/>
    </row>
    <row r="19" spans="1:2" x14ac:dyDescent="0.15">
      <c r="A19" s="177" t="s">
        <v>163</v>
      </c>
      <c r="B19" s="74"/>
    </row>
    <row r="20" spans="1:2" x14ac:dyDescent="0.15">
      <c r="A20" s="177" t="s">
        <v>164</v>
      </c>
    </row>
    <row r="21" spans="1:2" x14ac:dyDescent="0.15">
      <c r="A21" s="177" t="s">
        <v>165</v>
      </c>
    </row>
    <row r="22" spans="1:2" x14ac:dyDescent="0.15">
      <c r="A22" s="177" t="s">
        <v>166</v>
      </c>
    </row>
    <row r="23" spans="1:2" ht="14" thickBot="1" x14ac:dyDescent="0.2">
      <c r="A23" s="181" t="s">
        <v>167</v>
      </c>
    </row>
    <row r="26" spans="1:2" s="1" customFormat="1" ht="12" x14ac:dyDescent="0.15">
      <c r="A26" s="176" t="s">
        <v>168</v>
      </c>
    </row>
    <row r="27" spans="1:2" s="1" customFormat="1" ht="12" x14ac:dyDescent="0.15">
      <c r="A27" s="177" t="s">
        <v>158</v>
      </c>
    </row>
    <row r="28" spans="1:2" s="1" customFormat="1" ht="12" x14ac:dyDescent="0.15">
      <c r="A28" s="177" t="s">
        <v>159</v>
      </c>
    </row>
    <row r="29" spans="1:2" s="1" customFormat="1" ht="12" x14ac:dyDescent="0.15">
      <c r="A29" s="177" t="s">
        <v>160</v>
      </c>
      <c r="B29" s="73"/>
    </row>
    <row r="30" spans="1:2" s="23" customFormat="1" ht="12" x14ac:dyDescent="0.15">
      <c r="A30" s="177" t="s">
        <v>161</v>
      </c>
      <c r="B30" s="73"/>
    </row>
    <row r="31" spans="1:2" s="178" customFormat="1" ht="12" x14ac:dyDescent="0.15">
      <c r="A31" s="179" t="s">
        <v>162</v>
      </c>
    </row>
    <row r="32" spans="1:2" s="178" customFormat="1" ht="12" x14ac:dyDescent="0.15">
      <c r="A32" s="177"/>
    </row>
    <row r="33" spans="1:2" x14ac:dyDescent="0.15">
      <c r="A33" s="177" t="s">
        <v>163</v>
      </c>
      <c r="B33" s="74"/>
    </row>
    <row r="34" spans="1:2" x14ac:dyDescent="0.15">
      <c r="A34" s="177" t="s">
        <v>164</v>
      </c>
    </row>
    <row r="35" spans="1:2" x14ac:dyDescent="0.15">
      <c r="A35" s="177" t="s">
        <v>165</v>
      </c>
    </row>
    <row r="36" spans="1:2" x14ac:dyDescent="0.15">
      <c r="A36" s="177" t="s">
        <v>166</v>
      </c>
    </row>
    <row r="37" spans="1:2" ht="14" thickBot="1" x14ac:dyDescent="0.2">
      <c r="A37" s="181" t="s">
        <v>167</v>
      </c>
    </row>
    <row r="40" spans="1:2" s="1" customFormat="1" ht="12" x14ac:dyDescent="0.15">
      <c r="A40" s="176" t="s">
        <v>169</v>
      </c>
    </row>
    <row r="41" spans="1:2" s="1" customFormat="1" ht="12" x14ac:dyDescent="0.15">
      <c r="A41" s="177" t="s">
        <v>158</v>
      </c>
    </row>
    <row r="42" spans="1:2" s="1" customFormat="1" ht="12" x14ac:dyDescent="0.15">
      <c r="A42" s="177" t="s">
        <v>159</v>
      </c>
    </row>
    <row r="43" spans="1:2" s="1" customFormat="1" ht="12" x14ac:dyDescent="0.15">
      <c r="A43" s="177" t="s">
        <v>160</v>
      </c>
      <c r="B43" s="73"/>
    </row>
    <row r="44" spans="1:2" s="23" customFormat="1" ht="12" x14ac:dyDescent="0.15">
      <c r="A44" s="177" t="s">
        <v>161</v>
      </c>
      <c r="B44" s="73"/>
    </row>
    <row r="45" spans="1:2" s="178" customFormat="1" ht="12" x14ac:dyDescent="0.15">
      <c r="A45" s="179" t="s">
        <v>162</v>
      </c>
    </row>
    <row r="46" spans="1:2" s="178" customFormat="1" ht="12" x14ac:dyDescent="0.15">
      <c r="A46" s="177"/>
    </row>
    <row r="47" spans="1:2" x14ac:dyDescent="0.15">
      <c r="A47" s="177" t="s">
        <v>163</v>
      </c>
      <c r="B47" s="74"/>
    </row>
    <row r="48" spans="1:2" x14ac:dyDescent="0.15">
      <c r="A48" s="177" t="s">
        <v>164</v>
      </c>
    </row>
    <row r="49" spans="1:1" x14ac:dyDescent="0.15">
      <c r="A49" s="177" t="s">
        <v>165</v>
      </c>
    </row>
    <row r="50" spans="1:1" x14ac:dyDescent="0.15">
      <c r="A50" s="177" t="s">
        <v>166</v>
      </c>
    </row>
    <row r="51" spans="1:1" ht="14" thickBot="1" x14ac:dyDescent="0.2">
      <c r="A51" s="181" t="s">
        <v>167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F426-6339-4AF6-B73C-8FFF48D682BE}">
  <sheetPr>
    <tabColor rgb="FF0070C0"/>
  </sheetPr>
  <dimension ref="A1:BN94"/>
  <sheetViews>
    <sheetView showGridLines="0" zoomScale="150" zoomScaleNormal="150" workbookViewId="0">
      <pane xSplit="1" ySplit="5" topLeftCell="B6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83203125" defaultRowHeight="13" x14ac:dyDescent="0.15"/>
  <cols>
    <col min="1" max="1" width="35" style="4" bestFit="1" customWidth="1"/>
    <col min="2" max="61" width="13" style="26" customWidth="1"/>
    <col min="62" max="66" width="8.83203125" style="26"/>
    <col min="67" max="16384" width="8.83203125" style="4"/>
  </cols>
  <sheetData>
    <row r="1" spans="1:66" s="106" customFormat="1" ht="26.25" customHeight="1" x14ac:dyDescent="0.3">
      <c r="A1" s="104" t="s">
        <v>386</v>
      </c>
      <c r="B1" s="469"/>
      <c r="C1" s="470"/>
      <c r="D1" s="470"/>
      <c r="E1" s="470"/>
      <c r="F1" s="471"/>
      <c r="G1" s="469"/>
      <c r="H1" s="469"/>
      <c r="I1" s="469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2"/>
      <c r="AN1" s="472"/>
      <c r="AO1" s="472"/>
      <c r="AP1" s="472"/>
      <c r="AQ1" s="472"/>
      <c r="AR1" s="472"/>
      <c r="AS1" s="472"/>
      <c r="AT1" s="472"/>
      <c r="AU1" s="472"/>
      <c r="AV1" s="472"/>
      <c r="AW1" s="472"/>
      <c r="AX1" s="472"/>
      <c r="AY1" s="472"/>
      <c r="AZ1" s="472"/>
      <c r="BA1" s="472"/>
      <c r="BB1" s="472"/>
      <c r="BC1" s="472"/>
      <c r="BD1" s="472"/>
      <c r="BE1" s="472"/>
      <c r="BF1" s="472"/>
      <c r="BG1" s="476"/>
      <c r="BH1" s="476"/>
      <c r="BI1" s="476"/>
      <c r="BJ1" s="476"/>
      <c r="BK1" s="476"/>
      <c r="BL1" s="476"/>
      <c r="BM1" s="476"/>
      <c r="BN1" s="476"/>
    </row>
    <row r="2" spans="1:66" s="108" customFormat="1" x14ac:dyDescent="0.15">
      <c r="A2" s="107" t="s">
        <v>170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</row>
    <row r="3" spans="1:66" s="108" customFormat="1" x14ac:dyDescent="0.15">
      <c r="A3" s="109" t="s">
        <v>42</v>
      </c>
      <c r="B3" s="477"/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/>
      <c r="U3" s="477"/>
      <c r="V3" s="477"/>
      <c r="W3" s="477"/>
      <c r="X3" s="477"/>
      <c r="Y3" s="477"/>
      <c r="Z3" s="477"/>
      <c r="AA3" s="477"/>
      <c r="AB3" s="477"/>
      <c r="AC3" s="477"/>
      <c r="AD3" s="477"/>
      <c r="AE3" s="477"/>
      <c r="AF3" s="477"/>
      <c r="AG3" s="477"/>
      <c r="AH3" s="477"/>
      <c r="AI3" s="477"/>
      <c r="AJ3" s="477"/>
      <c r="AK3" s="477"/>
      <c r="AL3" s="477"/>
      <c r="AM3" s="477"/>
      <c r="AN3" s="477"/>
      <c r="AO3" s="477"/>
      <c r="AP3" s="477"/>
      <c r="AQ3" s="477"/>
      <c r="AR3" s="477"/>
      <c r="AS3" s="477"/>
      <c r="AT3" s="477"/>
      <c r="AU3" s="477"/>
      <c r="AV3" s="477"/>
      <c r="AW3" s="477"/>
      <c r="AX3" s="477"/>
      <c r="AY3" s="477"/>
      <c r="AZ3" s="477"/>
      <c r="BA3" s="477"/>
      <c r="BB3" s="477"/>
      <c r="BC3" s="477"/>
      <c r="BD3" s="477"/>
      <c r="BE3" s="477"/>
      <c r="BF3" s="477"/>
      <c r="BG3" s="477"/>
      <c r="BH3" s="477"/>
      <c r="BI3" s="477"/>
      <c r="BJ3" s="25"/>
      <c r="BK3" s="25"/>
      <c r="BL3" s="25"/>
      <c r="BM3" s="25"/>
      <c r="BN3" s="25"/>
    </row>
    <row r="4" spans="1:66" s="5" customFormat="1" ht="11" x14ac:dyDescent="0.15"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478"/>
      <c r="AA4" s="478"/>
      <c r="AB4" s="478"/>
      <c r="AC4" s="478"/>
      <c r="AD4" s="478"/>
      <c r="AE4" s="478"/>
      <c r="AF4" s="478"/>
      <c r="AG4" s="478"/>
      <c r="AH4" s="478"/>
      <c r="AI4" s="478"/>
      <c r="AJ4" s="478"/>
      <c r="AK4" s="478"/>
      <c r="AL4" s="478"/>
      <c r="AM4" s="478"/>
      <c r="AN4" s="478"/>
      <c r="AO4" s="478"/>
      <c r="AP4" s="478"/>
      <c r="AQ4" s="478"/>
      <c r="AR4" s="478"/>
      <c r="AS4" s="478"/>
      <c r="AT4" s="478"/>
      <c r="AU4" s="478"/>
      <c r="AV4" s="478"/>
      <c r="AW4" s="478"/>
      <c r="AX4" s="478"/>
      <c r="AY4" s="478"/>
      <c r="AZ4" s="478"/>
      <c r="BA4" s="478"/>
      <c r="BB4" s="478"/>
      <c r="BC4" s="478"/>
      <c r="BD4" s="478"/>
      <c r="BE4" s="478"/>
      <c r="BF4" s="478"/>
      <c r="BG4" s="478"/>
      <c r="BH4" s="478"/>
      <c r="BI4" s="478"/>
      <c r="BJ4" s="479"/>
      <c r="BK4" s="479"/>
      <c r="BL4" s="479"/>
      <c r="BM4" s="479"/>
      <c r="BN4" s="479"/>
    </row>
    <row r="5" spans="1:66" s="108" customFormat="1" ht="12" x14ac:dyDescent="0.15">
      <c r="A5" s="110" t="s">
        <v>109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  <c r="W5" s="480"/>
      <c r="X5" s="480"/>
      <c r="Y5" s="480"/>
      <c r="Z5" s="480"/>
      <c r="AA5" s="480"/>
      <c r="AB5" s="480"/>
      <c r="AC5" s="480"/>
      <c r="AD5" s="480"/>
      <c r="AE5" s="480"/>
      <c r="AF5" s="480"/>
      <c r="AG5" s="480"/>
      <c r="AH5" s="480"/>
      <c r="AI5" s="480"/>
      <c r="AJ5" s="480"/>
      <c r="AK5" s="480"/>
      <c r="AL5" s="480"/>
      <c r="AM5" s="480"/>
      <c r="AN5" s="480"/>
      <c r="AO5" s="480"/>
      <c r="AP5" s="480"/>
      <c r="AQ5" s="480"/>
      <c r="AR5" s="480"/>
      <c r="AS5" s="480"/>
      <c r="AT5" s="480"/>
      <c r="AU5" s="480"/>
      <c r="AV5" s="480"/>
      <c r="AW5" s="480"/>
      <c r="AX5" s="480"/>
      <c r="AY5" s="480"/>
      <c r="AZ5" s="480"/>
      <c r="BA5" s="480"/>
      <c r="BB5" s="480"/>
      <c r="BC5" s="480"/>
      <c r="BD5" s="480"/>
      <c r="BE5" s="480"/>
      <c r="BF5" s="480"/>
      <c r="BG5" s="480"/>
      <c r="BH5" s="480"/>
      <c r="BI5" s="480"/>
      <c r="BJ5" s="25"/>
      <c r="BK5" s="25"/>
      <c r="BL5" s="25"/>
      <c r="BM5" s="25"/>
      <c r="BN5" s="25"/>
    </row>
    <row r="7" spans="1:66" x14ac:dyDescent="0.15">
      <c r="A7" s="4" t="s">
        <v>171</v>
      </c>
      <c r="B7" s="413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3"/>
      <c r="AE7" s="413"/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3"/>
      <c r="AU7" s="413"/>
      <c r="AV7" s="413"/>
      <c r="AW7" s="413"/>
      <c r="AX7" s="413"/>
      <c r="AY7" s="413"/>
      <c r="AZ7" s="413"/>
      <c r="BA7" s="413"/>
      <c r="BB7" s="413"/>
      <c r="BC7" s="413"/>
      <c r="BD7" s="413"/>
      <c r="BE7" s="413"/>
      <c r="BF7" s="413"/>
      <c r="BG7" s="413"/>
      <c r="BH7" s="413"/>
      <c r="BI7" s="413"/>
    </row>
    <row r="8" spans="1:66" x14ac:dyDescent="0.15">
      <c r="A8" s="4" t="s">
        <v>172</v>
      </c>
      <c r="B8" s="413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  <c r="AV8" s="413"/>
      <c r="AW8" s="413"/>
      <c r="AX8" s="413"/>
      <c r="AY8" s="413"/>
      <c r="AZ8" s="413"/>
      <c r="BA8" s="413"/>
      <c r="BB8" s="413"/>
      <c r="BC8" s="413"/>
      <c r="BD8" s="413"/>
      <c r="BE8" s="413"/>
      <c r="BF8" s="413"/>
      <c r="BG8" s="413"/>
      <c r="BH8" s="413"/>
      <c r="BI8" s="413"/>
    </row>
    <row r="9" spans="1:66" x14ac:dyDescent="0.15">
      <c r="A9" s="4" t="s">
        <v>173</v>
      </c>
      <c r="B9" s="413"/>
      <c r="C9" s="413"/>
      <c r="D9" s="413"/>
      <c r="E9" s="413"/>
      <c r="F9" s="413"/>
      <c r="G9" s="413"/>
      <c r="H9" s="413"/>
      <c r="I9" s="413"/>
      <c r="J9" s="413"/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/>
      <c r="W9" s="413"/>
      <c r="X9" s="413"/>
      <c r="Y9" s="413"/>
      <c r="Z9" s="413"/>
      <c r="AA9" s="413"/>
      <c r="AB9" s="413"/>
      <c r="AC9" s="413"/>
      <c r="AD9" s="413"/>
      <c r="AE9" s="413"/>
      <c r="AF9" s="413"/>
      <c r="AG9" s="413"/>
      <c r="AH9" s="413"/>
      <c r="AI9" s="413"/>
      <c r="AJ9" s="413"/>
      <c r="AK9" s="413"/>
      <c r="AL9" s="413"/>
      <c r="AM9" s="413"/>
      <c r="AN9" s="413"/>
      <c r="AO9" s="413"/>
      <c r="AP9" s="413"/>
      <c r="AQ9" s="413"/>
      <c r="AR9" s="413"/>
      <c r="AS9" s="413"/>
      <c r="AT9" s="413"/>
      <c r="AU9" s="413"/>
      <c r="AV9" s="413"/>
      <c r="AW9" s="413"/>
      <c r="AX9" s="413"/>
      <c r="AY9" s="413"/>
      <c r="AZ9" s="413"/>
      <c r="BA9" s="413"/>
      <c r="BB9" s="413"/>
      <c r="BC9" s="413"/>
      <c r="BD9" s="413"/>
      <c r="BE9" s="413"/>
      <c r="BF9" s="413"/>
      <c r="BG9" s="413"/>
      <c r="BH9" s="413"/>
      <c r="BI9" s="413"/>
    </row>
    <row r="10" spans="1:66" x14ac:dyDescent="0.15">
      <c r="A10" s="162" t="s">
        <v>157</v>
      </c>
      <c r="B10" s="413"/>
      <c r="C10" s="413"/>
      <c r="D10" s="413"/>
      <c r="E10" s="413"/>
      <c r="F10" s="413"/>
      <c r="G10" s="413"/>
      <c r="H10" s="413"/>
      <c r="I10" s="413"/>
      <c r="J10" s="413"/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  <c r="AD10" s="413"/>
      <c r="AE10" s="413"/>
      <c r="AF10" s="413"/>
      <c r="AG10" s="413"/>
      <c r="AH10" s="413"/>
      <c r="AI10" s="413"/>
      <c r="AJ10" s="413"/>
      <c r="AK10" s="413"/>
      <c r="AL10" s="413"/>
      <c r="AM10" s="413"/>
      <c r="AN10" s="413"/>
      <c r="AO10" s="413"/>
      <c r="AP10" s="413"/>
      <c r="AQ10" s="413"/>
      <c r="AR10" s="413"/>
      <c r="AS10" s="413"/>
      <c r="AT10" s="413"/>
      <c r="AU10" s="413"/>
      <c r="AV10" s="413"/>
      <c r="AW10" s="413"/>
      <c r="AX10" s="413"/>
      <c r="AY10" s="413"/>
      <c r="AZ10" s="413"/>
      <c r="BA10" s="413"/>
      <c r="BB10" s="413"/>
      <c r="BC10" s="413"/>
      <c r="BD10" s="413"/>
      <c r="BE10" s="413"/>
      <c r="BF10" s="413"/>
      <c r="BG10" s="413"/>
      <c r="BH10" s="413"/>
      <c r="BI10" s="413"/>
    </row>
    <row r="11" spans="1:66" x14ac:dyDescent="0.15">
      <c r="B11" s="481"/>
      <c r="C11" s="481"/>
      <c r="D11" s="481"/>
      <c r="E11" s="481"/>
      <c r="F11" s="481"/>
      <c r="G11" s="481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</row>
    <row r="12" spans="1:66" x14ac:dyDescent="0.15">
      <c r="A12" s="42" t="s">
        <v>174</v>
      </c>
      <c r="B12" s="481"/>
      <c r="C12" s="481"/>
      <c r="D12" s="481"/>
      <c r="E12" s="481"/>
      <c r="F12" s="481"/>
      <c r="G12" s="481"/>
      <c r="H12" s="481"/>
      <c r="I12" s="481"/>
      <c r="J12" s="481"/>
      <c r="K12" s="481"/>
      <c r="L12" s="481"/>
      <c r="M12" s="481"/>
      <c r="N12" s="481"/>
      <c r="O12" s="481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481"/>
      <c r="AJ12" s="481"/>
      <c r="AK12" s="481"/>
      <c r="AL12" s="481"/>
      <c r="AM12" s="481"/>
      <c r="AN12" s="481"/>
      <c r="AO12" s="481"/>
      <c r="AP12" s="481"/>
      <c r="AQ12" s="481"/>
      <c r="AR12" s="481"/>
      <c r="AS12" s="481"/>
      <c r="AT12" s="481"/>
      <c r="AU12" s="481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81"/>
      <c r="BI12" s="481"/>
    </row>
    <row r="13" spans="1:66" x14ac:dyDescent="0.15">
      <c r="B13" s="481"/>
      <c r="C13" s="481"/>
      <c r="D13" s="481"/>
      <c r="E13" s="481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81"/>
      <c r="AF13" s="481"/>
      <c r="AG13" s="481"/>
      <c r="AH13" s="481"/>
      <c r="AI13" s="481"/>
      <c r="AJ13" s="481"/>
      <c r="AK13" s="481"/>
      <c r="AL13" s="481"/>
      <c r="AM13" s="481"/>
      <c r="AN13" s="481"/>
      <c r="AO13" s="481"/>
      <c r="AP13" s="481"/>
      <c r="AQ13" s="481"/>
      <c r="AR13" s="481"/>
      <c r="AS13" s="481"/>
      <c r="AT13" s="481"/>
      <c r="AU13" s="481"/>
      <c r="AV13" s="481"/>
      <c r="AW13" s="481"/>
      <c r="AX13" s="481"/>
      <c r="AY13" s="481"/>
      <c r="AZ13" s="481"/>
      <c r="BA13" s="481"/>
      <c r="BB13" s="481"/>
      <c r="BC13" s="481"/>
      <c r="BD13" s="481"/>
      <c r="BE13" s="481"/>
      <c r="BF13" s="481"/>
      <c r="BG13" s="481"/>
      <c r="BH13" s="481"/>
      <c r="BI13" s="481"/>
    </row>
    <row r="14" spans="1:66" s="1" customFormat="1" ht="12" x14ac:dyDescent="0.15">
      <c r="A14" s="131" t="s">
        <v>175</v>
      </c>
      <c r="B14" s="143"/>
      <c r="C14" s="143"/>
      <c r="D14" s="143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  <c r="AF14" s="482"/>
      <c r="AG14" s="482"/>
      <c r="AH14" s="482"/>
      <c r="AI14" s="482"/>
      <c r="AJ14" s="482"/>
      <c r="AK14" s="482"/>
      <c r="AL14" s="482"/>
      <c r="AM14" s="482"/>
      <c r="AN14" s="482"/>
      <c r="AO14" s="482"/>
      <c r="AP14" s="482"/>
      <c r="AQ14" s="482"/>
      <c r="AR14" s="482"/>
      <c r="AS14" s="482"/>
      <c r="AT14" s="482"/>
      <c r="AU14" s="482"/>
      <c r="AV14" s="482"/>
      <c r="AW14" s="482"/>
      <c r="AX14" s="482"/>
      <c r="AY14" s="482"/>
      <c r="AZ14" s="482"/>
      <c r="BA14" s="482"/>
      <c r="BB14" s="482"/>
      <c r="BC14" s="482"/>
      <c r="BD14" s="482"/>
      <c r="BE14" s="482"/>
      <c r="BF14" s="482"/>
      <c r="BG14" s="482"/>
      <c r="BH14" s="482"/>
      <c r="BI14" s="482"/>
      <c r="BJ14" s="3"/>
      <c r="BK14" s="3"/>
      <c r="BL14" s="3"/>
      <c r="BM14" s="3"/>
      <c r="BN14" s="3"/>
    </row>
    <row r="15" spans="1:66" s="1" customFormat="1" ht="12" x14ac:dyDescent="0.15">
      <c r="A15" s="12" t="s">
        <v>176</v>
      </c>
      <c r="B15" s="47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3"/>
      <c r="BK15" s="3"/>
      <c r="BL15" s="3"/>
      <c r="BM15" s="3"/>
      <c r="BN15" s="3"/>
    </row>
    <row r="16" spans="1:66" s="1" customFormat="1" ht="12" x14ac:dyDescent="0.15">
      <c r="A16" s="12"/>
      <c r="B16" s="41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3"/>
      <c r="BK16" s="3"/>
      <c r="BL16" s="3"/>
      <c r="BM16" s="3"/>
      <c r="BN16" s="3"/>
    </row>
    <row r="17" spans="1:66" s="1" customFormat="1" ht="12" x14ac:dyDescent="0.15">
      <c r="A17" s="22" t="s">
        <v>163</v>
      </c>
      <c r="B17" s="474"/>
      <c r="C17" s="483"/>
      <c r="D17" s="483"/>
      <c r="E17" s="483"/>
      <c r="F17" s="483"/>
      <c r="G17" s="483"/>
      <c r="H17" s="483"/>
      <c r="I17" s="483"/>
      <c r="J17" s="483"/>
      <c r="K17" s="483"/>
      <c r="L17" s="483"/>
      <c r="M17" s="483"/>
      <c r="N17" s="483"/>
      <c r="O17" s="483"/>
      <c r="P17" s="483"/>
      <c r="Q17" s="483"/>
      <c r="R17" s="483"/>
      <c r="S17" s="483"/>
      <c r="T17" s="483"/>
      <c r="U17" s="483"/>
      <c r="V17" s="483"/>
      <c r="W17" s="483"/>
      <c r="X17" s="483"/>
      <c r="Y17" s="483"/>
      <c r="Z17" s="483"/>
      <c r="AA17" s="483"/>
      <c r="AB17" s="483"/>
      <c r="AC17" s="483"/>
      <c r="AD17" s="483"/>
      <c r="AE17" s="483"/>
      <c r="AF17" s="483"/>
      <c r="AG17" s="483"/>
      <c r="AH17" s="483"/>
      <c r="AI17" s="483"/>
      <c r="AJ17" s="483"/>
      <c r="AK17" s="483"/>
      <c r="AL17" s="483"/>
      <c r="AM17" s="483"/>
      <c r="AN17" s="483"/>
      <c r="AO17" s="483"/>
      <c r="AP17" s="483"/>
      <c r="AQ17" s="483"/>
      <c r="AR17" s="483"/>
      <c r="AS17" s="483"/>
      <c r="AT17" s="483"/>
      <c r="AU17" s="483"/>
      <c r="AV17" s="483"/>
      <c r="AW17" s="483"/>
      <c r="AX17" s="483"/>
      <c r="AY17" s="483"/>
      <c r="AZ17" s="483"/>
      <c r="BA17" s="483"/>
      <c r="BB17" s="483"/>
      <c r="BC17" s="483"/>
      <c r="BD17" s="483"/>
      <c r="BE17" s="483"/>
      <c r="BF17" s="483"/>
      <c r="BG17" s="483"/>
      <c r="BH17" s="483"/>
      <c r="BI17" s="483"/>
      <c r="BJ17" s="484"/>
      <c r="BK17" s="484"/>
      <c r="BL17" s="484"/>
      <c r="BM17" s="484"/>
      <c r="BN17" s="484"/>
    </row>
    <row r="18" spans="1:66" s="23" customFormat="1" ht="12" x14ac:dyDescent="0.15">
      <c r="A18" s="12" t="s">
        <v>177</v>
      </c>
      <c r="B18" s="474"/>
      <c r="C18" s="474"/>
      <c r="D18" s="474"/>
      <c r="E18" s="474"/>
      <c r="F18" s="474"/>
      <c r="G18" s="474"/>
      <c r="H18" s="474"/>
      <c r="I18" s="474"/>
      <c r="J18" s="474"/>
      <c r="K18" s="474"/>
      <c r="L18" s="474"/>
      <c r="M18" s="474"/>
      <c r="N18" s="474"/>
      <c r="O18" s="474"/>
      <c r="P18" s="474"/>
      <c r="Q18" s="474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  <c r="AL18" s="474"/>
      <c r="AM18" s="474"/>
      <c r="AN18" s="474"/>
      <c r="AO18" s="474"/>
      <c r="AP18" s="474"/>
      <c r="AQ18" s="474"/>
      <c r="AR18" s="474"/>
      <c r="AS18" s="474"/>
      <c r="AT18" s="474"/>
      <c r="AU18" s="474"/>
      <c r="AV18" s="474"/>
      <c r="AW18" s="474"/>
      <c r="AX18" s="474"/>
      <c r="AY18" s="474"/>
      <c r="AZ18" s="474"/>
      <c r="BA18" s="474"/>
      <c r="BB18" s="474"/>
      <c r="BC18" s="474"/>
      <c r="BD18" s="474"/>
      <c r="BE18" s="474"/>
      <c r="BF18" s="474"/>
      <c r="BG18" s="474"/>
      <c r="BH18" s="474"/>
      <c r="BI18" s="474"/>
      <c r="BJ18" s="484"/>
      <c r="BK18" s="484"/>
      <c r="BL18" s="484"/>
      <c r="BM18" s="484"/>
      <c r="BN18" s="484"/>
    </row>
    <row r="19" spans="1:66" s="1" customFormat="1" ht="12" x14ac:dyDescent="0.15">
      <c r="A19" s="12" t="s">
        <v>178</v>
      </c>
      <c r="B19" s="413"/>
      <c r="C19" s="413"/>
      <c r="D19" s="413"/>
      <c r="E19" s="413"/>
      <c r="F19" s="413"/>
      <c r="G19" s="413"/>
      <c r="H19" s="413"/>
      <c r="I19" s="413"/>
      <c r="J19" s="413"/>
      <c r="K19" s="413"/>
      <c r="L19" s="413"/>
      <c r="M19" s="413"/>
      <c r="N19" s="413"/>
      <c r="O19" s="413"/>
      <c r="P19" s="413"/>
      <c r="Q19" s="413"/>
      <c r="R19" s="413"/>
      <c r="S19" s="413"/>
      <c r="T19" s="413"/>
      <c r="U19" s="413"/>
      <c r="V19" s="413"/>
      <c r="W19" s="413"/>
      <c r="X19" s="413"/>
      <c r="Y19" s="413"/>
      <c r="Z19" s="413"/>
      <c r="AA19" s="413"/>
      <c r="AB19" s="413"/>
      <c r="AC19" s="413"/>
      <c r="AD19" s="413"/>
      <c r="AE19" s="413"/>
      <c r="AF19" s="413"/>
      <c r="AG19" s="413"/>
      <c r="AH19" s="413"/>
      <c r="AI19" s="413"/>
      <c r="AJ19" s="413"/>
      <c r="AK19" s="413"/>
      <c r="AL19" s="413"/>
      <c r="AM19" s="413"/>
      <c r="AN19" s="413"/>
      <c r="AO19" s="413"/>
      <c r="AP19" s="413"/>
      <c r="AQ19" s="413"/>
      <c r="AR19" s="413"/>
      <c r="AS19" s="413"/>
      <c r="AT19" s="413"/>
      <c r="AU19" s="413"/>
      <c r="AV19" s="413"/>
      <c r="AW19" s="413"/>
      <c r="AX19" s="413"/>
      <c r="AY19" s="413"/>
      <c r="AZ19" s="413"/>
      <c r="BA19" s="413"/>
      <c r="BB19" s="413"/>
      <c r="BC19" s="413"/>
      <c r="BD19" s="413"/>
      <c r="BE19" s="413"/>
      <c r="BF19" s="413"/>
      <c r="BG19" s="413"/>
      <c r="BH19" s="413"/>
      <c r="BI19" s="413"/>
      <c r="BJ19" s="484"/>
      <c r="BK19" s="484"/>
      <c r="BL19" s="484"/>
      <c r="BM19" s="484"/>
      <c r="BN19" s="484"/>
    </row>
    <row r="20" spans="1:66" s="20" customFormat="1" ht="12" x14ac:dyDescent="0.15">
      <c r="A20" s="24" t="s">
        <v>167</v>
      </c>
      <c r="B20" s="485"/>
      <c r="C20" s="485"/>
      <c r="D20" s="485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485"/>
      <c r="AK20" s="485"/>
      <c r="AL20" s="485"/>
      <c r="AM20" s="485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5"/>
      <c r="AZ20" s="485"/>
      <c r="BA20" s="485"/>
      <c r="BB20" s="485"/>
      <c r="BC20" s="485"/>
      <c r="BD20" s="485"/>
      <c r="BE20" s="485"/>
      <c r="BF20" s="485"/>
      <c r="BG20" s="485"/>
      <c r="BH20" s="485"/>
      <c r="BI20" s="485"/>
      <c r="BJ20" s="475"/>
      <c r="BK20" s="475"/>
      <c r="BL20" s="475"/>
      <c r="BM20" s="475"/>
      <c r="BN20" s="475"/>
    </row>
    <row r="21" spans="1:66" x14ac:dyDescent="0.15">
      <c r="B21" s="481"/>
      <c r="C21" s="481"/>
      <c r="D21" s="481"/>
      <c r="E21" s="481"/>
      <c r="F21" s="481"/>
      <c r="G21" s="481"/>
      <c r="H21" s="481"/>
      <c r="I21" s="481"/>
      <c r="J21" s="481"/>
      <c r="K21" s="481"/>
      <c r="L21" s="481"/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K21" s="481"/>
      <c r="AL21" s="481"/>
      <c r="AM21" s="481"/>
      <c r="AN21" s="481"/>
      <c r="AO21" s="481"/>
      <c r="AP21" s="481"/>
      <c r="AQ21" s="481"/>
      <c r="AR21" s="481"/>
      <c r="AS21" s="481"/>
      <c r="AT21" s="481"/>
      <c r="AU21" s="481"/>
      <c r="AV21" s="481"/>
      <c r="AW21" s="481"/>
      <c r="AX21" s="481"/>
      <c r="AY21" s="481"/>
      <c r="AZ21" s="481"/>
      <c r="BA21" s="481"/>
      <c r="BB21" s="481"/>
      <c r="BC21" s="481"/>
      <c r="BD21" s="481"/>
      <c r="BE21" s="481"/>
      <c r="BF21" s="481"/>
      <c r="BG21" s="481"/>
      <c r="BH21" s="481"/>
      <c r="BI21" s="481"/>
      <c r="BJ21" s="486"/>
      <c r="BK21" s="486"/>
      <c r="BL21" s="486"/>
      <c r="BM21" s="486"/>
      <c r="BN21" s="486"/>
    </row>
    <row r="22" spans="1:66" s="1" customFormat="1" ht="12" x14ac:dyDescent="0.15">
      <c r="A22" s="131" t="s">
        <v>179</v>
      </c>
      <c r="B22" s="143"/>
      <c r="C22" s="143"/>
      <c r="D22" s="143"/>
      <c r="E22" s="482"/>
      <c r="F22" s="482"/>
      <c r="G22" s="482"/>
      <c r="H22" s="482"/>
      <c r="I22" s="482"/>
      <c r="J22" s="482"/>
      <c r="K22" s="482"/>
      <c r="L22" s="482"/>
      <c r="M22" s="482"/>
      <c r="N22" s="482"/>
      <c r="O22" s="482"/>
      <c r="P22" s="482"/>
      <c r="Q22" s="482"/>
      <c r="R22" s="482"/>
      <c r="S22" s="482"/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  <c r="AF22" s="482"/>
      <c r="AG22" s="482"/>
      <c r="AH22" s="482"/>
      <c r="AI22" s="482"/>
      <c r="AJ22" s="482"/>
      <c r="AK22" s="482"/>
      <c r="AL22" s="482"/>
      <c r="AM22" s="482"/>
      <c r="AN22" s="482"/>
      <c r="AO22" s="482"/>
      <c r="AP22" s="482"/>
      <c r="AQ22" s="482"/>
      <c r="AR22" s="482"/>
      <c r="AS22" s="482"/>
      <c r="AT22" s="482"/>
      <c r="AU22" s="482"/>
      <c r="AV22" s="482"/>
      <c r="AW22" s="482"/>
      <c r="AX22" s="482"/>
      <c r="AY22" s="482"/>
      <c r="AZ22" s="482"/>
      <c r="BA22" s="482"/>
      <c r="BB22" s="482"/>
      <c r="BC22" s="482"/>
      <c r="BD22" s="482"/>
      <c r="BE22" s="482"/>
      <c r="BF22" s="482"/>
      <c r="BG22" s="482"/>
      <c r="BH22" s="482"/>
      <c r="BI22" s="482"/>
      <c r="BJ22" s="3"/>
      <c r="BK22" s="3"/>
      <c r="BL22" s="3"/>
      <c r="BM22" s="3"/>
      <c r="BN22" s="3"/>
    </row>
    <row r="23" spans="1:66" s="1" customFormat="1" ht="12" x14ac:dyDescent="0.15">
      <c r="A23" s="12" t="s">
        <v>176</v>
      </c>
      <c r="B23" s="47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3"/>
      <c r="BK23" s="3"/>
      <c r="BL23" s="3"/>
      <c r="BM23" s="3"/>
      <c r="BN23" s="3"/>
    </row>
    <row r="24" spans="1:66" s="1" customFormat="1" ht="12" x14ac:dyDescent="0.15">
      <c r="A24" s="12"/>
      <c r="B24" s="41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3"/>
      <c r="BK24" s="3"/>
      <c r="BL24" s="3"/>
      <c r="BM24" s="3"/>
      <c r="BN24" s="3"/>
    </row>
    <row r="25" spans="1:66" s="1" customFormat="1" ht="12" x14ac:dyDescent="0.15">
      <c r="A25" s="22" t="s">
        <v>163</v>
      </c>
      <c r="B25" s="474"/>
      <c r="C25" s="483"/>
      <c r="D25" s="483"/>
      <c r="E25" s="483"/>
      <c r="F25" s="483"/>
      <c r="G25" s="483"/>
      <c r="H25" s="483"/>
      <c r="I25" s="483"/>
      <c r="J25" s="483"/>
      <c r="K25" s="483"/>
      <c r="L25" s="483"/>
      <c r="M25" s="483"/>
      <c r="N25" s="483"/>
      <c r="O25" s="483"/>
      <c r="P25" s="483"/>
      <c r="Q25" s="483"/>
      <c r="R25" s="483"/>
      <c r="S25" s="483"/>
      <c r="T25" s="483"/>
      <c r="U25" s="483"/>
      <c r="V25" s="483"/>
      <c r="W25" s="483"/>
      <c r="X25" s="483"/>
      <c r="Y25" s="483"/>
      <c r="Z25" s="483"/>
      <c r="AA25" s="483"/>
      <c r="AB25" s="483"/>
      <c r="AC25" s="483"/>
      <c r="AD25" s="483"/>
      <c r="AE25" s="483"/>
      <c r="AF25" s="483"/>
      <c r="AG25" s="483"/>
      <c r="AH25" s="483"/>
      <c r="AI25" s="483"/>
      <c r="AJ25" s="483"/>
      <c r="AK25" s="483"/>
      <c r="AL25" s="483"/>
      <c r="AM25" s="483"/>
      <c r="AN25" s="483"/>
      <c r="AO25" s="483"/>
      <c r="AP25" s="483"/>
      <c r="AQ25" s="483"/>
      <c r="AR25" s="483"/>
      <c r="AS25" s="483"/>
      <c r="AT25" s="483"/>
      <c r="AU25" s="483"/>
      <c r="AV25" s="483"/>
      <c r="AW25" s="483"/>
      <c r="AX25" s="483"/>
      <c r="AY25" s="483"/>
      <c r="AZ25" s="483"/>
      <c r="BA25" s="483"/>
      <c r="BB25" s="483"/>
      <c r="BC25" s="483"/>
      <c r="BD25" s="483"/>
      <c r="BE25" s="483"/>
      <c r="BF25" s="483"/>
      <c r="BG25" s="483"/>
      <c r="BH25" s="483"/>
      <c r="BI25" s="483"/>
      <c r="BJ25" s="484"/>
      <c r="BK25" s="484"/>
      <c r="BL25" s="484"/>
      <c r="BM25" s="484"/>
      <c r="BN25" s="484"/>
    </row>
    <row r="26" spans="1:66" s="23" customFormat="1" ht="12" x14ac:dyDescent="0.15">
      <c r="A26" s="12" t="s">
        <v>177</v>
      </c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  <c r="M26" s="474"/>
      <c r="N26" s="474"/>
      <c r="O26" s="474"/>
      <c r="P26" s="474"/>
      <c r="Q26" s="474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  <c r="AL26" s="474"/>
      <c r="AM26" s="474"/>
      <c r="AN26" s="474"/>
      <c r="AO26" s="474"/>
      <c r="AP26" s="474"/>
      <c r="AQ26" s="474"/>
      <c r="AR26" s="474"/>
      <c r="AS26" s="474"/>
      <c r="AT26" s="474"/>
      <c r="AU26" s="474"/>
      <c r="AV26" s="474"/>
      <c r="AW26" s="474"/>
      <c r="AX26" s="474"/>
      <c r="AY26" s="474"/>
      <c r="AZ26" s="474"/>
      <c r="BA26" s="474"/>
      <c r="BB26" s="474"/>
      <c r="BC26" s="474"/>
      <c r="BD26" s="474"/>
      <c r="BE26" s="474"/>
      <c r="BF26" s="474"/>
      <c r="BG26" s="474"/>
      <c r="BH26" s="474"/>
      <c r="BI26" s="474"/>
      <c r="BJ26" s="484"/>
      <c r="BK26" s="484"/>
      <c r="BL26" s="484"/>
      <c r="BM26" s="484"/>
      <c r="BN26" s="484"/>
    </row>
    <row r="27" spans="1:66" s="1" customFormat="1" ht="12" x14ac:dyDescent="0.15">
      <c r="A27" s="12" t="s">
        <v>178</v>
      </c>
      <c r="B27" s="413"/>
      <c r="C27" s="413"/>
      <c r="D27" s="413"/>
      <c r="E27" s="413"/>
      <c r="F27" s="413"/>
      <c r="G27" s="413"/>
      <c r="H27" s="413"/>
      <c r="I27" s="413"/>
      <c r="J27" s="413"/>
      <c r="K27" s="413"/>
      <c r="L27" s="413"/>
      <c r="M27" s="413"/>
      <c r="N27" s="413"/>
      <c r="O27" s="413"/>
      <c r="P27" s="413"/>
      <c r="Q27" s="413"/>
      <c r="R27" s="413"/>
      <c r="S27" s="413"/>
      <c r="T27" s="413"/>
      <c r="U27" s="413"/>
      <c r="V27" s="413"/>
      <c r="W27" s="413"/>
      <c r="X27" s="413"/>
      <c r="Y27" s="413"/>
      <c r="Z27" s="413"/>
      <c r="AA27" s="413"/>
      <c r="AB27" s="413"/>
      <c r="AC27" s="413"/>
      <c r="AD27" s="413"/>
      <c r="AE27" s="413"/>
      <c r="AF27" s="413"/>
      <c r="AG27" s="413"/>
      <c r="AH27" s="413"/>
      <c r="AI27" s="413"/>
      <c r="AJ27" s="413"/>
      <c r="AK27" s="413"/>
      <c r="AL27" s="413"/>
      <c r="AM27" s="413"/>
      <c r="AN27" s="413"/>
      <c r="AO27" s="413"/>
      <c r="AP27" s="413"/>
      <c r="AQ27" s="413"/>
      <c r="AR27" s="413"/>
      <c r="AS27" s="413"/>
      <c r="AT27" s="413"/>
      <c r="AU27" s="413"/>
      <c r="AV27" s="413"/>
      <c r="AW27" s="413"/>
      <c r="AX27" s="413"/>
      <c r="AY27" s="413"/>
      <c r="AZ27" s="413"/>
      <c r="BA27" s="413"/>
      <c r="BB27" s="413"/>
      <c r="BC27" s="413"/>
      <c r="BD27" s="413"/>
      <c r="BE27" s="413"/>
      <c r="BF27" s="413"/>
      <c r="BG27" s="413"/>
      <c r="BH27" s="413"/>
      <c r="BI27" s="413"/>
      <c r="BJ27" s="484"/>
      <c r="BK27" s="484"/>
      <c r="BL27" s="484"/>
      <c r="BM27" s="484"/>
      <c r="BN27" s="484"/>
    </row>
    <row r="28" spans="1:66" s="20" customFormat="1" ht="12" x14ac:dyDescent="0.15">
      <c r="A28" s="24" t="s">
        <v>167</v>
      </c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  <c r="AA28" s="485"/>
      <c r="AB28" s="485"/>
      <c r="AC28" s="485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5"/>
      <c r="BJ28" s="475"/>
      <c r="BK28" s="475"/>
      <c r="BL28" s="475"/>
      <c r="BM28" s="475"/>
      <c r="BN28" s="475"/>
    </row>
    <row r="29" spans="1:66" x14ac:dyDescent="0.15"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1"/>
      <c r="N29" s="481"/>
      <c r="O29" s="481"/>
      <c r="P29" s="481"/>
      <c r="Q29" s="481"/>
      <c r="R29" s="481"/>
      <c r="S29" s="481"/>
      <c r="T29" s="481"/>
      <c r="U29" s="481"/>
      <c r="V29" s="481"/>
      <c r="W29" s="481"/>
      <c r="X29" s="481"/>
      <c r="Y29" s="481"/>
      <c r="Z29" s="481"/>
      <c r="AA29" s="481"/>
      <c r="AB29" s="481"/>
      <c r="AC29" s="481"/>
      <c r="AD29" s="481"/>
      <c r="AE29" s="481"/>
      <c r="AF29" s="481"/>
      <c r="AG29" s="481"/>
      <c r="AH29" s="481"/>
      <c r="AI29" s="481"/>
      <c r="AJ29" s="481"/>
      <c r="AK29" s="481"/>
      <c r="AL29" s="481"/>
      <c r="AM29" s="481"/>
      <c r="AN29" s="481"/>
      <c r="AO29" s="481"/>
      <c r="AP29" s="481"/>
      <c r="AQ29" s="481"/>
      <c r="AR29" s="481"/>
      <c r="AS29" s="481"/>
      <c r="AT29" s="481"/>
      <c r="AU29" s="481"/>
      <c r="AV29" s="481"/>
      <c r="AW29" s="481"/>
      <c r="AX29" s="481"/>
      <c r="AY29" s="481"/>
      <c r="AZ29" s="481"/>
      <c r="BA29" s="481"/>
      <c r="BB29" s="481"/>
      <c r="BC29" s="481"/>
      <c r="BD29" s="481"/>
      <c r="BE29" s="481"/>
      <c r="BF29" s="481"/>
      <c r="BG29" s="481"/>
      <c r="BH29" s="481"/>
      <c r="BI29" s="481"/>
      <c r="BJ29" s="486"/>
      <c r="BK29" s="486"/>
      <c r="BL29" s="486"/>
      <c r="BM29" s="486"/>
      <c r="BN29" s="486"/>
    </row>
    <row r="30" spans="1:66" s="1" customFormat="1" ht="12" x14ac:dyDescent="0.15">
      <c r="A30" s="131" t="s">
        <v>180</v>
      </c>
      <c r="B30" s="143"/>
      <c r="C30" s="143"/>
      <c r="D30" s="143"/>
      <c r="E30" s="482"/>
      <c r="F30" s="482"/>
      <c r="G30" s="482"/>
      <c r="H30" s="482"/>
      <c r="I30" s="482"/>
      <c r="J30" s="482"/>
      <c r="K30" s="482"/>
      <c r="L30" s="482"/>
      <c r="M30" s="482"/>
      <c r="N30" s="482"/>
      <c r="O30" s="482"/>
      <c r="P30" s="482"/>
      <c r="Q30" s="482"/>
      <c r="R30" s="482"/>
      <c r="S30" s="482"/>
      <c r="T30" s="482"/>
      <c r="U30" s="482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  <c r="AF30" s="482"/>
      <c r="AG30" s="482"/>
      <c r="AH30" s="482"/>
      <c r="AI30" s="482"/>
      <c r="AJ30" s="482"/>
      <c r="AK30" s="482"/>
      <c r="AL30" s="482"/>
      <c r="AM30" s="482"/>
      <c r="AN30" s="482"/>
      <c r="AO30" s="482"/>
      <c r="AP30" s="482"/>
      <c r="AQ30" s="482"/>
      <c r="AR30" s="482"/>
      <c r="AS30" s="482"/>
      <c r="AT30" s="482"/>
      <c r="AU30" s="482"/>
      <c r="AV30" s="482"/>
      <c r="AW30" s="482"/>
      <c r="AX30" s="482"/>
      <c r="AY30" s="482"/>
      <c r="AZ30" s="482"/>
      <c r="BA30" s="482"/>
      <c r="BB30" s="482"/>
      <c r="BC30" s="482"/>
      <c r="BD30" s="482"/>
      <c r="BE30" s="482"/>
      <c r="BF30" s="482"/>
      <c r="BG30" s="482"/>
      <c r="BH30" s="482"/>
      <c r="BI30" s="482"/>
      <c r="BJ30" s="3"/>
      <c r="BK30" s="3"/>
      <c r="BL30" s="3"/>
      <c r="BM30" s="3"/>
      <c r="BN30" s="3"/>
    </row>
    <row r="31" spans="1:66" s="1" customFormat="1" ht="12" x14ac:dyDescent="0.15">
      <c r="A31" s="12" t="s">
        <v>176</v>
      </c>
      <c r="B31" s="47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3"/>
      <c r="BK31" s="3"/>
      <c r="BL31" s="3"/>
      <c r="BM31" s="3"/>
      <c r="BN31" s="3"/>
    </row>
    <row r="32" spans="1:66" s="1" customFormat="1" ht="12" x14ac:dyDescent="0.15">
      <c r="A32" s="12"/>
      <c r="B32" s="41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3"/>
      <c r="BK32" s="3"/>
      <c r="BL32" s="3"/>
      <c r="BM32" s="3"/>
      <c r="BN32" s="3"/>
    </row>
    <row r="33" spans="1:66" s="1" customFormat="1" ht="12" x14ac:dyDescent="0.15">
      <c r="A33" s="22" t="s">
        <v>163</v>
      </c>
      <c r="B33" s="474"/>
      <c r="C33" s="483"/>
      <c r="D33" s="483"/>
      <c r="E33" s="483"/>
      <c r="F33" s="483"/>
      <c r="G33" s="483"/>
      <c r="H33" s="483"/>
      <c r="I33" s="483"/>
      <c r="J33" s="483"/>
      <c r="K33" s="483"/>
      <c r="L33" s="483"/>
      <c r="M33" s="483"/>
      <c r="N33" s="483"/>
      <c r="O33" s="483"/>
      <c r="P33" s="483"/>
      <c r="Q33" s="483"/>
      <c r="R33" s="483"/>
      <c r="S33" s="483"/>
      <c r="T33" s="483"/>
      <c r="U33" s="483"/>
      <c r="V33" s="483"/>
      <c r="W33" s="483"/>
      <c r="X33" s="483"/>
      <c r="Y33" s="483"/>
      <c r="Z33" s="483"/>
      <c r="AA33" s="483"/>
      <c r="AB33" s="483"/>
      <c r="AC33" s="483"/>
      <c r="AD33" s="483"/>
      <c r="AE33" s="483"/>
      <c r="AF33" s="483"/>
      <c r="AG33" s="483"/>
      <c r="AH33" s="483"/>
      <c r="AI33" s="483"/>
      <c r="AJ33" s="483"/>
      <c r="AK33" s="483"/>
      <c r="AL33" s="483"/>
      <c r="AM33" s="483"/>
      <c r="AN33" s="483"/>
      <c r="AO33" s="483"/>
      <c r="AP33" s="483"/>
      <c r="AQ33" s="483"/>
      <c r="AR33" s="483"/>
      <c r="AS33" s="483"/>
      <c r="AT33" s="483"/>
      <c r="AU33" s="483"/>
      <c r="AV33" s="483"/>
      <c r="AW33" s="483"/>
      <c r="AX33" s="483"/>
      <c r="AY33" s="483"/>
      <c r="AZ33" s="483"/>
      <c r="BA33" s="483"/>
      <c r="BB33" s="483"/>
      <c r="BC33" s="483"/>
      <c r="BD33" s="483"/>
      <c r="BE33" s="483"/>
      <c r="BF33" s="483"/>
      <c r="BG33" s="483"/>
      <c r="BH33" s="483"/>
      <c r="BI33" s="483"/>
      <c r="BJ33" s="484"/>
      <c r="BK33" s="484"/>
      <c r="BL33" s="484"/>
      <c r="BM33" s="484"/>
      <c r="BN33" s="484"/>
    </row>
    <row r="34" spans="1:66" s="23" customFormat="1" ht="12" x14ac:dyDescent="0.15">
      <c r="A34" s="12" t="s">
        <v>177</v>
      </c>
      <c r="B34" s="474"/>
      <c r="C34" s="474"/>
      <c r="D34" s="474"/>
      <c r="E34" s="474"/>
      <c r="F34" s="474"/>
      <c r="G34" s="474"/>
      <c r="H34" s="474"/>
      <c r="I34" s="474"/>
      <c r="J34" s="474"/>
      <c r="K34" s="474"/>
      <c r="L34" s="474"/>
      <c r="M34" s="474"/>
      <c r="N34" s="474"/>
      <c r="O34" s="474"/>
      <c r="P34" s="474"/>
      <c r="Q34" s="474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  <c r="AL34" s="474"/>
      <c r="AM34" s="474"/>
      <c r="AN34" s="474"/>
      <c r="AO34" s="474"/>
      <c r="AP34" s="474"/>
      <c r="AQ34" s="474"/>
      <c r="AR34" s="474"/>
      <c r="AS34" s="474"/>
      <c r="AT34" s="474"/>
      <c r="AU34" s="474"/>
      <c r="AV34" s="474"/>
      <c r="AW34" s="474"/>
      <c r="AX34" s="474"/>
      <c r="AY34" s="474"/>
      <c r="AZ34" s="474"/>
      <c r="BA34" s="474"/>
      <c r="BB34" s="474"/>
      <c r="BC34" s="474"/>
      <c r="BD34" s="474"/>
      <c r="BE34" s="474"/>
      <c r="BF34" s="474"/>
      <c r="BG34" s="474"/>
      <c r="BH34" s="474"/>
      <c r="BI34" s="474"/>
      <c r="BJ34" s="484"/>
      <c r="BK34" s="484"/>
      <c r="BL34" s="484"/>
      <c r="BM34" s="484"/>
      <c r="BN34" s="484"/>
    </row>
    <row r="35" spans="1:66" s="1" customFormat="1" ht="12" x14ac:dyDescent="0.15">
      <c r="A35" s="12" t="s">
        <v>178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3"/>
      <c r="BA35" s="413"/>
      <c r="BB35" s="413"/>
      <c r="BC35" s="413"/>
      <c r="BD35" s="413"/>
      <c r="BE35" s="413"/>
      <c r="BF35" s="413"/>
      <c r="BG35" s="413"/>
      <c r="BH35" s="413"/>
      <c r="BI35" s="413"/>
      <c r="BJ35" s="484"/>
      <c r="BK35" s="484"/>
      <c r="BL35" s="484"/>
      <c r="BM35" s="484"/>
      <c r="BN35" s="484"/>
    </row>
    <row r="36" spans="1:66" s="20" customFormat="1" ht="12" x14ac:dyDescent="0.15">
      <c r="A36" s="24" t="s">
        <v>167</v>
      </c>
      <c r="B36" s="485"/>
      <c r="C36" s="48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  <c r="AA36" s="485"/>
      <c r="AB36" s="485"/>
      <c r="AC36" s="485"/>
      <c r="AD36" s="485"/>
      <c r="AE36" s="485"/>
      <c r="AF36" s="485"/>
      <c r="AG36" s="485"/>
      <c r="AH36" s="485"/>
      <c r="AI36" s="485"/>
      <c r="AJ36" s="485"/>
      <c r="AK36" s="485"/>
      <c r="AL36" s="485"/>
      <c r="AM36" s="485"/>
      <c r="AN36" s="485"/>
      <c r="AO36" s="485"/>
      <c r="AP36" s="485"/>
      <c r="AQ36" s="485"/>
      <c r="AR36" s="485"/>
      <c r="AS36" s="485"/>
      <c r="AT36" s="485"/>
      <c r="AU36" s="485"/>
      <c r="AV36" s="485"/>
      <c r="AW36" s="485"/>
      <c r="AX36" s="485"/>
      <c r="AY36" s="485"/>
      <c r="AZ36" s="485"/>
      <c r="BA36" s="485"/>
      <c r="BB36" s="485"/>
      <c r="BC36" s="485"/>
      <c r="BD36" s="485"/>
      <c r="BE36" s="485"/>
      <c r="BF36" s="485"/>
      <c r="BG36" s="485"/>
      <c r="BH36" s="485"/>
      <c r="BI36" s="485"/>
      <c r="BJ36" s="475"/>
      <c r="BK36" s="475"/>
      <c r="BL36" s="475"/>
      <c r="BM36" s="475"/>
      <c r="BN36" s="475"/>
    </row>
    <row r="37" spans="1:66" x14ac:dyDescent="0.15"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  <c r="AA37" s="481"/>
      <c r="AB37" s="481"/>
      <c r="AC37" s="481"/>
      <c r="AD37" s="481"/>
      <c r="AE37" s="481"/>
      <c r="AF37" s="481"/>
      <c r="AG37" s="481"/>
      <c r="AH37" s="481"/>
      <c r="AI37" s="481"/>
      <c r="AJ37" s="481"/>
      <c r="AK37" s="481"/>
      <c r="AL37" s="481"/>
      <c r="AM37" s="481"/>
      <c r="AN37" s="481"/>
      <c r="AO37" s="481"/>
      <c r="AP37" s="481"/>
      <c r="AQ37" s="481"/>
      <c r="AR37" s="481"/>
      <c r="AS37" s="481"/>
      <c r="AT37" s="481"/>
      <c r="AU37" s="481"/>
      <c r="AV37" s="481"/>
      <c r="AW37" s="481"/>
      <c r="AX37" s="481"/>
      <c r="AY37" s="481"/>
      <c r="AZ37" s="481"/>
      <c r="BA37" s="481"/>
      <c r="BB37" s="481"/>
      <c r="BC37" s="481"/>
      <c r="BD37" s="481"/>
      <c r="BE37" s="481"/>
      <c r="BF37" s="481"/>
      <c r="BG37" s="481"/>
      <c r="BH37" s="481"/>
      <c r="BI37" s="481"/>
      <c r="BJ37" s="486"/>
      <c r="BK37" s="486"/>
      <c r="BL37" s="486"/>
      <c r="BM37" s="486"/>
      <c r="BN37" s="486"/>
    </row>
    <row r="38" spans="1:66" x14ac:dyDescent="0.15">
      <c r="A38" s="42" t="s">
        <v>181</v>
      </c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481"/>
      <c r="R38" s="481"/>
      <c r="S38" s="481"/>
      <c r="T38" s="481"/>
      <c r="U38" s="481"/>
      <c r="V38" s="481"/>
      <c r="W38" s="481"/>
      <c r="X38" s="481"/>
      <c r="Y38" s="481"/>
      <c r="Z38" s="481"/>
      <c r="AA38" s="481"/>
      <c r="AB38" s="481"/>
      <c r="AC38" s="481"/>
      <c r="AD38" s="481"/>
      <c r="AE38" s="481"/>
      <c r="AF38" s="481"/>
      <c r="AG38" s="481"/>
      <c r="AH38" s="481"/>
      <c r="AI38" s="481"/>
      <c r="AJ38" s="481"/>
      <c r="AK38" s="481"/>
      <c r="AL38" s="481"/>
      <c r="AM38" s="481"/>
      <c r="AN38" s="481"/>
      <c r="AO38" s="481"/>
      <c r="AP38" s="481"/>
      <c r="AQ38" s="481"/>
      <c r="AR38" s="481"/>
      <c r="AS38" s="481"/>
      <c r="AT38" s="481"/>
      <c r="AU38" s="481"/>
      <c r="AV38" s="481"/>
      <c r="AW38" s="481"/>
      <c r="AX38" s="481"/>
      <c r="AY38" s="481"/>
      <c r="AZ38" s="481"/>
      <c r="BA38" s="481"/>
      <c r="BB38" s="481"/>
      <c r="BC38" s="481"/>
      <c r="BD38" s="481"/>
      <c r="BE38" s="481"/>
      <c r="BF38" s="481"/>
      <c r="BG38" s="481"/>
      <c r="BH38" s="481"/>
      <c r="BI38" s="481"/>
      <c r="BJ38" s="486"/>
      <c r="BK38" s="486"/>
      <c r="BL38" s="486"/>
      <c r="BM38" s="486"/>
      <c r="BN38" s="486"/>
    </row>
    <row r="39" spans="1:66" x14ac:dyDescent="0.15">
      <c r="B39" s="481"/>
      <c r="C39" s="481"/>
      <c r="D39" s="481"/>
      <c r="E39" s="481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81"/>
      <c r="AF39" s="481"/>
      <c r="AG39" s="481"/>
      <c r="AH39" s="481"/>
      <c r="AI39" s="481"/>
      <c r="AJ39" s="481"/>
      <c r="AK39" s="481"/>
      <c r="AL39" s="481"/>
      <c r="AM39" s="481"/>
      <c r="AN39" s="481"/>
      <c r="AO39" s="481"/>
      <c r="AP39" s="481"/>
      <c r="AQ39" s="481"/>
      <c r="AR39" s="481"/>
      <c r="AS39" s="481"/>
      <c r="AT39" s="481"/>
      <c r="AU39" s="481"/>
      <c r="AV39" s="481"/>
      <c r="AW39" s="481"/>
      <c r="AX39" s="481"/>
      <c r="AY39" s="481"/>
      <c r="AZ39" s="481"/>
      <c r="BA39" s="481"/>
      <c r="BB39" s="481"/>
      <c r="BC39" s="481"/>
      <c r="BD39" s="481"/>
      <c r="BE39" s="481"/>
      <c r="BF39" s="481"/>
      <c r="BG39" s="481"/>
      <c r="BH39" s="481"/>
      <c r="BI39" s="481"/>
      <c r="BJ39" s="486"/>
      <c r="BK39" s="486"/>
      <c r="BL39" s="486"/>
      <c r="BM39" s="486"/>
      <c r="BN39" s="486"/>
    </row>
    <row r="40" spans="1:66" s="1" customFormat="1" ht="12" x14ac:dyDescent="0.15">
      <c r="A40" s="131" t="s">
        <v>182</v>
      </c>
      <c r="B40" s="143"/>
      <c r="C40" s="143"/>
      <c r="D40" s="143"/>
      <c r="E40" s="482"/>
      <c r="F40" s="482"/>
      <c r="G40" s="482"/>
      <c r="H40" s="482"/>
      <c r="I40" s="482"/>
      <c r="J40" s="482"/>
      <c r="K40" s="482"/>
      <c r="L40" s="482"/>
      <c r="M40" s="482"/>
      <c r="N40" s="482"/>
      <c r="O40" s="482"/>
      <c r="P40" s="482"/>
      <c r="Q40" s="482"/>
      <c r="R40" s="482"/>
      <c r="S40" s="482"/>
      <c r="T40" s="482"/>
      <c r="U40" s="482"/>
      <c r="V40" s="482"/>
      <c r="W40" s="482"/>
      <c r="X40" s="482"/>
      <c r="Y40" s="482"/>
      <c r="Z40" s="482"/>
      <c r="AA40" s="482"/>
      <c r="AB40" s="482"/>
      <c r="AC40" s="482"/>
      <c r="AD40" s="482"/>
      <c r="AE40" s="482"/>
      <c r="AF40" s="482"/>
      <c r="AG40" s="482"/>
      <c r="AH40" s="482"/>
      <c r="AI40" s="482"/>
      <c r="AJ40" s="482"/>
      <c r="AK40" s="482"/>
      <c r="AL40" s="482"/>
      <c r="AM40" s="482"/>
      <c r="AN40" s="482"/>
      <c r="AO40" s="482"/>
      <c r="AP40" s="482"/>
      <c r="AQ40" s="482"/>
      <c r="AR40" s="482"/>
      <c r="AS40" s="482"/>
      <c r="AT40" s="482"/>
      <c r="AU40" s="482"/>
      <c r="AV40" s="482"/>
      <c r="AW40" s="482"/>
      <c r="AX40" s="482"/>
      <c r="AY40" s="482"/>
      <c r="AZ40" s="482"/>
      <c r="BA40" s="482"/>
      <c r="BB40" s="482"/>
      <c r="BC40" s="482"/>
      <c r="BD40" s="482"/>
      <c r="BE40" s="482"/>
      <c r="BF40" s="482"/>
      <c r="BG40" s="482"/>
      <c r="BH40" s="482"/>
      <c r="BI40" s="482"/>
      <c r="BJ40" s="3"/>
      <c r="BK40" s="3"/>
      <c r="BL40" s="3"/>
      <c r="BM40" s="3"/>
      <c r="BN40" s="3"/>
    </row>
    <row r="41" spans="1:66" s="1" customFormat="1" ht="12" x14ac:dyDescent="0.15">
      <c r="A41" s="12" t="s">
        <v>176</v>
      </c>
      <c r="B41" s="47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3"/>
      <c r="BK41" s="3"/>
      <c r="BL41" s="3"/>
      <c r="BM41" s="3"/>
      <c r="BN41" s="3"/>
    </row>
    <row r="42" spans="1:66" s="1" customFormat="1" ht="12" x14ac:dyDescent="0.15">
      <c r="A42" s="12"/>
      <c r="B42" s="41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3"/>
      <c r="BK42" s="3"/>
      <c r="BL42" s="3"/>
      <c r="BM42" s="3"/>
      <c r="BN42" s="3"/>
    </row>
    <row r="43" spans="1:66" s="1" customFormat="1" ht="12" x14ac:dyDescent="0.15">
      <c r="A43" s="22" t="s">
        <v>163</v>
      </c>
      <c r="B43" s="474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  <c r="R43" s="483"/>
      <c r="S43" s="483"/>
      <c r="T43" s="483"/>
      <c r="U43" s="483"/>
      <c r="V43" s="483"/>
      <c r="W43" s="483"/>
      <c r="X43" s="483"/>
      <c r="Y43" s="483"/>
      <c r="Z43" s="483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3"/>
      <c r="AR43" s="483"/>
      <c r="AS43" s="483"/>
      <c r="AT43" s="483"/>
      <c r="AU43" s="483"/>
      <c r="AV43" s="483"/>
      <c r="AW43" s="483"/>
      <c r="AX43" s="483"/>
      <c r="AY43" s="483"/>
      <c r="AZ43" s="483"/>
      <c r="BA43" s="483"/>
      <c r="BB43" s="483"/>
      <c r="BC43" s="483"/>
      <c r="BD43" s="483"/>
      <c r="BE43" s="483"/>
      <c r="BF43" s="483"/>
      <c r="BG43" s="483"/>
      <c r="BH43" s="483"/>
      <c r="BI43" s="483"/>
      <c r="BJ43" s="484"/>
      <c r="BK43" s="484"/>
      <c r="BL43" s="484"/>
      <c r="BM43" s="484"/>
      <c r="BN43" s="484"/>
    </row>
    <row r="44" spans="1:66" s="23" customFormat="1" ht="12" x14ac:dyDescent="0.15">
      <c r="A44" s="12" t="s">
        <v>177</v>
      </c>
      <c r="B44" s="474"/>
      <c r="C44" s="474"/>
      <c r="D44" s="474"/>
      <c r="E44" s="474"/>
      <c r="F44" s="474"/>
      <c r="G44" s="474"/>
      <c r="H44" s="474"/>
      <c r="I44" s="474"/>
      <c r="J44" s="474"/>
      <c r="K44" s="474"/>
      <c r="L44" s="474"/>
      <c r="M44" s="474"/>
      <c r="N44" s="474"/>
      <c r="O44" s="474"/>
      <c r="P44" s="474"/>
      <c r="Q44" s="474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  <c r="AL44" s="474"/>
      <c r="AM44" s="474"/>
      <c r="AN44" s="474"/>
      <c r="AO44" s="474"/>
      <c r="AP44" s="474"/>
      <c r="AQ44" s="474"/>
      <c r="AR44" s="474"/>
      <c r="AS44" s="474"/>
      <c r="AT44" s="474"/>
      <c r="AU44" s="474"/>
      <c r="AV44" s="474"/>
      <c r="AW44" s="474"/>
      <c r="AX44" s="474"/>
      <c r="AY44" s="474"/>
      <c r="AZ44" s="474"/>
      <c r="BA44" s="474"/>
      <c r="BB44" s="474"/>
      <c r="BC44" s="474"/>
      <c r="BD44" s="474"/>
      <c r="BE44" s="474"/>
      <c r="BF44" s="474"/>
      <c r="BG44" s="474"/>
      <c r="BH44" s="474"/>
      <c r="BI44" s="474"/>
      <c r="BJ44" s="484"/>
      <c r="BK44" s="484"/>
      <c r="BL44" s="484"/>
      <c r="BM44" s="484"/>
      <c r="BN44" s="484"/>
    </row>
    <row r="45" spans="1:66" s="1" customFormat="1" ht="12" x14ac:dyDescent="0.15">
      <c r="A45" s="12" t="s">
        <v>178</v>
      </c>
      <c r="B45" s="413"/>
      <c r="C45" s="413"/>
      <c r="D45" s="413"/>
      <c r="E45" s="413"/>
      <c r="F45" s="413"/>
      <c r="G45" s="413"/>
      <c r="H45" s="413"/>
      <c r="I45" s="413"/>
      <c r="J45" s="413"/>
      <c r="K45" s="413"/>
      <c r="L45" s="413"/>
      <c r="M45" s="413"/>
      <c r="N45" s="413"/>
      <c r="O45" s="413"/>
      <c r="P45" s="413"/>
      <c r="Q45" s="413"/>
      <c r="R45" s="413"/>
      <c r="S45" s="413"/>
      <c r="T45" s="413"/>
      <c r="U45" s="413"/>
      <c r="V45" s="413"/>
      <c r="W45" s="413"/>
      <c r="X45" s="413"/>
      <c r="Y45" s="413"/>
      <c r="Z45" s="413"/>
      <c r="AA45" s="413"/>
      <c r="AB45" s="413"/>
      <c r="AC45" s="413"/>
      <c r="AD45" s="413"/>
      <c r="AE45" s="413"/>
      <c r="AF45" s="413"/>
      <c r="AG45" s="413"/>
      <c r="AH45" s="413"/>
      <c r="AI45" s="413"/>
      <c r="AJ45" s="413"/>
      <c r="AK45" s="413"/>
      <c r="AL45" s="413"/>
      <c r="AM45" s="413"/>
      <c r="AN45" s="413"/>
      <c r="AO45" s="413"/>
      <c r="AP45" s="413"/>
      <c r="AQ45" s="413"/>
      <c r="AR45" s="413"/>
      <c r="AS45" s="413"/>
      <c r="AT45" s="413"/>
      <c r="AU45" s="413"/>
      <c r="AV45" s="413"/>
      <c r="AW45" s="413"/>
      <c r="AX45" s="413"/>
      <c r="AY45" s="413"/>
      <c r="AZ45" s="413"/>
      <c r="BA45" s="413"/>
      <c r="BB45" s="413"/>
      <c r="BC45" s="413"/>
      <c r="BD45" s="413"/>
      <c r="BE45" s="413"/>
      <c r="BF45" s="413"/>
      <c r="BG45" s="413"/>
      <c r="BH45" s="413"/>
      <c r="BI45" s="413"/>
      <c r="BJ45" s="484"/>
      <c r="BK45" s="484"/>
      <c r="BL45" s="484"/>
      <c r="BM45" s="484"/>
      <c r="BN45" s="484"/>
    </row>
    <row r="46" spans="1:66" s="20" customFormat="1" ht="12" x14ac:dyDescent="0.15">
      <c r="A46" s="24" t="s">
        <v>167</v>
      </c>
      <c r="B46" s="485"/>
      <c r="C46" s="485"/>
      <c r="D46" s="485"/>
      <c r="E46" s="485"/>
      <c r="F46" s="485"/>
      <c r="G46" s="485"/>
      <c r="H46" s="485"/>
      <c r="I46" s="485"/>
      <c r="J46" s="48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  <c r="AA46" s="485"/>
      <c r="AB46" s="485"/>
      <c r="AC46" s="485"/>
      <c r="AD46" s="485"/>
      <c r="AE46" s="485"/>
      <c r="AF46" s="485"/>
      <c r="AG46" s="485"/>
      <c r="AH46" s="485"/>
      <c r="AI46" s="485"/>
      <c r="AJ46" s="485"/>
      <c r="AK46" s="485"/>
      <c r="AL46" s="485"/>
      <c r="AM46" s="485"/>
      <c r="AN46" s="485"/>
      <c r="AO46" s="485"/>
      <c r="AP46" s="485"/>
      <c r="AQ46" s="485"/>
      <c r="AR46" s="485"/>
      <c r="AS46" s="485"/>
      <c r="AT46" s="485"/>
      <c r="AU46" s="485"/>
      <c r="AV46" s="485"/>
      <c r="AW46" s="485"/>
      <c r="AX46" s="485"/>
      <c r="AY46" s="485"/>
      <c r="AZ46" s="485"/>
      <c r="BA46" s="485"/>
      <c r="BB46" s="485"/>
      <c r="BC46" s="485"/>
      <c r="BD46" s="485"/>
      <c r="BE46" s="485"/>
      <c r="BF46" s="485"/>
      <c r="BG46" s="485"/>
      <c r="BH46" s="485"/>
      <c r="BI46" s="485"/>
      <c r="BJ46" s="475"/>
      <c r="BK46" s="475"/>
      <c r="BL46" s="475"/>
      <c r="BM46" s="475"/>
      <c r="BN46" s="475"/>
    </row>
    <row r="47" spans="1:66" x14ac:dyDescent="0.15">
      <c r="B47" s="481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  <c r="AO47" s="481"/>
      <c r="AP47" s="481"/>
      <c r="AQ47" s="481"/>
      <c r="AR47" s="481"/>
      <c r="AS47" s="481"/>
      <c r="AT47" s="481"/>
      <c r="AU47" s="481"/>
      <c r="AV47" s="481"/>
      <c r="AW47" s="481"/>
      <c r="AX47" s="481"/>
      <c r="AY47" s="481"/>
      <c r="AZ47" s="481"/>
      <c r="BA47" s="481"/>
      <c r="BB47" s="481"/>
      <c r="BC47" s="481"/>
      <c r="BD47" s="481"/>
      <c r="BE47" s="481"/>
      <c r="BF47" s="481"/>
      <c r="BG47" s="481"/>
      <c r="BH47" s="481"/>
      <c r="BI47" s="481"/>
    </row>
    <row r="48" spans="1:66" s="1" customFormat="1" ht="12" x14ac:dyDescent="0.15">
      <c r="A48" s="131" t="s">
        <v>183</v>
      </c>
      <c r="B48" s="143"/>
      <c r="C48" s="143"/>
      <c r="D48" s="143"/>
      <c r="E48" s="482"/>
      <c r="F48" s="482"/>
      <c r="G48" s="482"/>
      <c r="H48" s="482"/>
      <c r="I48" s="482"/>
      <c r="J48" s="482"/>
      <c r="K48" s="482"/>
      <c r="L48" s="482"/>
      <c r="M48" s="482"/>
      <c r="N48" s="482"/>
      <c r="O48" s="482"/>
      <c r="P48" s="482"/>
      <c r="Q48" s="482"/>
      <c r="R48" s="482"/>
      <c r="S48" s="482"/>
      <c r="T48" s="482"/>
      <c r="U48" s="482"/>
      <c r="V48" s="482"/>
      <c r="W48" s="482"/>
      <c r="X48" s="482"/>
      <c r="Y48" s="482"/>
      <c r="Z48" s="482"/>
      <c r="AA48" s="482"/>
      <c r="AB48" s="482"/>
      <c r="AC48" s="482"/>
      <c r="AD48" s="482"/>
      <c r="AE48" s="482"/>
      <c r="AF48" s="482"/>
      <c r="AG48" s="482"/>
      <c r="AH48" s="482"/>
      <c r="AI48" s="482"/>
      <c r="AJ48" s="482"/>
      <c r="AK48" s="482"/>
      <c r="AL48" s="482"/>
      <c r="AM48" s="482"/>
      <c r="AN48" s="482"/>
      <c r="AO48" s="482"/>
      <c r="AP48" s="482"/>
      <c r="AQ48" s="482"/>
      <c r="AR48" s="482"/>
      <c r="AS48" s="482"/>
      <c r="AT48" s="482"/>
      <c r="AU48" s="482"/>
      <c r="AV48" s="482"/>
      <c r="AW48" s="482"/>
      <c r="AX48" s="482"/>
      <c r="AY48" s="482"/>
      <c r="AZ48" s="482"/>
      <c r="BA48" s="482"/>
      <c r="BB48" s="482"/>
      <c r="BC48" s="482"/>
      <c r="BD48" s="482"/>
      <c r="BE48" s="482"/>
      <c r="BF48" s="482"/>
      <c r="BG48" s="482"/>
      <c r="BH48" s="482"/>
      <c r="BI48" s="482"/>
      <c r="BJ48" s="3"/>
      <c r="BK48" s="3"/>
      <c r="BL48" s="3"/>
      <c r="BM48" s="3"/>
      <c r="BN48" s="3"/>
    </row>
    <row r="49" spans="1:66" s="1" customFormat="1" ht="12" x14ac:dyDescent="0.15">
      <c r="A49" s="12" t="s">
        <v>176</v>
      </c>
      <c r="B49" s="47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3"/>
      <c r="BK49" s="3"/>
      <c r="BL49" s="3"/>
      <c r="BM49" s="3"/>
      <c r="BN49" s="3"/>
    </row>
    <row r="50" spans="1:66" s="1" customFormat="1" ht="12" x14ac:dyDescent="0.15">
      <c r="A50" s="12"/>
      <c r="B50" s="41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3"/>
      <c r="BK50" s="3"/>
      <c r="BL50" s="3"/>
      <c r="BM50" s="3"/>
      <c r="BN50" s="3"/>
    </row>
    <row r="51" spans="1:66" s="1" customFormat="1" ht="12" x14ac:dyDescent="0.15">
      <c r="A51" s="22" t="s">
        <v>163</v>
      </c>
      <c r="B51" s="474"/>
      <c r="C51" s="483"/>
      <c r="D51" s="483"/>
      <c r="E51" s="483"/>
      <c r="F51" s="483"/>
      <c r="G51" s="483"/>
      <c r="H51" s="483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3"/>
      <c r="X51" s="483"/>
      <c r="Y51" s="483"/>
      <c r="Z51" s="483"/>
      <c r="AA51" s="483"/>
      <c r="AB51" s="483"/>
      <c r="AC51" s="483"/>
      <c r="AD51" s="483"/>
      <c r="AE51" s="483"/>
      <c r="AF51" s="483"/>
      <c r="AG51" s="483"/>
      <c r="AH51" s="483"/>
      <c r="AI51" s="483"/>
      <c r="AJ51" s="483"/>
      <c r="AK51" s="483"/>
      <c r="AL51" s="483"/>
      <c r="AM51" s="483"/>
      <c r="AN51" s="483"/>
      <c r="AO51" s="483"/>
      <c r="AP51" s="483"/>
      <c r="AQ51" s="483"/>
      <c r="AR51" s="483"/>
      <c r="AS51" s="483"/>
      <c r="AT51" s="483"/>
      <c r="AU51" s="483"/>
      <c r="AV51" s="483"/>
      <c r="AW51" s="483"/>
      <c r="AX51" s="483"/>
      <c r="AY51" s="483"/>
      <c r="AZ51" s="483"/>
      <c r="BA51" s="483"/>
      <c r="BB51" s="483"/>
      <c r="BC51" s="483"/>
      <c r="BD51" s="483"/>
      <c r="BE51" s="483"/>
      <c r="BF51" s="483"/>
      <c r="BG51" s="483"/>
      <c r="BH51" s="483"/>
      <c r="BI51" s="483"/>
      <c r="BJ51" s="484"/>
      <c r="BK51" s="484"/>
      <c r="BL51" s="484"/>
      <c r="BM51" s="484"/>
      <c r="BN51" s="484"/>
    </row>
    <row r="52" spans="1:66" s="23" customFormat="1" ht="12" x14ac:dyDescent="0.15">
      <c r="A52" s="12" t="s">
        <v>177</v>
      </c>
      <c r="B52" s="474"/>
      <c r="C52" s="474"/>
      <c r="D52" s="474"/>
      <c r="E52" s="474"/>
      <c r="F52" s="474"/>
      <c r="G52" s="474"/>
      <c r="H52" s="474"/>
      <c r="I52" s="474"/>
      <c r="J52" s="474"/>
      <c r="K52" s="474"/>
      <c r="L52" s="474"/>
      <c r="M52" s="474"/>
      <c r="N52" s="474"/>
      <c r="O52" s="474"/>
      <c r="P52" s="474"/>
      <c r="Q52" s="474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  <c r="AL52" s="474"/>
      <c r="AM52" s="474"/>
      <c r="AN52" s="474"/>
      <c r="AO52" s="474"/>
      <c r="AP52" s="474"/>
      <c r="AQ52" s="474"/>
      <c r="AR52" s="474"/>
      <c r="AS52" s="474"/>
      <c r="AT52" s="474"/>
      <c r="AU52" s="474"/>
      <c r="AV52" s="474"/>
      <c r="AW52" s="474"/>
      <c r="AX52" s="474"/>
      <c r="AY52" s="474"/>
      <c r="AZ52" s="474"/>
      <c r="BA52" s="474"/>
      <c r="BB52" s="474"/>
      <c r="BC52" s="474"/>
      <c r="BD52" s="474"/>
      <c r="BE52" s="474"/>
      <c r="BF52" s="474"/>
      <c r="BG52" s="474"/>
      <c r="BH52" s="474"/>
      <c r="BI52" s="474"/>
      <c r="BJ52" s="484"/>
      <c r="BK52" s="484"/>
      <c r="BL52" s="484"/>
      <c r="BM52" s="484"/>
      <c r="BN52" s="484"/>
    </row>
    <row r="53" spans="1:66" s="1" customFormat="1" ht="12" x14ac:dyDescent="0.15">
      <c r="A53" s="12" t="s">
        <v>178</v>
      </c>
      <c r="B53" s="413"/>
      <c r="C53" s="413"/>
      <c r="D53" s="413"/>
      <c r="E53" s="413"/>
      <c r="F53" s="413"/>
      <c r="G53" s="413"/>
      <c r="H53" s="413"/>
      <c r="I53" s="413"/>
      <c r="J53" s="413"/>
      <c r="K53" s="413"/>
      <c r="L53" s="413"/>
      <c r="M53" s="413"/>
      <c r="N53" s="413"/>
      <c r="O53" s="413"/>
      <c r="P53" s="413"/>
      <c r="Q53" s="413"/>
      <c r="R53" s="413"/>
      <c r="S53" s="413"/>
      <c r="T53" s="413"/>
      <c r="U53" s="413"/>
      <c r="V53" s="413"/>
      <c r="W53" s="413"/>
      <c r="X53" s="413"/>
      <c r="Y53" s="413"/>
      <c r="Z53" s="413"/>
      <c r="AA53" s="413"/>
      <c r="AB53" s="413"/>
      <c r="AC53" s="413"/>
      <c r="AD53" s="413"/>
      <c r="AE53" s="413"/>
      <c r="AF53" s="413"/>
      <c r="AG53" s="413"/>
      <c r="AH53" s="413"/>
      <c r="AI53" s="413"/>
      <c r="AJ53" s="413"/>
      <c r="AK53" s="413"/>
      <c r="AL53" s="413"/>
      <c r="AM53" s="413"/>
      <c r="AN53" s="413"/>
      <c r="AO53" s="413"/>
      <c r="AP53" s="413"/>
      <c r="AQ53" s="413"/>
      <c r="AR53" s="413"/>
      <c r="AS53" s="413"/>
      <c r="AT53" s="413"/>
      <c r="AU53" s="413"/>
      <c r="AV53" s="413"/>
      <c r="AW53" s="413"/>
      <c r="AX53" s="413"/>
      <c r="AY53" s="413"/>
      <c r="AZ53" s="413"/>
      <c r="BA53" s="413"/>
      <c r="BB53" s="413"/>
      <c r="BC53" s="413"/>
      <c r="BD53" s="413"/>
      <c r="BE53" s="413"/>
      <c r="BF53" s="413"/>
      <c r="BG53" s="413"/>
      <c r="BH53" s="413"/>
      <c r="BI53" s="413"/>
      <c r="BJ53" s="484"/>
      <c r="BK53" s="484"/>
      <c r="BL53" s="484"/>
      <c r="BM53" s="484"/>
      <c r="BN53" s="484"/>
    </row>
    <row r="54" spans="1:66" s="20" customFormat="1" ht="12" x14ac:dyDescent="0.15">
      <c r="A54" s="24" t="s">
        <v>167</v>
      </c>
      <c r="B54" s="485"/>
      <c r="C54" s="485"/>
      <c r="D54" s="485"/>
      <c r="E54" s="485"/>
      <c r="F54" s="485"/>
      <c r="G54" s="485"/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  <c r="AA54" s="485"/>
      <c r="AB54" s="485"/>
      <c r="AC54" s="485"/>
      <c r="AD54" s="485"/>
      <c r="AE54" s="485"/>
      <c r="AF54" s="485"/>
      <c r="AG54" s="485"/>
      <c r="AH54" s="485"/>
      <c r="AI54" s="485"/>
      <c r="AJ54" s="485"/>
      <c r="AK54" s="485"/>
      <c r="AL54" s="485"/>
      <c r="AM54" s="485"/>
      <c r="AN54" s="485"/>
      <c r="AO54" s="485"/>
      <c r="AP54" s="485"/>
      <c r="AQ54" s="485"/>
      <c r="AR54" s="485"/>
      <c r="AS54" s="485"/>
      <c r="AT54" s="485"/>
      <c r="AU54" s="485"/>
      <c r="AV54" s="485"/>
      <c r="AW54" s="485"/>
      <c r="AX54" s="485"/>
      <c r="AY54" s="485"/>
      <c r="AZ54" s="485"/>
      <c r="BA54" s="485"/>
      <c r="BB54" s="485"/>
      <c r="BC54" s="485"/>
      <c r="BD54" s="485"/>
      <c r="BE54" s="485"/>
      <c r="BF54" s="485"/>
      <c r="BG54" s="485"/>
      <c r="BH54" s="485"/>
      <c r="BI54" s="485"/>
      <c r="BJ54" s="475"/>
      <c r="BK54" s="475"/>
      <c r="BL54" s="475"/>
      <c r="BM54" s="475"/>
      <c r="BN54" s="475"/>
    </row>
    <row r="55" spans="1:66" x14ac:dyDescent="0.15">
      <c r="B55" s="481"/>
      <c r="C55" s="481"/>
      <c r="D55" s="481"/>
      <c r="E55" s="481"/>
      <c r="F55" s="481"/>
      <c r="G55" s="481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481"/>
      <c r="AC55" s="481"/>
      <c r="AD55" s="481"/>
      <c r="AE55" s="481"/>
      <c r="AF55" s="481"/>
      <c r="AG55" s="481"/>
      <c r="AH55" s="481"/>
      <c r="AI55" s="481"/>
      <c r="AJ55" s="481"/>
      <c r="AK55" s="481"/>
      <c r="AL55" s="481"/>
      <c r="AM55" s="481"/>
      <c r="AN55" s="481"/>
      <c r="AO55" s="481"/>
      <c r="AP55" s="481"/>
      <c r="AQ55" s="481"/>
      <c r="AR55" s="481"/>
      <c r="AS55" s="481"/>
      <c r="AT55" s="481"/>
      <c r="AU55" s="481"/>
      <c r="AV55" s="481"/>
      <c r="AW55" s="481"/>
      <c r="AX55" s="481"/>
      <c r="AY55" s="481"/>
      <c r="AZ55" s="481"/>
      <c r="BA55" s="481"/>
      <c r="BB55" s="481"/>
      <c r="BC55" s="481"/>
      <c r="BD55" s="481"/>
      <c r="BE55" s="481"/>
      <c r="BF55" s="481"/>
      <c r="BG55" s="481"/>
      <c r="BH55" s="481"/>
      <c r="BI55" s="481"/>
    </row>
    <row r="56" spans="1:66" s="1" customFormat="1" ht="12" x14ac:dyDescent="0.15">
      <c r="A56" s="131" t="s">
        <v>184</v>
      </c>
      <c r="B56" s="143"/>
      <c r="C56" s="143"/>
      <c r="D56" s="143"/>
      <c r="E56" s="482"/>
      <c r="F56" s="482"/>
      <c r="G56" s="482"/>
      <c r="H56" s="482"/>
      <c r="I56" s="482"/>
      <c r="J56" s="482"/>
      <c r="K56" s="482"/>
      <c r="L56" s="482"/>
      <c r="M56" s="482"/>
      <c r="N56" s="482"/>
      <c r="O56" s="482"/>
      <c r="P56" s="482"/>
      <c r="Q56" s="482"/>
      <c r="R56" s="482"/>
      <c r="S56" s="482"/>
      <c r="T56" s="482"/>
      <c r="U56" s="482"/>
      <c r="V56" s="482"/>
      <c r="W56" s="482"/>
      <c r="X56" s="482"/>
      <c r="Y56" s="482"/>
      <c r="Z56" s="482"/>
      <c r="AA56" s="482"/>
      <c r="AB56" s="482"/>
      <c r="AC56" s="482"/>
      <c r="AD56" s="482"/>
      <c r="AE56" s="482"/>
      <c r="AF56" s="482"/>
      <c r="AG56" s="482"/>
      <c r="AH56" s="482"/>
      <c r="AI56" s="482"/>
      <c r="AJ56" s="482"/>
      <c r="AK56" s="482"/>
      <c r="AL56" s="482"/>
      <c r="AM56" s="482"/>
      <c r="AN56" s="482"/>
      <c r="AO56" s="482"/>
      <c r="AP56" s="482"/>
      <c r="AQ56" s="482"/>
      <c r="AR56" s="482"/>
      <c r="AS56" s="482"/>
      <c r="AT56" s="482"/>
      <c r="AU56" s="482"/>
      <c r="AV56" s="482"/>
      <c r="AW56" s="482"/>
      <c r="AX56" s="482"/>
      <c r="AY56" s="482"/>
      <c r="AZ56" s="482"/>
      <c r="BA56" s="482"/>
      <c r="BB56" s="482"/>
      <c r="BC56" s="482"/>
      <c r="BD56" s="482"/>
      <c r="BE56" s="482"/>
      <c r="BF56" s="482"/>
      <c r="BG56" s="482"/>
      <c r="BH56" s="482"/>
      <c r="BI56" s="482"/>
      <c r="BJ56" s="3"/>
      <c r="BK56" s="3"/>
      <c r="BL56" s="3"/>
      <c r="BM56" s="3"/>
      <c r="BN56" s="3"/>
    </row>
    <row r="57" spans="1:66" s="1" customFormat="1" ht="12" x14ac:dyDescent="0.15">
      <c r="A57" s="12" t="s">
        <v>176</v>
      </c>
      <c r="B57" s="47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3"/>
      <c r="BK57" s="3"/>
      <c r="BL57" s="3"/>
      <c r="BM57" s="3"/>
      <c r="BN57" s="3"/>
    </row>
    <row r="58" spans="1:66" s="1" customFormat="1" ht="12" x14ac:dyDescent="0.15">
      <c r="A58" s="12"/>
      <c r="B58" s="41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3"/>
      <c r="BK58" s="3"/>
      <c r="BL58" s="3"/>
      <c r="BM58" s="3"/>
      <c r="BN58" s="3"/>
    </row>
    <row r="59" spans="1:66" s="1" customFormat="1" ht="12" x14ac:dyDescent="0.15">
      <c r="A59" s="22" t="s">
        <v>163</v>
      </c>
      <c r="B59" s="474"/>
      <c r="C59" s="483"/>
      <c r="D59" s="483"/>
      <c r="E59" s="483"/>
      <c r="F59" s="483"/>
      <c r="G59" s="483"/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3"/>
      <c r="AB59" s="483"/>
      <c r="AC59" s="483"/>
      <c r="AD59" s="483"/>
      <c r="AE59" s="483"/>
      <c r="AF59" s="483"/>
      <c r="AG59" s="483"/>
      <c r="AH59" s="483"/>
      <c r="AI59" s="483"/>
      <c r="AJ59" s="483"/>
      <c r="AK59" s="483"/>
      <c r="AL59" s="483"/>
      <c r="AM59" s="483"/>
      <c r="AN59" s="483"/>
      <c r="AO59" s="483"/>
      <c r="AP59" s="483"/>
      <c r="AQ59" s="483"/>
      <c r="AR59" s="483"/>
      <c r="AS59" s="483"/>
      <c r="AT59" s="483"/>
      <c r="AU59" s="483"/>
      <c r="AV59" s="483"/>
      <c r="AW59" s="483"/>
      <c r="AX59" s="483"/>
      <c r="AY59" s="483"/>
      <c r="AZ59" s="483"/>
      <c r="BA59" s="483"/>
      <c r="BB59" s="483"/>
      <c r="BC59" s="483"/>
      <c r="BD59" s="483"/>
      <c r="BE59" s="483"/>
      <c r="BF59" s="483"/>
      <c r="BG59" s="483"/>
      <c r="BH59" s="483"/>
      <c r="BI59" s="483"/>
      <c r="BJ59" s="484"/>
      <c r="BK59" s="484"/>
      <c r="BL59" s="484"/>
      <c r="BM59" s="484"/>
      <c r="BN59" s="484"/>
    </row>
    <row r="60" spans="1:66" s="23" customFormat="1" ht="12" x14ac:dyDescent="0.15">
      <c r="A60" s="12" t="s">
        <v>177</v>
      </c>
      <c r="B60" s="474"/>
      <c r="C60" s="474"/>
      <c r="D60" s="474"/>
      <c r="E60" s="474"/>
      <c r="F60" s="474"/>
      <c r="G60" s="474"/>
      <c r="H60" s="474"/>
      <c r="I60" s="474"/>
      <c r="J60" s="474"/>
      <c r="K60" s="474"/>
      <c r="L60" s="474"/>
      <c r="M60" s="474"/>
      <c r="N60" s="474"/>
      <c r="O60" s="474"/>
      <c r="P60" s="474"/>
      <c r="Q60" s="474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  <c r="AL60" s="474"/>
      <c r="AM60" s="474"/>
      <c r="AN60" s="474"/>
      <c r="AO60" s="474"/>
      <c r="AP60" s="474"/>
      <c r="AQ60" s="474"/>
      <c r="AR60" s="474"/>
      <c r="AS60" s="474"/>
      <c r="AT60" s="474"/>
      <c r="AU60" s="474"/>
      <c r="AV60" s="474"/>
      <c r="AW60" s="474"/>
      <c r="AX60" s="474"/>
      <c r="AY60" s="474"/>
      <c r="AZ60" s="474"/>
      <c r="BA60" s="474"/>
      <c r="BB60" s="474"/>
      <c r="BC60" s="474"/>
      <c r="BD60" s="474"/>
      <c r="BE60" s="474"/>
      <c r="BF60" s="474"/>
      <c r="BG60" s="474"/>
      <c r="BH60" s="474"/>
      <c r="BI60" s="474"/>
      <c r="BJ60" s="484"/>
      <c r="BK60" s="484"/>
      <c r="BL60" s="484"/>
      <c r="BM60" s="484"/>
      <c r="BN60" s="484"/>
    </row>
    <row r="61" spans="1:66" s="1" customFormat="1" ht="12" x14ac:dyDescent="0.15">
      <c r="A61" s="12" t="s">
        <v>178</v>
      </c>
      <c r="B61" s="413"/>
      <c r="C61" s="413"/>
      <c r="D61" s="413"/>
      <c r="E61" s="413"/>
      <c r="F61" s="413"/>
      <c r="G61" s="413"/>
      <c r="H61" s="413"/>
      <c r="I61" s="413"/>
      <c r="J61" s="413"/>
      <c r="K61" s="413"/>
      <c r="L61" s="413"/>
      <c r="M61" s="413"/>
      <c r="N61" s="413"/>
      <c r="O61" s="413"/>
      <c r="P61" s="413"/>
      <c r="Q61" s="413"/>
      <c r="R61" s="413"/>
      <c r="S61" s="413"/>
      <c r="T61" s="413"/>
      <c r="U61" s="413"/>
      <c r="V61" s="413"/>
      <c r="W61" s="413"/>
      <c r="X61" s="413"/>
      <c r="Y61" s="413"/>
      <c r="Z61" s="413"/>
      <c r="AA61" s="413"/>
      <c r="AB61" s="413"/>
      <c r="AC61" s="413"/>
      <c r="AD61" s="413"/>
      <c r="AE61" s="413"/>
      <c r="AF61" s="413"/>
      <c r="AG61" s="413"/>
      <c r="AH61" s="413"/>
      <c r="AI61" s="413"/>
      <c r="AJ61" s="413"/>
      <c r="AK61" s="413"/>
      <c r="AL61" s="413"/>
      <c r="AM61" s="413"/>
      <c r="AN61" s="413"/>
      <c r="AO61" s="413"/>
      <c r="AP61" s="413"/>
      <c r="AQ61" s="413"/>
      <c r="AR61" s="413"/>
      <c r="AS61" s="413"/>
      <c r="AT61" s="413"/>
      <c r="AU61" s="413"/>
      <c r="AV61" s="413"/>
      <c r="AW61" s="413"/>
      <c r="AX61" s="413"/>
      <c r="AY61" s="413"/>
      <c r="AZ61" s="413"/>
      <c r="BA61" s="413"/>
      <c r="BB61" s="413"/>
      <c r="BC61" s="413"/>
      <c r="BD61" s="413"/>
      <c r="BE61" s="413"/>
      <c r="BF61" s="413"/>
      <c r="BG61" s="413"/>
      <c r="BH61" s="413"/>
      <c r="BI61" s="413"/>
      <c r="BJ61" s="484"/>
      <c r="BK61" s="484"/>
      <c r="BL61" s="484"/>
      <c r="BM61" s="484"/>
      <c r="BN61" s="484"/>
    </row>
    <row r="62" spans="1:66" s="20" customFormat="1" ht="12" x14ac:dyDescent="0.15">
      <c r="A62" s="24" t="s">
        <v>167</v>
      </c>
      <c r="B62" s="485"/>
      <c r="C62" s="485"/>
      <c r="D62" s="485"/>
      <c r="E62" s="485"/>
      <c r="F62" s="485"/>
      <c r="G62" s="485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5"/>
      <c r="AB62" s="485"/>
      <c r="AC62" s="485"/>
      <c r="AD62" s="485"/>
      <c r="AE62" s="485"/>
      <c r="AF62" s="485"/>
      <c r="AG62" s="485"/>
      <c r="AH62" s="485"/>
      <c r="AI62" s="485"/>
      <c r="AJ62" s="485"/>
      <c r="AK62" s="485"/>
      <c r="AL62" s="485"/>
      <c r="AM62" s="485"/>
      <c r="AN62" s="485"/>
      <c r="AO62" s="485"/>
      <c r="AP62" s="485"/>
      <c r="AQ62" s="485"/>
      <c r="AR62" s="485"/>
      <c r="AS62" s="485"/>
      <c r="AT62" s="485"/>
      <c r="AU62" s="485"/>
      <c r="AV62" s="485"/>
      <c r="AW62" s="485"/>
      <c r="AX62" s="485"/>
      <c r="AY62" s="485"/>
      <c r="AZ62" s="485"/>
      <c r="BA62" s="485"/>
      <c r="BB62" s="485"/>
      <c r="BC62" s="485"/>
      <c r="BD62" s="485"/>
      <c r="BE62" s="485"/>
      <c r="BF62" s="485"/>
      <c r="BG62" s="485"/>
      <c r="BH62" s="485"/>
      <c r="BI62" s="485"/>
      <c r="BJ62" s="475"/>
      <c r="BK62" s="475"/>
      <c r="BL62" s="475"/>
      <c r="BM62" s="475"/>
      <c r="BN62" s="475"/>
    </row>
    <row r="63" spans="1:66" x14ac:dyDescent="0.15">
      <c r="B63" s="481"/>
      <c r="C63" s="481"/>
      <c r="D63" s="481"/>
      <c r="E63" s="481"/>
      <c r="F63" s="481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81"/>
      <c r="AB63" s="481"/>
      <c r="AC63" s="481"/>
      <c r="AD63" s="481"/>
      <c r="AE63" s="481"/>
      <c r="AF63" s="481"/>
      <c r="AG63" s="481"/>
      <c r="AH63" s="481"/>
      <c r="AI63" s="481"/>
      <c r="AJ63" s="481"/>
      <c r="AK63" s="481"/>
      <c r="AL63" s="481"/>
      <c r="AM63" s="481"/>
      <c r="AN63" s="481"/>
      <c r="AO63" s="481"/>
      <c r="AP63" s="481"/>
      <c r="AQ63" s="481"/>
      <c r="AR63" s="481"/>
      <c r="AS63" s="481"/>
      <c r="AT63" s="481"/>
      <c r="AU63" s="481"/>
      <c r="AV63" s="481"/>
      <c r="AW63" s="481"/>
      <c r="AX63" s="481"/>
      <c r="AY63" s="481"/>
      <c r="AZ63" s="481"/>
      <c r="BA63" s="481"/>
      <c r="BB63" s="481"/>
      <c r="BC63" s="481"/>
      <c r="BD63" s="481"/>
      <c r="BE63" s="481"/>
      <c r="BF63" s="481"/>
      <c r="BG63" s="481"/>
      <c r="BH63" s="481"/>
      <c r="BI63" s="481"/>
    </row>
    <row r="64" spans="1:66" s="1" customFormat="1" ht="12" x14ac:dyDescent="0.15">
      <c r="A64" s="131" t="s">
        <v>185</v>
      </c>
      <c r="B64" s="143"/>
      <c r="C64" s="143"/>
      <c r="D64" s="143"/>
      <c r="E64" s="482"/>
      <c r="F64" s="482"/>
      <c r="G64" s="482"/>
      <c r="H64" s="482"/>
      <c r="I64" s="482"/>
      <c r="J64" s="482"/>
      <c r="K64" s="482"/>
      <c r="L64" s="482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  <c r="AA64" s="482"/>
      <c r="AB64" s="482"/>
      <c r="AC64" s="482"/>
      <c r="AD64" s="482"/>
      <c r="AE64" s="482"/>
      <c r="AF64" s="482"/>
      <c r="AG64" s="482"/>
      <c r="AH64" s="482"/>
      <c r="AI64" s="482"/>
      <c r="AJ64" s="482"/>
      <c r="AK64" s="482"/>
      <c r="AL64" s="482"/>
      <c r="AM64" s="482"/>
      <c r="AN64" s="482"/>
      <c r="AO64" s="482"/>
      <c r="AP64" s="482"/>
      <c r="AQ64" s="482"/>
      <c r="AR64" s="482"/>
      <c r="AS64" s="482"/>
      <c r="AT64" s="482"/>
      <c r="AU64" s="482"/>
      <c r="AV64" s="482"/>
      <c r="AW64" s="482"/>
      <c r="AX64" s="482"/>
      <c r="AY64" s="482"/>
      <c r="AZ64" s="482"/>
      <c r="BA64" s="482"/>
      <c r="BB64" s="482"/>
      <c r="BC64" s="482"/>
      <c r="BD64" s="482"/>
      <c r="BE64" s="482"/>
      <c r="BF64" s="482"/>
      <c r="BG64" s="482"/>
      <c r="BH64" s="482"/>
      <c r="BI64" s="482"/>
      <c r="BJ64" s="3"/>
      <c r="BK64" s="3"/>
      <c r="BL64" s="3"/>
      <c r="BM64" s="3"/>
      <c r="BN64" s="3"/>
    </row>
    <row r="65" spans="1:66" s="1" customFormat="1" ht="12" x14ac:dyDescent="0.15">
      <c r="A65" s="12" t="s">
        <v>176</v>
      </c>
      <c r="B65" s="47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3"/>
      <c r="BK65" s="3"/>
      <c r="BL65" s="3"/>
      <c r="BM65" s="3"/>
      <c r="BN65" s="3"/>
    </row>
    <row r="66" spans="1:66" s="1" customFormat="1" ht="12" x14ac:dyDescent="0.15">
      <c r="A66" s="12"/>
      <c r="B66" s="41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3"/>
      <c r="BK66" s="3"/>
      <c r="BL66" s="3"/>
      <c r="BM66" s="3"/>
      <c r="BN66" s="3"/>
    </row>
    <row r="67" spans="1:66" s="1" customFormat="1" ht="12" x14ac:dyDescent="0.15">
      <c r="A67" s="22" t="s">
        <v>163</v>
      </c>
      <c r="B67" s="474"/>
      <c r="C67" s="483"/>
      <c r="D67" s="483"/>
      <c r="E67" s="483"/>
      <c r="F67" s="483"/>
      <c r="G67" s="483"/>
      <c r="H67" s="483"/>
      <c r="I67" s="483"/>
      <c r="J67" s="483"/>
      <c r="K67" s="483"/>
      <c r="L67" s="483"/>
      <c r="M67" s="483"/>
      <c r="N67" s="483"/>
      <c r="O67" s="483"/>
      <c r="P67" s="483"/>
      <c r="Q67" s="483"/>
      <c r="R67" s="483"/>
      <c r="S67" s="483"/>
      <c r="T67" s="483"/>
      <c r="U67" s="483"/>
      <c r="V67" s="483"/>
      <c r="W67" s="483"/>
      <c r="X67" s="483"/>
      <c r="Y67" s="483"/>
      <c r="Z67" s="483"/>
      <c r="AA67" s="483"/>
      <c r="AB67" s="483"/>
      <c r="AC67" s="483"/>
      <c r="AD67" s="483"/>
      <c r="AE67" s="483"/>
      <c r="AF67" s="483"/>
      <c r="AG67" s="483"/>
      <c r="AH67" s="483"/>
      <c r="AI67" s="483"/>
      <c r="AJ67" s="483"/>
      <c r="AK67" s="483"/>
      <c r="AL67" s="483"/>
      <c r="AM67" s="483"/>
      <c r="AN67" s="483"/>
      <c r="AO67" s="483"/>
      <c r="AP67" s="483"/>
      <c r="AQ67" s="483"/>
      <c r="AR67" s="483"/>
      <c r="AS67" s="483"/>
      <c r="AT67" s="483"/>
      <c r="AU67" s="483"/>
      <c r="AV67" s="483"/>
      <c r="AW67" s="483"/>
      <c r="AX67" s="483"/>
      <c r="AY67" s="483"/>
      <c r="AZ67" s="483"/>
      <c r="BA67" s="483"/>
      <c r="BB67" s="483"/>
      <c r="BC67" s="483"/>
      <c r="BD67" s="483"/>
      <c r="BE67" s="483"/>
      <c r="BF67" s="483"/>
      <c r="BG67" s="483"/>
      <c r="BH67" s="483"/>
      <c r="BI67" s="483"/>
      <c r="BJ67" s="484"/>
      <c r="BK67" s="484"/>
      <c r="BL67" s="484"/>
      <c r="BM67" s="484"/>
      <c r="BN67" s="484"/>
    </row>
    <row r="68" spans="1:66" s="23" customFormat="1" ht="12" x14ac:dyDescent="0.15">
      <c r="A68" s="12" t="s">
        <v>177</v>
      </c>
      <c r="B68" s="474"/>
      <c r="C68" s="474"/>
      <c r="D68" s="474"/>
      <c r="E68" s="474"/>
      <c r="F68" s="474"/>
      <c r="G68" s="474"/>
      <c r="H68" s="474"/>
      <c r="I68" s="474"/>
      <c r="J68" s="474"/>
      <c r="K68" s="474"/>
      <c r="L68" s="474"/>
      <c r="M68" s="474"/>
      <c r="N68" s="474"/>
      <c r="O68" s="474"/>
      <c r="P68" s="474"/>
      <c r="Q68" s="474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  <c r="AL68" s="474"/>
      <c r="AM68" s="474"/>
      <c r="AN68" s="474"/>
      <c r="AO68" s="474"/>
      <c r="AP68" s="474"/>
      <c r="AQ68" s="474"/>
      <c r="AR68" s="474"/>
      <c r="AS68" s="474"/>
      <c r="AT68" s="474"/>
      <c r="AU68" s="474"/>
      <c r="AV68" s="474"/>
      <c r="AW68" s="474"/>
      <c r="AX68" s="474"/>
      <c r="AY68" s="474"/>
      <c r="AZ68" s="474"/>
      <c r="BA68" s="474"/>
      <c r="BB68" s="474"/>
      <c r="BC68" s="474"/>
      <c r="BD68" s="474"/>
      <c r="BE68" s="474"/>
      <c r="BF68" s="474"/>
      <c r="BG68" s="474"/>
      <c r="BH68" s="474"/>
      <c r="BI68" s="474"/>
      <c r="BJ68" s="484"/>
      <c r="BK68" s="484"/>
      <c r="BL68" s="484"/>
      <c r="BM68" s="484"/>
      <c r="BN68" s="484"/>
    </row>
    <row r="69" spans="1:66" s="1" customFormat="1" ht="12" x14ac:dyDescent="0.15">
      <c r="A69" s="12" t="s">
        <v>178</v>
      </c>
      <c r="B69" s="413"/>
      <c r="C69" s="413"/>
      <c r="D69" s="413"/>
      <c r="E69" s="413"/>
      <c r="F69" s="413"/>
      <c r="G69" s="413"/>
      <c r="H69" s="413"/>
      <c r="I69" s="413"/>
      <c r="J69" s="413"/>
      <c r="K69" s="413"/>
      <c r="L69" s="413"/>
      <c r="M69" s="413"/>
      <c r="N69" s="413"/>
      <c r="O69" s="413"/>
      <c r="P69" s="413"/>
      <c r="Q69" s="413"/>
      <c r="R69" s="413"/>
      <c r="S69" s="413"/>
      <c r="T69" s="413"/>
      <c r="U69" s="413"/>
      <c r="V69" s="413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13"/>
      <c r="AM69" s="413"/>
      <c r="AN69" s="413"/>
      <c r="AO69" s="413"/>
      <c r="AP69" s="413"/>
      <c r="AQ69" s="413"/>
      <c r="AR69" s="413"/>
      <c r="AS69" s="413"/>
      <c r="AT69" s="413"/>
      <c r="AU69" s="413"/>
      <c r="AV69" s="413"/>
      <c r="AW69" s="413"/>
      <c r="AX69" s="413"/>
      <c r="AY69" s="413"/>
      <c r="AZ69" s="413"/>
      <c r="BA69" s="413"/>
      <c r="BB69" s="413"/>
      <c r="BC69" s="413"/>
      <c r="BD69" s="413"/>
      <c r="BE69" s="413"/>
      <c r="BF69" s="413"/>
      <c r="BG69" s="413"/>
      <c r="BH69" s="413"/>
      <c r="BI69" s="413"/>
      <c r="BJ69" s="484"/>
      <c r="BK69" s="484"/>
      <c r="BL69" s="484"/>
      <c r="BM69" s="484"/>
      <c r="BN69" s="484"/>
    </row>
    <row r="70" spans="1:66" s="20" customFormat="1" ht="12" x14ac:dyDescent="0.15">
      <c r="A70" s="24" t="s">
        <v>167</v>
      </c>
      <c r="B70" s="485"/>
      <c r="C70" s="485"/>
      <c r="D70" s="485"/>
      <c r="E70" s="485"/>
      <c r="F70" s="485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  <c r="AA70" s="485"/>
      <c r="AB70" s="485"/>
      <c r="AC70" s="485"/>
      <c r="AD70" s="485"/>
      <c r="AE70" s="485"/>
      <c r="AF70" s="485"/>
      <c r="AG70" s="485"/>
      <c r="AH70" s="485"/>
      <c r="AI70" s="485"/>
      <c r="AJ70" s="485"/>
      <c r="AK70" s="485"/>
      <c r="AL70" s="485"/>
      <c r="AM70" s="485"/>
      <c r="AN70" s="485"/>
      <c r="AO70" s="485"/>
      <c r="AP70" s="485"/>
      <c r="AQ70" s="485"/>
      <c r="AR70" s="485"/>
      <c r="AS70" s="485"/>
      <c r="AT70" s="485"/>
      <c r="AU70" s="485"/>
      <c r="AV70" s="485"/>
      <c r="AW70" s="485"/>
      <c r="AX70" s="485"/>
      <c r="AY70" s="485"/>
      <c r="AZ70" s="485"/>
      <c r="BA70" s="485"/>
      <c r="BB70" s="485"/>
      <c r="BC70" s="485"/>
      <c r="BD70" s="485"/>
      <c r="BE70" s="485"/>
      <c r="BF70" s="485"/>
      <c r="BG70" s="485"/>
      <c r="BH70" s="485"/>
      <c r="BI70" s="485"/>
      <c r="BJ70" s="475"/>
      <c r="BK70" s="475"/>
      <c r="BL70" s="475"/>
      <c r="BM70" s="475"/>
      <c r="BN70" s="475"/>
    </row>
    <row r="71" spans="1:66" x14ac:dyDescent="0.15">
      <c r="B71" s="481"/>
      <c r="C71" s="481"/>
      <c r="D71" s="481"/>
      <c r="E71" s="481"/>
      <c r="F71" s="481"/>
      <c r="G71" s="481"/>
      <c r="H71" s="481"/>
      <c r="I71" s="481"/>
      <c r="J71" s="481"/>
      <c r="K71" s="481"/>
      <c r="L71" s="481"/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  <c r="Z71" s="481"/>
      <c r="AA71" s="481"/>
      <c r="AB71" s="481"/>
      <c r="AC71" s="481"/>
      <c r="AD71" s="481"/>
      <c r="AE71" s="481"/>
      <c r="AF71" s="481"/>
      <c r="AG71" s="481"/>
      <c r="AH71" s="481"/>
      <c r="AI71" s="481"/>
      <c r="AJ71" s="481"/>
      <c r="AK71" s="481"/>
      <c r="AL71" s="481"/>
      <c r="AM71" s="481"/>
      <c r="AN71" s="481"/>
      <c r="AO71" s="481"/>
      <c r="AP71" s="481"/>
      <c r="AQ71" s="481"/>
      <c r="AR71" s="481"/>
      <c r="AS71" s="481"/>
      <c r="AT71" s="481"/>
      <c r="AU71" s="481"/>
      <c r="AV71" s="481"/>
      <c r="AW71" s="481"/>
      <c r="AX71" s="481"/>
      <c r="AY71" s="481"/>
      <c r="AZ71" s="481"/>
      <c r="BA71" s="481"/>
      <c r="BB71" s="481"/>
      <c r="BC71" s="481"/>
      <c r="BD71" s="481"/>
      <c r="BE71" s="481"/>
      <c r="BF71" s="481"/>
      <c r="BG71" s="481"/>
      <c r="BH71" s="481"/>
      <c r="BI71" s="481"/>
    </row>
    <row r="72" spans="1:66" s="1" customFormat="1" ht="12" x14ac:dyDescent="0.15">
      <c r="A72" s="131" t="s">
        <v>186</v>
      </c>
      <c r="B72" s="143"/>
      <c r="C72" s="143"/>
      <c r="D72" s="143"/>
      <c r="E72" s="482"/>
      <c r="F72" s="482"/>
      <c r="G72" s="482"/>
      <c r="H72" s="482"/>
      <c r="I72" s="482"/>
      <c r="J72" s="482"/>
      <c r="K72" s="482"/>
      <c r="L72" s="482"/>
      <c r="M72" s="482"/>
      <c r="N72" s="482"/>
      <c r="O72" s="482"/>
      <c r="P72" s="482"/>
      <c r="Q72" s="482"/>
      <c r="R72" s="482"/>
      <c r="S72" s="482"/>
      <c r="T72" s="482"/>
      <c r="U72" s="482"/>
      <c r="V72" s="482"/>
      <c r="W72" s="482"/>
      <c r="X72" s="482"/>
      <c r="Y72" s="482"/>
      <c r="Z72" s="482"/>
      <c r="AA72" s="482"/>
      <c r="AB72" s="482"/>
      <c r="AC72" s="482"/>
      <c r="AD72" s="482"/>
      <c r="AE72" s="482"/>
      <c r="AF72" s="482"/>
      <c r="AG72" s="482"/>
      <c r="AH72" s="482"/>
      <c r="AI72" s="482"/>
      <c r="AJ72" s="482"/>
      <c r="AK72" s="482"/>
      <c r="AL72" s="482"/>
      <c r="AM72" s="482"/>
      <c r="AN72" s="482"/>
      <c r="AO72" s="482"/>
      <c r="AP72" s="482"/>
      <c r="AQ72" s="482"/>
      <c r="AR72" s="482"/>
      <c r="AS72" s="482"/>
      <c r="AT72" s="482"/>
      <c r="AU72" s="482"/>
      <c r="AV72" s="482"/>
      <c r="AW72" s="482"/>
      <c r="AX72" s="482"/>
      <c r="AY72" s="482"/>
      <c r="AZ72" s="482"/>
      <c r="BA72" s="482"/>
      <c r="BB72" s="482"/>
      <c r="BC72" s="482"/>
      <c r="BD72" s="482"/>
      <c r="BE72" s="482"/>
      <c r="BF72" s="482"/>
      <c r="BG72" s="482"/>
      <c r="BH72" s="482"/>
      <c r="BI72" s="482"/>
      <c r="BJ72" s="3"/>
      <c r="BK72" s="3"/>
      <c r="BL72" s="3"/>
      <c r="BM72" s="3"/>
      <c r="BN72" s="3"/>
    </row>
    <row r="73" spans="1:66" s="1" customFormat="1" ht="12" x14ac:dyDescent="0.15">
      <c r="A73" s="12" t="s">
        <v>176</v>
      </c>
      <c r="B73" s="47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3"/>
      <c r="BK73" s="3"/>
      <c r="BL73" s="3"/>
      <c r="BM73" s="3"/>
      <c r="BN73" s="3"/>
    </row>
    <row r="74" spans="1:66" s="1" customFormat="1" ht="12" x14ac:dyDescent="0.15">
      <c r="A74" s="12"/>
      <c r="B74" s="41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3"/>
      <c r="BK74" s="3"/>
      <c r="BL74" s="3"/>
      <c r="BM74" s="3"/>
      <c r="BN74" s="3"/>
    </row>
    <row r="75" spans="1:66" s="1" customFormat="1" ht="12" x14ac:dyDescent="0.15">
      <c r="A75" s="22" t="s">
        <v>163</v>
      </c>
      <c r="B75" s="474"/>
      <c r="C75" s="483"/>
      <c r="D75" s="483"/>
      <c r="E75" s="483"/>
      <c r="F75" s="483"/>
      <c r="G75" s="483"/>
      <c r="H75" s="483"/>
      <c r="I75" s="483"/>
      <c r="J75" s="483"/>
      <c r="K75" s="483"/>
      <c r="L75" s="483"/>
      <c r="M75" s="483"/>
      <c r="N75" s="483"/>
      <c r="O75" s="483"/>
      <c r="P75" s="483"/>
      <c r="Q75" s="483"/>
      <c r="R75" s="483"/>
      <c r="S75" s="483"/>
      <c r="T75" s="483"/>
      <c r="U75" s="483"/>
      <c r="V75" s="483"/>
      <c r="W75" s="483"/>
      <c r="X75" s="483"/>
      <c r="Y75" s="483"/>
      <c r="Z75" s="483"/>
      <c r="AA75" s="483"/>
      <c r="AB75" s="483"/>
      <c r="AC75" s="483"/>
      <c r="AD75" s="483"/>
      <c r="AE75" s="483"/>
      <c r="AF75" s="483"/>
      <c r="AG75" s="483"/>
      <c r="AH75" s="483"/>
      <c r="AI75" s="483"/>
      <c r="AJ75" s="483"/>
      <c r="AK75" s="483"/>
      <c r="AL75" s="483"/>
      <c r="AM75" s="483"/>
      <c r="AN75" s="483"/>
      <c r="AO75" s="483"/>
      <c r="AP75" s="483"/>
      <c r="AQ75" s="483"/>
      <c r="AR75" s="483"/>
      <c r="AS75" s="483"/>
      <c r="AT75" s="483"/>
      <c r="AU75" s="483"/>
      <c r="AV75" s="483"/>
      <c r="AW75" s="483"/>
      <c r="AX75" s="483"/>
      <c r="AY75" s="483"/>
      <c r="AZ75" s="483"/>
      <c r="BA75" s="483"/>
      <c r="BB75" s="483"/>
      <c r="BC75" s="483"/>
      <c r="BD75" s="483"/>
      <c r="BE75" s="483"/>
      <c r="BF75" s="483"/>
      <c r="BG75" s="483"/>
      <c r="BH75" s="483"/>
      <c r="BI75" s="483"/>
      <c r="BJ75" s="484"/>
      <c r="BK75" s="484"/>
      <c r="BL75" s="484"/>
      <c r="BM75" s="484"/>
      <c r="BN75" s="484"/>
    </row>
    <row r="76" spans="1:66" s="23" customFormat="1" ht="12" x14ac:dyDescent="0.15">
      <c r="A76" s="12" t="s">
        <v>177</v>
      </c>
      <c r="B76" s="474"/>
      <c r="C76" s="474"/>
      <c r="D76" s="474"/>
      <c r="E76" s="474"/>
      <c r="F76" s="474"/>
      <c r="G76" s="474"/>
      <c r="H76" s="474"/>
      <c r="I76" s="474"/>
      <c r="J76" s="474"/>
      <c r="K76" s="474"/>
      <c r="L76" s="474"/>
      <c r="M76" s="474"/>
      <c r="N76" s="474"/>
      <c r="O76" s="474"/>
      <c r="P76" s="474"/>
      <c r="Q76" s="474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  <c r="AL76" s="474"/>
      <c r="AM76" s="474"/>
      <c r="AN76" s="474"/>
      <c r="AO76" s="474"/>
      <c r="AP76" s="474"/>
      <c r="AQ76" s="474"/>
      <c r="AR76" s="474"/>
      <c r="AS76" s="474"/>
      <c r="AT76" s="474"/>
      <c r="AU76" s="474"/>
      <c r="AV76" s="474"/>
      <c r="AW76" s="474"/>
      <c r="AX76" s="474"/>
      <c r="AY76" s="474"/>
      <c r="AZ76" s="474"/>
      <c r="BA76" s="474"/>
      <c r="BB76" s="474"/>
      <c r="BC76" s="474"/>
      <c r="BD76" s="474"/>
      <c r="BE76" s="474"/>
      <c r="BF76" s="474"/>
      <c r="BG76" s="474"/>
      <c r="BH76" s="474"/>
      <c r="BI76" s="474"/>
      <c r="BJ76" s="484"/>
      <c r="BK76" s="484"/>
      <c r="BL76" s="484"/>
      <c r="BM76" s="484"/>
      <c r="BN76" s="484"/>
    </row>
    <row r="77" spans="1:66" s="1" customFormat="1" ht="12" x14ac:dyDescent="0.15">
      <c r="A77" s="12" t="s">
        <v>178</v>
      </c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413"/>
      <c r="AB77" s="413"/>
      <c r="AC77" s="413"/>
      <c r="AD77" s="413"/>
      <c r="AE77" s="413"/>
      <c r="AF77" s="413"/>
      <c r="AG77" s="413"/>
      <c r="AH77" s="413"/>
      <c r="AI77" s="413"/>
      <c r="AJ77" s="413"/>
      <c r="AK77" s="413"/>
      <c r="AL77" s="413"/>
      <c r="AM77" s="413"/>
      <c r="AN77" s="413"/>
      <c r="AO77" s="413"/>
      <c r="AP77" s="413"/>
      <c r="AQ77" s="413"/>
      <c r="AR77" s="413"/>
      <c r="AS77" s="413"/>
      <c r="AT77" s="413"/>
      <c r="AU77" s="413"/>
      <c r="AV77" s="413"/>
      <c r="AW77" s="413"/>
      <c r="AX77" s="413"/>
      <c r="AY77" s="413"/>
      <c r="AZ77" s="413"/>
      <c r="BA77" s="413"/>
      <c r="BB77" s="413"/>
      <c r="BC77" s="413"/>
      <c r="BD77" s="413"/>
      <c r="BE77" s="413"/>
      <c r="BF77" s="413"/>
      <c r="BG77" s="413"/>
      <c r="BH77" s="413"/>
      <c r="BI77" s="413"/>
      <c r="BJ77" s="484"/>
      <c r="BK77" s="484"/>
      <c r="BL77" s="484"/>
      <c r="BM77" s="484"/>
      <c r="BN77" s="484"/>
    </row>
    <row r="78" spans="1:66" s="20" customFormat="1" ht="12" x14ac:dyDescent="0.15">
      <c r="A78" s="24" t="s">
        <v>167</v>
      </c>
      <c r="B78" s="485"/>
      <c r="C78" s="485"/>
      <c r="D78" s="485"/>
      <c r="E78" s="485"/>
      <c r="F78" s="485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U78" s="485"/>
      <c r="V78" s="485"/>
      <c r="W78" s="485"/>
      <c r="X78" s="485"/>
      <c r="Y78" s="485"/>
      <c r="Z78" s="485"/>
      <c r="AA78" s="485"/>
      <c r="AB78" s="485"/>
      <c r="AC78" s="485"/>
      <c r="AD78" s="485"/>
      <c r="AE78" s="485"/>
      <c r="AF78" s="485"/>
      <c r="AG78" s="485"/>
      <c r="AH78" s="485"/>
      <c r="AI78" s="485"/>
      <c r="AJ78" s="485"/>
      <c r="AK78" s="485"/>
      <c r="AL78" s="485"/>
      <c r="AM78" s="485"/>
      <c r="AN78" s="485"/>
      <c r="AO78" s="485"/>
      <c r="AP78" s="485"/>
      <c r="AQ78" s="485"/>
      <c r="AR78" s="485"/>
      <c r="AS78" s="485"/>
      <c r="AT78" s="485"/>
      <c r="AU78" s="485"/>
      <c r="AV78" s="485"/>
      <c r="AW78" s="485"/>
      <c r="AX78" s="485"/>
      <c r="AY78" s="485"/>
      <c r="AZ78" s="485"/>
      <c r="BA78" s="485"/>
      <c r="BB78" s="485"/>
      <c r="BC78" s="485"/>
      <c r="BD78" s="485"/>
      <c r="BE78" s="485"/>
      <c r="BF78" s="485"/>
      <c r="BG78" s="485"/>
      <c r="BH78" s="485"/>
      <c r="BI78" s="485"/>
      <c r="BJ78" s="475"/>
      <c r="BK78" s="475"/>
      <c r="BL78" s="475"/>
      <c r="BM78" s="475"/>
      <c r="BN78" s="475"/>
    </row>
    <row r="79" spans="1:66" x14ac:dyDescent="0.15"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1"/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  <c r="Z79" s="481"/>
      <c r="AA79" s="481"/>
      <c r="AB79" s="481"/>
      <c r="AC79" s="481"/>
      <c r="AD79" s="481"/>
      <c r="AE79" s="481"/>
      <c r="AF79" s="481"/>
      <c r="AG79" s="481"/>
      <c r="AH79" s="481"/>
      <c r="AI79" s="481"/>
      <c r="AJ79" s="481"/>
      <c r="AK79" s="481"/>
      <c r="AL79" s="481"/>
      <c r="AM79" s="481"/>
      <c r="AN79" s="481"/>
      <c r="AO79" s="481"/>
      <c r="AP79" s="481"/>
      <c r="AQ79" s="481"/>
      <c r="AR79" s="481"/>
      <c r="AS79" s="481"/>
      <c r="AT79" s="481"/>
      <c r="AU79" s="481"/>
      <c r="AV79" s="481"/>
      <c r="AW79" s="481"/>
      <c r="AX79" s="481"/>
      <c r="AY79" s="481"/>
      <c r="AZ79" s="481"/>
      <c r="BA79" s="481"/>
      <c r="BB79" s="481"/>
      <c r="BC79" s="481"/>
      <c r="BD79" s="481"/>
      <c r="BE79" s="481"/>
      <c r="BF79" s="481"/>
      <c r="BG79" s="481"/>
      <c r="BH79" s="481"/>
      <c r="BI79" s="481"/>
    </row>
    <row r="80" spans="1:66" s="1" customFormat="1" ht="12" x14ac:dyDescent="0.15">
      <c r="A80" s="131" t="s">
        <v>187</v>
      </c>
      <c r="B80" s="143"/>
      <c r="C80" s="143"/>
      <c r="D80" s="143"/>
      <c r="E80" s="482"/>
      <c r="F80" s="482"/>
      <c r="G80" s="482"/>
      <c r="H80" s="482"/>
      <c r="I80" s="482"/>
      <c r="J80" s="482"/>
      <c r="K80" s="482"/>
      <c r="L80" s="482"/>
      <c r="M80" s="482"/>
      <c r="N80" s="482"/>
      <c r="O80" s="482"/>
      <c r="P80" s="482"/>
      <c r="Q80" s="482"/>
      <c r="R80" s="482"/>
      <c r="S80" s="482"/>
      <c r="T80" s="482"/>
      <c r="U80" s="482"/>
      <c r="V80" s="482"/>
      <c r="W80" s="482"/>
      <c r="X80" s="482"/>
      <c r="Y80" s="482"/>
      <c r="Z80" s="482"/>
      <c r="AA80" s="482"/>
      <c r="AB80" s="482"/>
      <c r="AC80" s="482"/>
      <c r="AD80" s="482"/>
      <c r="AE80" s="482"/>
      <c r="AF80" s="482"/>
      <c r="AG80" s="482"/>
      <c r="AH80" s="482"/>
      <c r="AI80" s="482"/>
      <c r="AJ80" s="482"/>
      <c r="AK80" s="482"/>
      <c r="AL80" s="482"/>
      <c r="AM80" s="482"/>
      <c r="AN80" s="482"/>
      <c r="AO80" s="482"/>
      <c r="AP80" s="482"/>
      <c r="AQ80" s="482"/>
      <c r="AR80" s="482"/>
      <c r="AS80" s="482"/>
      <c r="AT80" s="482"/>
      <c r="AU80" s="482"/>
      <c r="AV80" s="482"/>
      <c r="AW80" s="482"/>
      <c r="AX80" s="482"/>
      <c r="AY80" s="482"/>
      <c r="AZ80" s="482"/>
      <c r="BA80" s="482"/>
      <c r="BB80" s="482"/>
      <c r="BC80" s="482"/>
      <c r="BD80" s="482"/>
      <c r="BE80" s="482"/>
      <c r="BF80" s="482"/>
      <c r="BG80" s="482"/>
      <c r="BH80" s="482"/>
      <c r="BI80" s="482"/>
      <c r="BJ80" s="3"/>
      <c r="BK80" s="3"/>
      <c r="BL80" s="3"/>
      <c r="BM80" s="3"/>
      <c r="BN80" s="3"/>
    </row>
    <row r="81" spans="1:66" s="1" customFormat="1" ht="12" x14ac:dyDescent="0.15">
      <c r="A81" s="12" t="s">
        <v>176</v>
      </c>
      <c r="B81" s="47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3"/>
      <c r="BK81" s="3"/>
      <c r="BL81" s="3"/>
      <c r="BM81" s="3"/>
      <c r="BN81" s="3"/>
    </row>
    <row r="82" spans="1:66" s="1" customFormat="1" ht="12" x14ac:dyDescent="0.15">
      <c r="A82" s="12"/>
      <c r="B82" s="41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3"/>
      <c r="BK82" s="3"/>
      <c r="BL82" s="3"/>
      <c r="BM82" s="3"/>
      <c r="BN82" s="3"/>
    </row>
    <row r="83" spans="1:66" s="1" customFormat="1" ht="12" x14ac:dyDescent="0.15">
      <c r="A83" s="22" t="s">
        <v>163</v>
      </c>
      <c r="B83" s="474"/>
      <c r="C83" s="483"/>
      <c r="D83" s="483"/>
      <c r="E83" s="483"/>
      <c r="F83" s="483"/>
      <c r="G83" s="483"/>
      <c r="H83" s="483"/>
      <c r="I83" s="483"/>
      <c r="J83" s="483"/>
      <c r="K83" s="483"/>
      <c r="L83" s="483"/>
      <c r="M83" s="483"/>
      <c r="N83" s="483"/>
      <c r="O83" s="483"/>
      <c r="P83" s="483"/>
      <c r="Q83" s="483"/>
      <c r="R83" s="483"/>
      <c r="S83" s="483"/>
      <c r="T83" s="483"/>
      <c r="U83" s="483"/>
      <c r="V83" s="483"/>
      <c r="W83" s="483"/>
      <c r="X83" s="483"/>
      <c r="Y83" s="483"/>
      <c r="Z83" s="483"/>
      <c r="AA83" s="483"/>
      <c r="AB83" s="483"/>
      <c r="AC83" s="483"/>
      <c r="AD83" s="483"/>
      <c r="AE83" s="483"/>
      <c r="AF83" s="483"/>
      <c r="AG83" s="483"/>
      <c r="AH83" s="483"/>
      <c r="AI83" s="483"/>
      <c r="AJ83" s="483"/>
      <c r="AK83" s="483"/>
      <c r="AL83" s="483"/>
      <c r="AM83" s="483"/>
      <c r="AN83" s="483"/>
      <c r="AO83" s="483"/>
      <c r="AP83" s="483"/>
      <c r="AQ83" s="483"/>
      <c r="AR83" s="483"/>
      <c r="AS83" s="483"/>
      <c r="AT83" s="483"/>
      <c r="AU83" s="483"/>
      <c r="AV83" s="483"/>
      <c r="AW83" s="483"/>
      <c r="AX83" s="483"/>
      <c r="AY83" s="483"/>
      <c r="AZ83" s="483"/>
      <c r="BA83" s="483"/>
      <c r="BB83" s="483"/>
      <c r="BC83" s="483"/>
      <c r="BD83" s="483"/>
      <c r="BE83" s="483"/>
      <c r="BF83" s="483"/>
      <c r="BG83" s="483"/>
      <c r="BH83" s="483"/>
      <c r="BI83" s="483"/>
      <c r="BJ83" s="484"/>
      <c r="BK83" s="484"/>
      <c r="BL83" s="484"/>
      <c r="BM83" s="484"/>
      <c r="BN83" s="484"/>
    </row>
    <row r="84" spans="1:66" s="23" customFormat="1" ht="12" x14ac:dyDescent="0.15">
      <c r="A84" s="12" t="s">
        <v>177</v>
      </c>
      <c r="B84" s="474"/>
      <c r="C84" s="474"/>
      <c r="D84" s="474"/>
      <c r="E84" s="474"/>
      <c r="F84" s="474"/>
      <c r="G84" s="474"/>
      <c r="H84" s="474"/>
      <c r="I84" s="474"/>
      <c r="J84" s="474"/>
      <c r="K84" s="474"/>
      <c r="L84" s="474"/>
      <c r="M84" s="474"/>
      <c r="N84" s="474"/>
      <c r="O84" s="474"/>
      <c r="P84" s="474"/>
      <c r="Q84" s="474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  <c r="AL84" s="474"/>
      <c r="AM84" s="474"/>
      <c r="AN84" s="474"/>
      <c r="AO84" s="474"/>
      <c r="AP84" s="474"/>
      <c r="AQ84" s="474"/>
      <c r="AR84" s="474"/>
      <c r="AS84" s="474"/>
      <c r="AT84" s="474"/>
      <c r="AU84" s="474"/>
      <c r="AV84" s="474"/>
      <c r="AW84" s="474"/>
      <c r="AX84" s="474"/>
      <c r="AY84" s="474"/>
      <c r="AZ84" s="474"/>
      <c r="BA84" s="474"/>
      <c r="BB84" s="474"/>
      <c r="BC84" s="474"/>
      <c r="BD84" s="474"/>
      <c r="BE84" s="474"/>
      <c r="BF84" s="474"/>
      <c r="BG84" s="474"/>
      <c r="BH84" s="474"/>
      <c r="BI84" s="474"/>
      <c r="BJ84" s="484"/>
      <c r="BK84" s="484"/>
      <c r="BL84" s="484"/>
      <c r="BM84" s="484"/>
      <c r="BN84" s="484"/>
    </row>
    <row r="85" spans="1:66" s="1" customFormat="1" ht="12" x14ac:dyDescent="0.15">
      <c r="A85" s="12" t="s">
        <v>178</v>
      </c>
      <c r="B85" s="413"/>
      <c r="C85" s="413"/>
      <c r="D85" s="413"/>
      <c r="E85" s="413"/>
      <c r="F85" s="413"/>
      <c r="G85" s="413"/>
      <c r="H85" s="413"/>
      <c r="I85" s="413"/>
      <c r="J85" s="413"/>
      <c r="K85" s="413"/>
      <c r="L85" s="413"/>
      <c r="M85" s="413"/>
      <c r="N85" s="413"/>
      <c r="O85" s="413"/>
      <c r="P85" s="413"/>
      <c r="Q85" s="413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3"/>
      <c r="AC85" s="413"/>
      <c r="AD85" s="413"/>
      <c r="AE85" s="413"/>
      <c r="AF85" s="413"/>
      <c r="AG85" s="413"/>
      <c r="AH85" s="413"/>
      <c r="AI85" s="413"/>
      <c r="AJ85" s="413"/>
      <c r="AK85" s="413"/>
      <c r="AL85" s="413"/>
      <c r="AM85" s="413"/>
      <c r="AN85" s="413"/>
      <c r="AO85" s="413"/>
      <c r="AP85" s="413"/>
      <c r="AQ85" s="413"/>
      <c r="AR85" s="413"/>
      <c r="AS85" s="413"/>
      <c r="AT85" s="413"/>
      <c r="AU85" s="413"/>
      <c r="AV85" s="413"/>
      <c r="AW85" s="413"/>
      <c r="AX85" s="413"/>
      <c r="AY85" s="413"/>
      <c r="AZ85" s="413"/>
      <c r="BA85" s="413"/>
      <c r="BB85" s="413"/>
      <c r="BC85" s="413"/>
      <c r="BD85" s="413"/>
      <c r="BE85" s="413"/>
      <c r="BF85" s="413"/>
      <c r="BG85" s="413"/>
      <c r="BH85" s="413"/>
      <c r="BI85" s="413"/>
      <c r="BJ85" s="484"/>
      <c r="BK85" s="484"/>
      <c r="BL85" s="484"/>
      <c r="BM85" s="484"/>
      <c r="BN85" s="484"/>
    </row>
    <row r="86" spans="1:66" s="20" customFormat="1" ht="12" x14ac:dyDescent="0.15">
      <c r="A86" s="24" t="s">
        <v>167</v>
      </c>
      <c r="B86" s="485"/>
      <c r="C86" s="485"/>
      <c r="D86" s="485"/>
      <c r="E86" s="485"/>
      <c r="F86" s="485"/>
      <c r="G86" s="485"/>
      <c r="H86" s="485"/>
      <c r="I86" s="485"/>
      <c r="J86" s="485"/>
      <c r="K86" s="485"/>
      <c r="L86" s="485"/>
      <c r="M86" s="485"/>
      <c r="N86" s="485"/>
      <c r="O86" s="485"/>
      <c r="P86" s="485"/>
      <c r="Q86" s="485"/>
      <c r="R86" s="485"/>
      <c r="S86" s="485"/>
      <c r="T86" s="485"/>
      <c r="U86" s="485"/>
      <c r="V86" s="485"/>
      <c r="W86" s="485"/>
      <c r="X86" s="485"/>
      <c r="Y86" s="485"/>
      <c r="Z86" s="485"/>
      <c r="AA86" s="485"/>
      <c r="AB86" s="485"/>
      <c r="AC86" s="485"/>
      <c r="AD86" s="485"/>
      <c r="AE86" s="485"/>
      <c r="AF86" s="485"/>
      <c r="AG86" s="485"/>
      <c r="AH86" s="485"/>
      <c r="AI86" s="485"/>
      <c r="AJ86" s="485"/>
      <c r="AK86" s="485"/>
      <c r="AL86" s="485"/>
      <c r="AM86" s="485"/>
      <c r="AN86" s="485"/>
      <c r="AO86" s="485"/>
      <c r="AP86" s="485"/>
      <c r="AQ86" s="485"/>
      <c r="AR86" s="485"/>
      <c r="AS86" s="485"/>
      <c r="AT86" s="485"/>
      <c r="AU86" s="485"/>
      <c r="AV86" s="485"/>
      <c r="AW86" s="485"/>
      <c r="AX86" s="485"/>
      <c r="AY86" s="485"/>
      <c r="AZ86" s="485"/>
      <c r="BA86" s="485"/>
      <c r="BB86" s="485"/>
      <c r="BC86" s="485"/>
      <c r="BD86" s="485"/>
      <c r="BE86" s="485"/>
      <c r="BF86" s="485"/>
      <c r="BG86" s="485"/>
      <c r="BH86" s="485"/>
      <c r="BI86" s="485"/>
      <c r="BJ86" s="475"/>
      <c r="BK86" s="475"/>
      <c r="BL86" s="475"/>
      <c r="BM86" s="475"/>
      <c r="BN86" s="475"/>
    </row>
    <row r="87" spans="1:66" x14ac:dyDescent="0.15"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  <c r="Z87" s="481"/>
      <c r="AA87" s="481"/>
      <c r="AB87" s="481"/>
      <c r="AC87" s="481"/>
      <c r="AD87" s="481"/>
      <c r="AE87" s="481"/>
      <c r="AF87" s="481"/>
      <c r="AG87" s="481"/>
      <c r="AH87" s="481"/>
      <c r="AI87" s="481"/>
      <c r="AJ87" s="481"/>
      <c r="AK87" s="481"/>
      <c r="AL87" s="481"/>
      <c r="AM87" s="481"/>
      <c r="AN87" s="481"/>
      <c r="AO87" s="481"/>
      <c r="AP87" s="481"/>
      <c r="AQ87" s="481"/>
      <c r="AR87" s="481"/>
      <c r="AS87" s="481"/>
      <c r="AT87" s="481"/>
      <c r="AU87" s="481"/>
      <c r="AV87" s="481"/>
      <c r="AW87" s="481"/>
      <c r="AX87" s="481"/>
      <c r="AY87" s="481"/>
      <c r="AZ87" s="481"/>
      <c r="BA87" s="481"/>
      <c r="BB87" s="481"/>
      <c r="BC87" s="481"/>
      <c r="BD87" s="481"/>
      <c r="BE87" s="481"/>
      <c r="BF87" s="481"/>
      <c r="BG87" s="481"/>
      <c r="BH87" s="481"/>
      <c r="BI87" s="481"/>
    </row>
    <row r="88" spans="1:66" s="1" customFormat="1" ht="12" x14ac:dyDescent="0.15">
      <c r="A88" s="131" t="s">
        <v>188</v>
      </c>
      <c r="B88" s="143"/>
      <c r="C88" s="143"/>
      <c r="D88" s="143"/>
      <c r="E88" s="482"/>
      <c r="F88" s="482"/>
      <c r="G88" s="482"/>
      <c r="H88" s="482"/>
      <c r="I88" s="482"/>
      <c r="J88" s="482"/>
      <c r="K88" s="482"/>
      <c r="L88" s="482"/>
      <c r="M88" s="482"/>
      <c r="N88" s="482"/>
      <c r="O88" s="482"/>
      <c r="P88" s="482"/>
      <c r="Q88" s="482"/>
      <c r="R88" s="482"/>
      <c r="S88" s="482"/>
      <c r="T88" s="482"/>
      <c r="U88" s="482"/>
      <c r="V88" s="482"/>
      <c r="W88" s="482"/>
      <c r="X88" s="482"/>
      <c r="Y88" s="482"/>
      <c r="Z88" s="482"/>
      <c r="AA88" s="482"/>
      <c r="AB88" s="482"/>
      <c r="AC88" s="482"/>
      <c r="AD88" s="482"/>
      <c r="AE88" s="482"/>
      <c r="AF88" s="482"/>
      <c r="AG88" s="482"/>
      <c r="AH88" s="482"/>
      <c r="AI88" s="482"/>
      <c r="AJ88" s="482"/>
      <c r="AK88" s="482"/>
      <c r="AL88" s="482"/>
      <c r="AM88" s="482"/>
      <c r="AN88" s="482"/>
      <c r="AO88" s="482"/>
      <c r="AP88" s="482"/>
      <c r="AQ88" s="482"/>
      <c r="AR88" s="482"/>
      <c r="AS88" s="482"/>
      <c r="AT88" s="482"/>
      <c r="AU88" s="482"/>
      <c r="AV88" s="482"/>
      <c r="AW88" s="482"/>
      <c r="AX88" s="482"/>
      <c r="AY88" s="482"/>
      <c r="AZ88" s="482"/>
      <c r="BA88" s="482"/>
      <c r="BB88" s="482"/>
      <c r="BC88" s="482"/>
      <c r="BD88" s="482"/>
      <c r="BE88" s="482"/>
      <c r="BF88" s="482"/>
      <c r="BG88" s="482"/>
      <c r="BH88" s="482"/>
      <c r="BI88" s="482"/>
      <c r="BJ88" s="3"/>
      <c r="BK88" s="3"/>
      <c r="BL88" s="3"/>
      <c r="BM88" s="3"/>
      <c r="BN88" s="3"/>
    </row>
    <row r="89" spans="1:66" s="1" customFormat="1" ht="12" x14ac:dyDescent="0.15">
      <c r="A89" s="12" t="s">
        <v>176</v>
      </c>
      <c r="B89" s="47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3"/>
      <c r="BI89" s="143"/>
      <c r="BJ89" s="3"/>
      <c r="BK89" s="3"/>
      <c r="BL89" s="3"/>
      <c r="BM89" s="3"/>
      <c r="BN89" s="3"/>
    </row>
    <row r="90" spans="1:66" s="1" customFormat="1" ht="12" x14ac:dyDescent="0.15">
      <c r="A90" s="12"/>
      <c r="B90" s="41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3"/>
      <c r="BK90" s="3"/>
      <c r="BL90" s="3"/>
      <c r="BM90" s="3"/>
      <c r="BN90" s="3"/>
    </row>
    <row r="91" spans="1:66" s="1" customFormat="1" ht="12" x14ac:dyDescent="0.15">
      <c r="A91" s="22" t="s">
        <v>163</v>
      </c>
      <c r="B91" s="474"/>
      <c r="C91" s="483"/>
      <c r="D91" s="483"/>
      <c r="E91" s="483"/>
      <c r="F91" s="483"/>
      <c r="G91" s="483"/>
      <c r="H91" s="483"/>
      <c r="I91" s="483"/>
      <c r="J91" s="483"/>
      <c r="K91" s="483"/>
      <c r="L91" s="483"/>
      <c r="M91" s="483"/>
      <c r="N91" s="483"/>
      <c r="O91" s="483"/>
      <c r="P91" s="483"/>
      <c r="Q91" s="483"/>
      <c r="R91" s="483"/>
      <c r="S91" s="483"/>
      <c r="T91" s="483"/>
      <c r="U91" s="483"/>
      <c r="V91" s="483"/>
      <c r="W91" s="483"/>
      <c r="X91" s="483"/>
      <c r="Y91" s="483"/>
      <c r="Z91" s="483"/>
      <c r="AA91" s="483"/>
      <c r="AB91" s="483"/>
      <c r="AC91" s="483"/>
      <c r="AD91" s="483"/>
      <c r="AE91" s="483"/>
      <c r="AF91" s="483"/>
      <c r="AG91" s="483"/>
      <c r="AH91" s="483"/>
      <c r="AI91" s="483"/>
      <c r="AJ91" s="483"/>
      <c r="AK91" s="483"/>
      <c r="AL91" s="483"/>
      <c r="AM91" s="483"/>
      <c r="AN91" s="483"/>
      <c r="AO91" s="483"/>
      <c r="AP91" s="483"/>
      <c r="AQ91" s="483"/>
      <c r="AR91" s="483"/>
      <c r="AS91" s="483"/>
      <c r="AT91" s="483"/>
      <c r="AU91" s="483"/>
      <c r="AV91" s="483"/>
      <c r="AW91" s="483"/>
      <c r="AX91" s="483"/>
      <c r="AY91" s="483"/>
      <c r="AZ91" s="483"/>
      <c r="BA91" s="483"/>
      <c r="BB91" s="483"/>
      <c r="BC91" s="483"/>
      <c r="BD91" s="483"/>
      <c r="BE91" s="483"/>
      <c r="BF91" s="483"/>
      <c r="BG91" s="483"/>
      <c r="BH91" s="483"/>
      <c r="BI91" s="483"/>
      <c r="BJ91" s="484"/>
      <c r="BK91" s="484"/>
      <c r="BL91" s="484"/>
      <c r="BM91" s="484"/>
      <c r="BN91" s="484"/>
    </row>
    <row r="92" spans="1:66" s="23" customFormat="1" ht="12" x14ac:dyDescent="0.15">
      <c r="A92" s="12" t="s">
        <v>177</v>
      </c>
      <c r="B92" s="474"/>
      <c r="C92" s="474"/>
      <c r="D92" s="474"/>
      <c r="E92" s="474"/>
      <c r="F92" s="474"/>
      <c r="G92" s="474"/>
      <c r="H92" s="474"/>
      <c r="I92" s="474"/>
      <c r="J92" s="474"/>
      <c r="K92" s="474"/>
      <c r="L92" s="474"/>
      <c r="M92" s="474"/>
      <c r="N92" s="474"/>
      <c r="O92" s="474"/>
      <c r="P92" s="474"/>
      <c r="Q92" s="474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  <c r="AL92" s="474"/>
      <c r="AM92" s="474"/>
      <c r="AN92" s="474"/>
      <c r="AO92" s="474"/>
      <c r="AP92" s="474"/>
      <c r="AQ92" s="474"/>
      <c r="AR92" s="474"/>
      <c r="AS92" s="474"/>
      <c r="AT92" s="474"/>
      <c r="AU92" s="474"/>
      <c r="AV92" s="474"/>
      <c r="AW92" s="474"/>
      <c r="AX92" s="474"/>
      <c r="AY92" s="474"/>
      <c r="AZ92" s="474"/>
      <c r="BA92" s="474"/>
      <c r="BB92" s="474"/>
      <c r="BC92" s="474"/>
      <c r="BD92" s="474"/>
      <c r="BE92" s="474"/>
      <c r="BF92" s="474"/>
      <c r="BG92" s="474"/>
      <c r="BH92" s="474"/>
      <c r="BI92" s="474"/>
      <c r="BJ92" s="484"/>
      <c r="BK92" s="484"/>
      <c r="BL92" s="484"/>
      <c r="BM92" s="484"/>
      <c r="BN92" s="484"/>
    </row>
    <row r="93" spans="1:66" s="1" customFormat="1" ht="12" x14ac:dyDescent="0.15">
      <c r="A93" s="12" t="s">
        <v>178</v>
      </c>
      <c r="B93" s="413"/>
      <c r="C93" s="413"/>
      <c r="D93" s="413"/>
      <c r="E93" s="413"/>
      <c r="F93" s="413"/>
      <c r="G93" s="413"/>
      <c r="H93" s="413"/>
      <c r="I93" s="413"/>
      <c r="J93" s="413"/>
      <c r="K93" s="413"/>
      <c r="L93" s="413"/>
      <c r="M93" s="413"/>
      <c r="N93" s="413"/>
      <c r="O93" s="413"/>
      <c r="P93" s="413"/>
      <c r="Q93" s="413"/>
      <c r="R93" s="413"/>
      <c r="S93" s="413"/>
      <c r="T93" s="413"/>
      <c r="U93" s="413"/>
      <c r="V93" s="413"/>
      <c r="W93" s="413"/>
      <c r="X93" s="413"/>
      <c r="Y93" s="413"/>
      <c r="Z93" s="413"/>
      <c r="AA93" s="413"/>
      <c r="AB93" s="413"/>
      <c r="AC93" s="413"/>
      <c r="AD93" s="413"/>
      <c r="AE93" s="413"/>
      <c r="AF93" s="413"/>
      <c r="AG93" s="413"/>
      <c r="AH93" s="413"/>
      <c r="AI93" s="413"/>
      <c r="AJ93" s="413"/>
      <c r="AK93" s="413"/>
      <c r="AL93" s="413"/>
      <c r="AM93" s="413"/>
      <c r="AN93" s="413"/>
      <c r="AO93" s="413"/>
      <c r="AP93" s="413"/>
      <c r="AQ93" s="413"/>
      <c r="AR93" s="413"/>
      <c r="AS93" s="413"/>
      <c r="AT93" s="413"/>
      <c r="AU93" s="413"/>
      <c r="AV93" s="413"/>
      <c r="AW93" s="413"/>
      <c r="AX93" s="413"/>
      <c r="AY93" s="413"/>
      <c r="AZ93" s="413"/>
      <c r="BA93" s="413"/>
      <c r="BB93" s="413"/>
      <c r="BC93" s="413"/>
      <c r="BD93" s="413"/>
      <c r="BE93" s="413"/>
      <c r="BF93" s="413"/>
      <c r="BG93" s="413"/>
      <c r="BH93" s="413"/>
      <c r="BI93" s="413"/>
      <c r="BJ93" s="484"/>
      <c r="BK93" s="484"/>
      <c r="BL93" s="484"/>
      <c r="BM93" s="484"/>
      <c r="BN93" s="484"/>
    </row>
    <row r="94" spans="1:66" s="20" customFormat="1" ht="12" x14ac:dyDescent="0.15">
      <c r="A94" s="24" t="s">
        <v>167</v>
      </c>
      <c r="B94" s="485"/>
      <c r="C94" s="485"/>
      <c r="D94" s="485"/>
      <c r="E94" s="485"/>
      <c r="F94" s="485"/>
      <c r="G94" s="485"/>
      <c r="H94" s="485"/>
      <c r="I94" s="485"/>
      <c r="J94" s="485"/>
      <c r="K94" s="485"/>
      <c r="L94" s="485"/>
      <c r="M94" s="485"/>
      <c r="N94" s="485"/>
      <c r="O94" s="485"/>
      <c r="P94" s="485"/>
      <c r="Q94" s="485"/>
      <c r="R94" s="485"/>
      <c r="S94" s="485"/>
      <c r="T94" s="485"/>
      <c r="U94" s="485"/>
      <c r="V94" s="485"/>
      <c r="W94" s="485"/>
      <c r="X94" s="485"/>
      <c r="Y94" s="485"/>
      <c r="Z94" s="485"/>
      <c r="AA94" s="485"/>
      <c r="AB94" s="485"/>
      <c r="AC94" s="485"/>
      <c r="AD94" s="485"/>
      <c r="AE94" s="485"/>
      <c r="AF94" s="485"/>
      <c r="AG94" s="485"/>
      <c r="AH94" s="485"/>
      <c r="AI94" s="485"/>
      <c r="AJ94" s="485"/>
      <c r="AK94" s="485"/>
      <c r="AL94" s="485"/>
      <c r="AM94" s="485"/>
      <c r="AN94" s="485"/>
      <c r="AO94" s="485"/>
      <c r="AP94" s="485"/>
      <c r="AQ94" s="485"/>
      <c r="AR94" s="485"/>
      <c r="AS94" s="485"/>
      <c r="AT94" s="485"/>
      <c r="AU94" s="485"/>
      <c r="AV94" s="485"/>
      <c r="AW94" s="485"/>
      <c r="AX94" s="485"/>
      <c r="AY94" s="485"/>
      <c r="AZ94" s="485"/>
      <c r="BA94" s="485"/>
      <c r="BB94" s="485"/>
      <c r="BC94" s="485"/>
      <c r="BD94" s="485"/>
      <c r="BE94" s="485"/>
      <c r="BF94" s="485"/>
      <c r="BG94" s="485"/>
      <c r="BH94" s="485"/>
      <c r="BI94" s="485"/>
      <c r="BJ94" s="475"/>
      <c r="BK94" s="475"/>
      <c r="BL94" s="475"/>
      <c r="BM94" s="475"/>
      <c r="BN94" s="475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8B44-FDDE-2247-9576-958A281ED466}">
  <sheetPr>
    <tabColor rgb="FF0070C0"/>
  </sheetPr>
  <dimension ref="A1:A22"/>
  <sheetViews>
    <sheetView showGridLines="0" zoomScale="150" zoomScaleNormal="150" workbookViewId="0">
      <pane xSplit="1" ySplit="5" topLeftCell="B6" activePane="bottomRight" state="frozen"/>
      <selection pane="topRight" activeCell="A2" sqref="A2"/>
      <selection pane="bottomLeft" activeCell="A2" sqref="A2"/>
      <selection pane="bottomRight" activeCell="A7" sqref="A7"/>
    </sheetView>
  </sheetViews>
  <sheetFormatPr baseColWidth="10" defaultColWidth="8.83203125" defaultRowHeight="13" x14ac:dyDescent="0.15"/>
  <cols>
    <col min="1" max="1" width="43" style="4" customWidth="1"/>
    <col min="2" max="16384" width="8.83203125" style="4"/>
  </cols>
  <sheetData>
    <row r="1" spans="1:1" s="106" customFormat="1" ht="26.25" customHeight="1" x14ac:dyDescent="0.3">
      <c r="A1" s="104" t="s">
        <v>386</v>
      </c>
    </row>
    <row r="2" spans="1:1" s="108" customFormat="1" x14ac:dyDescent="0.15">
      <c r="A2" s="107" t="s">
        <v>189</v>
      </c>
    </row>
    <row r="3" spans="1:1" s="108" customFormat="1" x14ac:dyDescent="0.15">
      <c r="A3" s="109" t="s">
        <v>42</v>
      </c>
    </row>
    <row r="4" spans="1:1" s="5" customFormat="1" ht="11" x14ac:dyDescent="0.15"/>
    <row r="5" spans="1:1" s="108" customFormat="1" ht="16" x14ac:dyDescent="0.2">
      <c r="A5" s="388" t="s">
        <v>109</v>
      </c>
    </row>
    <row r="7" spans="1:1" s="1" customFormat="1" ht="16" x14ac:dyDescent="0.15">
      <c r="A7" s="387" t="s">
        <v>190</v>
      </c>
    </row>
    <row r="8" spans="1:1" s="1" customFormat="1" ht="12" x14ac:dyDescent="0.15">
      <c r="A8" s="12" t="s">
        <v>191</v>
      </c>
    </row>
    <row r="9" spans="1:1" s="1" customFormat="1" ht="12" x14ac:dyDescent="0.15">
      <c r="A9" s="12" t="s">
        <v>192</v>
      </c>
    </row>
    <row r="10" spans="1:1" s="1" customFormat="1" ht="12" x14ac:dyDescent="0.15">
      <c r="A10" s="12"/>
    </row>
    <row r="11" spans="1:1" s="1" customFormat="1" ht="12" x14ac:dyDescent="0.15">
      <c r="A11" s="22" t="s">
        <v>193</v>
      </c>
    </row>
    <row r="12" spans="1:1" s="23" customFormat="1" ht="12" x14ac:dyDescent="0.15">
      <c r="A12" s="12" t="s">
        <v>190</v>
      </c>
    </row>
    <row r="13" spans="1:1" s="23" customFormat="1" ht="12" x14ac:dyDescent="0.15">
      <c r="A13" s="389" t="s">
        <v>194</v>
      </c>
    </row>
    <row r="14" spans="1:1" x14ac:dyDescent="0.15">
      <c r="A14" s="390" t="s">
        <v>195</v>
      </c>
    </row>
    <row r="15" spans="1:1" x14ac:dyDescent="0.15">
      <c r="A15" s="390" t="s">
        <v>196</v>
      </c>
    </row>
    <row r="16" spans="1:1" x14ac:dyDescent="0.15">
      <c r="A16" s="389"/>
    </row>
    <row r="17" spans="1:1" s="1" customFormat="1" ht="16" x14ac:dyDescent="0.15">
      <c r="A17" s="387" t="s">
        <v>197</v>
      </c>
    </row>
    <row r="18" spans="1:1" s="1" customFormat="1" ht="12" x14ac:dyDescent="0.15">
      <c r="A18" s="12" t="s">
        <v>198</v>
      </c>
    </row>
    <row r="19" spans="1:1" s="1" customFormat="1" ht="12" x14ac:dyDescent="0.15">
      <c r="A19" s="12" t="s">
        <v>199</v>
      </c>
    </row>
    <row r="20" spans="1:1" s="1" customFormat="1" ht="12" x14ac:dyDescent="0.15">
      <c r="A20" s="389" t="s">
        <v>34</v>
      </c>
    </row>
    <row r="21" spans="1:1" s="1" customFormat="1" ht="12" x14ac:dyDescent="0.15">
      <c r="A21" s="389" t="s">
        <v>200</v>
      </c>
    </row>
    <row r="22" spans="1:1" s="23" customFormat="1" ht="12" x14ac:dyDescent="0.15">
      <c r="A22" s="389" t="s">
        <v>197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D47F-088C-0040-A54A-EB763740A6A6}">
  <sheetPr>
    <tabColor rgb="FF92D050"/>
  </sheetPr>
  <dimension ref="A1:BJ81"/>
  <sheetViews>
    <sheetView showGridLines="0" zoomScale="140" zoomScaleNormal="140" workbookViewId="0">
      <pane xSplit="1" ySplit="5" topLeftCell="C27" activePane="bottomRight" state="frozen"/>
      <selection pane="topRight" activeCell="A16" sqref="A16"/>
      <selection pane="bottomLeft" activeCell="A16" sqref="A16"/>
      <selection pane="bottomRight" activeCell="J10" sqref="J10"/>
    </sheetView>
  </sheetViews>
  <sheetFormatPr baseColWidth="10" defaultColWidth="8.5" defaultRowHeight="12" x14ac:dyDescent="0.15"/>
  <cols>
    <col min="1" max="1" width="35.6640625" style="3" customWidth="1"/>
    <col min="2" max="2" width="13.33203125" style="3" bestFit="1" customWidth="1"/>
    <col min="3" max="22" width="13.33203125" style="3" customWidth="1"/>
    <col min="23" max="61" width="14.1640625" style="3" bestFit="1" customWidth="1"/>
    <col min="62" max="16384" width="8.5" style="3"/>
  </cols>
  <sheetData>
    <row r="1" spans="1:62" s="106" customFormat="1" ht="26.25" customHeight="1" x14ac:dyDescent="0.3">
      <c r="A1" s="104" t="s">
        <v>369</v>
      </c>
      <c r="B1" s="105"/>
      <c r="C1" s="112"/>
      <c r="D1" s="112"/>
      <c r="E1" s="112"/>
      <c r="F1" s="113"/>
      <c r="G1" s="105"/>
      <c r="H1" s="105"/>
      <c r="I1" s="105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</row>
    <row r="2" spans="1:62" s="108" customFormat="1" ht="13" x14ac:dyDescent="0.15">
      <c r="A2" s="107" t="s">
        <v>201</v>
      </c>
    </row>
    <row r="3" spans="1:62" s="108" customFormat="1" ht="13" x14ac:dyDescent="0.15">
      <c r="A3" s="109" t="s">
        <v>42</v>
      </c>
      <c r="B3" s="116">
        <f>YEAR(B5)</f>
        <v>2026</v>
      </c>
      <c r="C3" s="116">
        <f t="shared" ref="C3:BI3" si="0">YEAR(C5)</f>
        <v>2026</v>
      </c>
      <c r="D3" s="116">
        <f t="shared" si="0"/>
        <v>2026</v>
      </c>
      <c r="E3" s="116">
        <f t="shared" si="0"/>
        <v>2026</v>
      </c>
      <c r="F3" s="116">
        <f t="shared" si="0"/>
        <v>2026</v>
      </c>
      <c r="G3" s="116">
        <f t="shared" si="0"/>
        <v>2026</v>
      </c>
      <c r="H3" s="116">
        <f t="shared" si="0"/>
        <v>2026</v>
      </c>
      <c r="I3" s="116">
        <f t="shared" si="0"/>
        <v>2027</v>
      </c>
      <c r="J3" s="116">
        <f t="shared" si="0"/>
        <v>2027</v>
      </c>
      <c r="K3" s="116">
        <f t="shared" si="0"/>
        <v>2027</v>
      </c>
      <c r="L3" s="116">
        <f t="shared" si="0"/>
        <v>2027</v>
      </c>
      <c r="M3" s="116">
        <f t="shared" si="0"/>
        <v>2027</v>
      </c>
      <c r="N3" s="116">
        <f t="shared" si="0"/>
        <v>2027</v>
      </c>
      <c r="O3" s="116">
        <f t="shared" si="0"/>
        <v>2027</v>
      </c>
      <c r="P3" s="116">
        <f t="shared" si="0"/>
        <v>2027</v>
      </c>
      <c r="Q3" s="116">
        <f t="shared" si="0"/>
        <v>2027</v>
      </c>
      <c r="R3" s="116">
        <f t="shared" si="0"/>
        <v>2027</v>
      </c>
      <c r="S3" s="116">
        <f t="shared" si="0"/>
        <v>2027</v>
      </c>
      <c r="T3" s="116">
        <f t="shared" si="0"/>
        <v>2027</v>
      </c>
      <c r="U3" s="116">
        <f t="shared" si="0"/>
        <v>2028</v>
      </c>
      <c r="V3" s="116">
        <f t="shared" si="0"/>
        <v>2028</v>
      </c>
      <c r="W3" s="116">
        <f t="shared" si="0"/>
        <v>2028</v>
      </c>
      <c r="X3" s="116">
        <f t="shared" si="0"/>
        <v>2028</v>
      </c>
      <c r="Y3" s="116">
        <f t="shared" si="0"/>
        <v>2028</v>
      </c>
      <c r="Z3" s="116">
        <f t="shared" si="0"/>
        <v>2028</v>
      </c>
      <c r="AA3" s="116">
        <f t="shared" si="0"/>
        <v>2028</v>
      </c>
      <c r="AB3" s="116">
        <f t="shared" si="0"/>
        <v>2028</v>
      </c>
      <c r="AC3" s="116">
        <f t="shared" si="0"/>
        <v>2028</v>
      </c>
      <c r="AD3" s="116">
        <f t="shared" si="0"/>
        <v>2028</v>
      </c>
      <c r="AE3" s="116">
        <f t="shared" si="0"/>
        <v>2028</v>
      </c>
      <c r="AF3" s="116">
        <f t="shared" si="0"/>
        <v>2028</v>
      </c>
      <c r="AG3" s="116">
        <f t="shared" si="0"/>
        <v>2029</v>
      </c>
      <c r="AH3" s="116">
        <f t="shared" si="0"/>
        <v>2029</v>
      </c>
      <c r="AI3" s="116">
        <f t="shared" si="0"/>
        <v>2029</v>
      </c>
      <c r="AJ3" s="116">
        <f t="shared" si="0"/>
        <v>2029</v>
      </c>
      <c r="AK3" s="116">
        <f t="shared" si="0"/>
        <v>2029</v>
      </c>
      <c r="AL3" s="116">
        <f t="shared" si="0"/>
        <v>2029</v>
      </c>
      <c r="AM3" s="116">
        <f t="shared" si="0"/>
        <v>2029</v>
      </c>
      <c r="AN3" s="116">
        <f t="shared" si="0"/>
        <v>2029</v>
      </c>
      <c r="AO3" s="116">
        <f t="shared" si="0"/>
        <v>2029</v>
      </c>
      <c r="AP3" s="116">
        <f t="shared" si="0"/>
        <v>2029</v>
      </c>
      <c r="AQ3" s="116">
        <f t="shared" si="0"/>
        <v>2029</v>
      </c>
      <c r="AR3" s="116">
        <f t="shared" si="0"/>
        <v>2029</v>
      </c>
      <c r="AS3" s="116">
        <f t="shared" si="0"/>
        <v>2030</v>
      </c>
      <c r="AT3" s="116">
        <f t="shared" si="0"/>
        <v>2030</v>
      </c>
      <c r="AU3" s="116">
        <f t="shared" si="0"/>
        <v>2030</v>
      </c>
      <c r="AV3" s="116">
        <f t="shared" si="0"/>
        <v>2030</v>
      </c>
      <c r="AW3" s="116">
        <f t="shared" si="0"/>
        <v>2030</v>
      </c>
      <c r="AX3" s="116">
        <f t="shared" si="0"/>
        <v>2030</v>
      </c>
      <c r="AY3" s="116">
        <f t="shared" si="0"/>
        <v>2030</v>
      </c>
      <c r="AZ3" s="116">
        <f t="shared" si="0"/>
        <v>2030</v>
      </c>
      <c r="BA3" s="116">
        <f t="shared" si="0"/>
        <v>2030</v>
      </c>
      <c r="BB3" s="116">
        <f t="shared" si="0"/>
        <v>2030</v>
      </c>
      <c r="BC3" s="116">
        <f t="shared" si="0"/>
        <v>2030</v>
      </c>
      <c r="BD3" s="116">
        <f t="shared" si="0"/>
        <v>2030</v>
      </c>
      <c r="BE3" s="116">
        <f t="shared" si="0"/>
        <v>2031</v>
      </c>
      <c r="BF3" s="116">
        <f t="shared" si="0"/>
        <v>2031</v>
      </c>
      <c r="BG3" s="116">
        <f t="shared" si="0"/>
        <v>2031</v>
      </c>
      <c r="BH3" s="116">
        <f t="shared" si="0"/>
        <v>2031</v>
      </c>
      <c r="BI3" s="116">
        <f t="shared" si="0"/>
        <v>2031</v>
      </c>
    </row>
    <row r="4" spans="1:62" s="5" customFormat="1" ht="11" x14ac:dyDescent="0.15">
      <c r="B4" s="127">
        <v>1</v>
      </c>
      <c r="C4" s="127">
        <f>B4+1</f>
        <v>2</v>
      </c>
      <c r="D4" s="127">
        <f t="shared" ref="D4:BI4" si="1">C4+1</f>
        <v>3</v>
      </c>
      <c r="E4" s="127">
        <f t="shared" si="1"/>
        <v>4</v>
      </c>
      <c r="F4" s="127">
        <f t="shared" si="1"/>
        <v>5</v>
      </c>
      <c r="G4" s="127">
        <f t="shared" si="1"/>
        <v>6</v>
      </c>
      <c r="H4" s="127">
        <f t="shared" si="1"/>
        <v>7</v>
      </c>
      <c r="I4" s="127">
        <f t="shared" si="1"/>
        <v>8</v>
      </c>
      <c r="J4" s="127">
        <f t="shared" si="1"/>
        <v>9</v>
      </c>
      <c r="K4" s="127">
        <f t="shared" si="1"/>
        <v>10</v>
      </c>
      <c r="L4" s="127">
        <f t="shared" si="1"/>
        <v>11</v>
      </c>
      <c r="M4" s="127">
        <f t="shared" si="1"/>
        <v>12</v>
      </c>
      <c r="N4" s="127">
        <f t="shared" si="1"/>
        <v>13</v>
      </c>
      <c r="O4" s="127">
        <f t="shared" si="1"/>
        <v>14</v>
      </c>
      <c r="P4" s="127">
        <f t="shared" si="1"/>
        <v>15</v>
      </c>
      <c r="Q4" s="127">
        <f t="shared" si="1"/>
        <v>16</v>
      </c>
      <c r="R4" s="127">
        <f t="shared" si="1"/>
        <v>17</v>
      </c>
      <c r="S4" s="127">
        <f t="shared" si="1"/>
        <v>18</v>
      </c>
      <c r="T4" s="127">
        <f t="shared" si="1"/>
        <v>19</v>
      </c>
      <c r="U4" s="127">
        <f t="shared" si="1"/>
        <v>20</v>
      </c>
      <c r="V4" s="127">
        <f t="shared" si="1"/>
        <v>21</v>
      </c>
      <c r="W4" s="127">
        <f t="shared" si="1"/>
        <v>22</v>
      </c>
      <c r="X4" s="127">
        <f t="shared" si="1"/>
        <v>23</v>
      </c>
      <c r="Y4" s="127">
        <f t="shared" si="1"/>
        <v>24</v>
      </c>
      <c r="Z4" s="127">
        <f t="shared" si="1"/>
        <v>25</v>
      </c>
      <c r="AA4" s="127">
        <f t="shared" si="1"/>
        <v>26</v>
      </c>
      <c r="AB4" s="127">
        <f t="shared" si="1"/>
        <v>27</v>
      </c>
      <c r="AC4" s="127">
        <f t="shared" si="1"/>
        <v>28</v>
      </c>
      <c r="AD4" s="127">
        <f t="shared" si="1"/>
        <v>29</v>
      </c>
      <c r="AE4" s="127">
        <f t="shared" si="1"/>
        <v>30</v>
      </c>
      <c r="AF4" s="127">
        <f t="shared" si="1"/>
        <v>31</v>
      </c>
      <c r="AG4" s="127">
        <f t="shared" si="1"/>
        <v>32</v>
      </c>
      <c r="AH4" s="127">
        <f t="shared" si="1"/>
        <v>33</v>
      </c>
      <c r="AI4" s="127">
        <f t="shared" si="1"/>
        <v>34</v>
      </c>
      <c r="AJ4" s="127">
        <f t="shared" si="1"/>
        <v>35</v>
      </c>
      <c r="AK4" s="127">
        <f t="shared" si="1"/>
        <v>36</v>
      </c>
      <c r="AL4" s="127">
        <f t="shared" si="1"/>
        <v>37</v>
      </c>
      <c r="AM4" s="127">
        <f t="shared" si="1"/>
        <v>38</v>
      </c>
      <c r="AN4" s="127">
        <f t="shared" si="1"/>
        <v>39</v>
      </c>
      <c r="AO4" s="127">
        <f t="shared" si="1"/>
        <v>40</v>
      </c>
      <c r="AP4" s="127">
        <f t="shared" si="1"/>
        <v>41</v>
      </c>
      <c r="AQ4" s="127">
        <f t="shared" si="1"/>
        <v>42</v>
      </c>
      <c r="AR4" s="127">
        <f t="shared" si="1"/>
        <v>43</v>
      </c>
      <c r="AS4" s="127">
        <f t="shared" si="1"/>
        <v>44</v>
      </c>
      <c r="AT4" s="127">
        <f t="shared" si="1"/>
        <v>45</v>
      </c>
      <c r="AU4" s="127">
        <f t="shared" si="1"/>
        <v>46</v>
      </c>
      <c r="AV4" s="127">
        <f t="shared" si="1"/>
        <v>47</v>
      </c>
      <c r="AW4" s="127">
        <f t="shared" si="1"/>
        <v>48</v>
      </c>
      <c r="AX4" s="127">
        <f t="shared" si="1"/>
        <v>49</v>
      </c>
      <c r="AY4" s="127">
        <f t="shared" si="1"/>
        <v>50</v>
      </c>
      <c r="AZ4" s="127">
        <f t="shared" si="1"/>
        <v>51</v>
      </c>
      <c r="BA4" s="127">
        <f t="shared" si="1"/>
        <v>52</v>
      </c>
      <c r="BB4" s="127">
        <f t="shared" si="1"/>
        <v>53</v>
      </c>
      <c r="BC4" s="127">
        <f t="shared" si="1"/>
        <v>54</v>
      </c>
      <c r="BD4" s="127">
        <f t="shared" si="1"/>
        <v>55</v>
      </c>
      <c r="BE4" s="127">
        <f t="shared" si="1"/>
        <v>56</v>
      </c>
      <c r="BF4" s="127">
        <f t="shared" si="1"/>
        <v>57</v>
      </c>
      <c r="BG4" s="127">
        <f t="shared" si="1"/>
        <v>58</v>
      </c>
      <c r="BH4" s="127">
        <f t="shared" si="1"/>
        <v>59</v>
      </c>
      <c r="BI4" s="127">
        <f t="shared" si="1"/>
        <v>60</v>
      </c>
    </row>
    <row r="5" spans="1:62" s="108" customFormat="1" x14ac:dyDescent="0.15">
      <c r="A5" s="110" t="s">
        <v>109</v>
      </c>
      <c r="B5" s="111">
        <f>'Revenue Asumptions'!B5</f>
        <v>46174</v>
      </c>
      <c r="C5" s="111">
        <f>'Revenue Asumptions'!C5</f>
        <v>46204</v>
      </c>
      <c r="D5" s="111">
        <f>'Revenue Asumptions'!D5</f>
        <v>46235</v>
      </c>
      <c r="E5" s="111">
        <f>'Revenue Asumptions'!E5</f>
        <v>46266</v>
      </c>
      <c r="F5" s="111">
        <f>'Revenue Asumptions'!F5</f>
        <v>46296</v>
      </c>
      <c r="G5" s="111">
        <f>'Revenue Asumptions'!G5</f>
        <v>46327</v>
      </c>
      <c r="H5" s="111">
        <f>'Revenue Asumptions'!H5</f>
        <v>46357</v>
      </c>
      <c r="I5" s="111">
        <f>'Revenue Asumptions'!I5</f>
        <v>46388</v>
      </c>
      <c r="J5" s="111">
        <f>'Revenue Asumptions'!J5</f>
        <v>46419</v>
      </c>
      <c r="K5" s="111">
        <f>'Revenue Asumptions'!K5</f>
        <v>46447</v>
      </c>
      <c r="L5" s="111">
        <f>'Revenue Asumptions'!L5</f>
        <v>46478</v>
      </c>
      <c r="M5" s="111">
        <f>'Revenue Asumptions'!M5</f>
        <v>46508</v>
      </c>
      <c r="N5" s="111">
        <f>'Revenue Asumptions'!N5</f>
        <v>46539</v>
      </c>
      <c r="O5" s="111">
        <f>'Revenue Asumptions'!O5</f>
        <v>46569</v>
      </c>
      <c r="P5" s="111">
        <f>'Revenue Asumptions'!P5</f>
        <v>46600</v>
      </c>
      <c r="Q5" s="111">
        <f>'Revenue Asumptions'!Q5</f>
        <v>46631</v>
      </c>
      <c r="R5" s="111">
        <f>'Revenue Asumptions'!R5</f>
        <v>46661</v>
      </c>
      <c r="S5" s="111">
        <f>'Revenue Asumptions'!S5</f>
        <v>46692</v>
      </c>
      <c r="T5" s="111">
        <f>'Revenue Asumptions'!T5</f>
        <v>46722</v>
      </c>
      <c r="U5" s="111">
        <f>'Revenue Asumptions'!U5</f>
        <v>46753</v>
      </c>
      <c r="V5" s="111">
        <f>'Revenue Asumptions'!V5</f>
        <v>46784</v>
      </c>
      <c r="W5" s="111">
        <f>'Revenue Asumptions'!W5</f>
        <v>46813</v>
      </c>
      <c r="X5" s="111">
        <f>'Revenue Asumptions'!X5</f>
        <v>46844</v>
      </c>
      <c r="Y5" s="111">
        <f>'Revenue Asumptions'!Y5</f>
        <v>46874</v>
      </c>
      <c r="Z5" s="111">
        <f>'Revenue Asumptions'!Z5</f>
        <v>46905</v>
      </c>
      <c r="AA5" s="111">
        <f>'Revenue Asumptions'!AA5</f>
        <v>46935</v>
      </c>
      <c r="AB5" s="111">
        <f>'Revenue Asumptions'!AB5</f>
        <v>46966</v>
      </c>
      <c r="AC5" s="111">
        <f>'Revenue Asumptions'!AC5</f>
        <v>46997</v>
      </c>
      <c r="AD5" s="111">
        <f>'Revenue Asumptions'!AD5</f>
        <v>47027</v>
      </c>
      <c r="AE5" s="111">
        <f>'Revenue Asumptions'!AE5</f>
        <v>47058</v>
      </c>
      <c r="AF5" s="111">
        <f>'Revenue Asumptions'!AF5</f>
        <v>47088</v>
      </c>
      <c r="AG5" s="111">
        <f>'Revenue Asumptions'!AG5</f>
        <v>47119</v>
      </c>
      <c r="AH5" s="111">
        <f>'Revenue Asumptions'!AH5</f>
        <v>47150</v>
      </c>
      <c r="AI5" s="111">
        <f>'Revenue Asumptions'!AI5</f>
        <v>47178</v>
      </c>
      <c r="AJ5" s="111">
        <f>'Revenue Asumptions'!AJ5</f>
        <v>47209</v>
      </c>
      <c r="AK5" s="111">
        <f>'Revenue Asumptions'!AK5</f>
        <v>47239</v>
      </c>
      <c r="AL5" s="111">
        <f>'Revenue Asumptions'!AL5</f>
        <v>47270</v>
      </c>
      <c r="AM5" s="111">
        <f>'Revenue Asumptions'!AM5</f>
        <v>47300</v>
      </c>
      <c r="AN5" s="111">
        <f>'Revenue Asumptions'!AN5</f>
        <v>47331</v>
      </c>
      <c r="AO5" s="111">
        <f>'Revenue Asumptions'!AO5</f>
        <v>47362</v>
      </c>
      <c r="AP5" s="111">
        <f>'Revenue Asumptions'!AP5</f>
        <v>47392</v>
      </c>
      <c r="AQ5" s="111">
        <f>'Revenue Asumptions'!AQ5</f>
        <v>47423</v>
      </c>
      <c r="AR5" s="111">
        <f>'Revenue Asumptions'!AR5</f>
        <v>47453</v>
      </c>
      <c r="AS5" s="111">
        <f>'Revenue Asumptions'!AS5</f>
        <v>47484</v>
      </c>
      <c r="AT5" s="111">
        <f>'Revenue Asumptions'!AT5</f>
        <v>47515</v>
      </c>
      <c r="AU5" s="111">
        <f>'Revenue Asumptions'!AU5</f>
        <v>47543</v>
      </c>
      <c r="AV5" s="111">
        <f>'Revenue Asumptions'!AV5</f>
        <v>47574</v>
      </c>
      <c r="AW5" s="111">
        <f>'Revenue Asumptions'!AW5</f>
        <v>47604</v>
      </c>
      <c r="AX5" s="111">
        <f>'Revenue Asumptions'!AX5</f>
        <v>47635</v>
      </c>
      <c r="AY5" s="111">
        <f>'Revenue Asumptions'!AY5</f>
        <v>47665</v>
      </c>
      <c r="AZ5" s="111">
        <f>'Revenue Asumptions'!AZ5</f>
        <v>47696</v>
      </c>
      <c r="BA5" s="111">
        <f>'Revenue Asumptions'!BA5</f>
        <v>47727</v>
      </c>
      <c r="BB5" s="111">
        <f>'Revenue Asumptions'!BB5</f>
        <v>47757</v>
      </c>
      <c r="BC5" s="111">
        <f>'Revenue Asumptions'!BC5</f>
        <v>47788</v>
      </c>
      <c r="BD5" s="111">
        <f>'Revenue Asumptions'!BD5</f>
        <v>47818</v>
      </c>
      <c r="BE5" s="111">
        <f>'Revenue Asumptions'!BE5</f>
        <v>47849</v>
      </c>
      <c r="BF5" s="111">
        <f>'Revenue Asumptions'!BF5</f>
        <v>47880</v>
      </c>
      <c r="BG5" s="111">
        <f>'Revenue Asumptions'!BG5</f>
        <v>47908</v>
      </c>
      <c r="BH5" s="111">
        <f>'Revenue Asumptions'!BH5</f>
        <v>47939</v>
      </c>
      <c r="BI5" s="111">
        <f>'Revenue Asumptions'!BI5</f>
        <v>47969</v>
      </c>
    </row>
    <row r="6" spans="1:62" x14ac:dyDescent="0.15">
      <c r="A6" s="14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</row>
    <row r="7" spans="1:62" s="148" customFormat="1" hidden="1" x14ac:dyDescent="0.15">
      <c r="A7" s="1" t="s">
        <v>202</v>
      </c>
      <c r="B7" s="148" t="e">
        <f>'Revenue Asumptions'!B18</f>
        <v>#N/A</v>
      </c>
      <c r="C7" s="148" t="e">
        <f>'Revenue Asumptions'!C18</f>
        <v>#N/A</v>
      </c>
      <c r="D7" s="148" t="e">
        <f>'Revenue Asumptions'!D18</f>
        <v>#N/A</v>
      </c>
      <c r="E7" s="148" t="e">
        <f>'Revenue Asumptions'!E18</f>
        <v>#N/A</v>
      </c>
      <c r="F7" s="148" t="e">
        <f>'Revenue Asumptions'!F18</f>
        <v>#N/A</v>
      </c>
      <c r="G7" s="148" t="e">
        <f>'Revenue Asumptions'!G18</f>
        <v>#N/A</v>
      </c>
      <c r="H7" s="148" t="e">
        <f>'Revenue Asumptions'!H18</f>
        <v>#N/A</v>
      </c>
      <c r="I7" s="148" t="e">
        <f>'Revenue Asumptions'!I18</f>
        <v>#N/A</v>
      </c>
      <c r="J7" s="148" t="e">
        <f>'Revenue Asumptions'!J18</f>
        <v>#N/A</v>
      </c>
      <c r="K7" s="148" t="e">
        <f>'Revenue Asumptions'!K18</f>
        <v>#N/A</v>
      </c>
      <c r="L7" s="148" t="e">
        <f>'Revenue Asumptions'!L18</f>
        <v>#N/A</v>
      </c>
      <c r="M7" s="148" t="e">
        <f>'Revenue Asumptions'!M18</f>
        <v>#N/A</v>
      </c>
      <c r="N7" s="148" t="e">
        <f>'Revenue Asumptions'!N18</f>
        <v>#N/A</v>
      </c>
      <c r="O7" s="148" t="e">
        <f>'Revenue Asumptions'!O18</f>
        <v>#N/A</v>
      </c>
      <c r="P7" s="148" t="e">
        <f>'Revenue Asumptions'!P18</f>
        <v>#N/A</v>
      </c>
      <c r="Q7" s="148" t="e">
        <f>'Revenue Asumptions'!Q18</f>
        <v>#N/A</v>
      </c>
      <c r="R7" s="148" t="e">
        <f>'Revenue Asumptions'!R18</f>
        <v>#N/A</v>
      </c>
      <c r="S7" s="148" t="e">
        <f>'Revenue Asumptions'!S18</f>
        <v>#N/A</v>
      </c>
      <c r="T7" s="148" t="e">
        <f>'Revenue Asumptions'!T18</f>
        <v>#N/A</v>
      </c>
      <c r="U7" s="148" t="e">
        <f>'Revenue Asumptions'!U18</f>
        <v>#N/A</v>
      </c>
      <c r="V7" s="148" t="e">
        <f>'Revenue Asumptions'!V18</f>
        <v>#N/A</v>
      </c>
      <c r="W7" s="148" t="e">
        <f>'Revenue Asumptions'!W18</f>
        <v>#N/A</v>
      </c>
      <c r="X7" s="148" t="e">
        <f>'Revenue Asumptions'!X18</f>
        <v>#N/A</v>
      </c>
      <c r="Y7" s="148" t="e">
        <f>'Revenue Asumptions'!Y18</f>
        <v>#N/A</v>
      </c>
      <c r="Z7" s="148" t="e">
        <f>'Revenue Asumptions'!Z18</f>
        <v>#N/A</v>
      </c>
      <c r="AA7" s="148" t="e">
        <f>'Revenue Asumptions'!AA18</f>
        <v>#N/A</v>
      </c>
      <c r="AB7" s="148" t="e">
        <f>'Revenue Asumptions'!AB18</f>
        <v>#N/A</v>
      </c>
      <c r="AC7" s="148" t="e">
        <f>'Revenue Asumptions'!AC18</f>
        <v>#N/A</v>
      </c>
      <c r="AD7" s="148" t="e">
        <f>'Revenue Asumptions'!AD18</f>
        <v>#N/A</v>
      </c>
      <c r="AE7" s="148" t="e">
        <f>'Revenue Asumptions'!AE18</f>
        <v>#N/A</v>
      </c>
      <c r="AF7" s="148" t="e">
        <f>'Revenue Asumptions'!AF18</f>
        <v>#N/A</v>
      </c>
      <c r="AG7" s="148" t="e">
        <f>'Revenue Asumptions'!AG18</f>
        <v>#N/A</v>
      </c>
      <c r="AH7" s="148" t="e">
        <f>'Revenue Asumptions'!AH18</f>
        <v>#N/A</v>
      </c>
      <c r="AI7" s="148" t="e">
        <f>'Revenue Asumptions'!AI18</f>
        <v>#N/A</v>
      </c>
      <c r="AJ7" s="148" t="e">
        <f>'Revenue Asumptions'!AJ18</f>
        <v>#N/A</v>
      </c>
      <c r="AK7" s="148" t="e">
        <f>'Revenue Asumptions'!AK18</f>
        <v>#N/A</v>
      </c>
      <c r="AL7" s="148" t="e">
        <f>'Revenue Asumptions'!AL18</f>
        <v>#N/A</v>
      </c>
      <c r="AM7" s="148" t="e">
        <f>'Revenue Asumptions'!AM18</f>
        <v>#N/A</v>
      </c>
      <c r="AN7" s="148" t="e">
        <f>'Revenue Asumptions'!AN18</f>
        <v>#N/A</v>
      </c>
      <c r="AO7" s="148" t="e">
        <f>'Revenue Asumptions'!AO18</f>
        <v>#N/A</v>
      </c>
      <c r="AP7" s="148" t="e">
        <f>'Revenue Asumptions'!AP18</f>
        <v>#N/A</v>
      </c>
      <c r="AQ7" s="148" t="e">
        <f>'Revenue Asumptions'!AQ18</f>
        <v>#N/A</v>
      </c>
      <c r="AR7" s="148" t="e">
        <f>'Revenue Asumptions'!AR18</f>
        <v>#N/A</v>
      </c>
      <c r="AS7" s="148" t="e">
        <f>'Revenue Asumptions'!AS18</f>
        <v>#N/A</v>
      </c>
      <c r="AT7" s="148" t="e">
        <f>'Revenue Asumptions'!AT18</f>
        <v>#N/A</v>
      </c>
      <c r="AU7" s="148" t="e">
        <f>'Revenue Asumptions'!AU18</f>
        <v>#N/A</v>
      </c>
      <c r="AV7" s="148" t="e">
        <f>'Revenue Asumptions'!AV18</f>
        <v>#N/A</v>
      </c>
      <c r="AW7" s="148" t="e">
        <f>'Revenue Asumptions'!AW18</f>
        <v>#N/A</v>
      </c>
      <c r="AX7" s="148" t="e">
        <f>'Revenue Asumptions'!AX18</f>
        <v>#N/A</v>
      </c>
      <c r="AY7" s="148" t="e">
        <f>'Revenue Asumptions'!AY18</f>
        <v>#N/A</v>
      </c>
      <c r="AZ7" s="148" t="e">
        <f>'Revenue Asumptions'!AZ18</f>
        <v>#N/A</v>
      </c>
      <c r="BA7" s="148" t="e">
        <f>'Revenue Asumptions'!BA18</f>
        <v>#N/A</v>
      </c>
      <c r="BB7" s="148" t="e">
        <f>'Revenue Asumptions'!BB18</f>
        <v>#N/A</v>
      </c>
      <c r="BC7" s="148" t="e">
        <f>'Revenue Asumptions'!BC18</f>
        <v>#N/A</v>
      </c>
      <c r="BD7" s="148" t="e">
        <f>'Revenue Asumptions'!BD18</f>
        <v>#N/A</v>
      </c>
      <c r="BE7" s="148" t="e">
        <f>'Revenue Asumptions'!BE18</f>
        <v>#N/A</v>
      </c>
      <c r="BF7" s="148" t="e">
        <f>'Revenue Asumptions'!BF18</f>
        <v>#N/A</v>
      </c>
      <c r="BG7" s="148" t="e">
        <f>'Revenue Asumptions'!BG18</f>
        <v>#N/A</v>
      </c>
      <c r="BH7" s="148" t="e">
        <f>'Revenue Asumptions'!BH18</f>
        <v>#N/A</v>
      </c>
      <c r="BI7" s="148" t="e">
        <f>'Revenue Asumptions'!BI18</f>
        <v>#N/A</v>
      </c>
    </row>
    <row r="8" spans="1:62" s="149" customFormat="1" hidden="1" x14ac:dyDescent="0.15">
      <c r="A8" s="1" t="s">
        <v>203</v>
      </c>
      <c r="B8" s="148" t="e">
        <f>'Revenue Asumptions'!B29</f>
        <v>#N/A</v>
      </c>
      <c r="C8" s="148" t="e">
        <f>'Revenue Asumptions'!C29</f>
        <v>#N/A</v>
      </c>
      <c r="D8" s="148" t="e">
        <f>'Revenue Asumptions'!D29</f>
        <v>#N/A</v>
      </c>
      <c r="E8" s="148" t="e">
        <f>'Revenue Asumptions'!E29</f>
        <v>#N/A</v>
      </c>
      <c r="F8" s="148" t="e">
        <f>'Revenue Asumptions'!F29</f>
        <v>#N/A</v>
      </c>
      <c r="G8" s="148" t="e">
        <f>'Revenue Asumptions'!G29</f>
        <v>#N/A</v>
      </c>
      <c r="H8" s="148" t="e">
        <f>'Revenue Asumptions'!H29</f>
        <v>#N/A</v>
      </c>
      <c r="I8" s="148" t="e">
        <f>'Revenue Asumptions'!I29</f>
        <v>#N/A</v>
      </c>
      <c r="J8" s="148" t="e">
        <f>'Revenue Asumptions'!J29</f>
        <v>#N/A</v>
      </c>
      <c r="K8" s="148" t="e">
        <f>'Revenue Asumptions'!K29</f>
        <v>#N/A</v>
      </c>
      <c r="L8" s="148" t="e">
        <f>'Revenue Asumptions'!L29</f>
        <v>#N/A</v>
      </c>
      <c r="M8" s="148" t="e">
        <f>'Revenue Asumptions'!M29</f>
        <v>#N/A</v>
      </c>
      <c r="N8" s="148" t="e">
        <f>'Revenue Asumptions'!N29</f>
        <v>#N/A</v>
      </c>
      <c r="O8" s="148" t="e">
        <f>'Revenue Asumptions'!O29</f>
        <v>#N/A</v>
      </c>
      <c r="P8" s="148" t="e">
        <f>'Revenue Asumptions'!P29</f>
        <v>#N/A</v>
      </c>
      <c r="Q8" s="148" t="e">
        <f>'Revenue Asumptions'!Q29</f>
        <v>#N/A</v>
      </c>
      <c r="R8" s="148" t="e">
        <f>'Revenue Asumptions'!R29</f>
        <v>#N/A</v>
      </c>
      <c r="S8" s="148" t="e">
        <f>'Revenue Asumptions'!S29</f>
        <v>#N/A</v>
      </c>
      <c r="T8" s="148" t="e">
        <f>'Revenue Asumptions'!T29</f>
        <v>#N/A</v>
      </c>
      <c r="U8" s="148" t="e">
        <f>'Revenue Asumptions'!U29</f>
        <v>#N/A</v>
      </c>
      <c r="V8" s="148" t="e">
        <f>'Revenue Asumptions'!V29</f>
        <v>#N/A</v>
      </c>
      <c r="W8" s="148" t="e">
        <f>'Revenue Asumptions'!W29</f>
        <v>#N/A</v>
      </c>
      <c r="X8" s="148" t="e">
        <f>'Revenue Asumptions'!X29</f>
        <v>#N/A</v>
      </c>
      <c r="Y8" s="148" t="e">
        <f>'Revenue Asumptions'!Y29</f>
        <v>#N/A</v>
      </c>
      <c r="Z8" s="148" t="e">
        <f>'Revenue Asumptions'!Z29</f>
        <v>#N/A</v>
      </c>
      <c r="AA8" s="148" t="e">
        <f>'Revenue Asumptions'!AA29</f>
        <v>#N/A</v>
      </c>
      <c r="AB8" s="148" t="e">
        <f>'Revenue Asumptions'!AB29</f>
        <v>#N/A</v>
      </c>
      <c r="AC8" s="148" t="e">
        <f>'Revenue Asumptions'!AC29</f>
        <v>#N/A</v>
      </c>
      <c r="AD8" s="148" t="e">
        <f>'Revenue Asumptions'!AD29</f>
        <v>#N/A</v>
      </c>
      <c r="AE8" s="148" t="e">
        <f>'Revenue Asumptions'!AE29</f>
        <v>#N/A</v>
      </c>
      <c r="AF8" s="148" t="e">
        <f>'Revenue Asumptions'!AF29</f>
        <v>#N/A</v>
      </c>
      <c r="AG8" s="148" t="e">
        <f>'Revenue Asumptions'!AG29</f>
        <v>#N/A</v>
      </c>
      <c r="AH8" s="148" t="e">
        <f>'Revenue Asumptions'!AH29</f>
        <v>#N/A</v>
      </c>
      <c r="AI8" s="148" t="e">
        <f>'Revenue Asumptions'!AI29</f>
        <v>#N/A</v>
      </c>
      <c r="AJ8" s="148" t="e">
        <f>'Revenue Asumptions'!AJ29</f>
        <v>#N/A</v>
      </c>
      <c r="AK8" s="148" t="e">
        <f>'Revenue Asumptions'!AK29</f>
        <v>#N/A</v>
      </c>
      <c r="AL8" s="148" t="e">
        <f>'Revenue Asumptions'!AL29</f>
        <v>#N/A</v>
      </c>
      <c r="AM8" s="148" t="e">
        <f>'Revenue Asumptions'!AM29</f>
        <v>#N/A</v>
      </c>
      <c r="AN8" s="148" t="e">
        <f>'Revenue Asumptions'!AN29</f>
        <v>#N/A</v>
      </c>
      <c r="AO8" s="148" t="e">
        <f>'Revenue Asumptions'!AO29</f>
        <v>#N/A</v>
      </c>
      <c r="AP8" s="148" t="e">
        <f>'Revenue Asumptions'!AP29</f>
        <v>#N/A</v>
      </c>
      <c r="AQ8" s="148" t="e">
        <f>'Revenue Asumptions'!AQ29</f>
        <v>#N/A</v>
      </c>
      <c r="AR8" s="148" t="e">
        <f>'Revenue Asumptions'!AR29</f>
        <v>#N/A</v>
      </c>
      <c r="AS8" s="148" t="e">
        <f>'Revenue Asumptions'!AS29</f>
        <v>#N/A</v>
      </c>
      <c r="AT8" s="148" t="e">
        <f>'Revenue Asumptions'!AT29</f>
        <v>#N/A</v>
      </c>
      <c r="AU8" s="148" t="e">
        <f>'Revenue Asumptions'!AU29</f>
        <v>#N/A</v>
      </c>
      <c r="AV8" s="148" t="e">
        <f>'Revenue Asumptions'!AV29</f>
        <v>#N/A</v>
      </c>
      <c r="AW8" s="148" t="e">
        <f>'Revenue Asumptions'!AW29</f>
        <v>#N/A</v>
      </c>
      <c r="AX8" s="148" t="e">
        <f>'Revenue Asumptions'!AX29</f>
        <v>#N/A</v>
      </c>
      <c r="AY8" s="148" t="e">
        <f>'Revenue Asumptions'!AY29</f>
        <v>#N/A</v>
      </c>
      <c r="AZ8" s="148" t="e">
        <f>'Revenue Asumptions'!AZ29</f>
        <v>#N/A</v>
      </c>
      <c r="BA8" s="148" t="e">
        <f>'Revenue Asumptions'!BA29</f>
        <v>#N/A</v>
      </c>
      <c r="BB8" s="148" t="e">
        <f>'Revenue Asumptions'!BB29</f>
        <v>#N/A</v>
      </c>
      <c r="BC8" s="148" t="e">
        <f>'Revenue Asumptions'!BC29</f>
        <v>#N/A</v>
      </c>
      <c r="BD8" s="148" t="e">
        <f>'Revenue Asumptions'!BD29</f>
        <v>#N/A</v>
      </c>
      <c r="BE8" s="148" t="e">
        <f>'Revenue Asumptions'!BE29</f>
        <v>#N/A</v>
      </c>
      <c r="BF8" s="148" t="e">
        <f>'Revenue Asumptions'!BF29</f>
        <v>#N/A</v>
      </c>
      <c r="BG8" s="148" t="e">
        <f>'Revenue Asumptions'!BG29</f>
        <v>#N/A</v>
      </c>
      <c r="BH8" s="148" t="e">
        <f>'Revenue Asumptions'!BH29</f>
        <v>#N/A</v>
      </c>
      <c r="BI8" s="148" t="e">
        <f>'Revenue Asumptions'!BI29</f>
        <v>#N/A</v>
      </c>
    </row>
    <row r="9" spans="1:62" s="149" customFormat="1" hidden="1" x14ac:dyDescent="0.15">
      <c r="A9" s="58" t="s">
        <v>114</v>
      </c>
      <c r="B9" s="149" t="e">
        <f>+'Revenue Asumptions'!B33</f>
        <v>#N/A</v>
      </c>
      <c r="C9" s="149" t="e">
        <f>+'Revenue Asumptions'!C33</f>
        <v>#N/A</v>
      </c>
      <c r="D9" s="149" t="e">
        <f>+'Revenue Asumptions'!D33</f>
        <v>#N/A</v>
      </c>
      <c r="E9" s="149" t="e">
        <f>+'Revenue Asumptions'!E33</f>
        <v>#N/A</v>
      </c>
      <c r="F9" s="149" t="e">
        <f>+'Revenue Asumptions'!F33</f>
        <v>#N/A</v>
      </c>
      <c r="G9" s="149" t="e">
        <f>+'Revenue Asumptions'!G33</f>
        <v>#N/A</v>
      </c>
      <c r="H9" s="149" t="e">
        <f>+'Revenue Asumptions'!H33</f>
        <v>#N/A</v>
      </c>
      <c r="I9" s="149" t="e">
        <f>+'Revenue Asumptions'!I33</f>
        <v>#N/A</v>
      </c>
      <c r="J9" s="149" t="e">
        <f>+'Revenue Asumptions'!J33</f>
        <v>#N/A</v>
      </c>
      <c r="K9" s="149" t="e">
        <f>+'Revenue Asumptions'!K33</f>
        <v>#N/A</v>
      </c>
      <c r="L9" s="149" t="e">
        <f>+'Revenue Asumptions'!L33</f>
        <v>#N/A</v>
      </c>
      <c r="M9" s="149" t="e">
        <f>+'Revenue Asumptions'!M33</f>
        <v>#N/A</v>
      </c>
      <c r="N9" s="149" t="e">
        <f>+'Revenue Asumptions'!N33</f>
        <v>#N/A</v>
      </c>
      <c r="O9" s="149" t="e">
        <f>+'Revenue Asumptions'!O33</f>
        <v>#N/A</v>
      </c>
      <c r="P9" s="149" t="e">
        <f>+'Revenue Asumptions'!P33</f>
        <v>#N/A</v>
      </c>
      <c r="Q9" s="149" t="e">
        <f>+'Revenue Asumptions'!Q33</f>
        <v>#N/A</v>
      </c>
      <c r="R9" s="149" t="e">
        <f>+'Revenue Asumptions'!R33</f>
        <v>#N/A</v>
      </c>
      <c r="S9" s="149" t="e">
        <f>+'Revenue Asumptions'!S33</f>
        <v>#N/A</v>
      </c>
      <c r="T9" s="149" t="e">
        <f>+'Revenue Asumptions'!T33</f>
        <v>#N/A</v>
      </c>
      <c r="U9" s="149" t="e">
        <f>+'Revenue Asumptions'!U33</f>
        <v>#N/A</v>
      </c>
      <c r="V9" s="149" t="e">
        <f>+'Revenue Asumptions'!V33</f>
        <v>#N/A</v>
      </c>
      <c r="W9" s="149" t="e">
        <f>+'Revenue Asumptions'!W33</f>
        <v>#N/A</v>
      </c>
      <c r="X9" s="149" t="e">
        <f>+'Revenue Asumptions'!X33</f>
        <v>#N/A</v>
      </c>
      <c r="Y9" s="149" t="e">
        <f>+'Revenue Asumptions'!Y33</f>
        <v>#N/A</v>
      </c>
      <c r="Z9" s="149" t="e">
        <f>+'Revenue Asumptions'!Z33</f>
        <v>#N/A</v>
      </c>
      <c r="AA9" s="149" t="e">
        <f>+'Revenue Asumptions'!AA33</f>
        <v>#N/A</v>
      </c>
      <c r="AB9" s="149" t="e">
        <f>+'Revenue Asumptions'!AB33</f>
        <v>#N/A</v>
      </c>
      <c r="AC9" s="149" t="e">
        <f>+'Revenue Asumptions'!AC33</f>
        <v>#N/A</v>
      </c>
      <c r="AD9" s="149" t="e">
        <f>+'Revenue Asumptions'!AD33</f>
        <v>#N/A</v>
      </c>
      <c r="AE9" s="149" t="e">
        <f>+'Revenue Asumptions'!AE33</f>
        <v>#N/A</v>
      </c>
      <c r="AF9" s="149" t="e">
        <f>+'Revenue Asumptions'!AF33</f>
        <v>#N/A</v>
      </c>
      <c r="AG9" s="149" t="e">
        <f>+'Revenue Asumptions'!AG33</f>
        <v>#N/A</v>
      </c>
      <c r="AH9" s="149" t="e">
        <f>+'Revenue Asumptions'!AH33</f>
        <v>#N/A</v>
      </c>
      <c r="AI9" s="149" t="e">
        <f>+'Revenue Asumptions'!AI33</f>
        <v>#N/A</v>
      </c>
      <c r="AJ9" s="149" t="e">
        <f>+'Revenue Asumptions'!AJ33</f>
        <v>#N/A</v>
      </c>
      <c r="AK9" s="149" t="e">
        <f>+'Revenue Asumptions'!AK33</f>
        <v>#N/A</v>
      </c>
      <c r="AL9" s="149" t="e">
        <f>+'Revenue Asumptions'!AL33</f>
        <v>#N/A</v>
      </c>
      <c r="AM9" s="149" t="e">
        <f>+'Revenue Asumptions'!AM33</f>
        <v>#N/A</v>
      </c>
      <c r="AN9" s="149" t="e">
        <f>+'Revenue Asumptions'!AN33</f>
        <v>#N/A</v>
      </c>
      <c r="AO9" s="149" t="e">
        <f>+'Revenue Asumptions'!AO33</f>
        <v>#N/A</v>
      </c>
      <c r="AP9" s="149" t="e">
        <f>+'Revenue Asumptions'!AP33</f>
        <v>#N/A</v>
      </c>
      <c r="AQ9" s="149" t="e">
        <f>+'Revenue Asumptions'!AQ33</f>
        <v>#N/A</v>
      </c>
      <c r="AR9" s="149" t="e">
        <f>+'Revenue Asumptions'!AR33</f>
        <v>#N/A</v>
      </c>
      <c r="AS9" s="149" t="e">
        <f>+'Revenue Asumptions'!AS33</f>
        <v>#N/A</v>
      </c>
      <c r="AT9" s="149" t="e">
        <f>+'Revenue Asumptions'!AT33</f>
        <v>#N/A</v>
      </c>
      <c r="AU9" s="149" t="e">
        <f>+'Revenue Asumptions'!AU33</f>
        <v>#N/A</v>
      </c>
      <c r="AV9" s="149" t="e">
        <f>+'Revenue Asumptions'!AV33</f>
        <v>#N/A</v>
      </c>
      <c r="AW9" s="149" t="e">
        <f>+'Revenue Asumptions'!AW33</f>
        <v>#N/A</v>
      </c>
      <c r="AX9" s="149" t="e">
        <f>+'Revenue Asumptions'!AX33</f>
        <v>#N/A</v>
      </c>
      <c r="AY9" s="149" t="e">
        <f>+'Revenue Asumptions'!AY33</f>
        <v>#N/A</v>
      </c>
      <c r="AZ9" s="149" t="e">
        <f>+'Revenue Asumptions'!AZ33</f>
        <v>#N/A</v>
      </c>
      <c r="BA9" s="149" t="e">
        <f>+'Revenue Asumptions'!BA33</f>
        <v>#N/A</v>
      </c>
      <c r="BB9" s="149" t="e">
        <f>+'Revenue Asumptions'!BB33</f>
        <v>#N/A</v>
      </c>
      <c r="BC9" s="149" t="e">
        <f>+'Revenue Asumptions'!BC33</f>
        <v>#N/A</v>
      </c>
      <c r="BD9" s="149" t="e">
        <f>+'Revenue Asumptions'!BD33</f>
        <v>#N/A</v>
      </c>
      <c r="BE9" s="149" t="e">
        <f>+'Revenue Asumptions'!BE33</f>
        <v>#N/A</v>
      </c>
      <c r="BF9" s="149" t="e">
        <f>+'Revenue Asumptions'!BF33</f>
        <v>#N/A</v>
      </c>
      <c r="BG9" s="149" t="e">
        <f>+'Revenue Asumptions'!BG33</f>
        <v>#N/A</v>
      </c>
      <c r="BH9" s="149" t="e">
        <f>+'Revenue Asumptions'!BH33</f>
        <v>#N/A</v>
      </c>
      <c r="BI9" s="149" t="e">
        <f>+'Revenue Asumptions'!BI33</f>
        <v>#N/A</v>
      </c>
    </row>
    <row r="10" spans="1:62" s="149" customFormat="1" x14ac:dyDescent="0.15">
      <c r="A10" s="58" t="s">
        <v>204</v>
      </c>
      <c r="B10" s="149">
        <f>+'Revenue Asumptions'!B40</f>
        <v>0</v>
      </c>
      <c r="C10" s="149">
        <f>+'Revenue Asumptions'!C40</f>
        <v>0</v>
      </c>
      <c r="D10" s="149">
        <f>+'Revenue Asumptions'!D40</f>
        <v>0</v>
      </c>
      <c r="E10" s="149">
        <f>+'Revenue Asumptions'!E40</f>
        <v>0</v>
      </c>
      <c r="F10" s="149">
        <f>+'Revenue Asumptions'!F40</f>
        <v>0</v>
      </c>
      <c r="G10" s="149">
        <f>+'Revenue Asumptions'!G40</f>
        <v>0</v>
      </c>
      <c r="H10" s="149">
        <f>+'Revenue Asumptions'!H40</f>
        <v>0</v>
      </c>
      <c r="I10" s="149">
        <f>+'Revenue Asumptions'!I40</f>
        <v>0</v>
      </c>
      <c r="J10" s="149" t="e">
        <f>+'Revenue Asumptions'!J40</f>
        <v>#REF!</v>
      </c>
      <c r="K10" s="149">
        <f>+'Revenue Asumptions'!K40</f>
        <v>0</v>
      </c>
      <c r="L10" s="149">
        <f>+'Revenue Asumptions'!L40</f>
        <v>0</v>
      </c>
      <c r="M10" s="149">
        <f>+'Revenue Asumptions'!M40</f>
        <v>0</v>
      </c>
      <c r="N10" s="149">
        <f>+'Revenue Asumptions'!N40</f>
        <v>0</v>
      </c>
      <c r="O10" s="149">
        <f>+'Revenue Asumptions'!O40</f>
        <v>0</v>
      </c>
      <c r="P10" s="149">
        <f>+'Revenue Asumptions'!P40</f>
        <v>0</v>
      </c>
      <c r="Q10" s="149">
        <f>+'Revenue Asumptions'!Q40</f>
        <v>0</v>
      </c>
      <c r="R10" s="149">
        <f>+'Revenue Asumptions'!R40</f>
        <v>0</v>
      </c>
      <c r="S10" s="149">
        <f>+'Revenue Asumptions'!S40</f>
        <v>0</v>
      </c>
      <c r="T10" s="149">
        <f>+'Revenue Asumptions'!T40</f>
        <v>0</v>
      </c>
      <c r="U10" s="149">
        <f>+'Revenue Asumptions'!U40</f>
        <v>0</v>
      </c>
      <c r="V10" s="149" t="e">
        <f>+'Revenue Asumptions'!V40</f>
        <v>#REF!</v>
      </c>
      <c r="W10" s="149">
        <f>+'Revenue Asumptions'!W40</f>
        <v>0</v>
      </c>
      <c r="X10" s="149">
        <f>+'Revenue Asumptions'!X40</f>
        <v>0</v>
      </c>
      <c r="Y10" s="149">
        <f>+'Revenue Asumptions'!Y40</f>
        <v>0</v>
      </c>
      <c r="Z10" s="149">
        <f>+'Revenue Asumptions'!Z40</f>
        <v>0</v>
      </c>
      <c r="AA10" s="149">
        <f>+'Revenue Asumptions'!AA40</f>
        <v>0</v>
      </c>
      <c r="AB10" s="149">
        <f>+'Revenue Asumptions'!AB40</f>
        <v>0</v>
      </c>
      <c r="AC10" s="149">
        <f>+'Revenue Asumptions'!AC40</f>
        <v>0</v>
      </c>
      <c r="AD10" s="149">
        <f>+'Revenue Asumptions'!AD40</f>
        <v>0</v>
      </c>
      <c r="AE10" s="149">
        <f>+'Revenue Asumptions'!AE40</f>
        <v>0</v>
      </c>
      <c r="AF10" s="149">
        <f>+'Revenue Asumptions'!AF40</f>
        <v>0</v>
      </c>
      <c r="AG10" s="149">
        <f>+'Revenue Asumptions'!AG40</f>
        <v>0</v>
      </c>
      <c r="AH10" s="149" t="e">
        <f>+'Revenue Asumptions'!AH40</f>
        <v>#REF!</v>
      </c>
      <c r="AI10" s="149">
        <f>+'Revenue Asumptions'!AI40</f>
        <v>0</v>
      </c>
      <c r="AJ10" s="149">
        <f>+'Revenue Asumptions'!AJ40</f>
        <v>0</v>
      </c>
      <c r="AK10" s="149">
        <f>+'Revenue Asumptions'!AK40</f>
        <v>0</v>
      </c>
      <c r="AL10" s="149">
        <f>+'Revenue Asumptions'!AL40</f>
        <v>0</v>
      </c>
      <c r="AM10" s="149">
        <f>+'Revenue Asumptions'!AM40</f>
        <v>0</v>
      </c>
      <c r="AN10" s="149">
        <f>+'Revenue Asumptions'!AN40</f>
        <v>0</v>
      </c>
      <c r="AO10" s="149">
        <f>+'Revenue Asumptions'!AO40</f>
        <v>0</v>
      </c>
      <c r="AP10" s="149">
        <f>+'Revenue Asumptions'!AP40</f>
        <v>0</v>
      </c>
      <c r="AQ10" s="149">
        <f>+'Revenue Asumptions'!AQ40</f>
        <v>0</v>
      </c>
      <c r="AR10" s="149">
        <f>+'Revenue Asumptions'!AR40</f>
        <v>0</v>
      </c>
      <c r="AS10" s="149">
        <f>+'Revenue Asumptions'!AS40</f>
        <v>0</v>
      </c>
      <c r="AT10" s="149" t="e">
        <f>+'Revenue Asumptions'!AT40</f>
        <v>#REF!</v>
      </c>
      <c r="AU10" s="149">
        <f>+'Revenue Asumptions'!AU40</f>
        <v>0</v>
      </c>
      <c r="AV10" s="149">
        <f>+'Revenue Asumptions'!AV40</f>
        <v>0</v>
      </c>
      <c r="AW10" s="149">
        <f>+'Revenue Asumptions'!AW40</f>
        <v>0</v>
      </c>
      <c r="AX10" s="149">
        <f>+'Revenue Asumptions'!AX40</f>
        <v>0</v>
      </c>
      <c r="AY10" s="149">
        <f>+'Revenue Asumptions'!AY40</f>
        <v>0</v>
      </c>
      <c r="AZ10" s="149">
        <f>+'Revenue Asumptions'!AZ40</f>
        <v>0</v>
      </c>
      <c r="BA10" s="149">
        <f>+'Revenue Asumptions'!BA40</f>
        <v>0</v>
      </c>
      <c r="BB10" s="149">
        <f>+'Revenue Asumptions'!BB40</f>
        <v>0</v>
      </c>
      <c r="BC10" s="149">
        <f>+'Revenue Asumptions'!BC40</f>
        <v>0</v>
      </c>
      <c r="BD10" s="149">
        <f>+'Revenue Asumptions'!BD40</f>
        <v>0</v>
      </c>
      <c r="BE10" s="149">
        <f>+'Revenue Asumptions'!BE40</f>
        <v>0</v>
      </c>
      <c r="BF10" s="149" t="e">
        <f>+'Revenue Asumptions'!BF40</f>
        <v>#REF!</v>
      </c>
      <c r="BG10" s="149">
        <f>+'Revenue Asumptions'!BG40</f>
        <v>0</v>
      </c>
      <c r="BH10" s="149">
        <f>+'Revenue Asumptions'!BH40</f>
        <v>0</v>
      </c>
      <c r="BI10" s="149">
        <f>+'Revenue Asumptions'!BI40</f>
        <v>0</v>
      </c>
    </row>
    <row r="11" spans="1:62" s="149" customFormat="1" x14ac:dyDescent="0.15">
      <c r="A11" s="58" t="s">
        <v>64</v>
      </c>
      <c r="B11" s="149" t="e">
        <f>+'Revenue Asumptions'!B57</f>
        <v>#REF!</v>
      </c>
      <c r="C11" s="149" t="e">
        <f>+'Revenue Asumptions'!C57</f>
        <v>#REF!</v>
      </c>
      <c r="D11" s="149" t="e">
        <f>+'Revenue Asumptions'!D57</f>
        <v>#REF!</v>
      </c>
      <c r="E11" s="149" t="e">
        <f>+'Revenue Asumptions'!E57</f>
        <v>#REF!</v>
      </c>
      <c r="F11" s="149" t="e">
        <f>+'Revenue Asumptions'!F57</f>
        <v>#REF!</v>
      </c>
      <c r="G11" s="149" t="e">
        <f>+'Revenue Asumptions'!G57</f>
        <v>#REF!</v>
      </c>
      <c r="H11" s="149" t="e">
        <f>+'Revenue Asumptions'!H57</f>
        <v>#REF!</v>
      </c>
      <c r="I11" s="149" t="e">
        <f>+'Revenue Asumptions'!I57</f>
        <v>#REF!</v>
      </c>
      <c r="J11" s="149">
        <f>+'Revenue Asumptions'!J57</f>
        <v>0</v>
      </c>
      <c r="K11" s="149">
        <f>+'Revenue Asumptions'!K57</f>
        <v>0</v>
      </c>
      <c r="L11" s="149">
        <f>+'Revenue Asumptions'!L57</f>
        <v>0</v>
      </c>
      <c r="M11" s="149">
        <f>+'Revenue Asumptions'!M57</f>
        <v>0</v>
      </c>
      <c r="N11" s="149">
        <f>+'Revenue Asumptions'!N57</f>
        <v>0</v>
      </c>
      <c r="O11" s="149">
        <f>+'Revenue Asumptions'!O57</f>
        <v>0</v>
      </c>
      <c r="P11" s="149">
        <f>+'Revenue Asumptions'!P57</f>
        <v>0</v>
      </c>
      <c r="Q11" s="149">
        <f>+'Revenue Asumptions'!Q57</f>
        <v>0</v>
      </c>
      <c r="R11" s="149">
        <f>+'Revenue Asumptions'!R57</f>
        <v>0</v>
      </c>
      <c r="S11" s="149">
        <f>+'Revenue Asumptions'!S57</f>
        <v>0</v>
      </c>
      <c r="T11" s="149">
        <f>+'Revenue Asumptions'!T57</f>
        <v>0</v>
      </c>
      <c r="U11" s="149">
        <f>+'Revenue Asumptions'!U57</f>
        <v>0</v>
      </c>
      <c r="V11" s="149">
        <f>+'Revenue Asumptions'!V57</f>
        <v>0</v>
      </c>
      <c r="W11" s="149">
        <f>+'Revenue Asumptions'!W57</f>
        <v>0</v>
      </c>
      <c r="X11" s="149">
        <f>+'Revenue Asumptions'!X57</f>
        <v>0</v>
      </c>
      <c r="Y11" s="149">
        <f>+'Revenue Asumptions'!Y57</f>
        <v>0</v>
      </c>
      <c r="Z11" s="149">
        <f>+'Revenue Asumptions'!Z57</f>
        <v>0</v>
      </c>
      <c r="AA11" s="149">
        <f>+'Revenue Asumptions'!AA57</f>
        <v>0</v>
      </c>
      <c r="AB11" s="149">
        <f>+'Revenue Asumptions'!AB57</f>
        <v>0</v>
      </c>
      <c r="AC11" s="149">
        <f>+'Revenue Asumptions'!AC57</f>
        <v>0</v>
      </c>
      <c r="AD11" s="149">
        <f>+'Revenue Asumptions'!AD57</f>
        <v>0</v>
      </c>
      <c r="AE11" s="149">
        <f>+'Revenue Asumptions'!AE57</f>
        <v>0</v>
      </c>
      <c r="AF11" s="149">
        <f>+'Revenue Asumptions'!AF57</f>
        <v>0</v>
      </c>
      <c r="AG11" s="149">
        <f>+'Revenue Asumptions'!AG57</f>
        <v>0</v>
      </c>
      <c r="AH11" s="149">
        <f>+'Revenue Asumptions'!AH57</f>
        <v>0</v>
      </c>
      <c r="AI11" s="149">
        <f>+'Revenue Asumptions'!AI57</f>
        <v>0</v>
      </c>
      <c r="AJ11" s="149">
        <f>+'Revenue Asumptions'!AJ57</f>
        <v>0</v>
      </c>
      <c r="AK11" s="149">
        <f>+'Revenue Asumptions'!AK57</f>
        <v>0</v>
      </c>
      <c r="AL11" s="149">
        <f>+'Revenue Asumptions'!AL57</f>
        <v>0</v>
      </c>
      <c r="AM11" s="149">
        <f>+'Revenue Asumptions'!AM57</f>
        <v>0</v>
      </c>
      <c r="AN11" s="149">
        <f>+'Revenue Asumptions'!AN57</f>
        <v>0</v>
      </c>
      <c r="AO11" s="149">
        <f>+'Revenue Asumptions'!AO57</f>
        <v>0</v>
      </c>
      <c r="AP11" s="149">
        <f>+'Revenue Asumptions'!AP57</f>
        <v>0</v>
      </c>
      <c r="AQ11" s="149">
        <f>+'Revenue Asumptions'!AQ57</f>
        <v>0</v>
      </c>
      <c r="AR11" s="149">
        <f>+'Revenue Asumptions'!AR57</f>
        <v>0</v>
      </c>
      <c r="AS11" s="149">
        <f>+'Revenue Asumptions'!AS57</f>
        <v>0</v>
      </c>
      <c r="AT11" s="149">
        <f>+'Revenue Asumptions'!AT57</f>
        <v>0</v>
      </c>
      <c r="AU11" s="149">
        <f>+'Revenue Asumptions'!AU57</f>
        <v>0</v>
      </c>
      <c r="AV11" s="149">
        <f>+'Revenue Asumptions'!AV57</f>
        <v>0</v>
      </c>
      <c r="AW11" s="149">
        <f>+'Revenue Asumptions'!AW57</f>
        <v>0</v>
      </c>
      <c r="AX11" s="149">
        <f>+'Revenue Asumptions'!AX57</f>
        <v>0</v>
      </c>
      <c r="AY11" s="149">
        <f>+'Revenue Asumptions'!AY57</f>
        <v>0</v>
      </c>
      <c r="AZ11" s="149">
        <f>+'Revenue Asumptions'!AZ57</f>
        <v>0</v>
      </c>
      <c r="BA11" s="149">
        <f>+'Revenue Asumptions'!BA57</f>
        <v>0</v>
      </c>
      <c r="BB11" s="149">
        <f>+'Revenue Asumptions'!BB57</f>
        <v>0</v>
      </c>
      <c r="BC11" s="149">
        <f>+'Revenue Asumptions'!BC57</f>
        <v>0</v>
      </c>
      <c r="BD11" s="149">
        <f>+'Revenue Asumptions'!BD57</f>
        <v>0</v>
      </c>
      <c r="BE11" s="149">
        <f>+'Revenue Asumptions'!BE57</f>
        <v>0</v>
      </c>
      <c r="BF11" s="149">
        <f>+'Revenue Asumptions'!BF57</f>
        <v>0</v>
      </c>
      <c r="BG11" s="149">
        <f>+'Revenue Asumptions'!BG57</f>
        <v>0</v>
      </c>
      <c r="BH11" s="149">
        <f>+'Revenue Asumptions'!BH57</f>
        <v>0</v>
      </c>
      <c r="BI11" s="149">
        <f>+'Revenue Asumptions'!BI57</f>
        <v>0</v>
      </c>
    </row>
    <row r="12" spans="1:62" s="149" customFormat="1" ht="13" x14ac:dyDescent="0.15">
      <c r="A12" s="243" t="s">
        <v>205</v>
      </c>
      <c r="B12" s="149">
        <v>0</v>
      </c>
      <c r="C12" s="149">
        <v>0</v>
      </c>
      <c r="D12" s="149">
        <v>0</v>
      </c>
      <c r="E12" s="149">
        <v>0</v>
      </c>
      <c r="F12" s="149">
        <v>0</v>
      </c>
      <c r="G12" s="149">
        <v>0</v>
      </c>
      <c r="H12" s="149">
        <v>0</v>
      </c>
      <c r="I12" s="149">
        <v>0</v>
      </c>
      <c r="J12" s="149">
        <v>0</v>
      </c>
      <c r="K12" s="149">
        <v>0</v>
      </c>
      <c r="L12" s="149">
        <v>0</v>
      </c>
      <c r="M12" s="149">
        <v>0</v>
      </c>
      <c r="N12" s="149">
        <v>0</v>
      </c>
      <c r="O12" s="149">
        <v>0</v>
      </c>
      <c r="P12" s="149">
        <v>0</v>
      </c>
      <c r="Q12" s="149">
        <v>0</v>
      </c>
      <c r="R12" s="149">
        <v>0</v>
      </c>
      <c r="S12" s="149">
        <v>0</v>
      </c>
      <c r="T12" s="149">
        <v>0</v>
      </c>
      <c r="U12" s="149">
        <v>0</v>
      </c>
      <c r="V12" s="149">
        <v>0</v>
      </c>
      <c r="W12" s="149">
        <v>0</v>
      </c>
      <c r="X12" s="149">
        <v>0</v>
      </c>
      <c r="Y12" s="149">
        <v>0</v>
      </c>
      <c r="Z12" s="149">
        <v>0</v>
      </c>
      <c r="AA12" s="149">
        <v>0</v>
      </c>
      <c r="AB12" s="149">
        <v>0</v>
      </c>
      <c r="AC12" s="149">
        <v>0</v>
      </c>
      <c r="AD12" s="149">
        <v>0</v>
      </c>
      <c r="AE12" s="149">
        <v>0</v>
      </c>
      <c r="AF12" s="149">
        <v>0</v>
      </c>
      <c r="AG12" s="149">
        <v>0</v>
      </c>
      <c r="AH12" s="149">
        <v>0</v>
      </c>
      <c r="AI12" s="149">
        <v>0</v>
      </c>
      <c r="AJ12" s="149">
        <v>0</v>
      </c>
      <c r="AK12" s="149">
        <v>0</v>
      </c>
      <c r="AL12" s="149">
        <v>0</v>
      </c>
      <c r="AM12" s="149">
        <v>0</v>
      </c>
      <c r="AN12" s="149">
        <v>0</v>
      </c>
      <c r="AO12" s="149">
        <v>0</v>
      </c>
      <c r="AP12" s="149">
        <v>0</v>
      </c>
      <c r="AQ12" s="149">
        <v>0</v>
      </c>
      <c r="AR12" s="149">
        <v>0</v>
      </c>
      <c r="AS12" s="149">
        <v>0</v>
      </c>
      <c r="AT12" s="149">
        <v>0</v>
      </c>
      <c r="AU12" s="149">
        <v>0</v>
      </c>
      <c r="AV12" s="149">
        <v>0</v>
      </c>
      <c r="AW12" s="149">
        <v>0</v>
      </c>
      <c r="AX12" s="149">
        <v>0</v>
      </c>
      <c r="AY12" s="149">
        <v>0</v>
      </c>
      <c r="AZ12" s="149">
        <v>0</v>
      </c>
      <c r="BA12" s="149">
        <v>0</v>
      </c>
      <c r="BB12" s="149">
        <v>0</v>
      </c>
      <c r="BC12" s="149">
        <v>0</v>
      </c>
      <c r="BD12" s="149">
        <v>0</v>
      </c>
      <c r="BE12" s="149">
        <v>0</v>
      </c>
      <c r="BF12" s="149">
        <v>0</v>
      </c>
      <c r="BG12" s="149">
        <v>0</v>
      </c>
      <c r="BH12" s="149">
        <v>0</v>
      </c>
      <c r="BI12" s="149">
        <v>0</v>
      </c>
      <c r="BJ12" s="192" t="s">
        <v>206</v>
      </c>
    </row>
    <row r="13" spans="1:62" s="149" customFormat="1" x14ac:dyDescent="0.15">
      <c r="A13" s="69"/>
    </row>
    <row r="14" spans="1:62" s="149" customFormat="1" x14ac:dyDescent="0.15">
      <c r="A14" s="132" t="s">
        <v>207</v>
      </c>
      <c r="B14" s="150" t="e">
        <f t="shared" ref="B14:BH14" si="2">SUM(B7:B13)</f>
        <v>#N/A</v>
      </c>
      <c r="C14" s="150" t="e">
        <f t="shared" si="2"/>
        <v>#N/A</v>
      </c>
      <c r="D14" s="150" t="e">
        <f t="shared" si="2"/>
        <v>#N/A</v>
      </c>
      <c r="E14" s="150" t="e">
        <f t="shared" si="2"/>
        <v>#N/A</v>
      </c>
      <c r="F14" s="150" t="e">
        <f>SUM(F7:F13)</f>
        <v>#N/A</v>
      </c>
      <c r="G14" s="150" t="e">
        <f t="shared" si="2"/>
        <v>#N/A</v>
      </c>
      <c r="H14" s="150" t="e">
        <f t="shared" si="2"/>
        <v>#N/A</v>
      </c>
      <c r="I14" s="150" t="e">
        <f t="shared" si="2"/>
        <v>#N/A</v>
      </c>
      <c r="J14" s="150" t="e">
        <f t="shared" si="2"/>
        <v>#N/A</v>
      </c>
      <c r="K14" s="150" t="e">
        <f t="shared" si="2"/>
        <v>#N/A</v>
      </c>
      <c r="L14" s="150" t="e">
        <f t="shared" si="2"/>
        <v>#N/A</v>
      </c>
      <c r="M14" s="150" t="e">
        <f t="shared" si="2"/>
        <v>#N/A</v>
      </c>
      <c r="N14" s="150" t="e">
        <f t="shared" si="2"/>
        <v>#N/A</v>
      </c>
      <c r="O14" s="150" t="e">
        <f t="shared" si="2"/>
        <v>#N/A</v>
      </c>
      <c r="P14" s="150" t="e">
        <f t="shared" si="2"/>
        <v>#N/A</v>
      </c>
      <c r="Q14" s="150" t="e">
        <f t="shared" si="2"/>
        <v>#N/A</v>
      </c>
      <c r="R14" s="150" t="e">
        <f t="shared" si="2"/>
        <v>#N/A</v>
      </c>
      <c r="S14" s="150" t="e">
        <f t="shared" si="2"/>
        <v>#N/A</v>
      </c>
      <c r="T14" s="150" t="e">
        <f t="shared" si="2"/>
        <v>#N/A</v>
      </c>
      <c r="U14" s="150" t="e">
        <f t="shared" si="2"/>
        <v>#N/A</v>
      </c>
      <c r="V14" s="150" t="e">
        <f t="shared" si="2"/>
        <v>#N/A</v>
      </c>
      <c r="W14" s="150" t="e">
        <f t="shared" si="2"/>
        <v>#N/A</v>
      </c>
      <c r="X14" s="150" t="e">
        <f t="shared" si="2"/>
        <v>#N/A</v>
      </c>
      <c r="Y14" s="150" t="e">
        <f t="shared" si="2"/>
        <v>#N/A</v>
      </c>
      <c r="Z14" s="150" t="e">
        <f t="shared" si="2"/>
        <v>#N/A</v>
      </c>
      <c r="AA14" s="150" t="e">
        <f t="shared" si="2"/>
        <v>#N/A</v>
      </c>
      <c r="AB14" s="150" t="e">
        <f t="shared" si="2"/>
        <v>#N/A</v>
      </c>
      <c r="AC14" s="150" t="e">
        <f t="shared" si="2"/>
        <v>#N/A</v>
      </c>
      <c r="AD14" s="150" t="e">
        <f t="shared" si="2"/>
        <v>#N/A</v>
      </c>
      <c r="AE14" s="150" t="e">
        <f t="shared" si="2"/>
        <v>#N/A</v>
      </c>
      <c r="AF14" s="150" t="e">
        <f t="shared" si="2"/>
        <v>#N/A</v>
      </c>
      <c r="AG14" s="150" t="e">
        <f t="shared" si="2"/>
        <v>#N/A</v>
      </c>
      <c r="AH14" s="150" t="e">
        <f t="shared" si="2"/>
        <v>#N/A</v>
      </c>
      <c r="AI14" s="150" t="e">
        <f t="shared" si="2"/>
        <v>#N/A</v>
      </c>
      <c r="AJ14" s="150" t="e">
        <f t="shared" si="2"/>
        <v>#N/A</v>
      </c>
      <c r="AK14" s="150" t="e">
        <f t="shared" si="2"/>
        <v>#N/A</v>
      </c>
      <c r="AL14" s="150" t="e">
        <f t="shared" si="2"/>
        <v>#N/A</v>
      </c>
      <c r="AM14" s="150" t="e">
        <f t="shared" si="2"/>
        <v>#N/A</v>
      </c>
      <c r="AN14" s="150" t="e">
        <f t="shared" si="2"/>
        <v>#N/A</v>
      </c>
      <c r="AO14" s="150" t="e">
        <f t="shared" si="2"/>
        <v>#N/A</v>
      </c>
      <c r="AP14" s="150" t="e">
        <f t="shared" si="2"/>
        <v>#N/A</v>
      </c>
      <c r="AQ14" s="150" t="e">
        <f t="shared" si="2"/>
        <v>#N/A</v>
      </c>
      <c r="AR14" s="150" t="e">
        <f t="shared" si="2"/>
        <v>#N/A</v>
      </c>
      <c r="AS14" s="150" t="e">
        <f t="shared" si="2"/>
        <v>#N/A</v>
      </c>
      <c r="AT14" s="150" t="e">
        <f t="shared" si="2"/>
        <v>#N/A</v>
      </c>
      <c r="AU14" s="150" t="e">
        <f t="shared" si="2"/>
        <v>#N/A</v>
      </c>
      <c r="AV14" s="150" t="e">
        <f t="shared" si="2"/>
        <v>#N/A</v>
      </c>
      <c r="AW14" s="150" t="e">
        <f t="shared" si="2"/>
        <v>#N/A</v>
      </c>
      <c r="AX14" s="150" t="e">
        <f t="shared" si="2"/>
        <v>#N/A</v>
      </c>
      <c r="AY14" s="150" t="e">
        <f t="shared" si="2"/>
        <v>#N/A</v>
      </c>
      <c r="AZ14" s="150" t="e">
        <f t="shared" si="2"/>
        <v>#N/A</v>
      </c>
      <c r="BA14" s="150" t="e">
        <f t="shared" si="2"/>
        <v>#N/A</v>
      </c>
      <c r="BB14" s="150" t="e">
        <f t="shared" si="2"/>
        <v>#N/A</v>
      </c>
      <c r="BC14" s="150" t="e">
        <f t="shared" si="2"/>
        <v>#N/A</v>
      </c>
      <c r="BD14" s="150" t="e">
        <f t="shared" si="2"/>
        <v>#N/A</v>
      </c>
      <c r="BE14" s="150" t="e">
        <f t="shared" si="2"/>
        <v>#N/A</v>
      </c>
      <c r="BF14" s="150" t="e">
        <f t="shared" si="2"/>
        <v>#N/A</v>
      </c>
      <c r="BG14" s="150" t="e">
        <f t="shared" si="2"/>
        <v>#N/A</v>
      </c>
      <c r="BH14" s="150" t="e">
        <f t="shared" si="2"/>
        <v>#N/A</v>
      </c>
      <c r="BI14" s="150" t="e">
        <f>SUM(BI7:BI13)</f>
        <v>#N/A</v>
      </c>
    </row>
    <row r="15" spans="1:62" s="149" customFormat="1" x14ac:dyDescent="0.15">
      <c r="A15" s="17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</row>
    <row r="16" spans="1:62" s="149" customFormat="1" hidden="1" x14ac:dyDescent="0.15">
      <c r="A16" s="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</row>
    <row r="17" spans="1:62" s="149" customFormat="1" hidden="1" x14ac:dyDescent="0.15">
      <c r="A17" s="1" t="s">
        <v>52</v>
      </c>
      <c r="B17" s="149" t="e">
        <f>'Expense Assumptions'!#REF!</f>
        <v>#REF!</v>
      </c>
      <c r="C17" s="149" t="e">
        <f>'Expense Assumptions'!#REF!</f>
        <v>#REF!</v>
      </c>
      <c r="D17" s="149" t="e">
        <f>'Expense Assumptions'!#REF!</f>
        <v>#REF!</v>
      </c>
      <c r="E17" s="149" t="e">
        <f>'Expense Assumptions'!#REF!</f>
        <v>#REF!</v>
      </c>
      <c r="F17" s="149" t="e">
        <f>'Expense Assumptions'!#REF!</f>
        <v>#REF!</v>
      </c>
      <c r="G17" s="149" t="e">
        <f>'Expense Assumptions'!#REF!</f>
        <v>#REF!</v>
      </c>
      <c r="H17" s="149" t="e">
        <f>'Expense Assumptions'!#REF!</f>
        <v>#REF!</v>
      </c>
      <c r="I17" s="149" t="e">
        <f>'Expense Assumptions'!#REF!</f>
        <v>#REF!</v>
      </c>
      <c r="J17" s="149" t="e">
        <f>'Expense Assumptions'!#REF!</f>
        <v>#REF!</v>
      </c>
      <c r="K17" s="149" t="e">
        <f>'Expense Assumptions'!#REF!</f>
        <v>#REF!</v>
      </c>
      <c r="L17" s="149" t="e">
        <f>'Expense Assumptions'!#REF!</f>
        <v>#REF!</v>
      </c>
      <c r="M17" s="149" t="e">
        <f>'Expense Assumptions'!#REF!</f>
        <v>#REF!</v>
      </c>
      <c r="N17" s="149" t="e">
        <f>'Expense Assumptions'!#REF!</f>
        <v>#REF!</v>
      </c>
      <c r="O17" s="149" t="e">
        <f>'Expense Assumptions'!#REF!</f>
        <v>#REF!</v>
      </c>
      <c r="P17" s="149" t="e">
        <f>'Expense Assumptions'!#REF!</f>
        <v>#REF!</v>
      </c>
      <c r="Q17" s="149" t="e">
        <f>'Expense Assumptions'!#REF!</f>
        <v>#REF!</v>
      </c>
      <c r="R17" s="149" t="e">
        <f>'Expense Assumptions'!#REF!</f>
        <v>#REF!</v>
      </c>
      <c r="S17" s="149" t="e">
        <f>'Expense Assumptions'!#REF!</f>
        <v>#REF!</v>
      </c>
      <c r="T17" s="149" t="e">
        <f>'Expense Assumptions'!#REF!</f>
        <v>#REF!</v>
      </c>
      <c r="U17" s="149" t="e">
        <f>'Expense Assumptions'!#REF!</f>
        <v>#REF!</v>
      </c>
      <c r="V17" s="149" t="e">
        <f>'Expense Assumptions'!#REF!</f>
        <v>#REF!</v>
      </c>
      <c r="W17" s="149" t="e">
        <f>'Expense Assumptions'!#REF!</f>
        <v>#REF!</v>
      </c>
      <c r="X17" s="149" t="e">
        <f>'Expense Assumptions'!#REF!</f>
        <v>#REF!</v>
      </c>
      <c r="Y17" s="149" t="e">
        <f>'Expense Assumptions'!#REF!</f>
        <v>#REF!</v>
      </c>
      <c r="Z17" s="149" t="e">
        <f>'Expense Assumptions'!#REF!</f>
        <v>#REF!</v>
      </c>
      <c r="AA17" s="149" t="e">
        <f>'Expense Assumptions'!#REF!</f>
        <v>#REF!</v>
      </c>
      <c r="AB17" s="149" t="e">
        <f>'Expense Assumptions'!#REF!</f>
        <v>#REF!</v>
      </c>
      <c r="AC17" s="149" t="e">
        <f>'Expense Assumptions'!#REF!</f>
        <v>#REF!</v>
      </c>
      <c r="AD17" s="149" t="e">
        <f>'Expense Assumptions'!#REF!</f>
        <v>#REF!</v>
      </c>
      <c r="AE17" s="149" t="e">
        <f>'Expense Assumptions'!#REF!</f>
        <v>#REF!</v>
      </c>
      <c r="AF17" s="149" t="e">
        <f>'Expense Assumptions'!#REF!</f>
        <v>#REF!</v>
      </c>
      <c r="AG17" s="149" t="e">
        <f>'Expense Assumptions'!#REF!</f>
        <v>#REF!</v>
      </c>
      <c r="AH17" s="149" t="e">
        <f>'Expense Assumptions'!#REF!</f>
        <v>#REF!</v>
      </c>
      <c r="AI17" s="149" t="e">
        <f>'Expense Assumptions'!#REF!</f>
        <v>#REF!</v>
      </c>
      <c r="AJ17" s="149" t="e">
        <f>'Expense Assumptions'!#REF!</f>
        <v>#REF!</v>
      </c>
      <c r="AK17" s="149" t="e">
        <f>'Expense Assumptions'!#REF!</f>
        <v>#REF!</v>
      </c>
      <c r="AL17" s="149" t="e">
        <f>'Expense Assumptions'!#REF!</f>
        <v>#REF!</v>
      </c>
      <c r="AM17" s="149" t="e">
        <f>'Expense Assumptions'!#REF!</f>
        <v>#REF!</v>
      </c>
      <c r="AN17" s="149" t="e">
        <f>'Expense Assumptions'!#REF!</f>
        <v>#REF!</v>
      </c>
      <c r="AO17" s="149" t="e">
        <f>'Expense Assumptions'!#REF!</f>
        <v>#REF!</v>
      </c>
      <c r="AP17" s="149" t="e">
        <f>'Expense Assumptions'!#REF!</f>
        <v>#REF!</v>
      </c>
      <c r="AQ17" s="149" t="e">
        <f>'Expense Assumptions'!#REF!</f>
        <v>#REF!</v>
      </c>
      <c r="AR17" s="149" t="e">
        <f>'Expense Assumptions'!#REF!</f>
        <v>#REF!</v>
      </c>
      <c r="AS17" s="149" t="e">
        <f>'Expense Assumptions'!#REF!</f>
        <v>#REF!</v>
      </c>
      <c r="AT17" s="149" t="e">
        <f>'Expense Assumptions'!#REF!</f>
        <v>#REF!</v>
      </c>
      <c r="AU17" s="149" t="e">
        <f>'Expense Assumptions'!#REF!</f>
        <v>#REF!</v>
      </c>
      <c r="AV17" s="149" t="e">
        <f>'Expense Assumptions'!#REF!</f>
        <v>#REF!</v>
      </c>
      <c r="AW17" s="149" t="e">
        <f>'Expense Assumptions'!#REF!</f>
        <v>#REF!</v>
      </c>
      <c r="AX17" s="149" t="e">
        <f>'Expense Assumptions'!#REF!</f>
        <v>#REF!</v>
      </c>
      <c r="AY17" s="149" t="e">
        <f>'Expense Assumptions'!#REF!</f>
        <v>#REF!</v>
      </c>
      <c r="AZ17" s="149" t="e">
        <f>'Expense Assumptions'!#REF!</f>
        <v>#REF!</v>
      </c>
      <c r="BA17" s="149" t="e">
        <f>'Expense Assumptions'!#REF!</f>
        <v>#REF!</v>
      </c>
      <c r="BB17" s="149" t="e">
        <f>'Expense Assumptions'!#REF!</f>
        <v>#REF!</v>
      </c>
      <c r="BC17" s="149" t="e">
        <f>'Expense Assumptions'!#REF!</f>
        <v>#REF!</v>
      </c>
      <c r="BD17" s="149" t="e">
        <f>'Expense Assumptions'!#REF!</f>
        <v>#REF!</v>
      </c>
      <c r="BE17" s="149" t="e">
        <f>'Expense Assumptions'!#REF!</f>
        <v>#REF!</v>
      </c>
      <c r="BF17" s="149" t="e">
        <f>'Expense Assumptions'!#REF!</f>
        <v>#REF!</v>
      </c>
      <c r="BG17" s="149" t="e">
        <f>'Expense Assumptions'!#REF!</f>
        <v>#REF!</v>
      </c>
      <c r="BH17" s="149" t="e">
        <f>'Expense Assumptions'!#REF!</f>
        <v>#REF!</v>
      </c>
      <c r="BI17" s="149" t="e">
        <f>'Expense Assumptions'!#REF!</f>
        <v>#REF!</v>
      </c>
    </row>
    <row r="18" spans="1:62" s="149" customFormat="1" hidden="1" x14ac:dyDescent="0.15">
      <c r="A18" s="1" t="s">
        <v>58</v>
      </c>
      <c r="B18" s="149" t="e">
        <f>'Expense Assumptions'!#REF!</f>
        <v>#REF!</v>
      </c>
      <c r="C18" s="149" t="e">
        <f>'Expense Assumptions'!#REF!</f>
        <v>#REF!</v>
      </c>
      <c r="D18" s="149" t="e">
        <f>'Expense Assumptions'!#REF!</f>
        <v>#REF!</v>
      </c>
      <c r="E18" s="149" t="e">
        <f>'Expense Assumptions'!#REF!</f>
        <v>#REF!</v>
      </c>
      <c r="F18" s="149" t="e">
        <f>'Expense Assumptions'!#REF!</f>
        <v>#REF!</v>
      </c>
      <c r="G18" s="149" t="e">
        <f>'Expense Assumptions'!#REF!</f>
        <v>#REF!</v>
      </c>
      <c r="H18" s="149" t="e">
        <f>'Expense Assumptions'!#REF!</f>
        <v>#REF!</v>
      </c>
      <c r="I18" s="149" t="e">
        <f>'Expense Assumptions'!#REF!</f>
        <v>#REF!</v>
      </c>
      <c r="J18" s="149" t="e">
        <f>'Expense Assumptions'!#REF!</f>
        <v>#REF!</v>
      </c>
      <c r="K18" s="149" t="e">
        <f>'Expense Assumptions'!#REF!</f>
        <v>#REF!</v>
      </c>
      <c r="L18" s="149" t="e">
        <f>'Expense Assumptions'!#REF!</f>
        <v>#REF!</v>
      </c>
      <c r="M18" s="149" t="e">
        <f>'Expense Assumptions'!#REF!</f>
        <v>#REF!</v>
      </c>
      <c r="N18" s="149" t="e">
        <f>'Expense Assumptions'!#REF!</f>
        <v>#REF!</v>
      </c>
      <c r="O18" s="149" t="e">
        <f>'Expense Assumptions'!#REF!</f>
        <v>#REF!</v>
      </c>
      <c r="P18" s="149" t="e">
        <f>'Expense Assumptions'!#REF!</f>
        <v>#REF!</v>
      </c>
      <c r="Q18" s="149" t="e">
        <f>'Expense Assumptions'!#REF!</f>
        <v>#REF!</v>
      </c>
      <c r="R18" s="149" t="e">
        <f>'Expense Assumptions'!#REF!</f>
        <v>#REF!</v>
      </c>
      <c r="S18" s="149" t="e">
        <f>'Expense Assumptions'!#REF!</f>
        <v>#REF!</v>
      </c>
      <c r="T18" s="149" t="e">
        <f>'Expense Assumptions'!#REF!</f>
        <v>#REF!</v>
      </c>
      <c r="U18" s="149" t="e">
        <f>'Expense Assumptions'!#REF!</f>
        <v>#REF!</v>
      </c>
      <c r="V18" s="149" t="e">
        <f>'Expense Assumptions'!#REF!</f>
        <v>#REF!</v>
      </c>
      <c r="W18" s="149" t="e">
        <f>'Expense Assumptions'!#REF!</f>
        <v>#REF!</v>
      </c>
      <c r="X18" s="149" t="e">
        <f>'Expense Assumptions'!#REF!</f>
        <v>#REF!</v>
      </c>
      <c r="Y18" s="149" t="e">
        <f>'Expense Assumptions'!#REF!</f>
        <v>#REF!</v>
      </c>
      <c r="Z18" s="149" t="e">
        <f>'Expense Assumptions'!#REF!</f>
        <v>#REF!</v>
      </c>
      <c r="AA18" s="149" t="e">
        <f>'Expense Assumptions'!#REF!</f>
        <v>#REF!</v>
      </c>
      <c r="AB18" s="149" t="e">
        <f>'Expense Assumptions'!#REF!</f>
        <v>#REF!</v>
      </c>
      <c r="AC18" s="149" t="e">
        <f>'Expense Assumptions'!#REF!</f>
        <v>#REF!</v>
      </c>
      <c r="AD18" s="149" t="e">
        <f>'Expense Assumptions'!#REF!</f>
        <v>#REF!</v>
      </c>
      <c r="AE18" s="149" t="e">
        <f>'Expense Assumptions'!#REF!</f>
        <v>#REF!</v>
      </c>
      <c r="AF18" s="149" t="e">
        <f>'Expense Assumptions'!#REF!</f>
        <v>#REF!</v>
      </c>
      <c r="AG18" s="149" t="e">
        <f>'Expense Assumptions'!#REF!</f>
        <v>#REF!</v>
      </c>
      <c r="AH18" s="149" t="e">
        <f>'Expense Assumptions'!#REF!</f>
        <v>#REF!</v>
      </c>
      <c r="AI18" s="149" t="e">
        <f>'Expense Assumptions'!#REF!</f>
        <v>#REF!</v>
      </c>
      <c r="AJ18" s="149" t="e">
        <f>'Expense Assumptions'!#REF!</f>
        <v>#REF!</v>
      </c>
      <c r="AK18" s="149" t="e">
        <f>'Expense Assumptions'!#REF!</f>
        <v>#REF!</v>
      </c>
      <c r="AL18" s="149" t="e">
        <f>'Expense Assumptions'!#REF!</f>
        <v>#REF!</v>
      </c>
      <c r="AM18" s="149" t="e">
        <f>'Expense Assumptions'!#REF!</f>
        <v>#REF!</v>
      </c>
      <c r="AN18" s="149" t="e">
        <f>'Expense Assumptions'!#REF!</f>
        <v>#REF!</v>
      </c>
      <c r="AO18" s="149" t="e">
        <f>'Expense Assumptions'!#REF!</f>
        <v>#REF!</v>
      </c>
      <c r="AP18" s="149" t="e">
        <f>'Expense Assumptions'!#REF!</f>
        <v>#REF!</v>
      </c>
      <c r="AQ18" s="149" t="e">
        <f>'Expense Assumptions'!#REF!</f>
        <v>#REF!</v>
      </c>
      <c r="AR18" s="149" t="e">
        <f>'Expense Assumptions'!#REF!</f>
        <v>#REF!</v>
      </c>
      <c r="AS18" s="149" t="e">
        <f>'Expense Assumptions'!#REF!</f>
        <v>#REF!</v>
      </c>
      <c r="AT18" s="149" t="e">
        <f>'Expense Assumptions'!#REF!</f>
        <v>#REF!</v>
      </c>
      <c r="AU18" s="149" t="e">
        <f>'Expense Assumptions'!#REF!</f>
        <v>#REF!</v>
      </c>
      <c r="AV18" s="149" t="e">
        <f>'Expense Assumptions'!#REF!</f>
        <v>#REF!</v>
      </c>
      <c r="AW18" s="149" t="e">
        <f>'Expense Assumptions'!#REF!</f>
        <v>#REF!</v>
      </c>
      <c r="AX18" s="149" t="e">
        <f>'Expense Assumptions'!#REF!</f>
        <v>#REF!</v>
      </c>
      <c r="AY18" s="149" t="e">
        <f>'Expense Assumptions'!#REF!</f>
        <v>#REF!</v>
      </c>
      <c r="AZ18" s="149" t="e">
        <f>'Expense Assumptions'!#REF!</f>
        <v>#REF!</v>
      </c>
      <c r="BA18" s="149" t="e">
        <f>'Expense Assumptions'!#REF!</f>
        <v>#REF!</v>
      </c>
      <c r="BB18" s="149" t="e">
        <f>'Expense Assumptions'!#REF!</f>
        <v>#REF!</v>
      </c>
      <c r="BC18" s="149" t="e">
        <f>'Expense Assumptions'!#REF!</f>
        <v>#REF!</v>
      </c>
      <c r="BD18" s="149" t="e">
        <f>'Expense Assumptions'!#REF!</f>
        <v>#REF!</v>
      </c>
      <c r="BE18" s="149" t="e">
        <f>'Expense Assumptions'!#REF!</f>
        <v>#REF!</v>
      </c>
      <c r="BF18" s="149" t="e">
        <f>'Expense Assumptions'!#REF!</f>
        <v>#REF!</v>
      </c>
      <c r="BG18" s="149" t="e">
        <f>'Expense Assumptions'!#REF!</f>
        <v>#REF!</v>
      </c>
      <c r="BH18" s="149" t="e">
        <f>'Expense Assumptions'!#REF!</f>
        <v>#REF!</v>
      </c>
      <c r="BI18" s="149" t="e">
        <f>'Expense Assumptions'!#REF!</f>
        <v>#REF!</v>
      </c>
    </row>
    <row r="19" spans="1:62" s="149" customFormat="1" hidden="1" x14ac:dyDescent="0.15">
      <c r="A19" s="1" t="s">
        <v>114</v>
      </c>
      <c r="B19" s="149" t="e">
        <f>'Expense Assumptions'!#REF!</f>
        <v>#REF!</v>
      </c>
      <c r="C19" s="149" t="e">
        <f>'Expense Assumptions'!#REF!</f>
        <v>#REF!</v>
      </c>
      <c r="D19" s="149" t="e">
        <f>'Expense Assumptions'!#REF!</f>
        <v>#REF!</v>
      </c>
      <c r="E19" s="149" t="e">
        <f>'Expense Assumptions'!#REF!</f>
        <v>#REF!</v>
      </c>
      <c r="F19" s="149" t="e">
        <f>'Expense Assumptions'!#REF!</f>
        <v>#REF!</v>
      </c>
      <c r="G19" s="149" t="e">
        <f>'Expense Assumptions'!#REF!</f>
        <v>#REF!</v>
      </c>
      <c r="H19" s="149" t="e">
        <f>'Expense Assumptions'!#REF!</f>
        <v>#REF!</v>
      </c>
      <c r="I19" s="149" t="e">
        <f>'Expense Assumptions'!#REF!</f>
        <v>#REF!</v>
      </c>
      <c r="J19" s="149" t="e">
        <f>'Expense Assumptions'!#REF!</f>
        <v>#REF!</v>
      </c>
      <c r="K19" s="149" t="e">
        <f>'Expense Assumptions'!#REF!</f>
        <v>#REF!</v>
      </c>
      <c r="L19" s="149" t="e">
        <f>'Expense Assumptions'!#REF!</f>
        <v>#REF!</v>
      </c>
      <c r="M19" s="149" t="e">
        <f>'Expense Assumptions'!#REF!</f>
        <v>#REF!</v>
      </c>
      <c r="N19" s="149" t="e">
        <f>'Expense Assumptions'!#REF!</f>
        <v>#REF!</v>
      </c>
      <c r="O19" s="149" t="e">
        <f>'Expense Assumptions'!#REF!</f>
        <v>#REF!</v>
      </c>
      <c r="P19" s="149" t="e">
        <f>'Expense Assumptions'!#REF!</f>
        <v>#REF!</v>
      </c>
      <c r="Q19" s="149" t="e">
        <f>'Expense Assumptions'!#REF!</f>
        <v>#REF!</v>
      </c>
      <c r="R19" s="149" t="e">
        <f>'Expense Assumptions'!#REF!</f>
        <v>#REF!</v>
      </c>
      <c r="S19" s="149" t="e">
        <f>'Expense Assumptions'!#REF!</f>
        <v>#REF!</v>
      </c>
      <c r="T19" s="149" t="e">
        <f>'Expense Assumptions'!#REF!</f>
        <v>#REF!</v>
      </c>
      <c r="U19" s="149" t="e">
        <f>'Expense Assumptions'!#REF!</f>
        <v>#REF!</v>
      </c>
      <c r="V19" s="149" t="e">
        <f>'Expense Assumptions'!#REF!</f>
        <v>#REF!</v>
      </c>
      <c r="W19" s="149" t="e">
        <f>'Expense Assumptions'!#REF!</f>
        <v>#REF!</v>
      </c>
      <c r="X19" s="149" t="e">
        <f>'Expense Assumptions'!#REF!</f>
        <v>#REF!</v>
      </c>
      <c r="Y19" s="149" t="e">
        <f>'Expense Assumptions'!#REF!</f>
        <v>#REF!</v>
      </c>
      <c r="Z19" s="149" t="e">
        <f>'Expense Assumptions'!#REF!</f>
        <v>#REF!</v>
      </c>
      <c r="AA19" s="149" t="e">
        <f>'Expense Assumptions'!#REF!</f>
        <v>#REF!</v>
      </c>
      <c r="AB19" s="149" t="e">
        <f>'Expense Assumptions'!#REF!</f>
        <v>#REF!</v>
      </c>
      <c r="AC19" s="149" t="e">
        <f>'Expense Assumptions'!#REF!</f>
        <v>#REF!</v>
      </c>
      <c r="AD19" s="149" t="e">
        <f>'Expense Assumptions'!#REF!</f>
        <v>#REF!</v>
      </c>
      <c r="AE19" s="149" t="e">
        <f>'Expense Assumptions'!#REF!</f>
        <v>#REF!</v>
      </c>
      <c r="AF19" s="149" t="e">
        <f>'Expense Assumptions'!#REF!</f>
        <v>#REF!</v>
      </c>
      <c r="AG19" s="149" t="e">
        <f>'Expense Assumptions'!#REF!</f>
        <v>#REF!</v>
      </c>
      <c r="AH19" s="149" t="e">
        <f>'Expense Assumptions'!#REF!</f>
        <v>#REF!</v>
      </c>
      <c r="AI19" s="149" t="e">
        <f>'Expense Assumptions'!#REF!</f>
        <v>#REF!</v>
      </c>
      <c r="AJ19" s="149" t="e">
        <f>'Expense Assumptions'!#REF!</f>
        <v>#REF!</v>
      </c>
      <c r="AK19" s="149" t="e">
        <f>'Expense Assumptions'!#REF!</f>
        <v>#REF!</v>
      </c>
      <c r="AL19" s="149" t="e">
        <f>'Expense Assumptions'!#REF!</f>
        <v>#REF!</v>
      </c>
      <c r="AM19" s="149" t="e">
        <f>'Expense Assumptions'!#REF!</f>
        <v>#REF!</v>
      </c>
      <c r="AN19" s="149" t="e">
        <f>'Expense Assumptions'!#REF!</f>
        <v>#REF!</v>
      </c>
      <c r="AO19" s="149" t="e">
        <f>'Expense Assumptions'!#REF!</f>
        <v>#REF!</v>
      </c>
      <c r="AP19" s="149" t="e">
        <f>'Expense Assumptions'!#REF!</f>
        <v>#REF!</v>
      </c>
      <c r="AQ19" s="149" t="e">
        <f>'Expense Assumptions'!#REF!</f>
        <v>#REF!</v>
      </c>
      <c r="AR19" s="149" t="e">
        <f>'Expense Assumptions'!#REF!</f>
        <v>#REF!</v>
      </c>
      <c r="AS19" s="149" t="e">
        <f>'Expense Assumptions'!#REF!</f>
        <v>#REF!</v>
      </c>
      <c r="AT19" s="149" t="e">
        <f>'Expense Assumptions'!#REF!</f>
        <v>#REF!</v>
      </c>
      <c r="AU19" s="149" t="e">
        <f>'Expense Assumptions'!#REF!</f>
        <v>#REF!</v>
      </c>
      <c r="AV19" s="149" t="e">
        <f>'Expense Assumptions'!#REF!</f>
        <v>#REF!</v>
      </c>
      <c r="AW19" s="149" t="e">
        <f>'Expense Assumptions'!#REF!</f>
        <v>#REF!</v>
      </c>
      <c r="AX19" s="149" t="e">
        <f>'Expense Assumptions'!#REF!</f>
        <v>#REF!</v>
      </c>
      <c r="AY19" s="149" t="e">
        <f>'Expense Assumptions'!#REF!</f>
        <v>#REF!</v>
      </c>
      <c r="AZ19" s="149" t="e">
        <f>'Expense Assumptions'!#REF!</f>
        <v>#REF!</v>
      </c>
      <c r="BA19" s="149" t="e">
        <f>'Expense Assumptions'!#REF!</f>
        <v>#REF!</v>
      </c>
      <c r="BB19" s="149" t="e">
        <f>'Expense Assumptions'!#REF!</f>
        <v>#REF!</v>
      </c>
      <c r="BC19" s="149" t="e">
        <f>'Expense Assumptions'!#REF!</f>
        <v>#REF!</v>
      </c>
      <c r="BD19" s="149" t="e">
        <f>'Expense Assumptions'!#REF!</f>
        <v>#REF!</v>
      </c>
      <c r="BE19" s="149" t="e">
        <f>'Expense Assumptions'!#REF!</f>
        <v>#REF!</v>
      </c>
      <c r="BF19" s="149" t="e">
        <f>'Expense Assumptions'!#REF!</f>
        <v>#REF!</v>
      </c>
      <c r="BG19" s="149" t="e">
        <f>'Expense Assumptions'!#REF!</f>
        <v>#REF!</v>
      </c>
      <c r="BH19" s="149" t="e">
        <f>'Expense Assumptions'!#REF!</f>
        <v>#REF!</v>
      </c>
      <c r="BI19" s="149" t="e">
        <f>'Expense Assumptions'!#REF!</f>
        <v>#REF!</v>
      </c>
    </row>
    <row r="20" spans="1:62" s="149" customFormat="1" x14ac:dyDescent="0.15">
      <c r="A20" s="58" t="s">
        <v>204</v>
      </c>
      <c r="B20" s="149" t="e">
        <f>+'Expense Assumptions'!#REF!</f>
        <v>#REF!</v>
      </c>
      <c r="C20" s="149" t="e">
        <f>+'Expense Assumptions'!#REF!</f>
        <v>#REF!</v>
      </c>
      <c r="D20" s="149" t="e">
        <f>+'Expense Assumptions'!#REF!</f>
        <v>#REF!</v>
      </c>
      <c r="E20" s="149" t="e">
        <f>+'Expense Assumptions'!#REF!</f>
        <v>#REF!</v>
      </c>
      <c r="F20" s="149" t="e">
        <f>+'Expense Assumptions'!#REF!</f>
        <v>#REF!</v>
      </c>
      <c r="G20" s="149" t="e">
        <f>+'Expense Assumptions'!#REF!</f>
        <v>#REF!</v>
      </c>
      <c r="H20" s="149" t="e">
        <f>+'Expense Assumptions'!#REF!</f>
        <v>#REF!</v>
      </c>
      <c r="I20" s="149" t="e">
        <f>+'Expense Assumptions'!#REF!</f>
        <v>#REF!</v>
      </c>
      <c r="J20" s="149" t="e">
        <f>+'Expense Assumptions'!#REF!</f>
        <v>#REF!</v>
      </c>
      <c r="K20" s="149" t="e">
        <f>+'Expense Assumptions'!#REF!</f>
        <v>#REF!</v>
      </c>
      <c r="L20" s="149" t="e">
        <f>+'Expense Assumptions'!#REF!</f>
        <v>#REF!</v>
      </c>
      <c r="M20" s="149" t="e">
        <f>+'Expense Assumptions'!#REF!</f>
        <v>#REF!</v>
      </c>
      <c r="N20" s="149" t="e">
        <f>+'Expense Assumptions'!#REF!</f>
        <v>#REF!</v>
      </c>
      <c r="O20" s="149" t="e">
        <f>+'Expense Assumptions'!#REF!</f>
        <v>#REF!</v>
      </c>
      <c r="P20" s="149" t="e">
        <f>+'Expense Assumptions'!#REF!</f>
        <v>#REF!</v>
      </c>
      <c r="Q20" s="149" t="e">
        <f>+'Expense Assumptions'!#REF!</f>
        <v>#REF!</v>
      </c>
      <c r="R20" s="149" t="e">
        <f>+'Expense Assumptions'!#REF!</f>
        <v>#REF!</v>
      </c>
      <c r="S20" s="149" t="e">
        <f>+'Expense Assumptions'!#REF!</f>
        <v>#REF!</v>
      </c>
      <c r="T20" s="149" t="e">
        <f>+'Expense Assumptions'!#REF!</f>
        <v>#REF!</v>
      </c>
      <c r="U20" s="149" t="e">
        <f>+'Expense Assumptions'!#REF!</f>
        <v>#REF!</v>
      </c>
      <c r="V20" s="149" t="e">
        <f>+'Expense Assumptions'!#REF!</f>
        <v>#REF!</v>
      </c>
      <c r="W20" s="149" t="e">
        <f>+'Expense Assumptions'!#REF!</f>
        <v>#REF!</v>
      </c>
      <c r="X20" s="149" t="e">
        <f>+'Expense Assumptions'!#REF!</f>
        <v>#REF!</v>
      </c>
      <c r="Y20" s="149" t="e">
        <f>+'Expense Assumptions'!#REF!</f>
        <v>#REF!</v>
      </c>
      <c r="Z20" s="149" t="e">
        <f>+'Expense Assumptions'!#REF!</f>
        <v>#REF!</v>
      </c>
      <c r="AA20" s="149" t="e">
        <f>+'Expense Assumptions'!#REF!</f>
        <v>#REF!</v>
      </c>
      <c r="AB20" s="149" t="e">
        <f>+'Expense Assumptions'!#REF!</f>
        <v>#REF!</v>
      </c>
      <c r="AC20" s="149" t="e">
        <f>+'Expense Assumptions'!#REF!</f>
        <v>#REF!</v>
      </c>
      <c r="AD20" s="149" t="e">
        <f>+'Expense Assumptions'!#REF!</f>
        <v>#REF!</v>
      </c>
      <c r="AE20" s="149" t="e">
        <f>+'Expense Assumptions'!#REF!</f>
        <v>#REF!</v>
      </c>
      <c r="AF20" s="149" t="e">
        <f>+'Expense Assumptions'!#REF!</f>
        <v>#REF!</v>
      </c>
      <c r="AG20" s="149" t="e">
        <f>+'Expense Assumptions'!#REF!</f>
        <v>#REF!</v>
      </c>
      <c r="AH20" s="149" t="e">
        <f>+'Expense Assumptions'!#REF!</f>
        <v>#REF!</v>
      </c>
      <c r="AI20" s="149" t="e">
        <f>+'Expense Assumptions'!#REF!</f>
        <v>#REF!</v>
      </c>
      <c r="AJ20" s="149" t="e">
        <f>+'Expense Assumptions'!#REF!</f>
        <v>#REF!</v>
      </c>
      <c r="AK20" s="149" t="e">
        <f>+'Expense Assumptions'!#REF!</f>
        <v>#REF!</v>
      </c>
      <c r="AL20" s="149" t="e">
        <f>+'Expense Assumptions'!#REF!</f>
        <v>#REF!</v>
      </c>
      <c r="AM20" s="149" t="e">
        <f>+'Expense Assumptions'!#REF!</f>
        <v>#REF!</v>
      </c>
      <c r="AN20" s="149" t="e">
        <f>+'Expense Assumptions'!#REF!</f>
        <v>#REF!</v>
      </c>
      <c r="AO20" s="149" t="e">
        <f>+'Expense Assumptions'!#REF!</f>
        <v>#REF!</v>
      </c>
      <c r="AP20" s="149" t="e">
        <f>+'Expense Assumptions'!#REF!</f>
        <v>#REF!</v>
      </c>
      <c r="AQ20" s="149" t="e">
        <f>+'Expense Assumptions'!#REF!</f>
        <v>#REF!</v>
      </c>
      <c r="AR20" s="149" t="e">
        <f>+'Expense Assumptions'!#REF!</f>
        <v>#REF!</v>
      </c>
      <c r="AS20" s="149" t="e">
        <f>+'Expense Assumptions'!#REF!</f>
        <v>#REF!</v>
      </c>
      <c r="AT20" s="149" t="e">
        <f>+'Expense Assumptions'!#REF!</f>
        <v>#REF!</v>
      </c>
      <c r="AU20" s="149" t="e">
        <f>+'Expense Assumptions'!#REF!</f>
        <v>#REF!</v>
      </c>
      <c r="AV20" s="149" t="e">
        <f>+'Expense Assumptions'!#REF!</f>
        <v>#REF!</v>
      </c>
      <c r="AW20" s="149" t="e">
        <f>+'Expense Assumptions'!#REF!</f>
        <v>#REF!</v>
      </c>
      <c r="AX20" s="149" t="e">
        <f>+'Expense Assumptions'!#REF!</f>
        <v>#REF!</v>
      </c>
      <c r="AY20" s="149" t="e">
        <f>+'Expense Assumptions'!#REF!</f>
        <v>#REF!</v>
      </c>
      <c r="AZ20" s="149" t="e">
        <f>+'Expense Assumptions'!#REF!</f>
        <v>#REF!</v>
      </c>
      <c r="BA20" s="149" t="e">
        <f>+'Expense Assumptions'!#REF!</f>
        <v>#REF!</v>
      </c>
      <c r="BB20" s="149" t="e">
        <f>+'Expense Assumptions'!#REF!</f>
        <v>#REF!</v>
      </c>
      <c r="BC20" s="149" t="e">
        <f>+'Expense Assumptions'!#REF!</f>
        <v>#REF!</v>
      </c>
      <c r="BD20" s="149" t="e">
        <f>+'Expense Assumptions'!#REF!</f>
        <v>#REF!</v>
      </c>
      <c r="BE20" s="149" t="e">
        <f>+'Expense Assumptions'!#REF!</f>
        <v>#REF!</v>
      </c>
      <c r="BF20" s="149" t="e">
        <f>+'Expense Assumptions'!#REF!</f>
        <v>#REF!</v>
      </c>
      <c r="BG20" s="149" t="e">
        <f>+'Expense Assumptions'!#REF!</f>
        <v>#REF!</v>
      </c>
      <c r="BH20" s="149" t="e">
        <f>+'Expense Assumptions'!#REF!</f>
        <v>#REF!</v>
      </c>
      <c r="BI20" s="149" t="e">
        <f>+'Expense Assumptions'!#REF!</f>
        <v>#REF!</v>
      </c>
    </row>
    <row r="21" spans="1:62" s="149" customFormat="1" x14ac:dyDescent="0.15">
      <c r="A21" s="58" t="s">
        <v>64</v>
      </c>
      <c r="B21" s="149" t="e">
        <f>+'Expense Assumptions'!#REF!</f>
        <v>#REF!</v>
      </c>
      <c r="C21" s="149" t="e">
        <f>+'Expense Assumptions'!#REF!</f>
        <v>#REF!</v>
      </c>
      <c r="D21" s="149" t="e">
        <f>+'Expense Assumptions'!#REF!</f>
        <v>#REF!</v>
      </c>
      <c r="E21" s="149" t="e">
        <f>+'Expense Assumptions'!#REF!</f>
        <v>#REF!</v>
      </c>
      <c r="F21" s="149" t="e">
        <f>+'Expense Assumptions'!#REF!</f>
        <v>#REF!</v>
      </c>
      <c r="G21" s="149" t="e">
        <f>+'Expense Assumptions'!#REF!</f>
        <v>#REF!</v>
      </c>
      <c r="H21" s="149" t="e">
        <f>+'Expense Assumptions'!#REF!</f>
        <v>#REF!</v>
      </c>
      <c r="I21" s="149" t="e">
        <f>+'Expense Assumptions'!#REF!</f>
        <v>#REF!</v>
      </c>
      <c r="J21" s="149" t="e">
        <f>+'Expense Assumptions'!#REF!</f>
        <v>#REF!</v>
      </c>
      <c r="K21" s="149" t="e">
        <f>+'Expense Assumptions'!#REF!</f>
        <v>#REF!</v>
      </c>
      <c r="L21" s="149" t="e">
        <f>+'Expense Assumptions'!#REF!</f>
        <v>#REF!</v>
      </c>
      <c r="M21" s="149" t="e">
        <f>+'Expense Assumptions'!#REF!</f>
        <v>#REF!</v>
      </c>
      <c r="N21" s="149" t="e">
        <f>+'Expense Assumptions'!#REF!</f>
        <v>#REF!</v>
      </c>
      <c r="O21" s="149" t="e">
        <f>+'Expense Assumptions'!#REF!</f>
        <v>#REF!</v>
      </c>
      <c r="P21" s="149" t="e">
        <f>+'Expense Assumptions'!#REF!</f>
        <v>#REF!</v>
      </c>
      <c r="Q21" s="149" t="e">
        <f>+'Expense Assumptions'!#REF!</f>
        <v>#REF!</v>
      </c>
      <c r="R21" s="149" t="e">
        <f>+'Expense Assumptions'!#REF!</f>
        <v>#REF!</v>
      </c>
      <c r="S21" s="149" t="e">
        <f>+'Expense Assumptions'!#REF!</f>
        <v>#REF!</v>
      </c>
      <c r="T21" s="149" t="e">
        <f>+'Expense Assumptions'!#REF!</f>
        <v>#REF!</v>
      </c>
      <c r="U21" s="149" t="e">
        <f>+'Expense Assumptions'!#REF!</f>
        <v>#REF!</v>
      </c>
      <c r="V21" s="149" t="e">
        <f>+'Expense Assumptions'!#REF!</f>
        <v>#REF!</v>
      </c>
      <c r="W21" s="149" t="e">
        <f>+'Expense Assumptions'!#REF!</f>
        <v>#REF!</v>
      </c>
      <c r="X21" s="149" t="e">
        <f>+'Expense Assumptions'!#REF!</f>
        <v>#REF!</v>
      </c>
      <c r="Y21" s="149" t="e">
        <f>+'Expense Assumptions'!#REF!</f>
        <v>#REF!</v>
      </c>
      <c r="Z21" s="149" t="e">
        <f>+'Expense Assumptions'!#REF!</f>
        <v>#REF!</v>
      </c>
      <c r="AA21" s="149" t="e">
        <f>+'Expense Assumptions'!#REF!</f>
        <v>#REF!</v>
      </c>
      <c r="AB21" s="149" t="e">
        <f>+'Expense Assumptions'!#REF!</f>
        <v>#REF!</v>
      </c>
      <c r="AC21" s="149" t="e">
        <f>+'Expense Assumptions'!#REF!</f>
        <v>#REF!</v>
      </c>
      <c r="AD21" s="149" t="e">
        <f>+'Expense Assumptions'!#REF!</f>
        <v>#REF!</v>
      </c>
      <c r="AE21" s="149" t="e">
        <f>+'Expense Assumptions'!#REF!</f>
        <v>#REF!</v>
      </c>
      <c r="AF21" s="149" t="e">
        <f>+'Expense Assumptions'!#REF!</f>
        <v>#REF!</v>
      </c>
      <c r="AG21" s="149" t="e">
        <f>+'Expense Assumptions'!#REF!</f>
        <v>#REF!</v>
      </c>
      <c r="AH21" s="149" t="e">
        <f>+'Expense Assumptions'!#REF!</f>
        <v>#REF!</v>
      </c>
      <c r="AI21" s="149" t="e">
        <f>+'Expense Assumptions'!#REF!</f>
        <v>#REF!</v>
      </c>
      <c r="AJ21" s="149" t="e">
        <f>+'Expense Assumptions'!#REF!</f>
        <v>#REF!</v>
      </c>
      <c r="AK21" s="149" t="e">
        <f>+'Expense Assumptions'!#REF!</f>
        <v>#REF!</v>
      </c>
      <c r="AL21" s="149" t="e">
        <f>+'Expense Assumptions'!#REF!</f>
        <v>#REF!</v>
      </c>
      <c r="AM21" s="149" t="e">
        <f>+'Expense Assumptions'!#REF!</f>
        <v>#REF!</v>
      </c>
      <c r="AN21" s="149" t="e">
        <f>+'Expense Assumptions'!#REF!</f>
        <v>#REF!</v>
      </c>
      <c r="AO21" s="149" t="e">
        <f>+'Expense Assumptions'!#REF!</f>
        <v>#REF!</v>
      </c>
      <c r="AP21" s="149" t="e">
        <f>+'Expense Assumptions'!#REF!</f>
        <v>#REF!</v>
      </c>
      <c r="AQ21" s="149" t="e">
        <f>+'Expense Assumptions'!#REF!</f>
        <v>#REF!</v>
      </c>
      <c r="AR21" s="149" t="e">
        <f>+'Expense Assumptions'!#REF!</f>
        <v>#REF!</v>
      </c>
      <c r="AS21" s="149" t="e">
        <f>+'Expense Assumptions'!#REF!</f>
        <v>#REF!</v>
      </c>
      <c r="AT21" s="149" t="e">
        <f>+'Expense Assumptions'!#REF!</f>
        <v>#REF!</v>
      </c>
      <c r="AU21" s="149" t="e">
        <f>+'Expense Assumptions'!#REF!</f>
        <v>#REF!</v>
      </c>
      <c r="AV21" s="149" t="e">
        <f>+'Expense Assumptions'!#REF!</f>
        <v>#REF!</v>
      </c>
      <c r="AW21" s="149" t="e">
        <f>+'Expense Assumptions'!#REF!</f>
        <v>#REF!</v>
      </c>
      <c r="AX21" s="149" t="e">
        <f>+'Expense Assumptions'!#REF!</f>
        <v>#REF!</v>
      </c>
      <c r="AY21" s="149" t="e">
        <f>+'Expense Assumptions'!#REF!</f>
        <v>#REF!</v>
      </c>
      <c r="AZ21" s="149" t="e">
        <f>+'Expense Assumptions'!#REF!</f>
        <v>#REF!</v>
      </c>
      <c r="BA21" s="149" t="e">
        <f>+'Expense Assumptions'!#REF!</f>
        <v>#REF!</v>
      </c>
      <c r="BB21" s="149" t="e">
        <f>+'Expense Assumptions'!#REF!</f>
        <v>#REF!</v>
      </c>
      <c r="BC21" s="149" t="e">
        <f>+'Expense Assumptions'!#REF!</f>
        <v>#REF!</v>
      </c>
      <c r="BD21" s="149" t="e">
        <f>+'Expense Assumptions'!#REF!</f>
        <v>#REF!</v>
      </c>
      <c r="BE21" s="149" t="e">
        <f>+'Expense Assumptions'!#REF!</f>
        <v>#REF!</v>
      </c>
      <c r="BF21" s="149" t="e">
        <f>+'Expense Assumptions'!#REF!</f>
        <v>#REF!</v>
      </c>
      <c r="BG21" s="149" t="e">
        <f>+'Expense Assumptions'!#REF!</f>
        <v>#REF!</v>
      </c>
      <c r="BH21" s="149" t="e">
        <f>+'Expense Assumptions'!#REF!</f>
        <v>#REF!</v>
      </c>
      <c r="BI21" s="149" t="e">
        <f>+'Expense Assumptions'!#REF!</f>
        <v>#REF!</v>
      </c>
    </row>
    <row r="22" spans="1:62" s="149" customFormat="1" ht="13" x14ac:dyDescent="0.15">
      <c r="A22" s="243" t="s">
        <v>205</v>
      </c>
      <c r="B22" s="149" t="e">
        <f>+'Expense Assumptions'!#REF!</f>
        <v>#REF!</v>
      </c>
      <c r="C22" s="149" t="e">
        <f>+'Expense Assumptions'!#REF!</f>
        <v>#REF!</v>
      </c>
      <c r="D22" s="149" t="e">
        <f>+'Expense Assumptions'!#REF!</f>
        <v>#REF!</v>
      </c>
      <c r="E22" s="149" t="e">
        <f>+'Expense Assumptions'!#REF!</f>
        <v>#REF!</v>
      </c>
      <c r="F22" s="149" t="e">
        <f>+'Expense Assumptions'!#REF!</f>
        <v>#REF!</v>
      </c>
      <c r="G22" s="149" t="e">
        <f>+'Expense Assumptions'!#REF!</f>
        <v>#REF!</v>
      </c>
      <c r="H22" s="149" t="e">
        <f>+'Expense Assumptions'!#REF!</f>
        <v>#REF!</v>
      </c>
      <c r="I22" s="149" t="e">
        <f>+'Expense Assumptions'!#REF!</f>
        <v>#REF!</v>
      </c>
      <c r="J22" s="149" t="e">
        <f>+'Expense Assumptions'!#REF!</f>
        <v>#REF!</v>
      </c>
      <c r="K22" s="149" t="e">
        <f>+'Expense Assumptions'!#REF!</f>
        <v>#REF!</v>
      </c>
      <c r="L22" s="149" t="e">
        <f>+'Expense Assumptions'!#REF!</f>
        <v>#REF!</v>
      </c>
      <c r="M22" s="149" t="e">
        <f>+'Expense Assumptions'!#REF!</f>
        <v>#REF!</v>
      </c>
      <c r="N22" s="149" t="e">
        <f>+'Expense Assumptions'!#REF!</f>
        <v>#REF!</v>
      </c>
      <c r="O22" s="149" t="e">
        <f>+'Expense Assumptions'!#REF!</f>
        <v>#REF!</v>
      </c>
      <c r="P22" s="149" t="e">
        <f>+'Expense Assumptions'!#REF!</f>
        <v>#REF!</v>
      </c>
      <c r="Q22" s="149" t="e">
        <f>+'Expense Assumptions'!#REF!</f>
        <v>#REF!</v>
      </c>
      <c r="R22" s="149" t="e">
        <f>+'Expense Assumptions'!#REF!</f>
        <v>#REF!</v>
      </c>
      <c r="S22" s="149" t="e">
        <f>+'Expense Assumptions'!#REF!</f>
        <v>#REF!</v>
      </c>
      <c r="T22" s="149" t="e">
        <f>+'Expense Assumptions'!#REF!</f>
        <v>#REF!</v>
      </c>
      <c r="U22" s="149" t="e">
        <f>+'Expense Assumptions'!#REF!</f>
        <v>#REF!</v>
      </c>
      <c r="V22" s="149" t="e">
        <f>+'Expense Assumptions'!#REF!</f>
        <v>#REF!</v>
      </c>
      <c r="W22" s="149" t="e">
        <f>+'Expense Assumptions'!#REF!</f>
        <v>#REF!</v>
      </c>
      <c r="X22" s="149" t="e">
        <f>+'Expense Assumptions'!#REF!</f>
        <v>#REF!</v>
      </c>
      <c r="Y22" s="149" t="e">
        <f>+'Expense Assumptions'!#REF!</f>
        <v>#REF!</v>
      </c>
      <c r="Z22" s="149" t="e">
        <f>+'Expense Assumptions'!#REF!</f>
        <v>#REF!</v>
      </c>
      <c r="AA22" s="149" t="e">
        <f>+'Expense Assumptions'!#REF!</f>
        <v>#REF!</v>
      </c>
      <c r="AB22" s="149" t="e">
        <f>+'Expense Assumptions'!#REF!</f>
        <v>#REF!</v>
      </c>
      <c r="AC22" s="149" t="e">
        <f>+'Expense Assumptions'!#REF!</f>
        <v>#REF!</v>
      </c>
      <c r="AD22" s="149" t="e">
        <f>+'Expense Assumptions'!#REF!</f>
        <v>#REF!</v>
      </c>
      <c r="AE22" s="149" t="e">
        <f>+'Expense Assumptions'!#REF!</f>
        <v>#REF!</v>
      </c>
      <c r="AF22" s="149" t="e">
        <f>+'Expense Assumptions'!#REF!</f>
        <v>#REF!</v>
      </c>
      <c r="AG22" s="149" t="e">
        <f>+'Expense Assumptions'!#REF!</f>
        <v>#REF!</v>
      </c>
      <c r="AH22" s="149" t="e">
        <f>+'Expense Assumptions'!#REF!</f>
        <v>#REF!</v>
      </c>
      <c r="AI22" s="149" t="e">
        <f>+'Expense Assumptions'!#REF!</f>
        <v>#REF!</v>
      </c>
      <c r="AJ22" s="149" t="e">
        <f>+'Expense Assumptions'!#REF!</f>
        <v>#REF!</v>
      </c>
      <c r="AK22" s="149" t="e">
        <f>+'Expense Assumptions'!#REF!</f>
        <v>#REF!</v>
      </c>
      <c r="AL22" s="149" t="e">
        <f>+'Expense Assumptions'!#REF!</f>
        <v>#REF!</v>
      </c>
      <c r="AM22" s="149" t="e">
        <f>+'Expense Assumptions'!#REF!</f>
        <v>#REF!</v>
      </c>
      <c r="AN22" s="149" t="e">
        <f>+'Expense Assumptions'!#REF!</f>
        <v>#REF!</v>
      </c>
      <c r="AO22" s="149" t="e">
        <f>+'Expense Assumptions'!#REF!</f>
        <v>#REF!</v>
      </c>
      <c r="AP22" s="149" t="e">
        <f>+'Expense Assumptions'!#REF!</f>
        <v>#REF!</v>
      </c>
      <c r="AQ22" s="149" t="e">
        <f>+'Expense Assumptions'!#REF!</f>
        <v>#REF!</v>
      </c>
      <c r="AR22" s="149" t="e">
        <f>+'Expense Assumptions'!#REF!</f>
        <v>#REF!</v>
      </c>
      <c r="AS22" s="149" t="e">
        <f>+'Expense Assumptions'!#REF!</f>
        <v>#REF!</v>
      </c>
      <c r="AT22" s="149" t="e">
        <f>+'Expense Assumptions'!#REF!</f>
        <v>#REF!</v>
      </c>
      <c r="AU22" s="149" t="e">
        <f>+'Expense Assumptions'!#REF!</f>
        <v>#REF!</v>
      </c>
      <c r="AV22" s="149" t="e">
        <f>+'Expense Assumptions'!#REF!</f>
        <v>#REF!</v>
      </c>
      <c r="AW22" s="149" t="e">
        <f>+'Expense Assumptions'!#REF!</f>
        <v>#REF!</v>
      </c>
      <c r="AX22" s="149" t="e">
        <f>+'Expense Assumptions'!#REF!</f>
        <v>#REF!</v>
      </c>
      <c r="AY22" s="149" t="e">
        <f>+'Expense Assumptions'!#REF!</f>
        <v>#REF!</v>
      </c>
      <c r="AZ22" s="149" t="e">
        <f>+'Expense Assumptions'!#REF!</f>
        <v>#REF!</v>
      </c>
      <c r="BA22" s="149" t="e">
        <f>+'Expense Assumptions'!#REF!</f>
        <v>#REF!</v>
      </c>
      <c r="BB22" s="149" t="e">
        <f>+'Expense Assumptions'!#REF!</f>
        <v>#REF!</v>
      </c>
      <c r="BC22" s="149" t="e">
        <f>+'Expense Assumptions'!#REF!</f>
        <v>#REF!</v>
      </c>
      <c r="BD22" s="149" t="e">
        <f>+'Expense Assumptions'!#REF!</f>
        <v>#REF!</v>
      </c>
      <c r="BE22" s="149" t="e">
        <f>+'Expense Assumptions'!#REF!</f>
        <v>#REF!</v>
      </c>
      <c r="BF22" s="149" t="e">
        <f>+'Expense Assumptions'!#REF!</f>
        <v>#REF!</v>
      </c>
      <c r="BG22" s="149" t="e">
        <f>+'Expense Assumptions'!#REF!</f>
        <v>#REF!</v>
      </c>
      <c r="BH22" s="149" t="e">
        <f>+'Expense Assumptions'!#REF!</f>
        <v>#REF!</v>
      </c>
      <c r="BI22" s="149" t="e">
        <f>+'Expense Assumptions'!#REF!</f>
        <v>#REF!</v>
      </c>
      <c r="BJ22" s="192" t="s">
        <v>206</v>
      </c>
    </row>
    <row r="23" spans="1:62" s="149" customFormat="1" x14ac:dyDescent="0.15">
      <c r="A23" s="17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</row>
    <row r="24" spans="1:62" s="149" customFormat="1" x14ac:dyDescent="0.15">
      <c r="A24" s="242" t="s">
        <v>208</v>
      </c>
      <c r="B24" s="242" t="e">
        <f t="shared" ref="B24:AG24" si="3">SUM(B17:B23)</f>
        <v>#REF!</v>
      </c>
      <c r="C24" s="242" t="e">
        <f t="shared" si="3"/>
        <v>#REF!</v>
      </c>
      <c r="D24" s="242" t="e">
        <f t="shared" si="3"/>
        <v>#REF!</v>
      </c>
      <c r="E24" s="242" t="e">
        <f t="shared" si="3"/>
        <v>#REF!</v>
      </c>
      <c r="F24" s="242" t="e">
        <f t="shared" si="3"/>
        <v>#REF!</v>
      </c>
      <c r="G24" s="242" t="e">
        <f t="shared" si="3"/>
        <v>#REF!</v>
      </c>
      <c r="H24" s="242" t="e">
        <f t="shared" si="3"/>
        <v>#REF!</v>
      </c>
      <c r="I24" s="242" t="e">
        <f t="shared" si="3"/>
        <v>#REF!</v>
      </c>
      <c r="J24" s="242" t="e">
        <f t="shared" si="3"/>
        <v>#REF!</v>
      </c>
      <c r="K24" s="242" t="e">
        <f t="shared" si="3"/>
        <v>#REF!</v>
      </c>
      <c r="L24" s="242" t="e">
        <f t="shared" si="3"/>
        <v>#REF!</v>
      </c>
      <c r="M24" s="242" t="e">
        <f t="shared" si="3"/>
        <v>#REF!</v>
      </c>
      <c r="N24" s="242" t="e">
        <f t="shared" si="3"/>
        <v>#REF!</v>
      </c>
      <c r="O24" s="242" t="e">
        <f t="shared" si="3"/>
        <v>#REF!</v>
      </c>
      <c r="P24" s="242" t="e">
        <f t="shared" si="3"/>
        <v>#REF!</v>
      </c>
      <c r="Q24" s="242" t="e">
        <f t="shared" si="3"/>
        <v>#REF!</v>
      </c>
      <c r="R24" s="242" t="e">
        <f t="shared" si="3"/>
        <v>#REF!</v>
      </c>
      <c r="S24" s="242" t="e">
        <f t="shared" si="3"/>
        <v>#REF!</v>
      </c>
      <c r="T24" s="242" t="e">
        <f t="shared" si="3"/>
        <v>#REF!</v>
      </c>
      <c r="U24" s="242" t="e">
        <f t="shared" si="3"/>
        <v>#REF!</v>
      </c>
      <c r="V24" s="242" t="e">
        <f t="shared" si="3"/>
        <v>#REF!</v>
      </c>
      <c r="W24" s="242" t="e">
        <f t="shared" si="3"/>
        <v>#REF!</v>
      </c>
      <c r="X24" s="242" t="e">
        <f t="shared" si="3"/>
        <v>#REF!</v>
      </c>
      <c r="Y24" s="242" t="e">
        <f t="shared" si="3"/>
        <v>#REF!</v>
      </c>
      <c r="Z24" s="242" t="e">
        <f t="shared" si="3"/>
        <v>#REF!</v>
      </c>
      <c r="AA24" s="242" t="e">
        <f t="shared" si="3"/>
        <v>#REF!</v>
      </c>
      <c r="AB24" s="242" t="e">
        <f t="shared" si="3"/>
        <v>#REF!</v>
      </c>
      <c r="AC24" s="242" t="e">
        <f t="shared" si="3"/>
        <v>#REF!</v>
      </c>
      <c r="AD24" s="242" t="e">
        <f t="shared" si="3"/>
        <v>#REF!</v>
      </c>
      <c r="AE24" s="242" t="e">
        <f t="shared" si="3"/>
        <v>#REF!</v>
      </c>
      <c r="AF24" s="242" t="e">
        <f t="shared" si="3"/>
        <v>#REF!</v>
      </c>
      <c r="AG24" s="242" t="e">
        <f t="shared" si="3"/>
        <v>#REF!</v>
      </c>
      <c r="AH24" s="242" t="e">
        <f t="shared" ref="AH24:BI24" si="4">SUM(AH17:AH23)</f>
        <v>#REF!</v>
      </c>
      <c r="AI24" s="242" t="e">
        <f t="shared" si="4"/>
        <v>#REF!</v>
      </c>
      <c r="AJ24" s="242" t="e">
        <f t="shared" si="4"/>
        <v>#REF!</v>
      </c>
      <c r="AK24" s="242" t="e">
        <f t="shared" si="4"/>
        <v>#REF!</v>
      </c>
      <c r="AL24" s="242" t="e">
        <f t="shared" si="4"/>
        <v>#REF!</v>
      </c>
      <c r="AM24" s="242" t="e">
        <f t="shared" si="4"/>
        <v>#REF!</v>
      </c>
      <c r="AN24" s="242" t="e">
        <f t="shared" si="4"/>
        <v>#REF!</v>
      </c>
      <c r="AO24" s="242" t="e">
        <f t="shared" si="4"/>
        <v>#REF!</v>
      </c>
      <c r="AP24" s="242" t="e">
        <f t="shared" si="4"/>
        <v>#REF!</v>
      </c>
      <c r="AQ24" s="242" t="e">
        <f t="shared" si="4"/>
        <v>#REF!</v>
      </c>
      <c r="AR24" s="242" t="e">
        <f t="shared" si="4"/>
        <v>#REF!</v>
      </c>
      <c r="AS24" s="242" t="e">
        <f t="shared" si="4"/>
        <v>#REF!</v>
      </c>
      <c r="AT24" s="242" t="e">
        <f t="shared" si="4"/>
        <v>#REF!</v>
      </c>
      <c r="AU24" s="242" t="e">
        <f t="shared" si="4"/>
        <v>#REF!</v>
      </c>
      <c r="AV24" s="242" t="e">
        <f t="shared" si="4"/>
        <v>#REF!</v>
      </c>
      <c r="AW24" s="242" t="e">
        <f t="shared" si="4"/>
        <v>#REF!</v>
      </c>
      <c r="AX24" s="242" t="e">
        <f t="shared" si="4"/>
        <v>#REF!</v>
      </c>
      <c r="AY24" s="242" t="e">
        <f t="shared" si="4"/>
        <v>#REF!</v>
      </c>
      <c r="AZ24" s="242" t="e">
        <f t="shared" si="4"/>
        <v>#REF!</v>
      </c>
      <c r="BA24" s="242" t="e">
        <f t="shared" si="4"/>
        <v>#REF!</v>
      </c>
      <c r="BB24" s="242" t="e">
        <f t="shared" si="4"/>
        <v>#REF!</v>
      </c>
      <c r="BC24" s="242" t="e">
        <f t="shared" si="4"/>
        <v>#REF!</v>
      </c>
      <c r="BD24" s="242" t="e">
        <f t="shared" si="4"/>
        <v>#REF!</v>
      </c>
      <c r="BE24" s="242" t="e">
        <f t="shared" si="4"/>
        <v>#REF!</v>
      </c>
      <c r="BF24" s="242" t="e">
        <f t="shared" si="4"/>
        <v>#REF!</v>
      </c>
      <c r="BG24" s="242" t="e">
        <f t="shared" si="4"/>
        <v>#REF!</v>
      </c>
      <c r="BH24" s="242" t="e">
        <f t="shared" si="4"/>
        <v>#REF!</v>
      </c>
      <c r="BI24" s="242" t="e">
        <f t="shared" si="4"/>
        <v>#REF!</v>
      </c>
    </row>
    <row r="25" spans="1:62" s="149" customFormat="1" x14ac:dyDescent="0.15">
      <c r="A25" s="1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</row>
    <row r="26" spans="1:62" s="246" customFormat="1" ht="13" x14ac:dyDescent="0.15">
      <c r="A26" s="244" t="s">
        <v>209</v>
      </c>
      <c r="B26" s="245" t="e">
        <f t="shared" ref="B26:AG26" si="5">B14-B24</f>
        <v>#N/A</v>
      </c>
      <c r="C26" s="245" t="e">
        <f t="shared" si="5"/>
        <v>#N/A</v>
      </c>
      <c r="D26" s="245" t="e">
        <f t="shared" si="5"/>
        <v>#N/A</v>
      </c>
      <c r="E26" s="245" t="e">
        <f t="shared" si="5"/>
        <v>#N/A</v>
      </c>
      <c r="F26" s="245" t="e">
        <f t="shared" si="5"/>
        <v>#N/A</v>
      </c>
      <c r="G26" s="245" t="e">
        <f t="shared" si="5"/>
        <v>#N/A</v>
      </c>
      <c r="H26" s="245" t="e">
        <f t="shared" si="5"/>
        <v>#N/A</v>
      </c>
      <c r="I26" s="245" t="e">
        <f t="shared" si="5"/>
        <v>#N/A</v>
      </c>
      <c r="J26" s="245" t="e">
        <f t="shared" si="5"/>
        <v>#N/A</v>
      </c>
      <c r="K26" s="245" t="e">
        <f t="shared" si="5"/>
        <v>#N/A</v>
      </c>
      <c r="L26" s="245" t="e">
        <f t="shared" si="5"/>
        <v>#N/A</v>
      </c>
      <c r="M26" s="245" t="e">
        <f t="shared" si="5"/>
        <v>#N/A</v>
      </c>
      <c r="N26" s="245" t="e">
        <f t="shared" si="5"/>
        <v>#N/A</v>
      </c>
      <c r="O26" s="245" t="e">
        <f t="shared" si="5"/>
        <v>#N/A</v>
      </c>
      <c r="P26" s="245" t="e">
        <f t="shared" si="5"/>
        <v>#N/A</v>
      </c>
      <c r="Q26" s="245" t="e">
        <f t="shared" si="5"/>
        <v>#N/A</v>
      </c>
      <c r="R26" s="245" t="e">
        <f t="shared" si="5"/>
        <v>#N/A</v>
      </c>
      <c r="S26" s="245" t="e">
        <f t="shared" si="5"/>
        <v>#N/A</v>
      </c>
      <c r="T26" s="245" t="e">
        <f t="shared" si="5"/>
        <v>#N/A</v>
      </c>
      <c r="U26" s="245" t="e">
        <f t="shared" si="5"/>
        <v>#N/A</v>
      </c>
      <c r="V26" s="245" t="e">
        <f t="shared" si="5"/>
        <v>#N/A</v>
      </c>
      <c r="W26" s="245" t="e">
        <f t="shared" si="5"/>
        <v>#N/A</v>
      </c>
      <c r="X26" s="245" t="e">
        <f t="shared" si="5"/>
        <v>#N/A</v>
      </c>
      <c r="Y26" s="245" t="e">
        <f t="shared" si="5"/>
        <v>#N/A</v>
      </c>
      <c r="Z26" s="245" t="e">
        <f t="shared" si="5"/>
        <v>#N/A</v>
      </c>
      <c r="AA26" s="245" t="e">
        <f t="shared" si="5"/>
        <v>#N/A</v>
      </c>
      <c r="AB26" s="245" t="e">
        <f t="shared" si="5"/>
        <v>#N/A</v>
      </c>
      <c r="AC26" s="245" t="e">
        <f t="shared" si="5"/>
        <v>#N/A</v>
      </c>
      <c r="AD26" s="245" t="e">
        <f t="shared" si="5"/>
        <v>#N/A</v>
      </c>
      <c r="AE26" s="245" t="e">
        <f t="shared" si="5"/>
        <v>#N/A</v>
      </c>
      <c r="AF26" s="245" t="e">
        <f t="shared" si="5"/>
        <v>#N/A</v>
      </c>
      <c r="AG26" s="245" t="e">
        <f t="shared" si="5"/>
        <v>#N/A</v>
      </c>
      <c r="AH26" s="245" t="e">
        <f t="shared" ref="AH26:BI26" si="6">AH14-AH24</f>
        <v>#N/A</v>
      </c>
      <c r="AI26" s="245" t="e">
        <f t="shared" si="6"/>
        <v>#N/A</v>
      </c>
      <c r="AJ26" s="245" t="e">
        <f t="shared" si="6"/>
        <v>#N/A</v>
      </c>
      <c r="AK26" s="245" t="e">
        <f t="shared" si="6"/>
        <v>#N/A</v>
      </c>
      <c r="AL26" s="245" t="e">
        <f t="shared" si="6"/>
        <v>#N/A</v>
      </c>
      <c r="AM26" s="245" t="e">
        <f t="shared" si="6"/>
        <v>#N/A</v>
      </c>
      <c r="AN26" s="245" t="e">
        <f t="shared" si="6"/>
        <v>#N/A</v>
      </c>
      <c r="AO26" s="245" t="e">
        <f t="shared" si="6"/>
        <v>#N/A</v>
      </c>
      <c r="AP26" s="245" t="e">
        <f t="shared" si="6"/>
        <v>#N/A</v>
      </c>
      <c r="AQ26" s="245" t="e">
        <f t="shared" si="6"/>
        <v>#N/A</v>
      </c>
      <c r="AR26" s="245" t="e">
        <f t="shared" si="6"/>
        <v>#N/A</v>
      </c>
      <c r="AS26" s="245" t="e">
        <f t="shared" si="6"/>
        <v>#N/A</v>
      </c>
      <c r="AT26" s="245" t="e">
        <f t="shared" si="6"/>
        <v>#N/A</v>
      </c>
      <c r="AU26" s="245" t="e">
        <f t="shared" si="6"/>
        <v>#N/A</v>
      </c>
      <c r="AV26" s="245" t="e">
        <f t="shared" si="6"/>
        <v>#N/A</v>
      </c>
      <c r="AW26" s="245" t="e">
        <f t="shared" si="6"/>
        <v>#N/A</v>
      </c>
      <c r="AX26" s="245" t="e">
        <f t="shared" si="6"/>
        <v>#N/A</v>
      </c>
      <c r="AY26" s="245" t="e">
        <f t="shared" si="6"/>
        <v>#N/A</v>
      </c>
      <c r="AZ26" s="245" t="e">
        <f t="shared" si="6"/>
        <v>#N/A</v>
      </c>
      <c r="BA26" s="245" t="e">
        <f t="shared" si="6"/>
        <v>#N/A</v>
      </c>
      <c r="BB26" s="245" t="e">
        <f t="shared" si="6"/>
        <v>#N/A</v>
      </c>
      <c r="BC26" s="245" t="e">
        <f t="shared" si="6"/>
        <v>#N/A</v>
      </c>
      <c r="BD26" s="245" t="e">
        <f t="shared" si="6"/>
        <v>#N/A</v>
      </c>
      <c r="BE26" s="245" t="e">
        <f t="shared" si="6"/>
        <v>#N/A</v>
      </c>
      <c r="BF26" s="245" t="e">
        <f t="shared" si="6"/>
        <v>#N/A</v>
      </c>
      <c r="BG26" s="245" t="e">
        <f t="shared" si="6"/>
        <v>#N/A</v>
      </c>
      <c r="BH26" s="245" t="e">
        <f t="shared" si="6"/>
        <v>#N/A</v>
      </c>
      <c r="BI26" s="245" t="e">
        <f t="shared" si="6"/>
        <v>#N/A</v>
      </c>
    </row>
    <row r="27" spans="1:62" s="246" customFormat="1" ht="13" x14ac:dyDescent="0.15">
      <c r="A27" s="247" t="s">
        <v>210</v>
      </c>
      <c r="B27" s="248" t="e">
        <f t="shared" ref="B27:AG27" si="7">+IF(B26&gt;0,B26/B14,"NA")</f>
        <v>#N/A</v>
      </c>
      <c r="C27" s="248" t="e">
        <f t="shared" si="7"/>
        <v>#N/A</v>
      </c>
      <c r="D27" s="248" t="e">
        <f t="shared" si="7"/>
        <v>#N/A</v>
      </c>
      <c r="E27" s="248" t="e">
        <f t="shared" si="7"/>
        <v>#N/A</v>
      </c>
      <c r="F27" s="248" t="e">
        <f t="shared" si="7"/>
        <v>#N/A</v>
      </c>
      <c r="G27" s="248" t="e">
        <f t="shared" si="7"/>
        <v>#N/A</v>
      </c>
      <c r="H27" s="248" t="e">
        <f t="shared" si="7"/>
        <v>#N/A</v>
      </c>
      <c r="I27" s="248" t="e">
        <f t="shared" si="7"/>
        <v>#N/A</v>
      </c>
      <c r="J27" s="248" t="e">
        <f t="shared" si="7"/>
        <v>#N/A</v>
      </c>
      <c r="K27" s="248" t="e">
        <f t="shared" si="7"/>
        <v>#N/A</v>
      </c>
      <c r="L27" s="248" t="e">
        <f t="shared" si="7"/>
        <v>#N/A</v>
      </c>
      <c r="M27" s="248" t="e">
        <f t="shared" si="7"/>
        <v>#N/A</v>
      </c>
      <c r="N27" s="248" t="e">
        <f t="shared" si="7"/>
        <v>#N/A</v>
      </c>
      <c r="O27" s="248" t="e">
        <f t="shared" si="7"/>
        <v>#N/A</v>
      </c>
      <c r="P27" s="248" t="e">
        <f t="shared" si="7"/>
        <v>#N/A</v>
      </c>
      <c r="Q27" s="248" t="e">
        <f t="shared" si="7"/>
        <v>#N/A</v>
      </c>
      <c r="R27" s="248" t="e">
        <f t="shared" si="7"/>
        <v>#N/A</v>
      </c>
      <c r="S27" s="248" t="e">
        <f t="shared" si="7"/>
        <v>#N/A</v>
      </c>
      <c r="T27" s="248" t="e">
        <f t="shared" si="7"/>
        <v>#N/A</v>
      </c>
      <c r="U27" s="248" t="e">
        <f t="shared" si="7"/>
        <v>#N/A</v>
      </c>
      <c r="V27" s="248" t="e">
        <f t="shared" si="7"/>
        <v>#N/A</v>
      </c>
      <c r="W27" s="248" t="e">
        <f t="shared" si="7"/>
        <v>#N/A</v>
      </c>
      <c r="X27" s="248" t="e">
        <f t="shared" si="7"/>
        <v>#N/A</v>
      </c>
      <c r="Y27" s="248" t="e">
        <f t="shared" si="7"/>
        <v>#N/A</v>
      </c>
      <c r="Z27" s="248" t="e">
        <f t="shared" si="7"/>
        <v>#N/A</v>
      </c>
      <c r="AA27" s="248" t="e">
        <f t="shared" si="7"/>
        <v>#N/A</v>
      </c>
      <c r="AB27" s="248" t="e">
        <f t="shared" si="7"/>
        <v>#N/A</v>
      </c>
      <c r="AC27" s="248" t="e">
        <f t="shared" si="7"/>
        <v>#N/A</v>
      </c>
      <c r="AD27" s="248" t="e">
        <f t="shared" si="7"/>
        <v>#N/A</v>
      </c>
      <c r="AE27" s="248" t="e">
        <f t="shared" si="7"/>
        <v>#N/A</v>
      </c>
      <c r="AF27" s="248" t="e">
        <f t="shared" si="7"/>
        <v>#N/A</v>
      </c>
      <c r="AG27" s="248" t="e">
        <f t="shared" si="7"/>
        <v>#N/A</v>
      </c>
      <c r="AH27" s="248" t="e">
        <f t="shared" ref="AH27:BI27" si="8">+IF(AH26&gt;0,AH26/AH14,"NA")</f>
        <v>#N/A</v>
      </c>
      <c r="AI27" s="248" t="e">
        <f t="shared" si="8"/>
        <v>#N/A</v>
      </c>
      <c r="AJ27" s="248" t="e">
        <f t="shared" si="8"/>
        <v>#N/A</v>
      </c>
      <c r="AK27" s="248" t="e">
        <f t="shared" si="8"/>
        <v>#N/A</v>
      </c>
      <c r="AL27" s="248" t="e">
        <f t="shared" si="8"/>
        <v>#N/A</v>
      </c>
      <c r="AM27" s="248" t="e">
        <f t="shared" si="8"/>
        <v>#N/A</v>
      </c>
      <c r="AN27" s="248" t="e">
        <f t="shared" si="8"/>
        <v>#N/A</v>
      </c>
      <c r="AO27" s="248" t="e">
        <f t="shared" si="8"/>
        <v>#N/A</v>
      </c>
      <c r="AP27" s="248" t="e">
        <f t="shared" si="8"/>
        <v>#N/A</v>
      </c>
      <c r="AQ27" s="248" t="e">
        <f t="shared" si="8"/>
        <v>#N/A</v>
      </c>
      <c r="AR27" s="248" t="e">
        <f t="shared" si="8"/>
        <v>#N/A</v>
      </c>
      <c r="AS27" s="248" t="e">
        <f t="shared" si="8"/>
        <v>#N/A</v>
      </c>
      <c r="AT27" s="248" t="e">
        <f t="shared" si="8"/>
        <v>#N/A</v>
      </c>
      <c r="AU27" s="248" t="e">
        <f t="shared" si="8"/>
        <v>#N/A</v>
      </c>
      <c r="AV27" s="248" t="e">
        <f t="shared" si="8"/>
        <v>#N/A</v>
      </c>
      <c r="AW27" s="248" t="e">
        <f t="shared" si="8"/>
        <v>#N/A</v>
      </c>
      <c r="AX27" s="248" t="e">
        <f t="shared" si="8"/>
        <v>#N/A</v>
      </c>
      <c r="AY27" s="248" t="e">
        <f t="shared" si="8"/>
        <v>#N/A</v>
      </c>
      <c r="AZ27" s="248" t="e">
        <f t="shared" si="8"/>
        <v>#N/A</v>
      </c>
      <c r="BA27" s="248" t="e">
        <f t="shared" si="8"/>
        <v>#N/A</v>
      </c>
      <c r="BB27" s="248" t="e">
        <f t="shared" si="8"/>
        <v>#N/A</v>
      </c>
      <c r="BC27" s="248" t="e">
        <f t="shared" si="8"/>
        <v>#N/A</v>
      </c>
      <c r="BD27" s="248" t="e">
        <f t="shared" si="8"/>
        <v>#N/A</v>
      </c>
      <c r="BE27" s="248" t="e">
        <f t="shared" si="8"/>
        <v>#N/A</v>
      </c>
      <c r="BF27" s="248" t="e">
        <f t="shared" si="8"/>
        <v>#N/A</v>
      </c>
      <c r="BG27" s="248" t="e">
        <f t="shared" si="8"/>
        <v>#N/A</v>
      </c>
      <c r="BH27" s="248" t="e">
        <f t="shared" si="8"/>
        <v>#N/A</v>
      </c>
      <c r="BI27" s="248" t="e">
        <f t="shared" si="8"/>
        <v>#N/A</v>
      </c>
    </row>
    <row r="28" spans="1:62" s="149" customFormat="1" x14ac:dyDescent="0.15">
      <c r="A28" s="95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</row>
    <row r="29" spans="1:62" s="149" customFormat="1" x14ac:dyDescent="0.15">
      <c r="A29" s="96" t="s">
        <v>211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H29" s="153"/>
      <c r="BI29" s="153"/>
    </row>
    <row r="30" spans="1:62" s="149" customFormat="1" x14ac:dyDescent="0.15">
      <c r="A30" s="97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</row>
    <row r="31" spans="1:62" s="149" customFormat="1" ht="13" x14ac:dyDescent="0.15">
      <c r="A31" t="s">
        <v>76</v>
      </c>
      <c r="B31" s="144" t="e">
        <f>'Expense Assumptions'!#REF!</f>
        <v>#REF!</v>
      </c>
      <c r="C31" s="144" t="e">
        <f>'Expense Assumptions'!#REF!</f>
        <v>#REF!</v>
      </c>
      <c r="D31" s="144" t="e">
        <f>'Expense Assumptions'!#REF!</f>
        <v>#REF!</v>
      </c>
      <c r="E31" s="144" t="e">
        <f>'Expense Assumptions'!#REF!</f>
        <v>#REF!</v>
      </c>
      <c r="F31" s="144" t="e">
        <f>'Expense Assumptions'!#REF!</f>
        <v>#REF!</v>
      </c>
      <c r="G31" s="144" t="e">
        <f>'Expense Assumptions'!#REF!</f>
        <v>#REF!</v>
      </c>
      <c r="H31" s="144" t="e">
        <f>'Expense Assumptions'!#REF!</f>
        <v>#REF!</v>
      </c>
      <c r="I31" s="144" t="e">
        <f>'Expense Assumptions'!#REF!</f>
        <v>#REF!</v>
      </c>
      <c r="J31" s="144" t="e">
        <f>'Expense Assumptions'!#REF!</f>
        <v>#REF!</v>
      </c>
      <c r="K31" s="144" t="e">
        <f>'Expense Assumptions'!#REF!</f>
        <v>#REF!</v>
      </c>
      <c r="L31" s="144" t="e">
        <f>'Expense Assumptions'!#REF!</f>
        <v>#REF!</v>
      </c>
      <c r="M31" s="144" t="e">
        <f>'Expense Assumptions'!#REF!</f>
        <v>#REF!</v>
      </c>
      <c r="N31" s="144" t="e">
        <f>'Expense Assumptions'!#REF!</f>
        <v>#REF!</v>
      </c>
      <c r="O31" s="144" t="e">
        <f>'Expense Assumptions'!#REF!</f>
        <v>#REF!</v>
      </c>
      <c r="P31" s="144" t="e">
        <f>'Expense Assumptions'!#REF!</f>
        <v>#REF!</v>
      </c>
      <c r="Q31" s="144" t="e">
        <f>'Expense Assumptions'!#REF!</f>
        <v>#REF!</v>
      </c>
      <c r="R31" s="144" t="e">
        <f>'Expense Assumptions'!#REF!</f>
        <v>#REF!</v>
      </c>
      <c r="S31" s="144" t="e">
        <f>'Expense Assumptions'!#REF!</f>
        <v>#REF!</v>
      </c>
      <c r="T31" s="144" t="e">
        <f>'Expense Assumptions'!#REF!</f>
        <v>#REF!</v>
      </c>
      <c r="U31" s="144" t="e">
        <f>'Expense Assumptions'!#REF!</f>
        <v>#REF!</v>
      </c>
      <c r="V31" s="144" t="e">
        <f>'Expense Assumptions'!#REF!</f>
        <v>#REF!</v>
      </c>
      <c r="W31" s="144" t="e">
        <f>'Expense Assumptions'!#REF!</f>
        <v>#REF!</v>
      </c>
      <c r="X31" s="144" t="e">
        <f>'Expense Assumptions'!#REF!</f>
        <v>#REF!</v>
      </c>
      <c r="Y31" s="144" t="e">
        <f>'Expense Assumptions'!#REF!</f>
        <v>#REF!</v>
      </c>
      <c r="Z31" s="144" t="e">
        <f>'Expense Assumptions'!#REF!</f>
        <v>#REF!</v>
      </c>
      <c r="AA31" s="144" t="e">
        <f>'Expense Assumptions'!#REF!</f>
        <v>#REF!</v>
      </c>
      <c r="AB31" s="144" t="e">
        <f>'Expense Assumptions'!#REF!</f>
        <v>#REF!</v>
      </c>
      <c r="AC31" s="144" t="e">
        <f>'Expense Assumptions'!#REF!</f>
        <v>#REF!</v>
      </c>
      <c r="AD31" s="144" t="e">
        <f>'Expense Assumptions'!#REF!</f>
        <v>#REF!</v>
      </c>
      <c r="AE31" s="144" t="e">
        <f>'Expense Assumptions'!#REF!</f>
        <v>#REF!</v>
      </c>
      <c r="AF31" s="144" t="e">
        <f>'Expense Assumptions'!#REF!</f>
        <v>#REF!</v>
      </c>
      <c r="AG31" s="144" t="e">
        <f>'Expense Assumptions'!#REF!</f>
        <v>#REF!</v>
      </c>
      <c r="AH31" s="144" t="e">
        <f>'Expense Assumptions'!#REF!</f>
        <v>#REF!</v>
      </c>
      <c r="AI31" s="144" t="e">
        <f>'Expense Assumptions'!#REF!</f>
        <v>#REF!</v>
      </c>
      <c r="AJ31" s="144" t="e">
        <f>'Expense Assumptions'!#REF!</f>
        <v>#REF!</v>
      </c>
      <c r="AK31" s="144" t="e">
        <f>'Expense Assumptions'!#REF!</f>
        <v>#REF!</v>
      </c>
      <c r="AL31" s="144" t="e">
        <f>'Expense Assumptions'!#REF!</f>
        <v>#REF!</v>
      </c>
      <c r="AM31" s="144" t="e">
        <f>'Expense Assumptions'!#REF!</f>
        <v>#REF!</v>
      </c>
      <c r="AN31" s="144" t="e">
        <f>'Expense Assumptions'!#REF!</f>
        <v>#REF!</v>
      </c>
      <c r="AO31" s="144" t="e">
        <f>'Expense Assumptions'!#REF!</f>
        <v>#REF!</v>
      </c>
      <c r="AP31" s="144" t="e">
        <f>'Expense Assumptions'!#REF!</f>
        <v>#REF!</v>
      </c>
      <c r="AQ31" s="144" t="e">
        <f>'Expense Assumptions'!#REF!</f>
        <v>#REF!</v>
      </c>
      <c r="AR31" s="144" t="e">
        <f>'Expense Assumptions'!#REF!</f>
        <v>#REF!</v>
      </c>
      <c r="AS31" s="144" t="e">
        <f>'Expense Assumptions'!#REF!</f>
        <v>#REF!</v>
      </c>
      <c r="AT31" s="144" t="e">
        <f>'Expense Assumptions'!#REF!</f>
        <v>#REF!</v>
      </c>
      <c r="AU31" s="144" t="e">
        <f>'Expense Assumptions'!#REF!</f>
        <v>#REF!</v>
      </c>
      <c r="AV31" s="144" t="e">
        <f>'Expense Assumptions'!#REF!</f>
        <v>#REF!</v>
      </c>
      <c r="AW31" s="144" t="e">
        <f>'Expense Assumptions'!#REF!</f>
        <v>#REF!</v>
      </c>
      <c r="AX31" s="144" t="e">
        <f>'Expense Assumptions'!#REF!</f>
        <v>#REF!</v>
      </c>
      <c r="AY31" s="144" t="e">
        <f>'Expense Assumptions'!#REF!</f>
        <v>#REF!</v>
      </c>
      <c r="AZ31" s="144" t="e">
        <f>'Expense Assumptions'!#REF!</f>
        <v>#REF!</v>
      </c>
      <c r="BA31" s="144" t="e">
        <f>'Expense Assumptions'!#REF!</f>
        <v>#REF!</v>
      </c>
      <c r="BB31" s="144" t="e">
        <f>'Expense Assumptions'!#REF!</f>
        <v>#REF!</v>
      </c>
      <c r="BC31" s="144" t="e">
        <f>'Expense Assumptions'!#REF!</f>
        <v>#REF!</v>
      </c>
      <c r="BD31" s="144" t="e">
        <f>'Expense Assumptions'!#REF!</f>
        <v>#REF!</v>
      </c>
      <c r="BE31" s="144" t="e">
        <f>'Expense Assumptions'!#REF!</f>
        <v>#REF!</v>
      </c>
      <c r="BF31" s="144" t="e">
        <f>'Expense Assumptions'!#REF!</f>
        <v>#REF!</v>
      </c>
      <c r="BG31" s="144" t="e">
        <f>'Expense Assumptions'!#REF!</f>
        <v>#REF!</v>
      </c>
      <c r="BH31" s="144" t="e">
        <f>'Expense Assumptions'!#REF!</f>
        <v>#REF!</v>
      </c>
      <c r="BI31" s="144" t="e">
        <f>'Expense Assumptions'!#REF!</f>
        <v>#REF!</v>
      </c>
    </row>
    <row r="32" spans="1:62" s="149" customFormat="1" ht="13" x14ac:dyDescent="0.15">
      <c r="A32" t="s">
        <v>78</v>
      </c>
      <c r="B32" s="144" t="e">
        <f>'Expense Assumptions'!#REF!</f>
        <v>#REF!</v>
      </c>
      <c r="C32" s="144" t="e">
        <f>'Expense Assumptions'!#REF!</f>
        <v>#REF!</v>
      </c>
      <c r="D32" s="144" t="e">
        <f>'Expense Assumptions'!#REF!</f>
        <v>#REF!</v>
      </c>
      <c r="E32" s="144" t="e">
        <f>'Expense Assumptions'!#REF!</f>
        <v>#REF!</v>
      </c>
      <c r="F32" s="144" t="e">
        <f>'Expense Assumptions'!#REF!</f>
        <v>#REF!</v>
      </c>
      <c r="G32" s="144" t="e">
        <f>'Expense Assumptions'!#REF!</f>
        <v>#REF!</v>
      </c>
      <c r="H32" s="144" t="e">
        <f>'Expense Assumptions'!#REF!</f>
        <v>#REF!</v>
      </c>
      <c r="I32" s="144" t="e">
        <f>'Expense Assumptions'!#REF!</f>
        <v>#REF!</v>
      </c>
      <c r="J32" s="144" t="e">
        <f>'Expense Assumptions'!#REF!</f>
        <v>#REF!</v>
      </c>
      <c r="K32" s="144" t="e">
        <f>'Expense Assumptions'!#REF!</f>
        <v>#REF!</v>
      </c>
      <c r="L32" s="144" t="e">
        <f>'Expense Assumptions'!#REF!</f>
        <v>#REF!</v>
      </c>
      <c r="M32" s="144" t="e">
        <f>'Expense Assumptions'!#REF!</f>
        <v>#REF!</v>
      </c>
      <c r="N32" s="144" t="e">
        <f>'Expense Assumptions'!#REF!</f>
        <v>#REF!</v>
      </c>
      <c r="O32" s="144" t="e">
        <f>'Expense Assumptions'!#REF!</f>
        <v>#REF!</v>
      </c>
      <c r="P32" s="144" t="e">
        <f>'Expense Assumptions'!#REF!</f>
        <v>#REF!</v>
      </c>
      <c r="Q32" s="144" t="e">
        <f>'Expense Assumptions'!#REF!</f>
        <v>#REF!</v>
      </c>
      <c r="R32" s="144" t="e">
        <f>'Expense Assumptions'!#REF!</f>
        <v>#REF!</v>
      </c>
      <c r="S32" s="144" t="e">
        <f>'Expense Assumptions'!#REF!</f>
        <v>#REF!</v>
      </c>
      <c r="T32" s="144" t="e">
        <f>'Expense Assumptions'!#REF!</f>
        <v>#REF!</v>
      </c>
      <c r="U32" s="144" t="e">
        <f>'Expense Assumptions'!#REF!</f>
        <v>#REF!</v>
      </c>
      <c r="V32" s="144" t="e">
        <f>'Expense Assumptions'!#REF!</f>
        <v>#REF!</v>
      </c>
      <c r="W32" s="144" t="e">
        <f>'Expense Assumptions'!#REF!</f>
        <v>#REF!</v>
      </c>
      <c r="X32" s="144" t="e">
        <f>'Expense Assumptions'!#REF!</f>
        <v>#REF!</v>
      </c>
      <c r="Y32" s="144" t="e">
        <f>'Expense Assumptions'!#REF!</f>
        <v>#REF!</v>
      </c>
      <c r="Z32" s="144" t="e">
        <f>'Expense Assumptions'!#REF!</f>
        <v>#REF!</v>
      </c>
      <c r="AA32" s="144" t="e">
        <f>'Expense Assumptions'!#REF!</f>
        <v>#REF!</v>
      </c>
      <c r="AB32" s="144" t="e">
        <f>'Expense Assumptions'!#REF!</f>
        <v>#REF!</v>
      </c>
      <c r="AC32" s="144" t="e">
        <f>'Expense Assumptions'!#REF!</f>
        <v>#REF!</v>
      </c>
      <c r="AD32" s="144" t="e">
        <f>'Expense Assumptions'!#REF!</f>
        <v>#REF!</v>
      </c>
      <c r="AE32" s="144" t="e">
        <f>'Expense Assumptions'!#REF!</f>
        <v>#REF!</v>
      </c>
      <c r="AF32" s="144" t="e">
        <f>'Expense Assumptions'!#REF!</f>
        <v>#REF!</v>
      </c>
      <c r="AG32" s="144" t="e">
        <f>'Expense Assumptions'!#REF!</f>
        <v>#REF!</v>
      </c>
      <c r="AH32" s="144" t="e">
        <f>'Expense Assumptions'!#REF!</f>
        <v>#REF!</v>
      </c>
      <c r="AI32" s="144" t="e">
        <f>'Expense Assumptions'!#REF!</f>
        <v>#REF!</v>
      </c>
      <c r="AJ32" s="144" t="e">
        <f>'Expense Assumptions'!#REF!</f>
        <v>#REF!</v>
      </c>
      <c r="AK32" s="144" t="e">
        <f>'Expense Assumptions'!#REF!</f>
        <v>#REF!</v>
      </c>
      <c r="AL32" s="144" t="e">
        <f>'Expense Assumptions'!#REF!</f>
        <v>#REF!</v>
      </c>
      <c r="AM32" s="144" t="e">
        <f>'Expense Assumptions'!#REF!</f>
        <v>#REF!</v>
      </c>
      <c r="AN32" s="144" t="e">
        <f>'Expense Assumptions'!#REF!</f>
        <v>#REF!</v>
      </c>
      <c r="AO32" s="144" t="e">
        <f>'Expense Assumptions'!#REF!</f>
        <v>#REF!</v>
      </c>
      <c r="AP32" s="144" t="e">
        <f>'Expense Assumptions'!#REF!</f>
        <v>#REF!</v>
      </c>
      <c r="AQ32" s="144" t="e">
        <f>'Expense Assumptions'!#REF!</f>
        <v>#REF!</v>
      </c>
      <c r="AR32" s="144" t="e">
        <f>'Expense Assumptions'!#REF!</f>
        <v>#REF!</v>
      </c>
      <c r="AS32" s="144" t="e">
        <f>'Expense Assumptions'!#REF!</f>
        <v>#REF!</v>
      </c>
      <c r="AT32" s="144" t="e">
        <f>'Expense Assumptions'!#REF!</f>
        <v>#REF!</v>
      </c>
      <c r="AU32" s="144" t="e">
        <f>'Expense Assumptions'!#REF!</f>
        <v>#REF!</v>
      </c>
      <c r="AV32" s="144" t="e">
        <f>'Expense Assumptions'!#REF!</f>
        <v>#REF!</v>
      </c>
      <c r="AW32" s="144" t="e">
        <f>'Expense Assumptions'!#REF!</f>
        <v>#REF!</v>
      </c>
      <c r="AX32" s="144" t="e">
        <f>'Expense Assumptions'!#REF!</f>
        <v>#REF!</v>
      </c>
      <c r="AY32" s="144" t="e">
        <f>'Expense Assumptions'!#REF!</f>
        <v>#REF!</v>
      </c>
      <c r="AZ32" s="144" t="e">
        <f>'Expense Assumptions'!#REF!</f>
        <v>#REF!</v>
      </c>
      <c r="BA32" s="144" t="e">
        <f>'Expense Assumptions'!#REF!</f>
        <v>#REF!</v>
      </c>
      <c r="BB32" s="144" t="e">
        <f>'Expense Assumptions'!#REF!</f>
        <v>#REF!</v>
      </c>
      <c r="BC32" s="144" t="e">
        <f>'Expense Assumptions'!#REF!</f>
        <v>#REF!</v>
      </c>
      <c r="BD32" s="144" t="e">
        <f>'Expense Assumptions'!#REF!</f>
        <v>#REF!</v>
      </c>
      <c r="BE32" s="144" t="e">
        <f>'Expense Assumptions'!#REF!</f>
        <v>#REF!</v>
      </c>
      <c r="BF32" s="144" t="e">
        <f>'Expense Assumptions'!#REF!</f>
        <v>#REF!</v>
      </c>
      <c r="BG32" s="144" t="e">
        <f>'Expense Assumptions'!#REF!</f>
        <v>#REF!</v>
      </c>
      <c r="BH32" s="144" t="e">
        <f>'Expense Assumptions'!#REF!</f>
        <v>#REF!</v>
      </c>
      <c r="BI32" s="144" t="e">
        <f>'Expense Assumptions'!#REF!</f>
        <v>#REF!</v>
      </c>
    </row>
    <row r="33" spans="1:61" s="149" customFormat="1" ht="13" x14ac:dyDescent="0.15">
      <c r="A33" t="s">
        <v>79</v>
      </c>
      <c r="B33" s="144" t="e">
        <f>'Expense Assumptions'!#REF!</f>
        <v>#REF!</v>
      </c>
      <c r="C33" s="144" t="e">
        <f>'Expense Assumptions'!#REF!</f>
        <v>#REF!</v>
      </c>
      <c r="D33" s="144" t="e">
        <f>'Expense Assumptions'!#REF!</f>
        <v>#REF!</v>
      </c>
      <c r="E33" s="144" t="e">
        <f>'Expense Assumptions'!#REF!</f>
        <v>#REF!</v>
      </c>
      <c r="F33" s="144" t="e">
        <f>'Expense Assumptions'!#REF!</f>
        <v>#REF!</v>
      </c>
      <c r="G33" s="144" t="e">
        <f>'Expense Assumptions'!#REF!</f>
        <v>#REF!</v>
      </c>
      <c r="H33" s="144" t="e">
        <f>'Expense Assumptions'!#REF!</f>
        <v>#REF!</v>
      </c>
      <c r="I33" s="144" t="e">
        <f>'Expense Assumptions'!#REF!</f>
        <v>#REF!</v>
      </c>
      <c r="J33" s="144" t="e">
        <f>'Expense Assumptions'!#REF!</f>
        <v>#REF!</v>
      </c>
      <c r="K33" s="144" t="e">
        <f>'Expense Assumptions'!#REF!</f>
        <v>#REF!</v>
      </c>
      <c r="L33" s="144" t="e">
        <f>'Expense Assumptions'!#REF!</f>
        <v>#REF!</v>
      </c>
      <c r="M33" s="144" t="e">
        <f>'Expense Assumptions'!#REF!</f>
        <v>#REF!</v>
      </c>
      <c r="N33" s="144" t="e">
        <f>'Expense Assumptions'!#REF!</f>
        <v>#REF!</v>
      </c>
      <c r="O33" s="144" t="e">
        <f>'Expense Assumptions'!#REF!</f>
        <v>#REF!</v>
      </c>
      <c r="P33" s="144" t="e">
        <f>'Expense Assumptions'!#REF!</f>
        <v>#REF!</v>
      </c>
      <c r="Q33" s="144" t="e">
        <f>'Expense Assumptions'!#REF!</f>
        <v>#REF!</v>
      </c>
      <c r="R33" s="144" t="e">
        <f>'Expense Assumptions'!#REF!</f>
        <v>#REF!</v>
      </c>
      <c r="S33" s="144" t="e">
        <f>'Expense Assumptions'!#REF!</f>
        <v>#REF!</v>
      </c>
      <c r="T33" s="144" t="e">
        <f>'Expense Assumptions'!#REF!</f>
        <v>#REF!</v>
      </c>
      <c r="U33" s="144" t="e">
        <f>'Expense Assumptions'!#REF!</f>
        <v>#REF!</v>
      </c>
      <c r="V33" s="144" t="e">
        <f>'Expense Assumptions'!#REF!</f>
        <v>#REF!</v>
      </c>
      <c r="W33" s="144" t="e">
        <f>'Expense Assumptions'!#REF!</f>
        <v>#REF!</v>
      </c>
      <c r="X33" s="144" t="e">
        <f>'Expense Assumptions'!#REF!</f>
        <v>#REF!</v>
      </c>
      <c r="Y33" s="144" t="e">
        <f>'Expense Assumptions'!#REF!</f>
        <v>#REF!</v>
      </c>
      <c r="Z33" s="144" t="e">
        <f>'Expense Assumptions'!#REF!</f>
        <v>#REF!</v>
      </c>
      <c r="AA33" s="144" t="e">
        <f>'Expense Assumptions'!#REF!</f>
        <v>#REF!</v>
      </c>
      <c r="AB33" s="144" t="e">
        <f>'Expense Assumptions'!#REF!</f>
        <v>#REF!</v>
      </c>
      <c r="AC33" s="144" t="e">
        <f>'Expense Assumptions'!#REF!</f>
        <v>#REF!</v>
      </c>
      <c r="AD33" s="144" t="e">
        <f>'Expense Assumptions'!#REF!</f>
        <v>#REF!</v>
      </c>
      <c r="AE33" s="144" t="e">
        <f>'Expense Assumptions'!#REF!</f>
        <v>#REF!</v>
      </c>
      <c r="AF33" s="144" t="e">
        <f>'Expense Assumptions'!#REF!</f>
        <v>#REF!</v>
      </c>
      <c r="AG33" s="144" t="e">
        <f>'Expense Assumptions'!#REF!</f>
        <v>#REF!</v>
      </c>
      <c r="AH33" s="144" t="e">
        <f>'Expense Assumptions'!#REF!</f>
        <v>#REF!</v>
      </c>
      <c r="AI33" s="144" t="e">
        <f>'Expense Assumptions'!#REF!</f>
        <v>#REF!</v>
      </c>
      <c r="AJ33" s="144" t="e">
        <f>'Expense Assumptions'!#REF!</f>
        <v>#REF!</v>
      </c>
      <c r="AK33" s="144" t="e">
        <f>'Expense Assumptions'!#REF!</f>
        <v>#REF!</v>
      </c>
      <c r="AL33" s="144" t="e">
        <f>'Expense Assumptions'!#REF!</f>
        <v>#REF!</v>
      </c>
      <c r="AM33" s="144" t="e">
        <f>'Expense Assumptions'!#REF!</f>
        <v>#REF!</v>
      </c>
      <c r="AN33" s="144" t="e">
        <f>'Expense Assumptions'!#REF!</f>
        <v>#REF!</v>
      </c>
      <c r="AO33" s="144" t="e">
        <f>'Expense Assumptions'!#REF!</f>
        <v>#REF!</v>
      </c>
      <c r="AP33" s="144" t="e">
        <f>'Expense Assumptions'!#REF!</f>
        <v>#REF!</v>
      </c>
      <c r="AQ33" s="144" t="e">
        <f>'Expense Assumptions'!#REF!</f>
        <v>#REF!</v>
      </c>
      <c r="AR33" s="144" t="e">
        <f>'Expense Assumptions'!#REF!</f>
        <v>#REF!</v>
      </c>
      <c r="AS33" s="144" t="e">
        <f>'Expense Assumptions'!#REF!</f>
        <v>#REF!</v>
      </c>
      <c r="AT33" s="144" t="e">
        <f>'Expense Assumptions'!#REF!</f>
        <v>#REF!</v>
      </c>
      <c r="AU33" s="144" t="e">
        <f>'Expense Assumptions'!#REF!</f>
        <v>#REF!</v>
      </c>
      <c r="AV33" s="144" t="e">
        <f>'Expense Assumptions'!#REF!</f>
        <v>#REF!</v>
      </c>
      <c r="AW33" s="144" t="e">
        <f>'Expense Assumptions'!#REF!</f>
        <v>#REF!</v>
      </c>
      <c r="AX33" s="144" t="e">
        <f>'Expense Assumptions'!#REF!</f>
        <v>#REF!</v>
      </c>
      <c r="AY33" s="144" t="e">
        <f>'Expense Assumptions'!#REF!</f>
        <v>#REF!</v>
      </c>
      <c r="AZ33" s="144" t="e">
        <f>'Expense Assumptions'!#REF!</f>
        <v>#REF!</v>
      </c>
      <c r="BA33" s="144" t="e">
        <f>'Expense Assumptions'!#REF!</f>
        <v>#REF!</v>
      </c>
      <c r="BB33" s="144" t="e">
        <f>'Expense Assumptions'!#REF!</f>
        <v>#REF!</v>
      </c>
      <c r="BC33" s="144" t="e">
        <f>'Expense Assumptions'!#REF!</f>
        <v>#REF!</v>
      </c>
      <c r="BD33" s="144" t="e">
        <f>'Expense Assumptions'!#REF!</f>
        <v>#REF!</v>
      </c>
      <c r="BE33" s="144" t="e">
        <f>'Expense Assumptions'!#REF!</f>
        <v>#REF!</v>
      </c>
      <c r="BF33" s="144" t="e">
        <f>'Expense Assumptions'!#REF!</f>
        <v>#REF!</v>
      </c>
      <c r="BG33" s="144" t="e">
        <f>'Expense Assumptions'!#REF!</f>
        <v>#REF!</v>
      </c>
      <c r="BH33" s="144" t="e">
        <f>'Expense Assumptions'!#REF!</f>
        <v>#REF!</v>
      </c>
      <c r="BI33" s="144" t="e">
        <f>'Expense Assumptions'!#REF!</f>
        <v>#REF!</v>
      </c>
    </row>
    <row r="34" spans="1:61" s="149" customFormat="1" ht="13" x14ac:dyDescent="0.15">
      <c r="A34" t="s">
        <v>80</v>
      </c>
      <c r="B34" s="144" t="e">
        <f>'Expense Assumptions'!#REF!</f>
        <v>#REF!</v>
      </c>
      <c r="C34" s="144" t="e">
        <f>'Expense Assumptions'!#REF!</f>
        <v>#REF!</v>
      </c>
      <c r="D34" s="144" t="e">
        <f>'Expense Assumptions'!#REF!</f>
        <v>#REF!</v>
      </c>
      <c r="E34" s="144" t="e">
        <f>'Expense Assumptions'!#REF!</f>
        <v>#REF!</v>
      </c>
      <c r="F34" s="144" t="e">
        <f>'Expense Assumptions'!#REF!</f>
        <v>#REF!</v>
      </c>
      <c r="G34" s="144" t="e">
        <f>'Expense Assumptions'!#REF!</f>
        <v>#REF!</v>
      </c>
      <c r="H34" s="144" t="e">
        <f>'Expense Assumptions'!#REF!</f>
        <v>#REF!</v>
      </c>
      <c r="I34" s="144" t="e">
        <f>'Expense Assumptions'!#REF!</f>
        <v>#REF!</v>
      </c>
      <c r="J34" s="144" t="e">
        <f>'Expense Assumptions'!#REF!</f>
        <v>#REF!</v>
      </c>
      <c r="K34" s="144" t="e">
        <f>'Expense Assumptions'!#REF!</f>
        <v>#REF!</v>
      </c>
      <c r="L34" s="144" t="e">
        <f>'Expense Assumptions'!#REF!</f>
        <v>#REF!</v>
      </c>
      <c r="M34" s="144" t="e">
        <f>'Expense Assumptions'!#REF!</f>
        <v>#REF!</v>
      </c>
      <c r="N34" s="144" t="e">
        <f>'Expense Assumptions'!#REF!</f>
        <v>#REF!</v>
      </c>
      <c r="O34" s="144" t="e">
        <f>'Expense Assumptions'!#REF!</f>
        <v>#REF!</v>
      </c>
      <c r="P34" s="144" t="e">
        <f>'Expense Assumptions'!#REF!</f>
        <v>#REF!</v>
      </c>
      <c r="Q34" s="144" t="e">
        <f>'Expense Assumptions'!#REF!</f>
        <v>#REF!</v>
      </c>
      <c r="R34" s="144" t="e">
        <f>'Expense Assumptions'!#REF!</f>
        <v>#REF!</v>
      </c>
      <c r="S34" s="144" t="e">
        <f>'Expense Assumptions'!#REF!</f>
        <v>#REF!</v>
      </c>
      <c r="T34" s="144" t="e">
        <f>'Expense Assumptions'!#REF!</f>
        <v>#REF!</v>
      </c>
      <c r="U34" s="144" t="e">
        <f>'Expense Assumptions'!#REF!</f>
        <v>#REF!</v>
      </c>
      <c r="V34" s="144" t="e">
        <f>'Expense Assumptions'!#REF!</f>
        <v>#REF!</v>
      </c>
      <c r="W34" s="144" t="e">
        <f>'Expense Assumptions'!#REF!</f>
        <v>#REF!</v>
      </c>
      <c r="X34" s="144" t="e">
        <f>'Expense Assumptions'!#REF!</f>
        <v>#REF!</v>
      </c>
      <c r="Y34" s="144" t="e">
        <f>'Expense Assumptions'!#REF!</f>
        <v>#REF!</v>
      </c>
      <c r="Z34" s="144" t="e">
        <f>'Expense Assumptions'!#REF!</f>
        <v>#REF!</v>
      </c>
      <c r="AA34" s="144" t="e">
        <f>'Expense Assumptions'!#REF!</f>
        <v>#REF!</v>
      </c>
      <c r="AB34" s="144" t="e">
        <f>'Expense Assumptions'!#REF!</f>
        <v>#REF!</v>
      </c>
      <c r="AC34" s="144" t="e">
        <f>'Expense Assumptions'!#REF!</f>
        <v>#REF!</v>
      </c>
      <c r="AD34" s="144" t="e">
        <f>'Expense Assumptions'!#REF!</f>
        <v>#REF!</v>
      </c>
      <c r="AE34" s="144" t="e">
        <f>'Expense Assumptions'!#REF!</f>
        <v>#REF!</v>
      </c>
      <c r="AF34" s="144" t="e">
        <f>'Expense Assumptions'!#REF!</f>
        <v>#REF!</v>
      </c>
      <c r="AG34" s="144" t="e">
        <f>'Expense Assumptions'!#REF!</f>
        <v>#REF!</v>
      </c>
      <c r="AH34" s="144" t="e">
        <f>'Expense Assumptions'!#REF!</f>
        <v>#REF!</v>
      </c>
      <c r="AI34" s="144" t="e">
        <f>'Expense Assumptions'!#REF!</f>
        <v>#REF!</v>
      </c>
      <c r="AJ34" s="144" t="e">
        <f>'Expense Assumptions'!#REF!</f>
        <v>#REF!</v>
      </c>
      <c r="AK34" s="144" t="e">
        <f>'Expense Assumptions'!#REF!</f>
        <v>#REF!</v>
      </c>
      <c r="AL34" s="144" t="e">
        <f>'Expense Assumptions'!#REF!</f>
        <v>#REF!</v>
      </c>
      <c r="AM34" s="144" t="e">
        <f>'Expense Assumptions'!#REF!</f>
        <v>#REF!</v>
      </c>
      <c r="AN34" s="144" t="e">
        <f>'Expense Assumptions'!#REF!</f>
        <v>#REF!</v>
      </c>
      <c r="AO34" s="144" t="e">
        <f>'Expense Assumptions'!#REF!</f>
        <v>#REF!</v>
      </c>
      <c r="AP34" s="144" t="e">
        <f>'Expense Assumptions'!#REF!</f>
        <v>#REF!</v>
      </c>
      <c r="AQ34" s="144" t="e">
        <f>'Expense Assumptions'!#REF!</f>
        <v>#REF!</v>
      </c>
      <c r="AR34" s="144" t="e">
        <f>'Expense Assumptions'!#REF!</f>
        <v>#REF!</v>
      </c>
      <c r="AS34" s="144" t="e">
        <f>'Expense Assumptions'!#REF!</f>
        <v>#REF!</v>
      </c>
      <c r="AT34" s="144" t="e">
        <f>'Expense Assumptions'!#REF!</f>
        <v>#REF!</v>
      </c>
      <c r="AU34" s="144" t="e">
        <f>'Expense Assumptions'!#REF!</f>
        <v>#REF!</v>
      </c>
      <c r="AV34" s="144" t="e">
        <f>'Expense Assumptions'!#REF!</f>
        <v>#REF!</v>
      </c>
      <c r="AW34" s="144" t="e">
        <f>'Expense Assumptions'!#REF!</f>
        <v>#REF!</v>
      </c>
      <c r="AX34" s="144" t="e">
        <f>'Expense Assumptions'!#REF!</f>
        <v>#REF!</v>
      </c>
      <c r="AY34" s="144" t="e">
        <f>'Expense Assumptions'!#REF!</f>
        <v>#REF!</v>
      </c>
      <c r="AZ34" s="144" t="e">
        <f>'Expense Assumptions'!#REF!</f>
        <v>#REF!</v>
      </c>
      <c r="BA34" s="144" t="e">
        <f>'Expense Assumptions'!#REF!</f>
        <v>#REF!</v>
      </c>
      <c r="BB34" s="144" t="e">
        <f>'Expense Assumptions'!#REF!</f>
        <v>#REF!</v>
      </c>
      <c r="BC34" s="144" t="e">
        <f>'Expense Assumptions'!#REF!</f>
        <v>#REF!</v>
      </c>
      <c r="BD34" s="144" t="e">
        <f>'Expense Assumptions'!#REF!</f>
        <v>#REF!</v>
      </c>
      <c r="BE34" s="144" t="e">
        <f>'Expense Assumptions'!#REF!</f>
        <v>#REF!</v>
      </c>
      <c r="BF34" s="144" t="e">
        <f>'Expense Assumptions'!#REF!</f>
        <v>#REF!</v>
      </c>
      <c r="BG34" s="144" t="e">
        <f>'Expense Assumptions'!#REF!</f>
        <v>#REF!</v>
      </c>
      <c r="BH34" s="144" t="e">
        <f>'Expense Assumptions'!#REF!</f>
        <v>#REF!</v>
      </c>
      <c r="BI34" s="144" t="e">
        <f>'Expense Assumptions'!#REF!</f>
        <v>#REF!</v>
      </c>
    </row>
    <row r="35" spans="1:61" s="149" customFormat="1" ht="13" x14ac:dyDescent="0.15">
      <c r="A35" t="s">
        <v>81</v>
      </c>
      <c r="B35" s="144" t="e">
        <f>'Expense Assumptions'!#REF!</f>
        <v>#REF!</v>
      </c>
      <c r="C35" s="144" t="e">
        <f>'Expense Assumptions'!#REF!</f>
        <v>#REF!</v>
      </c>
      <c r="D35" s="144" t="e">
        <f>'Expense Assumptions'!#REF!</f>
        <v>#REF!</v>
      </c>
      <c r="E35" s="144" t="e">
        <f>'Expense Assumptions'!#REF!</f>
        <v>#REF!</v>
      </c>
      <c r="F35" s="144" t="e">
        <f>'Expense Assumptions'!#REF!</f>
        <v>#REF!</v>
      </c>
      <c r="G35" s="144" t="e">
        <f>'Expense Assumptions'!#REF!</f>
        <v>#REF!</v>
      </c>
      <c r="H35" s="144" t="e">
        <f>'Expense Assumptions'!#REF!</f>
        <v>#REF!</v>
      </c>
      <c r="I35" s="144" t="e">
        <f>'Expense Assumptions'!#REF!</f>
        <v>#REF!</v>
      </c>
      <c r="J35" s="144" t="e">
        <f>'Expense Assumptions'!#REF!</f>
        <v>#REF!</v>
      </c>
      <c r="K35" s="144" t="e">
        <f>'Expense Assumptions'!#REF!</f>
        <v>#REF!</v>
      </c>
      <c r="L35" s="144" t="e">
        <f>'Expense Assumptions'!#REF!</f>
        <v>#REF!</v>
      </c>
      <c r="M35" s="144" t="e">
        <f>'Expense Assumptions'!#REF!</f>
        <v>#REF!</v>
      </c>
      <c r="N35" s="144" t="e">
        <f>'Expense Assumptions'!#REF!</f>
        <v>#REF!</v>
      </c>
      <c r="O35" s="144" t="e">
        <f>'Expense Assumptions'!#REF!</f>
        <v>#REF!</v>
      </c>
      <c r="P35" s="144" t="e">
        <f>'Expense Assumptions'!#REF!</f>
        <v>#REF!</v>
      </c>
      <c r="Q35" s="144" t="e">
        <f>'Expense Assumptions'!#REF!</f>
        <v>#REF!</v>
      </c>
      <c r="R35" s="144" t="e">
        <f>'Expense Assumptions'!#REF!</f>
        <v>#REF!</v>
      </c>
      <c r="S35" s="144" t="e">
        <f>'Expense Assumptions'!#REF!</f>
        <v>#REF!</v>
      </c>
      <c r="T35" s="144" t="e">
        <f>'Expense Assumptions'!#REF!</f>
        <v>#REF!</v>
      </c>
      <c r="U35" s="144" t="e">
        <f>'Expense Assumptions'!#REF!</f>
        <v>#REF!</v>
      </c>
      <c r="V35" s="144" t="e">
        <f>'Expense Assumptions'!#REF!</f>
        <v>#REF!</v>
      </c>
      <c r="W35" s="144" t="e">
        <f>'Expense Assumptions'!#REF!</f>
        <v>#REF!</v>
      </c>
      <c r="X35" s="144" t="e">
        <f>'Expense Assumptions'!#REF!</f>
        <v>#REF!</v>
      </c>
      <c r="Y35" s="144" t="e">
        <f>'Expense Assumptions'!#REF!</f>
        <v>#REF!</v>
      </c>
      <c r="Z35" s="144" t="e">
        <f>'Expense Assumptions'!#REF!</f>
        <v>#REF!</v>
      </c>
      <c r="AA35" s="144" t="e">
        <f>'Expense Assumptions'!#REF!</f>
        <v>#REF!</v>
      </c>
      <c r="AB35" s="144" t="e">
        <f>'Expense Assumptions'!#REF!</f>
        <v>#REF!</v>
      </c>
      <c r="AC35" s="144" t="e">
        <f>'Expense Assumptions'!#REF!</f>
        <v>#REF!</v>
      </c>
      <c r="AD35" s="144" t="e">
        <f>'Expense Assumptions'!#REF!</f>
        <v>#REF!</v>
      </c>
      <c r="AE35" s="144" t="e">
        <f>'Expense Assumptions'!#REF!</f>
        <v>#REF!</v>
      </c>
      <c r="AF35" s="144" t="e">
        <f>'Expense Assumptions'!#REF!</f>
        <v>#REF!</v>
      </c>
      <c r="AG35" s="144" t="e">
        <f>'Expense Assumptions'!#REF!</f>
        <v>#REF!</v>
      </c>
      <c r="AH35" s="144" t="e">
        <f>'Expense Assumptions'!#REF!</f>
        <v>#REF!</v>
      </c>
      <c r="AI35" s="144" t="e">
        <f>'Expense Assumptions'!#REF!</f>
        <v>#REF!</v>
      </c>
      <c r="AJ35" s="144" t="e">
        <f>'Expense Assumptions'!#REF!</f>
        <v>#REF!</v>
      </c>
      <c r="AK35" s="144" t="e">
        <f>'Expense Assumptions'!#REF!</f>
        <v>#REF!</v>
      </c>
      <c r="AL35" s="144" t="e">
        <f>'Expense Assumptions'!#REF!</f>
        <v>#REF!</v>
      </c>
      <c r="AM35" s="144" t="e">
        <f>'Expense Assumptions'!#REF!</f>
        <v>#REF!</v>
      </c>
      <c r="AN35" s="144" t="e">
        <f>'Expense Assumptions'!#REF!</f>
        <v>#REF!</v>
      </c>
      <c r="AO35" s="144" t="e">
        <f>'Expense Assumptions'!#REF!</f>
        <v>#REF!</v>
      </c>
      <c r="AP35" s="144" t="e">
        <f>'Expense Assumptions'!#REF!</f>
        <v>#REF!</v>
      </c>
      <c r="AQ35" s="144" t="e">
        <f>'Expense Assumptions'!#REF!</f>
        <v>#REF!</v>
      </c>
      <c r="AR35" s="144" t="e">
        <f>'Expense Assumptions'!#REF!</f>
        <v>#REF!</v>
      </c>
      <c r="AS35" s="144" t="e">
        <f>'Expense Assumptions'!#REF!</f>
        <v>#REF!</v>
      </c>
      <c r="AT35" s="144" t="e">
        <f>'Expense Assumptions'!#REF!</f>
        <v>#REF!</v>
      </c>
      <c r="AU35" s="144" t="e">
        <f>'Expense Assumptions'!#REF!</f>
        <v>#REF!</v>
      </c>
      <c r="AV35" s="144" t="e">
        <f>'Expense Assumptions'!#REF!</f>
        <v>#REF!</v>
      </c>
      <c r="AW35" s="144" t="e">
        <f>'Expense Assumptions'!#REF!</f>
        <v>#REF!</v>
      </c>
      <c r="AX35" s="144" t="e">
        <f>'Expense Assumptions'!#REF!</f>
        <v>#REF!</v>
      </c>
      <c r="AY35" s="144" t="e">
        <f>'Expense Assumptions'!#REF!</f>
        <v>#REF!</v>
      </c>
      <c r="AZ35" s="144" t="e">
        <f>'Expense Assumptions'!#REF!</f>
        <v>#REF!</v>
      </c>
      <c r="BA35" s="144" t="e">
        <f>'Expense Assumptions'!#REF!</f>
        <v>#REF!</v>
      </c>
      <c r="BB35" s="144" t="e">
        <f>'Expense Assumptions'!#REF!</f>
        <v>#REF!</v>
      </c>
      <c r="BC35" s="144" t="e">
        <f>'Expense Assumptions'!#REF!</f>
        <v>#REF!</v>
      </c>
      <c r="BD35" s="144" t="e">
        <f>'Expense Assumptions'!#REF!</f>
        <v>#REF!</v>
      </c>
      <c r="BE35" s="144" t="e">
        <f>'Expense Assumptions'!#REF!</f>
        <v>#REF!</v>
      </c>
      <c r="BF35" s="144" t="e">
        <f>'Expense Assumptions'!#REF!</f>
        <v>#REF!</v>
      </c>
      <c r="BG35" s="144" t="e">
        <f>'Expense Assumptions'!#REF!</f>
        <v>#REF!</v>
      </c>
      <c r="BH35" s="144" t="e">
        <f>'Expense Assumptions'!#REF!</f>
        <v>#REF!</v>
      </c>
      <c r="BI35" s="144" t="e">
        <f>'Expense Assumptions'!#REF!</f>
        <v>#REF!</v>
      </c>
    </row>
    <row r="36" spans="1:61" s="149" customFormat="1" ht="13" x14ac:dyDescent="0.15">
      <c r="A36" t="s">
        <v>82</v>
      </c>
      <c r="B36" s="144" t="e">
        <f>'Expense Assumptions'!#REF!</f>
        <v>#REF!</v>
      </c>
      <c r="C36" s="144" t="e">
        <f>'Expense Assumptions'!#REF!</f>
        <v>#REF!</v>
      </c>
      <c r="D36" s="144" t="e">
        <f>'Expense Assumptions'!#REF!</f>
        <v>#REF!</v>
      </c>
      <c r="E36" s="144" t="e">
        <f>'Expense Assumptions'!#REF!</f>
        <v>#REF!</v>
      </c>
      <c r="F36" s="144" t="e">
        <f>'Expense Assumptions'!#REF!</f>
        <v>#REF!</v>
      </c>
      <c r="G36" s="144" t="e">
        <f>'Expense Assumptions'!#REF!</f>
        <v>#REF!</v>
      </c>
      <c r="H36" s="144" t="e">
        <f>'Expense Assumptions'!#REF!</f>
        <v>#REF!</v>
      </c>
      <c r="I36" s="144" t="e">
        <f>'Expense Assumptions'!#REF!</f>
        <v>#REF!</v>
      </c>
      <c r="J36" s="144" t="e">
        <f>'Expense Assumptions'!#REF!</f>
        <v>#REF!</v>
      </c>
      <c r="K36" s="144" t="e">
        <f>'Expense Assumptions'!#REF!</f>
        <v>#REF!</v>
      </c>
      <c r="L36" s="144" t="e">
        <f>'Expense Assumptions'!#REF!</f>
        <v>#REF!</v>
      </c>
      <c r="M36" s="144" t="e">
        <f>'Expense Assumptions'!#REF!</f>
        <v>#REF!</v>
      </c>
      <c r="N36" s="144" t="e">
        <f>'Expense Assumptions'!#REF!</f>
        <v>#REF!</v>
      </c>
      <c r="O36" s="144" t="e">
        <f>'Expense Assumptions'!#REF!</f>
        <v>#REF!</v>
      </c>
      <c r="P36" s="144" t="e">
        <f>'Expense Assumptions'!#REF!</f>
        <v>#REF!</v>
      </c>
      <c r="Q36" s="144" t="e">
        <f>'Expense Assumptions'!#REF!</f>
        <v>#REF!</v>
      </c>
      <c r="R36" s="144" t="e">
        <f>'Expense Assumptions'!#REF!</f>
        <v>#REF!</v>
      </c>
      <c r="S36" s="144" t="e">
        <f>'Expense Assumptions'!#REF!</f>
        <v>#REF!</v>
      </c>
      <c r="T36" s="144" t="e">
        <f>'Expense Assumptions'!#REF!</f>
        <v>#REF!</v>
      </c>
      <c r="U36" s="144" t="e">
        <f>'Expense Assumptions'!#REF!</f>
        <v>#REF!</v>
      </c>
      <c r="V36" s="144" t="e">
        <f>'Expense Assumptions'!#REF!</f>
        <v>#REF!</v>
      </c>
      <c r="W36" s="144" t="e">
        <f>'Expense Assumptions'!#REF!</f>
        <v>#REF!</v>
      </c>
      <c r="X36" s="144" t="e">
        <f>'Expense Assumptions'!#REF!</f>
        <v>#REF!</v>
      </c>
      <c r="Y36" s="144" t="e">
        <f>'Expense Assumptions'!#REF!</f>
        <v>#REF!</v>
      </c>
      <c r="Z36" s="144" t="e">
        <f>'Expense Assumptions'!#REF!</f>
        <v>#REF!</v>
      </c>
      <c r="AA36" s="144" t="e">
        <f>'Expense Assumptions'!#REF!</f>
        <v>#REF!</v>
      </c>
      <c r="AB36" s="144" t="e">
        <f>'Expense Assumptions'!#REF!</f>
        <v>#REF!</v>
      </c>
      <c r="AC36" s="144" t="e">
        <f>'Expense Assumptions'!#REF!</f>
        <v>#REF!</v>
      </c>
      <c r="AD36" s="144" t="e">
        <f>'Expense Assumptions'!#REF!</f>
        <v>#REF!</v>
      </c>
      <c r="AE36" s="144" t="e">
        <f>'Expense Assumptions'!#REF!</f>
        <v>#REF!</v>
      </c>
      <c r="AF36" s="144" t="e">
        <f>'Expense Assumptions'!#REF!</f>
        <v>#REF!</v>
      </c>
      <c r="AG36" s="144" t="e">
        <f>'Expense Assumptions'!#REF!</f>
        <v>#REF!</v>
      </c>
      <c r="AH36" s="144" t="e">
        <f>'Expense Assumptions'!#REF!</f>
        <v>#REF!</v>
      </c>
      <c r="AI36" s="144" t="e">
        <f>'Expense Assumptions'!#REF!</f>
        <v>#REF!</v>
      </c>
      <c r="AJ36" s="144" t="e">
        <f>'Expense Assumptions'!#REF!</f>
        <v>#REF!</v>
      </c>
      <c r="AK36" s="144" t="e">
        <f>'Expense Assumptions'!#REF!</f>
        <v>#REF!</v>
      </c>
      <c r="AL36" s="144" t="e">
        <f>'Expense Assumptions'!#REF!</f>
        <v>#REF!</v>
      </c>
      <c r="AM36" s="144" t="e">
        <f>'Expense Assumptions'!#REF!</f>
        <v>#REF!</v>
      </c>
      <c r="AN36" s="144" t="e">
        <f>'Expense Assumptions'!#REF!</f>
        <v>#REF!</v>
      </c>
      <c r="AO36" s="144" t="e">
        <f>'Expense Assumptions'!#REF!</f>
        <v>#REF!</v>
      </c>
      <c r="AP36" s="144" t="e">
        <f>'Expense Assumptions'!#REF!</f>
        <v>#REF!</v>
      </c>
      <c r="AQ36" s="144" t="e">
        <f>'Expense Assumptions'!#REF!</f>
        <v>#REF!</v>
      </c>
      <c r="AR36" s="144" t="e">
        <f>'Expense Assumptions'!#REF!</f>
        <v>#REF!</v>
      </c>
      <c r="AS36" s="144" t="e">
        <f>'Expense Assumptions'!#REF!</f>
        <v>#REF!</v>
      </c>
      <c r="AT36" s="144" t="e">
        <f>'Expense Assumptions'!#REF!</f>
        <v>#REF!</v>
      </c>
      <c r="AU36" s="144" t="e">
        <f>'Expense Assumptions'!#REF!</f>
        <v>#REF!</v>
      </c>
      <c r="AV36" s="144" t="e">
        <f>'Expense Assumptions'!#REF!</f>
        <v>#REF!</v>
      </c>
      <c r="AW36" s="144" t="e">
        <f>'Expense Assumptions'!#REF!</f>
        <v>#REF!</v>
      </c>
      <c r="AX36" s="144" t="e">
        <f>'Expense Assumptions'!#REF!</f>
        <v>#REF!</v>
      </c>
      <c r="AY36" s="144" t="e">
        <f>'Expense Assumptions'!#REF!</f>
        <v>#REF!</v>
      </c>
      <c r="AZ36" s="144" t="e">
        <f>'Expense Assumptions'!#REF!</f>
        <v>#REF!</v>
      </c>
      <c r="BA36" s="144" t="e">
        <f>'Expense Assumptions'!#REF!</f>
        <v>#REF!</v>
      </c>
      <c r="BB36" s="144" t="e">
        <f>'Expense Assumptions'!#REF!</f>
        <v>#REF!</v>
      </c>
      <c r="BC36" s="144" t="e">
        <f>'Expense Assumptions'!#REF!</f>
        <v>#REF!</v>
      </c>
      <c r="BD36" s="144" t="e">
        <f>'Expense Assumptions'!#REF!</f>
        <v>#REF!</v>
      </c>
      <c r="BE36" s="144" t="e">
        <f>'Expense Assumptions'!#REF!</f>
        <v>#REF!</v>
      </c>
      <c r="BF36" s="144" t="e">
        <f>'Expense Assumptions'!#REF!</f>
        <v>#REF!</v>
      </c>
      <c r="BG36" s="144" t="e">
        <f>'Expense Assumptions'!#REF!</f>
        <v>#REF!</v>
      </c>
      <c r="BH36" s="144" t="e">
        <f>'Expense Assumptions'!#REF!</f>
        <v>#REF!</v>
      </c>
      <c r="BI36" s="144" t="e">
        <f>'Expense Assumptions'!#REF!</f>
        <v>#REF!</v>
      </c>
    </row>
    <row r="37" spans="1:61" s="149" customFormat="1" ht="13" x14ac:dyDescent="0.15">
      <c r="A37" t="s">
        <v>83</v>
      </c>
      <c r="B37" s="144" t="e">
        <f>'Expense Assumptions'!#REF!</f>
        <v>#REF!</v>
      </c>
      <c r="C37" s="144" t="e">
        <f>'Expense Assumptions'!#REF!</f>
        <v>#REF!</v>
      </c>
      <c r="D37" s="144" t="e">
        <f>'Expense Assumptions'!#REF!</f>
        <v>#REF!</v>
      </c>
      <c r="E37" s="144" t="e">
        <f>'Expense Assumptions'!#REF!</f>
        <v>#REF!</v>
      </c>
      <c r="F37" s="144" t="e">
        <f>'Expense Assumptions'!#REF!</f>
        <v>#REF!</v>
      </c>
      <c r="G37" s="144" t="e">
        <f>'Expense Assumptions'!#REF!</f>
        <v>#REF!</v>
      </c>
      <c r="H37" s="144" t="e">
        <f>'Expense Assumptions'!#REF!</f>
        <v>#REF!</v>
      </c>
      <c r="I37" s="144" t="e">
        <f>'Expense Assumptions'!#REF!</f>
        <v>#REF!</v>
      </c>
      <c r="J37" s="144" t="e">
        <f>'Expense Assumptions'!#REF!</f>
        <v>#REF!</v>
      </c>
      <c r="K37" s="144" t="e">
        <f>'Expense Assumptions'!#REF!</f>
        <v>#REF!</v>
      </c>
      <c r="L37" s="144" t="e">
        <f>'Expense Assumptions'!#REF!</f>
        <v>#REF!</v>
      </c>
      <c r="M37" s="144" t="e">
        <f>'Expense Assumptions'!#REF!</f>
        <v>#REF!</v>
      </c>
      <c r="N37" s="144" t="e">
        <f>'Expense Assumptions'!#REF!</f>
        <v>#REF!</v>
      </c>
      <c r="O37" s="144" t="e">
        <f>'Expense Assumptions'!#REF!</f>
        <v>#REF!</v>
      </c>
      <c r="P37" s="144" t="e">
        <f>'Expense Assumptions'!#REF!</f>
        <v>#REF!</v>
      </c>
      <c r="Q37" s="144" t="e">
        <f>'Expense Assumptions'!#REF!</f>
        <v>#REF!</v>
      </c>
      <c r="R37" s="144" t="e">
        <f>'Expense Assumptions'!#REF!</f>
        <v>#REF!</v>
      </c>
      <c r="S37" s="144" t="e">
        <f>'Expense Assumptions'!#REF!</f>
        <v>#REF!</v>
      </c>
      <c r="T37" s="144" t="e">
        <f>'Expense Assumptions'!#REF!</f>
        <v>#REF!</v>
      </c>
      <c r="U37" s="144" t="e">
        <f>'Expense Assumptions'!#REF!</f>
        <v>#REF!</v>
      </c>
      <c r="V37" s="144" t="e">
        <f>'Expense Assumptions'!#REF!</f>
        <v>#REF!</v>
      </c>
      <c r="W37" s="144" t="e">
        <f>'Expense Assumptions'!#REF!</f>
        <v>#REF!</v>
      </c>
      <c r="X37" s="144" t="e">
        <f>'Expense Assumptions'!#REF!</f>
        <v>#REF!</v>
      </c>
      <c r="Y37" s="144" t="e">
        <f>'Expense Assumptions'!#REF!</f>
        <v>#REF!</v>
      </c>
      <c r="Z37" s="144" t="e">
        <f>'Expense Assumptions'!#REF!</f>
        <v>#REF!</v>
      </c>
      <c r="AA37" s="144" t="e">
        <f>'Expense Assumptions'!#REF!</f>
        <v>#REF!</v>
      </c>
      <c r="AB37" s="144" t="e">
        <f>'Expense Assumptions'!#REF!</f>
        <v>#REF!</v>
      </c>
      <c r="AC37" s="144" t="e">
        <f>'Expense Assumptions'!#REF!</f>
        <v>#REF!</v>
      </c>
      <c r="AD37" s="144" t="e">
        <f>'Expense Assumptions'!#REF!</f>
        <v>#REF!</v>
      </c>
      <c r="AE37" s="144" t="e">
        <f>'Expense Assumptions'!#REF!</f>
        <v>#REF!</v>
      </c>
      <c r="AF37" s="144" t="e">
        <f>'Expense Assumptions'!#REF!</f>
        <v>#REF!</v>
      </c>
      <c r="AG37" s="144" t="e">
        <f>'Expense Assumptions'!#REF!</f>
        <v>#REF!</v>
      </c>
      <c r="AH37" s="144" t="e">
        <f>'Expense Assumptions'!#REF!</f>
        <v>#REF!</v>
      </c>
      <c r="AI37" s="144" t="e">
        <f>'Expense Assumptions'!#REF!</f>
        <v>#REF!</v>
      </c>
      <c r="AJ37" s="144" t="e">
        <f>'Expense Assumptions'!#REF!</f>
        <v>#REF!</v>
      </c>
      <c r="AK37" s="144" t="e">
        <f>'Expense Assumptions'!#REF!</f>
        <v>#REF!</v>
      </c>
      <c r="AL37" s="144" t="e">
        <f>'Expense Assumptions'!#REF!</f>
        <v>#REF!</v>
      </c>
      <c r="AM37" s="144" t="e">
        <f>'Expense Assumptions'!#REF!</f>
        <v>#REF!</v>
      </c>
      <c r="AN37" s="144" t="e">
        <f>'Expense Assumptions'!#REF!</f>
        <v>#REF!</v>
      </c>
      <c r="AO37" s="144" t="e">
        <f>'Expense Assumptions'!#REF!</f>
        <v>#REF!</v>
      </c>
      <c r="AP37" s="144" t="e">
        <f>'Expense Assumptions'!#REF!</f>
        <v>#REF!</v>
      </c>
      <c r="AQ37" s="144" t="e">
        <f>'Expense Assumptions'!#REF!</f>
        <v>#REF!</v>
      </c>
      <c r="AR37" s="144" t="e">
        <f>'Expense Assumptions'!#REF!</f>
        <v>#REF!</v>
      </c>
      <c r="AS37" s="144" t="e">
        <f>'Expense Assumptions'!#REF!</f>
        <v>#REF!</v>
      </c>
      <c r="AT37" s="144" t="e">
        <f>'Expense Assumptions'!#REF!</f>
        <v>#REF!</v>
      </c>
      <c r="AU37" s="144" t="e">
        <f>'Expense Assumptions'!#REF!</f>
        <v>#REF!</v>
      </c>
      <c r="AV37" s="144" t="e">
        <f>'Expense Assumptions'!#REF!</f>
        <v>#REF!</v>
      </c>
      <c r="AW37" s="144" t="e">
        <f>'Expense Assumptions'!#REF!</f>
        <v>#REF!</v>
      </c>
      <c r="AX37" s="144" t="e">
        <f>'Expense Assumptions'!#REF!</f>
        <v>#REF!</v>
      </c>
      <c r="AY37" s="144" t="e">
        <f>'Expense Assumptions'!#REF!</f>
        <v>#REF!</v>
      </c>
      <c r="AZ37" s="144" t="e">
        <f>'Expense Assumptions'!#REF!</f>
        <v>#REF!</v>
      </c>
      <c r="BA37" s="144" t="e">
        <f>'Expense Assumptions'!#REF!</f>
        <v>#REF!</v>
      </c>
      <c r="BB37" s="144" t="e">
        <f>'Expense Assumptions'!#REF!</f>
        <v>#REF!</v>
      </c>
      <c r="BC37" s="144" t="e">
        <f>'Expense Assumptions'!#REF!</f>
        <v>#REF!</v>
      </c>
      <c r="BD37" s="144" t="e">
        <f>'Expense Assumptions'!#REF!</f>
        <v>#REF!</v>
      </c>
      <c r="BE37" s="144" t="e">
        <f>'Expense Assumptions'!#REF!</f>
        <v>#REF!</v>
      </c>
      <c r="BF37" s="144" t="e">
        <f>'Expense Assumptions'!#REF!</f>
        <v>#REF!</v>
      </c>
      <c r="BG37" s="144" t="e">
        <f>'Expense Assumptions'!#REF!</f>
        <v>#REF!</v>
      </c>
      <c r="BH37" s="144" t="e">
        <f>'Expense Assumptions'!#REF!</f>
        <v>#REF!</v>
      </c>
      <c r="BI37" s="144" t="e">
        <f>'Expense Assumptions'!#REF!</f>
        <v>#REF!</v>
      </c>
    </row>
    <row r="38" spans="1:61" s="149" customFormat="1" ht="13" x14ac:dyDescent="0.15">
      <c r="A38" t="s">
        <v>84</v>
      </c>
      <c r="B38" s="144" t="e">
        <f>'Expense Assumptions'!#REF!</f>
        <v>#REF!</v>
      </c>
      <c r="C38" s="144" t="e">
        <f>'Expense Assumptions'!#REF!</f>
        <v>#REF!</v>
      </c>
      <c r="D38" s="144" t="e">
        <f>'Expense Assumptions'!#REF!</f>
        <v>#REF!</v>
      </c>
      <c r="E38" s="144" t="e">
        <f>'Expense Assumptions'!#REF!</f>
        <v>#REF!</v>
      </c>
      <c r="F38" s="144" t="e">
        <f>'Expense Assumptions'!#REF!</f>
        <v>#REF!</v>
      </c>
      <c r="G38" s="144" t="e">
        <f>'Expense Assumptions'!#REF!</f>
        <v>#REF!</v>
      </c>
      <c r="H38" s="144" t="e">
        <f>'Expense Assumptions'!#REF!</f>
        <v>#REF!</v>
      </c>
      <c r="I38" s="144" t="e">
        <f>'Expense Assumptions'!#REF!</f>
        <v>#REF!</v>
      </c>
      <c r="J38" s="144" t="e">
        <f>'Expense Assumptions'!#REF!</f>
        <v>#REF!</v>
      </c>
      <c r="K38" s="144" t="e">
        <f>'Expense Assumptions'!#REF!</f>
        <v>#REF!</v>
      </c>
      <c r="L38" s="144" t="e">
        <f>'Expense Assumptions'!#REF!</f>
        <v>#REF!</v>
      </c>
      <c r="M38" s="144" t="e">
        <f>'Expense Assumptions'!#REF!</f>
        <v>#REF!</v>
      </c>
      <c r="N38" s="144" t="e">
        <f>'Expense Assumptions'!#REF!</f>
        <v>#REF!</v>
      </c>
      <c r="O38" s="144" t="e">
        <f>'Expense Assumptions'!#REF!</f>
        <v>#REF!</v>
      </c>
      <c r="P38" s="144" t="e">
        <f>'Expense Assumptions'!#REF!</f>
        <v>#REF!</v>
      </c>
      <c r="Q38" s="144" t="e">
        <f>'Expense Assumptions'!#REF!</f>
        <v>#REF!</v>
      </c>
      <c r="R38" s="144" t="e">
        <f>'Expense Assumptions'!#REF!</f>
        <v>#REF!</v>
      </c>
      <c r="S38" s="144" t="e">
        <f>'Expense Assumptions'!#REF!</f>
        <v>#REF!</v>
      </c>
      <c r="T38" s="144" t="e">
        <f>'Expense Assumptions'!#REF!</f>
        <v>#REF!</v>
      </c>
      <c r="U38" s="144" t="e">
        <f>'Expense Assumptions'!#REF!</f>
        <v>#REF!</v>
      </c>
      <c r="V38" s="144" t="e">
        <f>'Expense Assumptions'!#REF!</f>
        <v>#REF!</v>
      </c>
      <c r="W38" s="144" t="e">
        <f>'Expense Assumptions'!#REF!</f>
        <v>#REF!</v>
      </c>
      <c r="X38" s="144" t="e">
        <f>'Expense Assumptions'!#REF!</f>
        <v>#REF!</v>
      </c>
      <c r="Y38" s="144" t="e">
        <f>'Expense Assumptions'!#REF!</f>
        <v>#REF!</v>
      </c>
      <c r="Z38" s="144" t="e">
        <f>'Expense Assumptions'!#REF!</f>
        <v>#REF!</v>
      </c>
      <c r="AA38" s="144" t="e">
        <f>'Expense Assumptions'!#REF!</f>
        <v>#REF!</v>
      </c>
      <c r="AB38" s="144" t="e">
        <f>'Expense Assumptions'!#REF!</f>
        <v>#REF!</v>
      </c>
      <c r="AC38" s="144" t="e">
        <f>'Expense Assumptions'!#REF!</f>
        <v>#REF!</v>
      </c>
      <c r="AD38" s="144" t="e">
        <f>'Expense Assumptions'!#REF!</f>
        <v>#REF!</v>
      </c>
      <c r="AE38" s="144" t="e">
        <f>'Expense Assumptions'!#REF!</f>
        <v>#REF!</v>
      </c>
      <c r="AF38" s="144" t="e">
        <f>'Expense Assumptions'!#REF!</f>
        <v>#REF!</v>
      </c>
      <c r="AG38" s="144" t="e">
        <f>'Expense Assumptions'!#REF!</f>
        <v>#REF!</v>
      </c>
      <c r="AH38" s="144" t="e">
        <f>'Expense Assumptions'!#REF!</f>
        <v>#REF!</v>
      </c>
      <c r="AI38" s="144" t="e">
        <f>'Expense Assumptions'!#REF!</f>
        <v>#REF!</v>
      </c>
      <c r="AJ38" s="144" t="e">
        <f>'Expense Assumptions'!#REF!</f>
        <v>#REF!</v>
      </c>
      <c r="AK38" s="144" t="e">
        <f>'Expense Assumptions'!#REF!</f>
        <v>#REF!</v>
      </c>
      <c r="AL38" s="144" t="e">
        <f>'Expense Assumptions'!#REF!</f>
        <v>#REF!</v>
      </c>
      <c r="AM38" s="144" t="e">
        <f>'Expense Assumptions'!#REF!</f>
        <v>#REF!</v>
      </c>
      <c r="AN38" s="144" t="e">
        <f>'Expense Assumptions'!#REF!</f>
        <v>#REF!</v>
      </c>
      <c r="AO38" s="144" t="e">
        <f>'Expense Assumptions'!#REF!</f>
        <v>#REF!</v>
      </c>
      <c r="AP38" s="144" t="e">
        <f>'Expense Assumptions'!#REF!</f>
        <v>#REF!</v>
      </c>
      <c r="AQ38" s="144" t="e">
        <f>'Expense Assumptions'!#REF!</f>
        <v>#REF!</v>
      </c>
      <c r="AR38" s="144" t="e">
        <f>'Expense Assumptions'!#REF!</f>
        <v>#REF!</v>
      </c>
      <c r="AS38" s="144" t="e">
        <f>'Expense Assumptions'!#REF!</f>
        <v>#REF!</v>
      </c>
      <c r="AT38" s="144" t="e">
        <f>'Expense Assumptions'!#REF!</f>
        <v>#REF!</v>
      </c>
      <c r="AU38" s="144" t="e">
        <f>'Expense Assumptions'!#REF!</f>
        <v>#REF!</v>
      </c>
      <c r="AV38" s="144" t="e">
        <f>'Expense Assumptions'!#REF!</f>
        <v>#REF!</v>
      </c>
      <c r="AW38" s="144" t="e">
        <f>'Expense Assumptions'!#REF!</f>
        <v>#REF!</v>
      </c>
      <c r="AX38" s="144" t="e">
        <f>'Expense Assumptions'!#REF!</f>
        <v>#REF!</v>
      </c>
      <c r="AY38" s="144" t="e">
        <f>'Expense Assumptions'!#REF!</f>
        <v>#REF!</v>
      </c>
      <c r="AZ38" s="144" t="e">
        <f>'Expense Assumptions'!#REF!</f>
        <v>#REF!</v>
      </c>
      <c r="BA38" s="144" t="e">
        <f>'Expense Assumptions'!#REF!</f>
        <v>#REF!</v>
      </c>
      <c r="BB38" s="144" t="e">
        <f>'Expense Assumptions'!#REF!</f>
        <v>#REF!</v>
      </c>
      <c r="BC38" s="144" t="e">
        <f>'Expense Assumptions'!#REF!</f>
        <v>#REF!</v>
      </c>
      <c r="BD38" s="144" t="e">
        <f>'Expense Assumptions'!#REF!</f>
        <v>#REF!</v>
      </c>
      <c r="BE38" s="144" t="e">
        <f>'Expense Assumptions'!#REF!</f>
        <v>#REF!</v>
      </c>
      <c r="BF38" s="144" t="e">
        <f>'Expense Assumptions'!#REF!</f>
        <v>#REF!</v>
      </c>
      <c r="BG38" s="144" t="e">
        <f>'Expense Assumptions'!#REF!</f>
        <v>#REF!</v>
      </c>
      <c r="BH38" s="144" t="e">
        <f>'Expense Assumptions'!#REF!</f>
        <v>#REF!</v>
      </c>
      <c r="BI38" s="144" t="e">
        <f>'Expense Assumptions'!#REF!</f>
        <v>#REF!</v>
      </c>
    </row>
    <row r="39" spans="1:61" s="149" customFormat="1" ht="13" x14ac:dyDescent="0.15">
      <c r="A39" t="s">
        <v>85</v>
      </c>
      <c r="B39" s="144" t="e">
        <f>'Expense Assumptions'!#REF!</f>
        <v>#REF!</v>
      </c>
      <c r="C39" s="144" t="e">
        <f>'Expense Assumptions'!#REF!</f>
        <v>#REF!</v>
      </c>
      <c r="D39" s="144" t="e">
        <f>'Expense Assumptions'!#REF!</f>
        <v>#REF!</v>
      </c>
      <c r="E39" s="144" t="e">
        <f>'Expense Assumptions'!#REF!</f>
        <v>#REF!</v>
      </c>
      <c r="F39" s="144" t="e">
        <f>'Expense Assumptions'!#REF!</f>
        <v>#REF!</v>
      </c>
      <c r="G39" s="144" t="e">
        <f>'Expense Assumptions'!#REF!</f>
        <v>#REF!</v>
      </c>
      <c r="H39" s="144" t="e">
        <f>'Expense Assumptions'!#REF!</f>
        <v>#REF!</v>
      </c>
      <c r="I39" s="144" t="e">
        <f>'Expense Assumptions'!#REF!</f>
        <v>#REF!</v>
      </c>
      <c r="J39" s="144" t="e">
        <f>'Expense Assumptions'!#REF!</f>
        <v>#REF!</v>
      </c>
      <c r="K39" s="144" t="e">
        <f>'Expense Assumptions'!#REF!</f>
        <v>#REF!</v>
      </c>
      <c r="L39" s="144" t="e">
        <f>'Expense Assumptions'!#REF!</f>
        <v>#REF!</v>
      </c>
      <c r="M39" s="144" t="e">
        <f>'Expense Assumptions'!#REF!</f>
        <v>#REF!</v>
      </c>
      <c r="N39" s="144" t="e">
        <f>'Expense Assumptions'!#REF!</f>
        <v>#REF!</v>
      </c>
      <c r="O39" s="144" t="e">
        <f>'Expense Assumptions'!#REF!</f>
        <v>#REF!</v>
      </c>
      <c r="P39" s="144" t="e">
        <f>'Expense Assumptions'!#REF!</f>
        <v>#REF!</v>
      </c>
      <c r="Q39" s="144" t="e">
        <f>'Expense Assumptions'!#REF!</f>
        <v>#REF!</v>
      </c>
      <c r="R39" s="144" t="e">
        <f>'Expense Assumptions'!#REF!</f>
        <v>#REF!</v>
      </c>
      <c r="S39" s="144" t="e">
        <f>'Expense Assumptions'!#REF!</f>
        <v>#REF!</v>
      </c>
      <c r="T39" s="144" t="e">
        <f>'Expense Assumptions'!#REF!</f>
        <v>#REF!</v>
      </c>
      <c r="U39" s="144" t="e">
        <f>'Expense Assumptions'!#REF!</f>
        <v>#REF!</v>
      </c>
      <c r="V39" s="144" t="e">
        <f>'Expense Assumptions'!#REF!</f>
        <v>#REF!</v>
      </c>
      <c r="W39" s="144" t="e">
        <f>'Expense Assumptions'!#REF!</f>
        <v>#REF!</v>
      </c>
      <c r="X39" s="144" t="e">
        <f>'Expense Assumptions'!#REF!</f>
        <v>#REF!</v>
      </c>
      <c r="Y39" s="144" t="e">
        <f>'Expense Assumptions'!#REF!</f>
        <v>#REF!</v>
      </c>
      <c r="Z39" s="144" t="e">
        <f>'Expense Assumptions'!#REF!</f>
        <v>#REF!</v>
      </c>
      <c r="AA39" s="144" t="e">
        <f>'Expense Assumptions'!#REF!</f>
        <v>#REF!</v>
      </c>
      <c r="AB39" s="144" t="e">
        <f>'Expense Assumptions'!#REF!</f>
        <v>#REF!</v>
      </c>
      <c r="AC39" s="144" t="e">
        <f>'Expense Assumptions'!#REF!</f>
        <v>#REF!</v>
      </c>
      <c r="AD39" s="144" t="e">
        <f>'Expense Assumptions'!#REF!</f>
        <v>#REF!</v>
      </c>
      <c r="AE39" s="144" t="e">
        <f>'Expense Assumptions'!#REF!</f>
        <v>#REF!</v>
      </c>
      <c r="AF39" s="144" t="e">
        <f>'Expense Assumptions'!#REF!</f>
        <v>#REF!</v>
      </c>
      <c r="AG39" s="144" t="e">
        <f>'Expense Assumptions'!#REF!</f>
        <v>#REF!</v>
      </c>
      <c r="AH39" s="144" t="e">
        <f>'Expense Assumptions'!#REF!</f>
        <v>#REF!</v>
      </c>
      <c r="AI39" s="144" t="e">
        <f>'Expense Assumptions'!#REF!</f>
        <v>#REF!</v>
      </c>
      <c r="AJ39" s="144" t="e">
        <f>'Expense Assumptions'!#REF!</f>
        <v>#REF!</v>
      </c>
      <c r="AK39" s="144" t="e">
        <f>'Expense Assumptions'!#REF!</f>
        <v>#REF!</v>
      </c>
      <c r="AL39" s="144" t="e">
        <f>'Expense Assumptions'!#REF!</f>
        <v>#REF!</v>
      </c>
      <c r="AM39" s="144" t="e">
        <f>'Expense Assumptions'!#REF!</f>
        <v>#REF!</v>
      </c>
      <c r="AN39" s="144" t="e">
        <f>'Expense Assumptions'!#REF!</f>
        <v>#REF!</v>
      </c>
      <c r="AO39" s="144" t="e">
        <f>'Expense Assumptions'!#REF!</f>
        <v>#REF!</v>
      </c>
      <c r="AP39" s="144" t="e">
        <f>'Expense Assumptions'!#REF!</f>
        <v>#REF!</v>
      </c>
      <c r="AQ39" s="144" t="e">
        <f>'Expense Assumptions'!#REF!</f>
        <v>#REF!</v>
      </c>
      <c r="AR39" s="144" t="e">
        <f>'Expense Assumptions'!#REF!</f>
        <v>#REF!</v>
      </c>
      <c r="AS39" s="144" t="e">
        <f>'Expense Assumptions'!#REF!</f>
        <v>#REF!</v>
      </c>
      <c r="AT39" s="144" t="e">
        <f>'Expense Assumptions'!#REF!</f>
        <v>#REF!</v>
      </c>
      <c r="AU39" s="144" t="e">
        <f>'Expense Assumptions'!#REF!</f>
        <v>#REF!</v>
      </c>
      <c r="AV39" s="144" t="e">
        <f>'Expense Assumptions'!#REF!</f>
        <v>#REF!</v>
      </c>
      <c r="AW39" s="144" t="e">
        <f>'Expense Assumptions'!#REF!</f>
        <v>#REF!</v>
      </c>
      <c r="AX39" s="144" t="e">
        <f>'Expense Assumptions'!#REF!</f>
        <v>#REF!</v>
      </c>
      <c r="AY39" s="144" t="e">
        <f>'Expense Assumptions'!#REF!</f>
        <v>#REF!</v>
      </c>
      <c r="AZ39" s="144" t="e">
        <f>'Expense Assumptions'!#REF!</f>
        <v>#REF!</v>
      </c>
      <c r="BA39" s="144" t="e">
        <f>'Expense Assumptions'!#REF!</f>
        <v>#REF!</v>
      </c>
      <c r="BB39" s="144" t="e">
        <f>'Expense Assumptions'!#REF!</f>
        <v>#REF!</v>
      </c>
      <c r="BC39" s="144" t="e">
        <f>'Expense Assumptions'!#REF!</f>
        <v>#REF!</v>
      </c>
      <c r="BD39" s="144" t="e">
        <f>'Expense Assumptions'!#REF!</f>
        <v>#REF!</v>
      </c>
      <c r="BE39" s="144" t="e">
        <f>'Expense Assumptions'!#REF!</f>
        <v>#REF!</v>
      </c>
      <c r="BF39" s="144" t="e">
        <f>'Expense Assumptions'!#REF!</f>
        <v>#REF!</v>
      </c>
      <c r="BG39" s="144" t="e">
        <f>'Expense Assumptions'!#REF!</f>
        <v>#REF!</v>
      </c>
      <c r="BH39" s="144" t="e">
        <f>'Expense Assumptions'!#REF!</f>
        <v>#REF!</v>
      </c>
      <c r="BI39" s="144" t="e">
        <f>'Expense Assumptions'!#REF!</f>
        <v>#REF!</v>
      </c>
    </row>
    <row r="40" spans="1:61" s="149" customFormat="1" ht="13" x14ac:dyDescent="0.15">
      <c r="A40" t="s">
        <v>86</v>
      </c>
      <c r="B40" s="144" t="e">
        <f>'Expense Assumptions'!#REF!</f>
        <v>#REF!</v>
      </c>
      <c r="C40" s="144" t="e">
        <f>'Expense Assumptions'!#REF!</f>
        <v>#REF!</v>
      </c>
      <c r="D40" s="144" t="e">
        <f>'Expense Assumptions'!#REF!</f>
        <v>#REF!</v>
      </c>
      <c r="E40" s="144" t="e">
        <f>'Expense Assumptions'!#REF!</f>
        <v>#REF!</v>
      </c>
      <c r="F40" s="144" t="e">
        <f>'Expense Assumptions'!#REF!</f>
        <v>#REF!</v>
      </c>
      <c r="G40" s="144" t="e">
        <f>'Expense Assumptions'!#REF!</f>
        <v>#REF!</v>
      </c>
      <c r="H40" s="144" t="e">
        <f>'Expense Assumptions'!#REF!</f>
        <v>#REF!</v>
      </c>
      <c r="I40" s="144" t="e">
        <f>'Expense Assumptions'!#REF!</f>
        <v>#REF!</v>
      </c>
      <c r="J40" s="144" t="e">
        <f>'Expense Assumptions'!#REF!</f>
        <v>#REF!</v>
      </c>
      <c r="K40" s="144" t="e">
        <f>'Expense Assumptions'!#REF!</f>
        <v>#REF!</v>
      </c>
      <c r="L40" s="144" t="e">
        <f>'Expense Assumptions'!#REF!</f>
        <v>#REF!</v>
      </c>
      <c r="M40" s="144" t="e">
        <f>'Expense Assumptions'!#REF!</f>
        <v>#REF!</v>
      </c>
      <c r="N40" s="144" t="e">
        <f>'Expense Assumptions'!#REF!</f>
        <v>#REF!</v>
      </c>
      <c r="O40" s="144" t="e">
        <f>'Expense Assumptions'!#REF!</f>
        <v>#REF!</v>
      </c>
      <c r="P40" s="144" t="e">
        <f>'Expense Assumptions'!#REF!</f>
        <v>#REF!</v>
      </c>
      <c r="Q40" s="144" t="e">
        <f>'Expense Assumptions'!#REF!</f>
        <v>#REF!</v>
      </c>
      <c r="R40" s="144" t="e">
        <f>'Expense Assumptions'!#REF!</f>
        <v>#REF!</v>
      </c>
      <c r="S40" s="144" t="e">
        <f>'Expense Assumptions'!#REF!</f>
        <v>#REF!</v>
      </c>
      <c r="T40" s="144" t="e">
        <f>'Expense Assumptions'!#REF!</f>
        <v>#REF!</v>
      </c>
      <c r="U40" s="144" t="e">
        <f>'Expense Assumptions'!#REF!</f>
        <v>#REF!</v>
      </c>
      <c r="V40" s="144" t="e">
        <f>'Expense Assumptions'!#REF!</f>
        <v>#REF!</v>
      </c>
      <c r="W40" s="144" t="e">
        <f>'Expense Assumptions'!#REF!</f>
        <v>#REF!</v>
      </c>
      <c r="X40" s="144" t="e">
        <f>'Expense Assumptions'!#REF!</f>
        <v>#REF!</v>
      </c>
      <c r="Y40" s="144" t="e">
        <f>'Expense Assumptions'!#REF!</f>
        <v>#REF!</v>
      </c>
      <c r="Z40" s="144" t="e">
        <f>'Expense Assumptions'!#REF!</f>
        <v>#REF!</v>
      </c>
      <c r="AA40" s="144" t="e">
        <f>'Expense Assumptions'!#REF!</f>
        <v>#REF!</v>
      </c>
      <c r="AB40" s="144" t="e">
        <f>'Expense Assumptions'!#REF!</f>
        <v>#REF!</v>
      </c>
      <c r="AC40" s="144" t="e">
        <f>'Expense Assumptions'!#REF!</f>
        <v>#REF!</v>
      </c>
      <c r="AD40" s="144" t="e">
        <f>'Expense Assumptions'!#REF!</f>
        <v>#REF!</v>
      </c>
      <c r="AE40" s="144" t="e">
        <f>'Expense Assumptions'!#REF!</f>
        <v>#REF!</v>
      </c>
      <c r="AF40" s="144" t="e">
        <f>'Expense Assumptions'!#REF!</f>
        <v>#REF!</v>
      </c>
      <c r="AG40" s="144" t="e">
        <f>'Expense Assumptions'!#REF!</f>
        <v>#REF!</v>
      </c>
      <c r="AH40" s="144" t="e">
        <f>'Expense Assumptions'!#REF!</f>
        <v>#REF!</v>
      </c>
      <c r="AI40" s="144" t="e">
        <f>'Expense Assumptions'!#REF!</f>
        <v>#REF!</v>
      </c>
      <c r="AJ40" s="144" t="e">
        <f>'Expense Assumptions'!#REF!</f>
        <v>#REF!</v>
      </c>
      <c r="AK40" s="144" t="e">
        <f>'Expense Assumptions'!#REF!</f>
        <v>#REF!</v>
      </c>
      <c r="AL40" s="144" t="e">
        <f>'Expense Assumptions'!#REF!</f>
        <v>#REF!</v>
      </c>
      <c r="AM40" s="144" t="e">
        <f>'Expense Assumptions'!#REF!</f>
        <v>#REF!</v>
      </c>
      <c r="AN40" s="144" t="e">
        <f>'Expense Assumptions'!#REF!</f>
        <v>#REF!</v>
      </c>
      <c r="AO40" s="144" t="e">
        <f>'Expense Assumptions'!#REF!</f>
        <v>#REF!</v>
      </c>
      <c r="AP40" s="144" t="e">
        <f>'Expense Assumptions'!#REF!</f>
        <v>#REF!</v>
      </c>
      <c r="AQ40" s="144" t="e">
        <f>'Expense Assumptions'!#REF!</f>
        <v>#REF!</v>
      </c>
      <c r="AR40" s="144" t="e">
        <f>'Expense Assumptions'!#REF!</f>
        <v>#REF!</v>
      </c>
      <c r="AS40" s="144" t="e">
        <f>'Expense Assumptions'!#REF!</f>
        <v>#REF!</v>
      </c>
      <c r="AT40" s="144" t="e">
        <f>'Expense Assumptions'!#REF!</f>
        <v>#REF!</v>
      </c>
      <c r="AU40" s="144" t="e">
        <f>'Expense Assumptions'!#REF!</f>
        <v>#REF!</v>
      </c>
      <c r="AV40" s="144" t="e">
        <f>'Expense Assumptions'!#REF!</f>
        <v>#REF!</v>
      </c>
      <c r="AW40" s="144" t="e">
        <f>'Expense Assumptions'!#REF!</f>
        <v>#REF!</v>
      </c>
      <c r="AX40" s="144" t="e">
        <f>'Expense Assumptions'!#REF!</f>
        <v>#REF!</v>
      </c>
      <c r="AY40" s="144" t="e">
        <f>'Expense Assumptions'!#REF!</f>
        <v>#REF!</v>
      </c>
      <c r="AZ40" s="144" t="e">
        <f>'Expense Assumptions'!#REF!</f>
        <v>#REF!</v>
      </c>
      <c r="BA40" s="144" t="e">
        <f>'Expense Assumptions'!#REF!</f>
        <v>#REF!</v>
      </c>
      <c r="BB40" s="144" t="e">
        <f>'Expense Assumptions'!#REF!</f>
        <v>#REF!</v>
      </c>
      <c r="BC40" s="144" t="e">
        <f>'Expense Assumptions'!#REF!</f>
        <v>#REF!</v>
      </c>
      <c r="BD40" s="144" t="e">
        <f>'Expense Assumptions'!#REF!</f>
        <v>#REF!</v>
      </c>
      <c r="BE40" s="144" t="e">
        <f>'Expense Assumptions'!#REF!</f>
        <v>#REF!</v>
      </c>
      <c r="BF40" s="144" t="e">
        <f>'Expense Assumptions'!#REF!</f>
        <v>#REF!</v>
      </c>
      <c r="BG40" s="144" t="e">
        <f>'Expense Assumptions'!#REF!</f>
        <v>#REF!</v>
      </c>
      <c r="BH40" s="144" t="e">
        <f>'Expense Assumptions'!#REF!</f>
        <v>#REF!</v>
      </c>
      <c r="BI40" s="144" t="e">
        <f>'Expense Assumptions'!#REF!</f>
        <v>#REF!</v>
      </c>
    </row>
    <row r="41" spans="1:61" s="149" customFormat="1" ht="13" x14ac:dyDescent="0.15">
      <c r="A41" t="s">
        <v>87</v>
      </c>
      <c r="B41" s="144" t="e">
        <f>'Expense Assumptions'!#REF!</f>
        <v>#REF!</v>
      </c>
      <c r="C41" s="144" t="e">
        <f>'Expense Assumptions'!#REF!</f>
        <v>#REF!</v>
      </c>
      <c r="D41" s="144" t="e">
        <f>'Expense Assumptions'!#REF!</f>
        <v>#REF!</v>
      </c>
      <c r="E41" s="144" t="e">
        <f>'Expense Assumptions'!#REF!</f>
        <v>#REF!</v>
      </c>
      <c r="F41" s="144" t="e">
        <f>'Expense Assumptions'!#REF!</f>
        <v>#REF!</v>
      </c>
      <c r="G41" s="144" t="e">
        <f>'Expense Assumptions'!#REF!</f>
        <v>#REF!</v>
      </c>
      <c r="H41" s="144" t="e">
        <f>'Expense Assumptions'!#REF!</f>
        <v>#REF!</v>
      </c>
      <c r="I41" s="144" t="e">
        <f>'Expense Assumptions'!#REF!</f>
        <v>#REF!</v>
      </c>
      <c r="J41" s="144" t="e">
        <f>'Expense Assumptions'!#REF!</f>
        <v>#REF!</v>
      </c>
      <c r="K41" s="144" t="e">
        <f>'Expense Assumptions'!#REF!</f>
        <v>#REF!</v>
      </c>
      <c r="L41" s="144" t="e">
        <f>'Expense Assumptions'!#REF!</f>
        <v>#REF!</v>
      </c>
      <c r="M41" s="144" t="e">
        <f>'Expense Assumptions'!#REF!</f>
        <v>#REF!</v>
      </c>
      <c r="N41" s="144" t="e">
        <f>'Expense Assumptions'!#REF!</f>
        <v>#REF!</v>
      </c>
      <c r="O41" s="144" t="e">
        <f>'Expense Assumptions'!#REF!</f>
        <v>#REF!</v>
      </c>
      <c r="P41" s="144" t="e">
        <f>'Expense Assumptions'!#REF!</f>
        <v>#REF!</v>
      </c>
      <c r="Q41" s="144" t="e">
        <f>'Expense Assumptions'!#REF!</f>
        <v>#REF!</v>
      </c>
      <c r="R41" s="144" t="e">
        <f>'Expense Assumptions'!#REF!</f>
        <v>#REF!</v>
      </c>
      <c r="S41" s="144" t="e">
        <f>'Expense Assumptions'!#REF!</f>
        <v>#REF!</v>
      </c>
      <c r="T41" s="144" t="e">
        <f>'Expense Assumptions'!#REF!</f>
        <v>#REF!</v>
      </c>
      <c r="U41" s="144" t="e">
        <f>'Expense Assumptions'!#REF!</f>
        <v>#REF!</v>
      </c>
      <c r="V41" s="144" t="e">
        <f>'Expense Assumptions'!#REF!</f>
        <v>#REF!</v>
      </c>
      <c r="W41" s="144" t="e">
        <f>'Expense Assumptions'!#REF!</f>
        <v>#REF!</v>
      </c>
      <c r="X41" s="144" t="e">
        <f>'Expense Assumptions'!#REF!</f>
        <v>#REF!</v>
      </c>
      <c r="Y41" s="144" t="e">
        <f>'Expense Assumptions'!#REF!</f>
        <v>#REF!</v>
      </c>
      <c r="Z41" s="144" t="e">
        <f>'Expense Assumptions'!#REF!</f>
        <v>#REF!</v>
      </c>
      <c r="AA41" s="144" t="e">
        <f>'Expense Assumptions'!#REF!</f>
        <v>#REF!</v>
      </c>
      <c r="AB41" s="144" t="e">
        <f>'Expense Assumptions'!#REF!</f>
        <v>#REF!</v>
      </c>
      <c r="AC41" s="144" t="e">
        <f>'Expense Assumptions'!#REF!</f>
        <v>#REF!</v>
      </c>
      <c r="AD41" s="144" t="e">
        <f>'Expense Assumptions'!#REF!</f>
        <v>#REF!</v>
      </c>
      <c r="AE41" s="144" t="e">
        <f>'Expense Assumptions'!#REF!</f>
        <v>#REF!</v>
      </c>
      <c r="AF41" s="144" t="e">
        <f>'Expense Assumptions'!#REF!</f>
        <v>#REF!</v>
      </c>
      <c r="AG41" s="144" t="e">
        <f>'Expense Assumptions'!#REF!</f>
        <v>#REF!</v>
      </c>
      <c r="AH41" s="144" t="e">
        <f>'Expense Assumptions'!#REF!</f>
        <v>#REF!</v>
      </c>
      <c r="AI41" s="144" t="e">
        <f>'Expense Assumptions'!#REF!</f>
        <v>#REF!</v>
      </c>
      <c r="AJ41" s="144" t="e">
        <f>'Expense Assumptions'!#REF!</f>
        <v>#REF!</v>
      </c>
      <c r="AK41" s="144" t="e">
        <f>'Expense Assumptions'!#REF!</f>
        <v>#REF!</v>
      </c>
      <c r="AL41" s="144" t="e">
        <f>'Expense Assumptions'!#REF!</f>
        <v>#REF!</v>
      </c>
      <c r="AM41" s="144" t="e">
        <f>'Expense Assumptions'!#REF!</f>
        <v>#REF!</v>
      </c>
      <c r="AN41" s="144" t="e">
        <f>'Expense Assumptions'!#REF!</f>
        <v>#REF!</v>
      </c>
      <c r="AO41" s="144" t="e">
        <f>'Expense Assumptions'!#REF!</f>
        <v>#REF!</v>
      </c>
      <c r="AP41" s="144" t="e">
        <f>'Expense Assumptions'!#REF!</f>
        <v>#REF!</v>
      </c>
      <c r="AQ41" s="144" t="e">
        <f>'Expense Assumptions'!#REF!</f>
        <v>#REF!</v>
      </c>
      <c r="AR41" s="144" t="e">
        <f>'Expense Assumptions'!#REF!</f>
        <v>#REF!</v>
      </c>
      <c r="AS41" s="144" t="e">
        <f>'Expense Assumptions'!#REF!</f>
        <v>#REF!</v>
      </c>
      <c r="AT41" s="144" t="e">
        <f>'Expense Assumptions'!#REF!</f>
        <v>#REF!</v>
      </c>
      <c r="AU41" s="144" t="e">
        <f>'Expense Assumptions'!#REF!</f>
        <v>#REF!</v>
      </c>
      <c r="AV41" s="144" t="e">
        <f>'Expense Assumptions'!#REF!</f>
        <v>#REF!</v>
      </c>
      <c r="AW41" s="144" t="e">
        <f>'Expense Assumptions'!#REF!</f>
        <v>#REF!</v>
      </c>
      <c r="AX41" s="144" t="e">
        <f>'Expense Assumptions'!#REF!</f>
        <v>#REF!</v>
      </c>
      <c r="AY41" s="144" t="e">
        <f>'Expense Assumptions'!#REF!</f>
        <v>#REF!</v>
      </c>
      <c r="AZ41" s="144" t="e">
        <f>'Expense Assumptions'!#REF!</f>
        <v>#REF!</v>
      </c>
      <c r="BA41" s="144" t="e">
        <f>'Expense Assumptions'!#REF!</f>
        <v>#REF!</v>
      </c>
      <c r="BB41" s="144" t="e">
        <f>'Expense Assumptions'!#REF!</f>
        <v>#REF!</v>
      </c>
      <c r="BC41" s="144" t="e">
        <f>'Expense Assumptions'!#REF!</f>
        <v>#REF!</v>
      </c>
      <c r="BD41" s="144" t="e">
        <f>'Expense Assumptions'!#REF!</f>
        <v>#REF!</v>
      </c>
      <c r="BE41" s="144" t="e">
        <f>'Expense Assumptions'!#REF!</f>
        <v>#REF!</v>
      </c>
      <c r="BF41" s="144" t="e">
        <f>'Expense Assumptions'!#REF!</f>
        <v>#REF!</v>
      </c>
      <c r="BG41" s="144" t="e">
        <f>'Expense Assumptions'!#REF!</f>
        <v>#REF!</v>
      </c>
      <c r="BH41" s="144" t="e">
        <f>'Expense Assumptions'!#REF!</f>
        <v>#REF!</v>
      </c>
      <c r="BI41" s="144" t="e">
        <f>'Expense Assumptions'!#REF!</f>
        <v>#REF!</v>
      </c>
    </row>
    <row r="42" spans="1:61" s="149" customFormat="1" ht="13" x14ac:dyDescent="0.15">
      <c r="A42" t="s">
        <v>88</v>
      </c>
      <c r="B42" s="144" t="e">
        <f>'Expense Assumptions'!#REF!</f>
        <v>#REF!</v>
      </c>
      <c r="C42" s="144" t="e">
        <f>'Expense Assumptions'!#REF!</f>
        <v>#REF!</v>
      </c>
      <c r="D42" s="144" t="e">
        <f>'Expense Assumptions'!#REF!</f>
        <v>#REF!</v>
      </c>
      <c r="E42" s="144" t="e">
        <f>'Expense Assumptions'!#REF!</f>
        <v>#REF!</v>
      </c>
      <c r="F42" s="144" t="e">
        <f>'Expense Assumptions'!#REF!</f>
        <v>#REF!</v>
      </c>
      <c r="G42" s="144" t="e">
        <f>'Expense Assumptions'!#REF!</f>
        <v>#REF!</v>
      </c>
      <c r="H42" s="144" t="e">
        <f>'Expense Assumptions'!#REF!</f>
        <v>#REF!</v>
      </c>
      <c r="I42" s="144" t="e">
        <f>'Expense Assumptions'!#REF!</f>
        <v>#REF!</v>
      </c>
      <c r="J42" s="144" t="e">
        <f>'Expense Assumptions'!#REF!</f>
        <v>#REF!</v>
      </c>
      <c r="K42" s="144" t="e">
        <f>'Expense Assumptions'!#REF!</f>
        <v>#REF!</v>
      </c>
      <c r="L42" s="144" t="e">
        <f>'Expense Assumptions'!#REF!</f>
        <v>#REF!</v>
      </c>
      <c r="M42" s="144" t="e">
        <f>'Expense Assumptions'!#REF!</f>
        <v>#REF!</v>
      </c>
      <c r="N42" s="144" t="e">
        <f>'Expense Assumptions'!#REF!</f>
        <v>#REF!</v>
      </c>
      <c r="O42" s="144" t="e">
        <f>'Expense Assumptions'!#REF!</f>
        <v>#REF!</v>
      </c>
      <c r="P42" s="144" t="e">
        <f>'Expense Assumptions'!#REF!</f>
        <v>#REF!</v>
      </c>
      <c r="Q42" s="144" t="e">
        <f>'Expense Assumptions'!#REF!</f>
        <v>#REF!</v>
      </c>
      <c r="R42" s="144" t="e">
        <f>'Expense Assumptions'!#REF!</f>
        <v>#REF!</v>
      </c>
      <c r="S42" s="144" t="e">
        <f>'Expense Assumptions'!#REF!</f>
        <v>#REF!</v>
      </c>
      <c r="T42" s="144" t="e">
        <f>'Expense Assumptions'!#REF!</f>
        <v>#REF!</v>
      </c>
      <c r="U42" s="144" t="e">
        <f>'Expense Assumptions'!#REF!</f>
        <v>#REF!</v>
      </c>
      <c r="V42" s="144" t="e">
        <f>'Expense Assumptions'!#REF!</f>
        <v>#REF!</v>
      </c>
      <c r="W42" s="144" t="e">
        <f>'Expense Assumptions'!#REF!</f>
        <v>#REF!</v>
      </c>
      <c r="X42" s="144" t="e">
        <f>'Expense Assumptions'!#REF!</f>
        <v>#REF!</v>
      </c>
      <c r="Y42" s="144" t="e">
        <f>'Expense Assumptions'!#REF!</f>
        <v>#REF!</v>
      </c>
      <c r="Z42" s="144" t="e">
        <f>'Expense Assumptions'!#REF!</f>
        <v>#REF!</v>
      </c>
      <c r="AA42" s="144" t="e">
        <f>'Expense Assumptions'!#REF!</f>
        <v>#REF!</v>
      </c>
      <c r="AB42" s="144" t="e">
        <f>'Expense Assumptions'!#REF!</f>
        <v>#REF!</v>
      </c>
      <c r="AC42" s="144" t="e">
        <f>'Expense Assumptions'!#REF!</f>
        <v>#REF!</v>
      </c>
      <c r="AD42" s="144" t="e">
        <f>'Expense Assumptions'!#REF!</f>
        <v>#REF!</v>
      </c>
      <c r="AE42" s="144" t="e">
        <f>'Expense Assumptions'!#REF!</f>
        <v>#REF!</v>
      </c>
      <c r="AF42" s="144" t="e">
        <f>'Expense Assumptions'!#REF!</f>
        <v>#REF!</v>
      </c>
      <c r="AG42" s="144" t="e">
        <f>'Expense Assumptions'!#REF!</f>
        <v>#REF!</v>
      </c>
      <c r="AH42" s="144" t="e">
        <f>'Expense Assumptions'!#REF!</f>
        <v>#REF!</v>
      </c>
      <c r="AI42" s="144" t="e">
        <f>'Expense Assumptions'!#REF!</f>
        <v>#REF!</v>
      </c>
      <c r="AJ42" s="144" t="e">
        <f>'Expense Assumptions'!#REF!</f>
        <v>#REF!</v>
      </c>
      <c r="AK42" s="144" t="e">
        <f>'Expense Assumptions'!#REF!</f>
        <v>#REF!</v>
      </c>
      <c r="AL42" s="144" t="e">
        <f>'Expense Assumptions'!#REF!</f>
        <v>#REF!</v>
      </c>
      <c r="AM42" s="144" t="e">
        <f>'Expense Assumptions'!#REF!</f>
        <v>#REF!</v>
      </c>
      <c r="AN42" s="144" t="e">
        <f>'Expense Assumptions'!#REF!</f>
        <v>#REF!</v>
      </c>
      <c r="AO42" s="144" t="e">
        <f>'Expense Assumptions'!#REF!</f>
        <v>#REF!</v>
      </c>
      <c r="AP42" s="144" t="e">
        <f>'Expense Assumptions'!#REF!</f>
        <v>#REF!</v>
      </c>
      <c r="AQ42" s="144" t="e">
        <f>'Expense Assumptions'!#REF!</f>
        <v>#REF!</v>
      </c>
      <c r="AR42" s="144" t="e">
        <f>'Expense Assumptions'!#REF!</f>
        <v>#REF!</v>
      </c>
      <c r="AS42" s="144" t="e">
        <f>'Expense Assumptions'!#REF!</f>
        <v>#REF!</v>
      </c>
      <c r="AT42" s="144" t="e">
        <f>'Expense Assumptions'!#REF!</f>
        <v>#REF!</v>
      </c>
      <c r="AU42" s="144" t="e">
        <f>'Expense Assumptions'!#REF!</f>
        <v>#REF!</v>
      </c>
      <c r="AV42" s="144" t="e">
        <f>'Expense Assumptions'!#REF!</f>
        <v>#REF!</v>
      </c>
      <c r="AW42" s="144" t="e">
        <f>'Expense Assumptions'!#REF!</f>
        <v>#REF!</v>
      </c>
      <c r="AX42" s="144" t="e">
        <f>'Expense Assumptions'!#REF!</f>
        <v>#REF!</v>
      </c>
      <c r="AY42" s="144" t="e">
        <f>'Expense Assumptions'!#REF!</f>
        <v>#REF!</v>
      </c>
      <c r="AZ42" s="144" t="e">
        <f>'Expense Assumptions'!#REF!</f>
        <v>#REF!</v>
      </c>
      <c r="BA42" s="144" t="e">
        <f>'Expense Assumptions'!#REF!</f>
        <v>#REF!</v>
      </c>
      <c r="BB42" s="144" t="e">
        <f>'Expense Assumptions'!#REF!</f>
        <v>#REF!</v>
      </c>
      <c r="BC42" s="144" t="e">
        <f>'Expense Assumptions'!#REF!</f>
        <v>#REF!</v>
      </c>
      <c r="BD42" s="144" t="e">
        <f>'Expense Assumptions'!#REF!</f>
        <v>#REF!</v>
      </c>
      <c r="BE42" s="144" t="e">
        <f>'Expense Assumptions'!#REF!</f>
        <v>#REF!</v>
      </c>
      <c r="BF42" s="144" t="e">
        <f>'Expense Assumptions'!#REF!</f>
        <v>#REF!</v>
      </c>
      <c r="BG42" s="144" t="e">
        <f>'Expense Assumptions'!#REF!</f>
        <v>#REF!</v>
      </c>
      <c r="BH42" s="144" t="e">
        <f>'Expense Assumptions'!#REF!</f>
        <v>#REF!</v>
      </c>
      <c r="BI42" s="144" t="e">
        <f>'Expense Assumptions'!#REF!</f>
        <v>#REF!</v>
      </c>
    </row>
    <row r="43" spans="1:61" s="149" customFormat="1" ht="13" x14ac:dyDescent="0.15">
      <c r="A43" t="s">
        <v>89</v>
      </c>
      <c r="B43" s="144" t="e">
        <f>'Expense Assumptions'!#REF!</f>
        <v>#REF!</v>
      </c>
      <c r="C43" s="144" t="e">
        <f>'Expense Assumptions'!#REF!</f>
        <v>#REF!</v>
      </c>
      <c r="D43" s="144" t="e">
        <f>'Expense Assumptions'!#REF!</f>
        <v>#REF!</v>
      </c>
      <c r="E43" s="144" t="e">
        <f>'Expense Assumptions'!#REF!</f>
        <v>#REF!</v>
      </c>
      <c r="F43" s="144" t="e">
        <f>'Expense Assumptions'!#REF!</f>
        <v>#REF!</v>
      </c>
      <c r="G43" s="144" t="e">
        <f>'Expense Assumptions'!#REF!</f>
        <v>#REF!</v>
      </c>
      <c r="H43" s="144" t="e">
        <f>'Expense Assumptions'!#REF!</f>
        <v>#REF!</v>
      </c>
      <c r="I43" s="144" t="e">
        <f>'Expense Assumptions'!#REF!</f>
        <v>#REF!</v>
      </c>
      <c r="J43" s="144" t="e">
        <f>'Expense Assumptions'!#REF!</f>
        <v>#REF!</v>
      </c>
      <c r="K43" s="144" t="e">
        <f>'Expense Assumptions'!#REF!</f>
        <v>#REF!</v>
      </c>
      <c r="L43" s="144" t="e">
        <f>'Expense Assumptions'!#REF!</f>
        <v>#REF!</v>
      </c>
      <c r="M43" s="144" t="e">
        <f>'Expense Assumptions'!#REF!</f>
        <v>#REF!</v>
      </c>
      <c r="N43" s="144" t="e">
        <f>'Expense Assumptions'!#REF!</f>
        <v>#REF!</v>
      </c>
      <c r="O43" s="144" t="e">
        <f>'Expense Assumptions'!#REF!</f>
        <v>#REF!</v>
      </c>
      <c r="P43" s="144" t="e">
        <f>'Expense Assumptions'!#REF!</f>
        <v>#REF!</v>
      </c>
      <c r="Q43" s="144" t="e">
        <f>'Expense Assumptions'!#REF!</f>
        <v>#REF!</v>
      </c>
      <c r="R43" s="144" t="e">
        <f>'Expense Assumptions'!#REF!</f>
        <v>#REF!</v>
      </c>
      <c r="S43" s="144" t="e">
        <f>'Expense Assumptions'!#REF!</f>
        <v>#REF!</v>
      </c>
      <c r="T43" s="144" t="e">
        <f>'Expense Assumptions'!#REF!</f>
        <v>#REF!</v>
      </c>
      <c r="U43" s="144" t="e">
        <f>'Expense Assumptions'!#REF!</f>
        <v>#REF!</v>
      </c>
      <c r="V43" s="144" t="e">
        <f>'Expense Assumptions'!#REF!</f>
        <v>#REF!</v>
      </c>
      <c r="W43" s="144" t="e">
        <f>'Expense Assumptions'!#REF!</f>
        <v>#REF!</v>
      </c>
      <c r="X43" s="144" t="e">
        <f>'Expense Assumptions'!#REF!</f>
        <v>#REF!</v>
      </c>
      <c r="Y43" s="144" t="e">
        <f>'Expense Assumptions'!#REF!</f>
        <v>#REF!</v>
      </c>
      <c r="Z43" s="144" t="e">
        <f>'Expense Assumptions'!#REF!</f>
        <v>#REF!</v>
      </c>
      <c r="AA43" s="144" t="e">
        <f>'Expense Assumptions'!#REF!</f>
        <v>#REF!</v>
      </c>
      <c r="AB43" s="144" t="e">
        <f>'Expense Assumptions'!#REF!</f>
        <v>#REF!</v>
      </c>
      <c r="AC43" s="144" t="e">
        <f>'Expense Assumptions'!#REF!</f>
        <v>#REF!</v>
      </c>
      <c r="AD43" s="144" t="e">
        <f>'Expense Assumptions'!#REF!</f>
        <v>#REF!</v>
      </c>
      <c r="AE43" s="144" t="e">
        <f>'Expense Assumptions'!#REF!</f>
        <v>#REF!</v>
      </c>
      <c r="AF43" s="144" t="e">
        <f>'Expense Assumptions'!#REF!</f>
        <v>#REF!</v>
      </c>
      <c r="AG43" s="144" t="e">
        <f>'Expense Assumptions'!#REF!</f>
        <v>#REF!</v>
      </c>
      <c r="AH43" s="144" t="e">
        <f>'Expense Assumptions'!#REF!</f>
        <v>#REF!</v>
      </c>
      <c r="AI43" s="144" t="e">
        <f>'Expense Assumptions'!#REF!</f>
        <v>#REF!</v>
      </c>
      <c r="AJ43" s="144" t="e">
        <f>'Expense Assumptions'!#REF!</f>
        <v>#REF!</v>
      </c>
      <c r="AK43" s="144" t="e">
        <f>'Expense Assumptions'!#REF!</f>
        <v>#REF!</v>
      </c>
      <c r="AL43" s="144" t="e">
        <f>'Expense Assumptions'!#REF!</f>
        <v>#REF!</v>
      </c>
      <c r="AM43" s="144" t="e">
        <f>'Expense Assumptions'!#REF!</f>
        <v>#REF!</v>
      </c>
      <c r="AN43" s="144" t="e">
        <f>'Expense Assumptions'!#REF!</f>
        <v>#REF!</v>
      </c>
      <c r="AO43" s="144" t="e">
        <f>'Expense Assumptions'!#REF!</f>
        <v>#REF!</v>
      </c>
      <c r="AP43" s="144" t="e">
        <f>'Expense Assumptions'!#REF!</f>
        <v>#REF!</v>
      </c>
      <c r="AQ43" s="144" t="e">
        <f>'Expense Assumptions'!#REF!</f>
        <v>#REF!</v>
      </c>
      <c r="AR43" s="144" t="e">
        <f>'Expense Assumptions'!#REF!</f>
        <v>#REF!</v>
      </c>
      <c r="AS43" s="144" t="e">
        <f>'Expense Assumptions'!#REF!</f>
        <v>#REF!</v>
      </c>
      <c r="AT43" s="144" t="e">
        <f>'Expense Assumptions'!#REF!</f>
        <v>#REF!</v>
      </c>
      <c r="AU43" s="144" t="e">
        <f>'Expense Assumptions'!#REF!</f>
        <v>#REF!</v>
      </c>
      <c r="AV43" s="144" t="e">
        <f>'Expense Assumptions'!#REF!</f>
        <v>#REF!</v>
      </c>
      <c r="AW43" s="144" t="e">
        <f>'Expense Assumptions'!#REF!</f>
        <v>#REF!</v>
      </c>
      <c r="AX43" s="144" t="e">
        <f>'Expense Assumptions'!#REF!</f>
        <v>#REF!</v>
      </c>
      <c r="AY43" s="144" t="e">
        <f>'Expense Assumptions'!#REF!</f>
        <v>#REF!</v>
      </c>
      <c r="AZ43" s="144" t="e">
        <f>'Expense Assumptions'!#REF!</f>
        <v>#REF!</v>
      </c>
      <c r="BA43" s="144" t="e">
        <f>'Expense Assumptions'!#REF!</f>
        <v>#REF!</v>
      </c>
      <c r="BB43" s="144" t="e">
        <f>'Expense Assumptions'!#REF!</f>
        <v>#REF!</v>
      </c>
      <c r="BC43" s="144" t="e">
        <f>'Expense Assumptions'!#REF!</f>
        <v>#REF!</v>
      </c>
      <c r="BD43" s="144" t="e">
        <f>'Expense Assumptions'!#REF!</f>
        <v>#REF!</v>
      </c>
      <c r="BE43" s="144" t="e">
        <f>'Expense Assumptions'!#REF!</f>
        <v>#REF!</v>
      </c>
      <c r="BF43" s="144" t="e">
        <f>'Expense Assumptions'!#REF!</f>
        <v>#REF!</v>
      </c>
      <c r="BG43" s="144" t="e">
        <f>'Expense Assumptions'!#REF!</f>
        <v>#REF!</v>
      </c>
      <c r="BH43" s="144" t="e">
        <f>'Expense Assumptions'!#REF!</f>
        <v>#REF!</v>
      </c>
      <c r="BI43" s="144" t="e">
        <f>'Expense Assumptions'!#REF!</f>
        <v>#REF!</v>
      </c>
    </row>
    <row r="44" spans="1:61" s="149" customFormat="1" ht="13" x14ac:dyDescent="0.15">
      <c r="A44" s="89" t="s">
        <v>90</v>
      </c>
      <c r="B44" s="144" t="e">
        <f>'Expense Assumptions'!#REF!</f>
        <v>#REF!</v>
      </c>
      <c r="C44" s="144" t="e">
        <f>'Expense Assumptions'!#REF!</f>
        <v>#REF!</v>
      </c>
      <c r="D44" s="144" t="e">
        <f>'Expense Assumptions'!#REF!</f>
        <v>#REF!</v>
      </c>
      <c r="E44" s="144" t="e">
        <f>'Expense Assumptions'!#REF!</f>
        <v>#REF!</v>
      </c>
      <c r="F44" s="144" t="e">
        <f>'Expense Assumptions'!#REF!</f>
        <v>#REF!</v>
      </c>
      <c r="G44" s="144" t="e">
        <f>'Expense Assumptions'!#REF!</f>
        <v>#REF!</v>
      </c>
      <c r="H44" s="144" t="e">
        <f>'Expense Assumptions'!#REF!</f>
        <v>#REF!</v>
      </c>
      <c r="I44" s="144" t="e">
        <f>'Expense Assumptions'!#REF!</f>
        <v>#REF!</v>
      </c>
      <c r="J44" s="144" t="e">
        <f>'Expense Assumptions'!#REF!</f>
        <v>#REF!</v>
      </c>
      <c r="K44" s="144" t="e">
        <f>'Expense Assumptions'!#REF!</f>
        <v>#REF!</v>
      </c>
      <c r="L44" s="144" t="e">
        <f>'Expense Assumptions'!#REF!</f>
        <v>#REF!</v>
      </c>
      <c r="M44" s="144" t="e">
        <f>'Expense Assumptions'!#REF!</f>
        <v>#REF!</v>
      </c>
      <c r="N44" s="144" t="e">
        <f>'Expense Assumptions'!#REF!</f>
        <v>#REF!</v>
      </c>
      <c r="O44" s="144" t="e">
        <f>'Expense Assumptions'!#REF!</f>
        <v>#REF!</v>
      </c>
      <c r="P44" s="144" t="e">
        <f>'Expense Assumptions'!#REF!</f>
        <v>#REF!</v>
      </c>
      <c r="Q44" s="144" t="e">
        <f>'Expense Assumptions'!#REF!</f>
        <v>#REF!</v>
      </c>
      <c r="R44" s="144" t="e">
        <f>'Expense Assumptions'!#REF!</f>
        <v>#REF!</v>
      </c>
      <c r="S44" s="144" t="e">
        <f>'Expense Assumptions'!#REF!</f>
        <v>#REF!</v>
      </c>
      <c r="T44" s="144" t="e">
        <f>'Expense Assumptions'!#REF!</f>
        <v>#REF!</v>
      </c>
      <c r="U44" s="144" t="e">
        <f>'Expense Assumptions'!#REF!</f>
        <v>#REF!</v>
      </c>
      <c r="V44" s="144" t="e">
        <f>'Expense Assumptions'!#REF!</f>
        <v>#REF!</v>
      </c>
      <c r="W44" s="144" t="e">
        <f>'Expense Assumptions'!#REF!</f>
        <v>#REF!</v>
      </c>
      <c r="X44" s="144" t="e">
        <f>'Expense Assumptions'!#REF!</f>
        <v>#REF!</v>
      </c>
      <c r="Y44" s="144" t="e">
        <f>'Expense Assumptions'!#REF!</f>
        <v>#REF!</v>
      </c>
      <c r="Z44" s="144" t="e">
        <f>'Expense Assumptions'!#REF!</f>
        <v>#REF!</v>
      </c>
      <c r="AA44" s="144" t="e">
        <f>'Expense Assumptions'!#REF!</f>
        <v>#REF!</v>
      </c>
      <c r="AB44" s="144" t="e">
        <f>'Expense Assumptions'!#REF!</f>
        <v>#REF!</v>
      </c>
      <c r="AC44" s="144" t="e">
        <f>'Expense Assumptions'!#REF!</f>
        <v>#REF!</v>
      </c>
      <c r="AD44" s="144" t="e">
        <f>'Expense Assumptions'!#REF!</f>
        <v>#REF!</v>
      </c>
      <c r="AE44" s="144" t="e">
        <f>'Expense Assumptions'!#REF!</f>
        <v>#REF!</v>
      </c>
      <c r="AF44" s="144" t="e">
        <f>'Expense Assumptions'!#REF!</f>
        <v>#REF!</v>
      </c>
      <c r="AG44" s="144" t="e">
        <f>'Expense Assumptions'!#REF!</f>
        <v>#REF!</v>
      </c>
      <c r="AH44" s="144" t="e">
        <f>'Expense Assumptions'!#REF!</f>
        <v>#REF!</v>
      </c>
      <c r="AI44" s="144" t="e">
        <f>'Expense Assumptions'!#REF!</f>
        <v>#REF!</v>
      </c>
      <c r="AJ44" s="144" t="e">
        <f>'Expense Assumptions'!#REF!</f>
        <v>#REF!</v>
      </c>
      <c r="AK44" s="144" t="e">
        <f>'Expense Assumptions'!#REF!</f>
        <v>#REF!</v>
      </c>
      <c r="AL44" s="144" t="e">
        <f>'Expense Assumptions'!#REF!</f>
        <v>#REF!</v>
      </c>
      <c r="AM44" s="144" t="e">
        <f>'Expense Assumptions'!#REF!</f>
        <v>#REF!</v>
      </c>
      <c r="AN44" s="144" t="e">
        <f>'Expense Assumptions'!#REF!</f>
        <v>#REF!</v>
      </c>
      <c r="AO44" s="144" t="e">
        <f>'Expense Assumptions'!#REF!</f>
        <v>#REF!</v>
      </c>
      <c r="AP44" s="144" t="e">
        <f>'Expense Assumptions'!#REF!</f>
        <v>#REF!</v>
      </c>
      <c r="AQ44" s="144" t="e">
        <f>'Expense Assumptions'!#REF!</f>
        <v>#REF!</v>
      </c>
      <c r="AR44" s="144" t="e">
        <f>'Expense Assumptions'!#REF!</f>
        <v>#REF!</v>
      </c>
      <c r="AS44" s="144" t="e">
        <f>'Expense Assumptions'!#REF!</f>
        <v>#REF!</v>
      </c>
      <c r="AT44" s="144" t="e">
        <f>'Expense Assumptions'!#REF!</f>
        <v>#REF!</v>
      </c>
      <c r="AU44" s="144" t="e">
        <f>'Expense Assumptions'!#REF!</f>
        <v>#REF!</v>
      </c>
      <c r="AV44" s="144" t="e">
        <f>'Expense Assumptions'!#REF!</f>
        <v>#REF!</v>
      </c>
      <c r="AW44" s="144" t="e">
        <f>'Expense Assumptions'!#REF!</f>
        <v>#REF!</v>
      </c>
      <c r="AX44" s="144" t="e">
        <f>'Expense Assumptions'!#REF!</f>
        <v>#REF!</v>
      </c>
      <c r="AY44" s="144" t="e">
        <f>'Expense Assumptions'!#REF!</f>
        <v>#REF!</v>
      </c>
      <c r="AZ44" s="144" t="e">
        <f>'Expense Assumptions'!#REF!</f>
        <v>#REF!</v>
      </c>
      <c r="BA44" s="144" t="e">
        <f>'Expense Assumptions'!#REF!</f>
        <v>#REF!</v>
      </c>
      <c r="BB44" s="144" t="e">
        <f>'Expense Assumptions'!#REF!</f>
        <v>#REF!</v>
      </c>
      <c r="BC44" s="144" t="e">
        <f>'Expense Assumptions'!#REF!</f>
        <v>#REF!</v>
      </c>
      <c r="BD44" s="144" t="e">
        <f>'Expense Assumptions'!#REF!</f>
        <v>#REF!</v>
      </c>
      <c r="BE44" s="144" t="e">
        <f>'Expense Assumptions'!#REF!</f>
        <v>#REF!</v>
      </c>
      <c r="BF44" s="144" t="e">
        <f>'Expense Assumptions'!#REF!</f>
        <v>#REF!</v>
      </c>
      <c r="BG44" s="144" t="e">
        <f>'Expense Assumptions'!#REF!</f>
        <v>#REF!</v>
      </c>
      <c r="BH44" s="144" t="e">
        <f>'Expense Assumptions'!#REF!</f>
        <v>#REF!</v>
      </c>
      <c r="BI44" s="144" t="e">
        <f>'Expense Assumptions'!#REF!</f>
        <v>#REF!</v>
      </c>
    </row>
    <row r="45" spans="1:61" s="149" customFormat="1" ht="13" x14ac:dyDescent="0.15">
      <c r="A45" t="s">
        <v>91</v>
      </c>
      <c r="B45" s="144" t="e">
        <f>'Expense Assumptions'!#REF!</f>
        <v>#REF!</v>
      </c>
      <c r="C45" s="144" t="e">
        <f>'Expense Assumptions'!#REF!</f>
        <v>#REF!</v>
      </c>
      <c r="D45" s="144" t="e">
        <f>'Expense Assumptions'!#REF!</f>
        <v>#REF!</v>
      </c>
      <c r="E45" s="144" t="e">
        <f>'Expense Assumptions'!#REF!</f>
        <v>#REF!</v>
      </c>
      <c r="F45" s="144" t="e">
        <f>'Expense Assumptions'!#REF!</f>
        <v>#REF!</v>
      </c>
      <c r="G45" s="144" t="e">
        <f>'Expense Assumptions'!#REF!</f>
        <v>#REF!</v>
      </c>
      <c r="H45" s="144" t="e">
        <f>'Expense Assumptions'!#REF!</f>
        <v>#REF!</v>
      </c>
      <c r="I45" s="144" t="e">
        <f>'Expense Assumptions'!#REF!</f>
        <v>#REF!</v>
      </c>
      <c r="J45" s="144" t="e">
        <f>'Expense Assumptions'!#REF!</f>
        <v>#REF!</v>
      </c>
      <c r="K45" s="144" t="e">
        <f>'Expense Assumptions'!#REF!</f>
        <v>#REF!</v>
      </c>
      <c r="L45" s="144" t="e">
        <f>'Expense Assumptions'!#REF!</f>
        <v>#REF!</v>
      </c>
      <c r="M45" s="144" t="e">
        <f>'Expense Assumptions'!#REF!</f>
        <v>#REF!</v>
      </c>
      <c r="N45" s="144" t="e">
        <f>'Expense Assumptions'!#REF!</f>
        <v>#REF!</v>
      </c>
      <c r="O45" s="144" t="e">
        <f>'Expense Assumptions'!#REF!</f>
        <v>#REF!</v>
      </c>
      <c r="P45" s="144" t="e">
        <f>'Expense Assumptions'!#REF!</f>
        <v>#REF!</v>
      </c>
      <c r="Q45" s="144" t="e">
        <f>'Expense Assumptions'!#REF!</f>
        <v>#REF!</v>
      </c>
      <c r="R45" s="144" t="e">
        <f>'Expense Assumptions'!#REF!</f>
        <v>#REF!</v>
      </c>
      <c r="S45" s="144" t="e">
        <f>'Expense Assumptions'!#REF!</f>
        <v>#REF!</v>
      </c>
      <c r="T45" s="144" t="e">
        <f>'Expense Assumptions'!#REF!</f>
        <v>#REF!</v>
      </c>
      <c r="U45" s="144" t="e">
        <f>'Expense Assumptions'!#REF!</f>
        <v>#REF!</v>
      </c>
      <c r="V45" s="144" t="e">
        <f>'Expense Assumptions'!#REF!</f>
        <v>#REF!</v>
      </c>
      <c r="W45" s="144" t="e">
        <f>'Expense Assumptions'!#REF!</f>
        <v>#REF!</v>
      </c>
      <c r="X45" s="144" t="e">
        <f>'Expense Assumptions'!#REF!</f>
        <v>#REF!</v>
      </c>
      <c r="Y45" s="144" t="e">
        <f>'Expense Assumptions'!#REF!</f>
        <v>#REF!</v>
      </c>
      <c r="Z45" s="144" t="e">
        <f>'Expense Assumptions'!#REF!</f>
        <v>#REF!</v>
      </c>
      <c r="AA45" s="144" t="e">
        <f>'Expense Assumptions'!#REF!</f>
        <v>#REF!</v>
      </c>
      <c r="AB45" s="144" t="e">
        <f>'Expense Assumptions'!#REF!</f>
        <v>#REF!</v>
      </c>
      <c r="AC45" s="144" t="e">
        <f>'Expense Assumptions'!#REF!</f>
        <v>#REF!</v>
      </c>
      <c r="AD45" s="144" t="e">
        <f>'Expense Assumptions'!#REF!</f>
        <v>#REF!</v>
      </c>
      <c r="AE45" s="144" t="e">
        <f>'Expense Assumptions'!#REF!</f>
        <v>#REF!</v>
      </c>
      <c r="AF45" s="144" t="e">
        <f>'Expense Assumptions'!#REF!</f>
        <v>#REF!</v>
      </c>
      <c r="AG45" s="144" t="e">
        <f>'Expense Assumptions'!#REF!</f>
        <v>#REF!</v>
      </c>
      <c r="AH45" s="144" t="e">
        <f>'Expense Assumptions'!#REF!</f>
        <v>#REF!</v>
      </c>
      <c r="AI45" s="144" t="e">
        <f>'Expense Assumptions'!#REF!</f>
        <v>#REF!</v>
      </c>
      <c r="AJ45" s="144" t="e">
        <f>'Expense Assumptions'!#REF!</f>
        <v>#REF!</v>
      </c>
      <c r="AK45" s="144" t="e">
        <f>'Expense Assumptions'!#REF!</f>
        <v>#REF!</v>
      </c>
      <c r="AL45" s="144" t="e">
        <f>'Expense Assumptions'!#REF!</f>
        <v>#REF!</v>
      </c>
      <c r="AM45" s="144" t="e">
        <f>'Expense Assumptions'!#REF!</f>
        <v>#REF!</v>
      </c>
      <c r="AN45" s="144" t="e">
        <f>'Expense Assumptions'!#REF!</f>
        <v>#REF!</v>
      </c>
      <c r="AO45" s="144" t="e">
        <f>'Expense Assumptions'!#REF!</f>
        <v>#REF!</v>
      </c>
      <c r="AP45" s="144" t="e">
        <f>'Expense Assumptions'!#REF!</f>
        <v>#REF!</v>
      </c>
      <c r="AQ45" s="144" t="e">
        <f>'Expense Assumptions'!#REF!</f>
        <v>#REF!</v>
      </c>
      <c r="AR45" s="144" t="e">
        <f>'Expense Assumptions'!#REF!</f>
        <v>#REF!</v>
      </c>
      <c r="AS45" s="144" t="e">
        <f>'Expense Assumptions'!#REF!</f>
        <v>#REF!</v>
      </c>
      <c r="AT45" s="144" t="e">
        <f>'Expense Assumptions'!#REF!</f>
        <v>#REF!</v>
      </c>
      <c r="AU45" s="144" t="e">
        <f>'Expense Assumptions'!#REF!</f>
        <v>#REF!</v>
      </c>
      <c r="AV45" s="144" t="e">
        <f>'Expense Assumptions'!#REF!</f>
        <v>#REF!</v>
      </c>
      <c r="AW45" s="144" t="e">
        <f>'Expense Assumptions'!#REF!</f>
        <v>#REF!</v>
      </c>
      <c r="AX45" s="144" t="e">
        <f>'Expense Assumptions'!#REF!</f>
        <v>#REF!</v>
      </c>
      <c r="AY45" s="144" t="e">
        <f>'Expense Assumptions'!#REF!</f>
        <v>#REF!</v>
      </c>
      <c r="AZ45" s="144" t="e">
        <f>'Expense Assumptions'!#REF!</f>
        <v>#REF!</v>
      </c>
      <c r="BA45" s="144" t="e">
        <f>'Expense Assumptions'!#REF!</f>
        <v>#REF!</v>
      </c>
      <c r="BB45" s="144" t="e">
        <f>'Expense Assumptions'!#REF!</f>
        <v>#REF!</v>
      </c>
      <c r="BC45" s="144" t="e">
        <f>'Expense Assumptions'!#REF!</f>
        <v>#REF!</v>
      </c>
      <c r="BD45" s="144" t="e">
        <f>'Expense Assumptions'!#REF!</f>
        <v>#REF!</v>
      </c>
      <c r="BE45" s="144" t="e">
        <f>'Expense Assumptions'!#REF!</f>
        <v>#REF!</v>
      </c>
      <c r="BF45" s="144" t="e">
        <f>'Expense Assumptions'!#REF!</f>
        <v>#REF!</v>
      </c>
      <c r="BG45" s="144" t="e">
        <f>'Expense Assumptions'!#REF!</f>
        <v>#REF!</v>
      </c>
      <c r="BH45" s="144" t="e">
        <f>'Expense Assumptions'!#REF!</f>
        <v>#REF!</v>
      </c>
      <c r="BI45" s="144" t="e">
        <f>'Expense Assumptions'!#REF!</f>
        <v>#REF!</v>
      </c>
    </row>
    <row r="46" spans="1:61" s="149" customFormat="1" ht="13" x14ac:dyDescent="0.15">
      <c r="A46" t="s">
        <v>92</v>
      </c>
      <c r="B46" s="144" t="e">
        <f>'Expense Assumptions'!#REF!</f>
        <v>#REF!</v>
      </c>
      <c r="C46" s="144" t="e">
        <f>'Expense Assumptions'!#REF!</f>
        <v>#REF!</v>
      </c>
      <c r="D46" s="144" t="e">
        <f>'Expense Assumptions'!#REF!</f>
        <v>#REF!</v>
      </c>
      <c r="E46" s="144" t="e">
        <f>'Expense Assumptions'!#REF!</f>
        <v>#REF!</v>
      </c>
      <c r="F46" s="144" t="e">
        <f>'Expense Assumptions'!#REF!</f>
        <v>#REF!</v>
      </c>
      <c r="G46" s="144" t="e">
        <f>'Expense Assumptions'!#REF!</f>
        <v>#REF!</v>
      </c>
      <c r="H46" s="144" t="e">
        <f>'Expense Assumptions'!#REF!</f>
        <v>#REF!</v>
      </c>
      <c r="I46" s="144" t="e">
        <f>'Expense Assumptions'!#REF!</f>
        <v>#REF!</v>
      </c>
      <c r="J46" s="144" t="e">
        <f>'Expense Assumptions'!#REF!</f>
        <v>#REF!</v>
      </c>
      <c r="K46" s="144" t="e">
        <f>'Expense Assumptions'!#REF!</f>
        <v>#REF!</v>
      </c>
      <c r="L46" s="144" t="e">
        <f>'Expense Assumptions'!#REF!</f>
        <v>#REF!</v>
      </c>
      <c r="M46" s="144" t="e">
        <f>'Expense Assumptions'!#REF!</f>
        <v>#REF!</v>
      </c>
      <c r="N46" s="144" t="e">
        <f>'Expense Assumptions'!#REF!</f>
        <v>#REF!</v>
      </c>
      <c r="O46" s="144" t="e">
        <f>'Expense Assumptions'!#REF!</f>
        <v>#REF!</v>
      </c>
      <c r="P46" s="144" t="e">
        <f>'Expense Assumptions'!#REF!</f>
        <v>#REF!</v>
      </c>
      <c r="Q46" s="144" t="e">
        <f>'Expense Assumptions'!#REF!</f>
        <v>#REF!</v>
      </c>
      <c r="R46" s="144" t="e">
        <f>'Expense Assumptions'!#REF!</f>
        <v>#REF!</v>
      </c>
      <c r="S46" s="144" t="e">
        <f>'Expense Assumptions'!#REF!</f>
        <v>#REF!</v>
      </c>
      <c r="T46" s="144" t="e">
        <f>'Expense Assumptions'!#REF!</f>
        <v>#REF!</v>
      </c>
      <c r="U46" s="144" t="e">
        <f>'Expense Assumptions'!#REF!</f>
        <v>#REF!</v>
      </c>
      <c r="V46" s="144" t="e">
        <f>'Expense Assumptions'!#REF!</f>
        <v>#REF!</v>
      </c>
      <c r="W46" s="144" t="e">
        <f>'Expense Assumptions'!#REF!</f>
        <v>#REF!</v>
      </c>
      <c r="X46" s="144" t="e">
        <f>'Expense Assumptions'!#REF!</f>
        <v>#REF!</v>
      </c>
      <c r="Y46" s="144" t="e">
        <f>'Expense Assumptions'!#REF!</f>
        <v>#REF!</v>
      </c>
      <c r="Z46" s="144" t="e">
        <f>'Expense Assumptions'!#REF!</f>
        <v>#REF!</v>
      </c>
      <c r="AA46" s="144" t="e">
        <f>'Expense Assumptions'!#REF!</f>
        <v>#REF!</v>
      </c>
      <c r="AB46" s="144" t="e">
        <f>'Expense Assumptions'!#REF!</f>
        <v>#REF!</v>
      </c>
      <c r="AC46" s="144" t="e">
        <f>'Expense Assumptions'!#REF!</f>
        <v>#REF!</v>
      </c>
      <c r="AD46" s="144" t="e">
        <f>'Expense Assumptions'!#REF!</f>
        <v>#REF!</v>
      </c>
      <c r="AE46" s="144" t="e">
        <f>'Expense Assumptions'!#REF!</f>
        <v>#REF!</v>
      </c>
      <c r="AF46" s="144" t="e">
        <f>'Expense Assumptions'!#REF!</f>
        <v>#REF!</v>
      </c>
      <c r="AG46" s="144" t="e">
        <f>'Expense Assumptions'!#REF!</f>
        <v>#REF!</v>
      </c>
      <c r="AH46" s="144" t="e">
        <f>'Expense Assumptions'!#REF!</f>
        <v>#REF!</v>
      </c>
      <c r="AI46" s="144" t="e">
        <f>'Expense Assumptions'!#REF!</f>
        <v>#REF!</v>
      </c>
      <c r="AJ46" s="144" t="e">
        <f>'Expense Assumptions'!#REF!</f>
        <v>#REF!</v>
      </c>
      <c r="AK46" s="144" t="e">
        <f>'Expense Assumptions'!#REF!</f>
        <v>#REF!</v>
      </c>
      <c r="AL46" s="144" t="e">
        <f>'Expense Assumptions'!#REF!</f>
        <v>#REF!</v>
      </c>
      <c r="AM46" s="144" t="e">
        <f>'Expense Assumptions'!#REF!</f>
        <v>#REF!</v>
      </c>
      <c r="AN46" s="144" t="e">
        <f>'Expense Assumptions'!#REF!</f>
        <v>#REF!</v>
      </c>
      <c r="AO46" s="144" t="e">
        <f>'Expense Assumptions'!#REF!</f>
        <v>#REF!</v>
      </c>
      <c r="AP46" s="144" t="e">
        <f>'Expense Assumptions'!#REF!</f>
        <v>#REF!</v>
      </c>
      <c r="AQ46" s="144" t="e">
        <f>'Expense Assumptions'!#REF!</f>
        <v>#REF!</v>
      </c>
      <c r="AR46" s="144" t="e">
        <f>'Expense Assumptions'!#REF!</f>
        <v>#REF!</v>
      </c>
      <c r="AS46" s="144" t="e">
        <f>'Expense Assumptions'!#REF!</f>
        <v>#REF!</v>
      </c>
      <c r="AT46" s="144" t="e">
        <f>'Expense Assumptions'!#REF!</f>
        <v>#REF!</v>
      </c>
      <c r="AU46" s="144" t="e">
        <f>'Expense Assumptions'!#REF!</f>
        <v>#REF!</v>
      </c>
      <c r="AV46" s="144" t="e">
        <f>'Expense Assumptions'!#REF!</f>
        <v>#REF!</v>
      </c>
      <c r="AW46" s="144" t="e">
        <f>'Expense Assumptions'!#REF!</f>
        <v>#REF!</v>
      </c>
      <c r="AX46" s="144" t="e">
        <f>'Expense Assumptions'!#REF!</f>
        <v>#REF!</v>
      </c>
      <c r="AY46" s="144" t="e">
        <f>'Expense Assumptions'!#REF!</f>
        <v>#REF!</v>
      </c>
      <c r="AZ46" s="144" t="e">
        <f>'Expense Assumptions'!#REF!</f>
        <v>#REF!</v>
      </c>
      <c r="BA46" s="144" t="e">
        <f>'Expense Assumptions'!#REF!</f>
        <v>#REF!</v>
      </c>
      <c r="BB46" s="144" t="e">
        <f>'Expense Assumptions'!#REF!</f>
        <v>#REF!</v>
      </c>
      <c r="BC46" s="144" t="e">
        <f>'Expense Assumptions'!#REF!</f>
        <v>#REF!</v>
      </c>
      <c r="BD46" s="144" t="e">
        <f>'Expense Assumptions'!#REF!</f>
        <v>#REF!</v>
      </c>
      <c r="BE46" s="144" t="e">
        <f>'Expense Assumptions'!#REF!</f>
        <v>#REF!</v>
      </c>
      <c r="BF46" s="144" t="e">
        <f>'Expense Assumptions'!#REF!</f>
        <v>#REF!</v>
      </c>
      <c r="BG46" s="144" t="e">
        <f>'Expense Assumptions'!#REF!</f>
        <v>#REF!</v>
      </c>
      <c r="BH46" s="144" t="e">
        <f>'Expense Assumptions'!#REF!</f>
        <v>#REF!</v>
      </c>
      <c r="BI46" s="144" t="e">
        <f>'Expense Assumptions'!#REF!</f>
        <v>#REF!</v>
      </c>
    </row>
    <row r="47" spans="1:61" s="149" customFormat="1" ht="13" x14ac:dyDescent="0.15">
      <c r="A47" t="s">
        <v>93</v>
      </c>
      <c r="B47" s="144" t="e">
        <f>'Expense Assumptions'!#REF!</f>
        <v>#REF!</v>
      </c>
      <c r="C47" s="144" t="e">
        <f>'Expense Assumptions'!#REF!</f>
        <v>#REF!</v>
      </c>
      <c r="D47" s="144" t="e">
        <f>'Expense Assumptions'!#REF!</f>
        <v>#REF!</v>
      </c>
      <c r="E47" s="144" t="e">
        <f>'Expense Assumptions'!#REF!</f>
        <v>#REF!</v>
      </c>
      <c r="F47" s="144" t="e">
        <f>'Expense Assumptions'!#REF!</f>
        <v>#REF!</v>
      </c>
      <c r="G47" s="144" t="e">
        <f>'Expense Assumptions'!#REF!</f>
        <v>#REF!</v>
      </c>
      <c r="H47" s="144" t="e">
        <f>'Expense Assumptions'!#REF!</f>
        <v>#REF!</v>
      </c>
      <c r="I47" s="144" t="e">
        <f>'Expense Assumptions'!#REF!</f>
        <v>#REF!</v>
      </c>
      <c r="J47" s="144" t="e">
        <f>'Expense Assumptions'!#REF!</f>
        <v>#REF!</v>
      </c>
      <c r="K47" s="144" t="e">
        <f>'Expense Assumptions'!#REF!</f>
        <v>#REF!</v>
      </c>
      <c r="L47" s="144" t="e">
        <f>'Expense Assumptions'!#REF!</f>
        <v>#REF!</v>
      </c>
      <c r="M47" s="144" t="e">
        <f>'Expense Assumptions'!#REF!</f>
        <v>#REF!</v>
      </c>
      <c r="N47" s="144" t="e">
        <f>'Expense Assumptions'!#REF!</f>
        <v>#REF!</v>
      </c>
      <c r="O47" s="144" t="e">
        <f>'Expense Assumptions'!#REF!</f>
        <v>#REF!</v>
      </c>
      <c r="P47" s="144" t="e">
        <f>'Expense Assumptions'!#REF!</f>
        <v>#REF!</v>
      </c>
      <c r="Q47" s="144" t="e">
        <f>'Expense Assumptions'!#REF!</f>
        <v>#REF!</v>
      </c>
      <c r="R47" s="144" t="e">
        <f>'Expense Assumptions'!#REF!</f>
        <v>#REF!</v>
      </c>
      <c r="S47" s="144" t="e">
        <f>'Expense Assumptions'!#REF!</f>
        <v>#REF!</v>
      </c>
      <c r="T47" s="144" t="e">
        <f>'Expense Assumptions'!#REF!</f>
        <v>#REF!</v>
      </c>
      <c r="U47" s="144" t="e">
        <f>'Expense Assumptions'!#REF!</f>
        <v>#REF!</v>
      </c>
      <c r="V47" s="144" t="e">
        <f>'Expense Assumptions'!#REF!</f>
        <v>#REF!</v>
      </c>
      <c r="W47" s="144" t="e">
        <f>'Expense Assumptions'!#REF!</f>
        <v>#REF!</v>
      </c>
      <c r="X47" s="144" t="e">
        <f>'Expense Assumptions'!#REF!</f>
        <v>#REF!</v>
      </c>
      <c r="Y47" s="144" t="e">
        <f>'Expense Assumptions'!#REF!</f>
        <v>#REF!</v>
      </c>
      <c r="Z47" s="144" t="e">
        <f>'Expense Assumptions'!#REF!</f>
        <v>#REF!</v>
      </c>
      <c r="AA47" s="144" t="e">
        <f>'Expense Assumptions'!#REF!</f>
        <v>#REF!</v>
      </c>
      <c r="AB47" s="144" t="e">
        <f>'Expense Assumptions'!#REF!</f>
        <v>#REF!</v>
      </c>
      <c r="AC47" s="144" t="e">
        <f>'Expense Assumptions'!#REF!</f>
        <v>#REF!</v>
      </c>
      <c r="AD47" s="144" t="e">
        <f>'Expense Assumptions'!#REF!</f>
        <v>#REF!</v>
      </c>
      <c r="AE47" s="144" t="e">
        <f>'Expense Assumptions'!#REF!</f>
        <v>#REF!</v>
      </c>
      <c r="AF47" s="144" t="e">
        <f>'Expense Assumptions'!#REF!</f>
        <v>#REF!</v>
      </c>
      <c r="AG47" s="144" t="e">
        <f>'Expense Assumptions'!#REF!</f>
        <v>#REF!</v>
      </c>
      <c r="AH47" s="144" t="e">
        <f>'Expense Assumptions'!#REF!</f>
        <v>#REF!</v>
      </c>
      <c r="AI47" s="144" t="e">
        <f>'Expense Assumptions'!#REF!</f>
        <v>#REF!</v>
      </c>
      <c r="AJ47" s="144" t="e">
        <f>'Expense Assumptions'!#REF!</f>
        <v>#REF!</v>
      </c>
      <c r="AK47" s="144" t="e">
        <f>'Expense Assumptions'!#REF!</f>
        <v>#REF!</v>
      </c>
      <c r="AL47" s="144" t="e">
        <f>'Expense Assumptions'!#REF!</f>
        <v>#REF!</v>
      </c>
      <c r="AM47" s="144" t="e">
        <f>'Expense Assumptions'!#REF!</f>
        <v>#REF!</v>
      </c>
      <c r="AN47" s="144" t="e">
        <f>'Expense Assumptions'!#REF!</f>
        <v>#REF!</v>
      </c>
      <c r="AO47" s="144" t="e">
        <f>'Expense Assumptions'!#REF!</f>
        <v>#REF!</v>
      </c>
      <c r="AP47" s="144" t="e">
        <f>'Expense Assumptions'!#REF!</f>
        <v>#REF!</v>
      </c>
      <c r="AQ47" s="144" t="e">
        <f>'Expense Assumptions'!#REF!</f>
        <v>#REF!</v>
      </c>
      <c r="AR47" s="144" t="e">
        <f>'Expense Assumptions'!#REF!</f>
        <v>#REF!</v>
      </c>
      <c r="AS47" s="144" t="e">
        <f>'Expense Assumptions'!#REF!</f>
        <v>#REF!</v>
      </c>
      <c r="AT47" s="144" t="e">
        <f>'Expense Assumptions'!#REF!</f>
        <v>#REF!</v>
      </c>
      <c r="AU47" s="144" t="e">
        <f>'Expense Assumptions'!#REF!</f>
        <v>#REF!</v>
      </c>
      <c r="AV47" s="144" t="e">
        <f>'Expense Assumptions'!#REF!</f>
        <v>#REF!</v>
      </c>
      <c r="AW47" s="144" t="e">
        <f>'Expense Assumptions'!#REF!</f>
        <v>#REF!</v>
      </c>
      <c r="AX47" s="144" t="e">
        <f>'Expense Assumptions'!#REF!</f>
        <v>#REF!</v>
      </c>
      <c r="AY47" s="144" t="e">
        <f>'Expense Assumptions'!#REF!</f>
        <v>#REF!</v>
      </c>
      <c r="AZ47" s="144" t="e">
        <f>'Expense Assumptions'!#REF!</f>
        <v>#REF!</v>
      </c>
      <c r="BA47" s="144" t="e">
        <f>'Expense Assumptions'!#REF!</f>
        <v>#REF!</v>
      </c>
      <c r="BB47" s="144" t="e">
        <f>'Expense Assumptions'!#REF!</f>
        <v>#REF!</v>
      </c>
      <c r="BC47" s="144" t="e">
        <f>'Expense Assumptions'!#REF!</f>
        <v>#REF!</v>
      </c>
      <c r="BD47" s="144" t="e">
        <f>'Expense Assumptions'!#REF!</f>
        <v>#REF!</v>
      </c>
      <c r="BE47" s="144" t="e">
        <f>'Expense Assumptions'!#REF!</f>
        <v>#REF!</v>
      </c>
      <c r="BF47" s="144" t="e">
        <f>'Expense Assumptions'!#REF!</f>
        <v>#REF!</v>
      </c>
      <c r="BG47" s="144" t="e">
        <f>'Expense Assumptions'!#REF!</f>
        <v>#REF!</v>
      </c>
      <c r="BH47" s="144" t="e">
        <f>'Expense Assumptions'!#REF!</f>
        <v>#REF!</v>
      </c>
      <c r="BI47" s="144" t="e">
        <f>'Expense Assumptions'!#REF!</f>
        <v>#REF!</v>
      </c>
    </row>
    <row r="48" spans="1:61" s="149" customFormat="1" ht="13" x14ac:dyDescent="0.15">
      <c r="A48" t="s">
        <v>94</v>
      </c>
      <c r="B48" s="144" t="e">
        <f>'Expense Assumptions'!#REF!</f>
        <v>#REF!</v>
      </c>
      <c r="C48" s="144" t="e">
        <f>'Expense Assumptions'!#REF!</f>
        <v>#REF!</v>
      </c>
      <c r="D48" s="144" t="e">
        <f>'Expense Assumptions'!#REF!</f>
        <v>#REF!</v>
      </c>
      <c r="E48" s="144" t="e">
        <f>'Expense Assumptions'!#REF!</f>
        <v>#REF!</v>
      </c>
      <c r="F48" s="144" t="e">
        <f>'Expense Assumptions'!#REF!</f>
        <v>#REF!</v>
      </c>
      <c r="G48" s="144" t="e">
        <f>'Expense Assumptions'!#REF!</f>
        <v>#REF!</v>
      </c>
      <c r="H48" s="144" t="e">
        <f>'Expense Assumptions'!#REF!</f>
        <v>#REF!</v>
      </c>
      <c r="I48" s="144" t="e">
        <f>'Expense Assumptions'!#REF!</f>
        <v>#REF!</v>
      </c>
      <c r="J48" s="144" t="e">
        <f>'Expense Assumptions'!#REF!</f>
        <v>#REF!</v>
      </c>
      <c r="K48" s="144" t="e">
        <f>'Expense Assumptions'!#REF!</f>
        <v>#REF!</v>
      </c>
      <c r="L48" s="144" t="e">
        <f>'Expense Assumptions'!#REF!</f>
        <v>#REF!</v>
      </c>
      <c r="M48" s="144" t="e">
        <f>'Expense Assumptions'!#REF!</f>
        <v>#REF!</v>
      </c>
      <c r="N48" s="144" t="e">
        <f>'Expense Assumptions'!#REF!</f>
        <v>#REF!</v>
      </c>
      <c r="O48" s="144" t="e">
        <f>'Expense Assumptions'!#REF!</f>
        <v>#REF!</v>
      </c>
      <c r="P48" s="144" t="e">
        <f>'Expense Assumptions'!#REF!</f>
        <v>#REF!</v>
      </c>
      <c r="Q48" s="144" t="e">
        <f>'Expense Assumptions'!#REF!</f>
        <v>#REF!</v>
      </c>
      <c r="R48" s="144" t="e">
        <f>'Expense Assumptions'!#REF!</f>
        <v>#REF!</v>
      </c>
      <c r="S48" s="144" t="e">
        <f>'Expense Assumptions'!#REF!</f>
        <v>#REF!</v>
      </c>
      <c r="T48" s="144" t="e">
        <f>'Expense Assumptions'!#REF!</f>
        <v>#REF!</v>
      </c>
      <c r="U48" s="144" t="e">
        <f>'Expense Assumptions'!#REF!</f>
        <v>#REF!</v>
      </c>
      <c r="V48" s="144" t="e">
        <f>'Expense Assumptions'!#REF!</f>
        <v>#REF!</v>
      </c>
      <c r="W48" s="144" t="e">
        <f>'Expense Assumptions'!#REF!</f>
        <v>#REF!</v>
      </c>
      <c r="X48" s="144" t="e">
        <f>'Expense Assumptions'!#REF!</f>
        <v>#REF!</v>
      </c>
      <c r="Y48" s="144" t="e">
        <f>'Expense Assumptions'!#REF!</f>
        <v>#REF!</v>
      </c>
      <c r="Z48" s="144" t="e">
        <f>'Expense Assumptions'!#REF!</f>
        <v>#REF!</v>
      </c>
      <c r="AA48" s="144" t="e">
        <f>'Expense Assumptions'!#REF!</f>
        <v>#REF!</v>
      </c>
      <c r="AB48" s="144" t="e">
        <f>'Expense Assumptions'!#REF!</f>
        <v>#REF!</v>
      </c>
      <c r="AC48" s="144" t="e">
        <f>'Expense Assumptions'!#REF!</f>
        <v>#REF!</v>
      </c>
      <c r="AD48" s="144" t="e">
        <f>'Expense Assumptions'!#REF!</f>
        <v>#REF!</v>
      </c>
      <c r="AE48" s="144" t="e">
        <f>'Expense Assumptions'!#REF!</f>
        <v>#REF!</v>
      </c>
      <c r="AF48" s="144" t="e">
        <f>'Expense Assumptions'!#REF!</f>
        <v>#REF!</v>
      </c>
      <c r="AG48" s="144" t="e">
        <f>'Expense Assumptions'!#REF!</f>
        <v>#REF!</v>
      </c>
      <c r="AH48" s="144" t="e">
        <f>'Expense Assumptions'!#REF!</f>
        <v>#REF!</v>
      </c>
      <c r="AI48" s="144" t="e">
        <f>'Expense Assumptions'!#REF!</f>
        <v>#REF!</v>
      </c>
      <c r="AJ48" s="144" t="e">
        <f>'Expense Assumptions'!#REF!</f>
        <v>#REF!</v>
      </c>
      <c r="AK48" s="144" t="e">
        <f>'Expense Assumptions'!#REF!</f>
        <v>#REF!</v>
      </c>
      <c r="AL48" s="144" t="e">
        <f>'Expense Assumptions'!#REF!</f>
        <v>#REF!</v>
      </c>
      <c r="AM48" s="144" t="e">
        <f>'Expense Assumptions'!#REF!</f>
        <v>#REF!</v>
      </c>
      <c r="AN48" s="144" t="e">
        <f>'Expense Assumptions'!#REF!</f>
        <v>#REF!</v>
      </c>
      <c r="AO48" s="144" t="e">
        <f>'Expense Assumptions'!#REF!</f>
        <v>#REF!</v>
      </c>
      <c r="AP48" s="144" t="e">
        <f>'Expense Assumptions'!#REF!</f>
        <v>#REF!</v>
      </c>
      <c r="AQ48" s="144" t="e">
        <f>'Expense Assumptions'!#REF!</f>
        <v>#REF!</v>
      </c>
      <c r="AR48" s="144" t="e">
        <f>'Expense Assumptions'!#REF!</f>
        <v>#REF!</v>
      </c>
      <c r="AS48" s="144" t="e">
        <f>'Expense Assumptions'!#REF!</f>
        <v>#REF!</v>
      </c>
      <c r="AT48" s="144" t="e">
        <f>'Expense Assumptions'!#REF!</f>
        <v>#REF!</v>
      </c>
      <c r="AU48" s="144" t="e">
        <f>'Expense Assumptions'!#REF!</f>
        <v>#REF!</v>
      </c>
      <c r="AV48" s="144" t="e">
        <f>'Expense Assumptions'!#REF!</f>
        <v>#REF!</v>
      </c>
      <c r="AW48" s="144" t="e">
        <f>'Expense Assumptions'!#REF!</f>
        <v>#REF!</v>
      </c>
      <c r="AX48" s="144" t="e">
        <f>'Expense Assumptions'!#REF!</f>
        <v>#REF!</v>
      </c>
      <c r="AY48" s="144" t="e">
        <f>'Expense Assumptions'!#REF!</f>
        <v>#REF!</v>
      </c>
      <c r="AZ48" s="144" t="e">
        <f>'Expense Assumptions'!#REF!</f>
        <v>#REF!</v>
      </c>
      <c r="BA48" s="144" t="e">
        <f>'Expense Assumptions'!#REF!</f>
        <v>#REF!</v>
      </c>
      <c r="BB48" s="144" t="e">
        <f>'Expense Assumptions'!#REF!</f>
        <v>#REF!</v>
      </c>
      <c r="BC48" s="144" t="e">
        <f>'Expense Assumptions'!#REF!</f>
        <v>#REF!</v>
      </c>
      <c r="BD48" s="144" t="e">
        <f>'Expense Assumptions'!#REF!</f>
        <v>#REF!</v>
      </c>
      <c r="BE48" s="144" t="e">
        <f>'Expense Assumptions'!#REF!</f>
        <v>#REF!</v>
      </c>
      <c r="BF48" s="144" t="e">
        <f>'Expense Assumptions'!#REF!</f>
        <v>#REF!</v>
      </c>
      <c r="BG48" s="144" t="e">
        <f>'Expense Assumptions'!#REF!</f>
        <v>#REF!</v>
      </c>
      <c r="BH48" s="144" t="e">
        <f>'Expense Assumptions'!#REF!</f>
        <v>#REF!</v>
      </c>
      <c r="BI48" s="144" t="e">
        <f>'Expense Assumptions'!#REF!</f>
        <v>#REF!</v>
      </c>
    </row>
    <row r="49" spans="1:61" s="149" customFormat="1" ht="13" x14ac:dyDescent="0.15">
      <c r="A49" t="s">
        <v>95</v>
      </c>
      <c r="B49" s="144" t="e">
        <f>'Expense Assumptions'!#REF!</f>
        <v>#REF!</v>
      </c>
      <c r="C49" s="144" t="e">
        <f>'Expense Assumptions'!#REF!</f>
        <v>#REF!</v>
      </c>
      <c r="D49" s="144" t="e">
        <f>'Expense Assumptions'!#REF!</f>
        <v>#REF!</v>
      </c>
      <c r="E49" s="144" t="e">
        <f>'Expense Assumptions'!#REF!</f>
        <v>#REF!</v>
      </c>
      <c r="F49" s="144" t="e">
        <f>'Expense Assumptions'!#REF!</f>
        <v>#REF!</v>
      </c>
      <c r="G49" s="144" t="e">
        <f>'Expense Assumptions'!#REF!</f>
        <v>#REF!</v>
      </c>
      <c r="H49" s="144" t="e">
        <f>'Expense Assumptions'!#REF!</f>
        <v>#REF!</v>
      </c>
      <c r="I49" s="144" t="e">
        <f>'Expense Assumptions'!#REF!</f>
        <v>#REF!</v>
      </c>
      <c r="J49" s="144" t="e">
        <f>'Expense Assumptions'!#REF!</f>
        <v>#REF!</v>
      </c>
      <c r="K49" s="144" t="e">
        <f>'Expense Assumptions'!#REF!</f>
        <v>#REF!</v>
      </c>
      <c r="L49" s="144" t="e">
        <f>'Expense Assumptions'!#REF!</f>
        <v>#REF!</v>
      </c>
      <c r="M49" s="144" t="e">
        <f>'Expense Assumptions'!#REF!</f>
        <v>#REF!</v>
      </c>
      <c r="N49" s="144" t="e">
        <f>'Expense Assumptions'!#REF!</f>
        <v>#REF!</v>
      </c>
      <c r="O49" s="144" t="e">
        <f>'Expense Assumptions'!#REF!</f>
        <v>#REF!</v>
      </c>
      <c r="P49" s="144" t="e">
        <f>'Expense Assumptions'!#REF!</f>
        <v>#REF!</v>
      </c>
      <c r="Q49" s="144" t="e">
        <f>'Expense Assumptions'!#REF!</f>
        <v>#REF!</v>
      </c>
      <c r="R49" s="144" t="e">
        <f>'Expense Assumptions'!#REF!</f>
        <v>#REF!</v>
      </c>
      <c r="S49" s="144" t="e">
        <f>'Expense Assumptions'!#REF!</f>
        <v>#REF!</v>
      </c>
      <c r="T49" s="144" t="e">
        <f>'Expense Assumptions'!#REF!</f>
        <v>#REF!</v>
      </c>
      <c r="U49" s="144" t="e">
        <f>'Expense Assumptions'!#REF!</f>
        <v>#REF!</v>
      </c>
      <c r="V49" s="144" t="e">
        <f>'Expense Assumptions'!#REF!</f>
        <v>#REF!</v>
      </c>
      <c r="W49" s="144" t="e">
        <f>'Expense Assumptions'!#REF!</f>
        <v>#REF!</v>
      </c>
      <c r="X49" s="144" t="e">
        <f>'Expense Assumptions'!#REF!</f>
        <v>#REF!</v>
      </c>
      <c r="Y49" s="144" t="e">
        <f>'Expense Assumptions'!#REF!</f>
        <v>#REF!</v>
      </c>
      <c r="Z49" s="144" t="e">
        <f>'Expense Assumptions'!#REF!</f>
        <v>#REF!</v>
      </c>
      <c r="AA49" s="144" t="e">
        <f>'Expense Assumptions'!#REF!</f>
        <v>#REF!</v>
      </c>
      <c r="AB49" s="144" t="e">
        <f>'Expense Assumptions'!#REF!</f>
        <v>#REF!</v>
      </c>
      <c r="AC49" s="144" t="e">
        <f>'Expense Assumptions'!#REF!</f>
        <v>#REF!</v>
      </c>
      <c r="AD49" s="144" t="e">
        <f>'Expense Assumptions'!#REF!</f>
        <v>#REF!</v>
      </c>
      <c r="AE49" s="144" t="e">
        <f>'Expense Assumptions'!#REF!</f>
        <v>#REF!</v>
      </c>
      <c r="AF49" s="144" t="e">
        <f>'Expense Assumptions'!#REF!</f>
        <v>#REF!</v>
      </c>
      <c r="AG49" s="144" t="e">
        <f>'Expense Assumptions'!#REF!</f>
        <v>#REF!</v>
      </c>
      <c r="AH49" s="144" t="e">
        <f>'Expense Assumptions'!#REF!</f>
        <v>#REF!</v>
      </c>
      <c r="AI49" s="144" t="e">
        <f>'Expense Assumptions'!#REF!</f>
        <v>#REF!</v>
      </c>
      <c r="AJ49" s="144" t="e">
        <f>'Expense Assumptions'!#REF!</f>
        <v>#REF!</v>
      </c>
      <c r="AK49" s="144" t="e">
        <f>'Expense Assumptions'!#REF!</f>
        <v>#REF!</v>
      </c>
      <c r="AL49" s="144" t="e">
        <f>'Expense Assumptions'!#REF!</f>
        <v>#REF!</v>
      </c>
      <c r="AM49" s="144" t="e">
        <f>'Expense Assumptions'!#REF!</f>
        <v>#REF!</v>
      </c>
      <c r="AN49" s="144" t="e">
        <f>'Expense Assumptions'!#REF!</f>
        <v>#REF!</v>
      </c>
      <c r="AO49" s="144" t="e">
        <f>'Expense Assumptions'!#REF!</f>
        <v>#REF!</v>
      </c>
      <c r="AP49" s="144" t="e">
        <f>'Expense Assumptions'!#REF!</f>
        <v>#REF!</v>
      </c>
      <c r="AQ49" s="144" t="e">
        <f>'Expense Assumptions'!#REF!</f>
        <v>#REF!</v>
      </c>
      <c r="AR49" s="144" t="e">
        <f>'Expense Assumptions'!#REF!</f>
        <v>#REF!</v>
      </c>
      <c r="AS49" s="144" t="e">
        <f>'Expense Assumptions'!#REF!</f>
        <v>#REF!</v>
      </c>
      <c r="AT49" s="144" t="e">
        <f>'Expense Assumptions'!#REF!</f>
        <v>#REF!</v>
      </c>
      <c r="AU49" s="144" t="e">
        <f>'Expense Assumptions'!#REF!</f>
        <v>#REF!</v>
      </c>
      <c r="AV49" s="144" t="e">
        <f>'Expense Assumptions'!#REF!</f>
        <v>#REF!</v>
      </c>
      <c r="AW49" s="144" t="e">
        <f>'Expense Assumptions'!#REF!</f>
        <v>#REF!</v>
      </c>
      <c r="AX49" s="144" t="e">
        <f>'Expense Assumptions'!#REF!</f>
        <v>#REF!</v>
      </c>
      <c r="AY49" s="144" t="e">
        <f>'Expense Assumptions'!#REF!</f>
        <v>#REF!</v>
      </c>
      <c r="AZ49" s="144" t="e">
        <f>'Expense Assumptions'!#REF!</f>
        <v>#REF!</v>
      </c>
      <c r="BA49" s="144" t="e">
        <f>'Expense Assumptions'!#REF!</f>
        <v>#REF!</v>
      </c>
      <c r="BB49" s="144" t="e">
        <f>'Expense Assumptions'!#REF!</f>
        <v>#REF!</v>
      </c>
      <c r="BC49" s="144" t="e">
        <f>'Expense Assumptions'!#REF!</f>
        <v>#REF!</v>
      </c>
      <c r="BD49" s="144" t="e">
        <f>'Expense Assumptions'!#REF!</f>
        <v>#REF!</v>
      </c>
      <c r="BE49" s="144" t="e">
        <f>'Expense Assumptions'!#REF!</f>
        <v>#REF!</v>
      </c>
      <c r="BF49" s="144" t="e">
        <f>'Expense Assumptions'!#REF!</f>
        <v>#REF!</v>
      </c>
      <c r="BG49" s="144" t="e">
        <f>'Expense Assumptions'!#REF!</f>
        <v>#REF!</v>
      </c>
      <c r="BH49" s="144" t="e">
        <f>'Expense Assumptions'!#REF!</f>
        <v>#REF!</v>
      </c>
      <c r="BI49" s="144" t="e">
        <f>'Expense Assumptions'!#REF!</f>
        <v>#REF!</v>
      </c>
    </row>
    <row r="50" spans="1:61" s="149" customFormat="1" ht="13" x14ac:dyDescent="0.15">
      <c r="A50" t="s">
        <v>96</v>
      </c>
      <c r="B50" s="144" t="e">
        <f>'Expense Assumptions'!#REF!</f>
        <v>#REF!</v>
      </c>
      <c r="C50" s="144" t="e">
        <f>'Expense Assumptions'!#REF!</f>
        <v>#REF!</v>
      </c>
      <c r="D50" s="144" t="e">
        <f>'Expense Assumptions'!#REF!</f>
        <v>#REF!</v>
      </c>
      <c r="E50" s="144" t="e">
        <f>'Expense Assumptions'!#REF!</f>
        <v>#REF!</v>
      </c>
      <c r="F50" s="144" t="e">
        <f>'Expense Assumptions'!#REF!</f>
        <v>#REF!</v>
      </c>
      <c r="G50" s="144" t="e">
        <f>'Expense Assumptions'!#REF!</f>
        <v>#REF!</v>
      </c>
      <c r="H50" s="144" t="e">
        <f>'Expense Assumptions'!#REF!</f>
        <v>#REF!</v>
      </c>
      <c r="I50" s="144" t="e">
        <f>'Expense Assumptions'!#REF!</f>
        <v>#REF!</v>
      </c>
      <c r="J50" s="144" t="e">
        <f>'Expense Assumptions'!#REF!</f>
        <v>#REF!</v>
      </c>
      <c r="K50" s="144" t="e">
        <f>'Expense Assumptions'!#REF!</f>
        <v>#REF!</v>
      </c>
      <c r="L50" s="144" t="e">
        <f>'Expense Assumptions'!#REF!</f>
        <v>#REF!</v>
      </c>
      <c r="M50" s="144" t="e">
        <f>'Expense Assumptions'!#REF!</f>
        <v>#REF!</v>
      </c>
      <c r="N50" s="144" t="e">
        <f>'Expense Assumptions'!#REF!</f>
        <v>#REF!</v>
      </c>
      <c r="O50" s="144" t="e">
        <f>'Expense Assumptions'!#REF!</f>
        <v>#REF!</v>
      </c>
      <c r="P50" s="144" t="e">
        <f>'Expense Assumptions'!#REF!</f>
        <v>#REF!</v>
      </c>
      <c r="Q50" s="144" t="e">
        <f>'Expense Assumptions'!#REF!</f>
        <v>#REF!</v>
      </c>
      <c r="R50" s="144" t="e">
        <f>'Expense Assumptions'!#REF!</f>
        <v>#REF!</v>
      </c>
      <c r="S50" s="144" t="e">
        <f>'Expense Assumptions'!#REF!</f>
        <v>#REF!</v>
      </c>
      <c r="T50" s="144" t="e">
        <f>'Expense Assumptions'!#REF!</f>
        <v>#REF!</v>
      </c>
      <c r="U50" s="144" t="e">
        <f>'Expense Assumptions'!#REF!</f>
        <v>#REF!</v>
      </c>
      <c r="V50" s="144" t="e">
        <f>'Expense Assumptions'!#REF!</f>
        <v>#REF!</v>
      </c>
      <c r="W50" s="144" t="e">
        <f>'Expense Assumptions'!#REF!</f>
        <v>#REF!</v>
      </c>
      <c r="X50" s="144" t="e">
        <f>'Expense Assumptions'!#REF!</f>
        <v>#REF!</v>
      </c>
      <c r="Y50" s="144" t="e">
        <f>'Expense Assumptions'!#REF!</f>
        <v>#REF!</v>
      </c>
      <c r="Z50" s="144" t="e">
        <f>'Expense Assumptions'!#REF!</f>
        <v>#REF!</v>
      </c>
      <c r="AA50" s="144" t="e">
        <f>'Expense Assumptions'!#REF!</f>
        <v>#REF!</v>
      </c>
      <c r="AB50" s="144" t="e">
        <f>'Expense Assumptions'!#REF!</f>
        <v>#REF!</v>
      </c>
      <c r="AC50" s="144" t="e">
        <f>'Expense Assumptions'!#REF!</f>
        <v>#REF!</v>
      </c>
      <c r="AD50" s="144" t="e">
        <f>'Expense Assumptions'!#REF!</f>
        <v>#REF!</v>
      </c>
      <c r="AE50" s="144" t="e">
        <f>'Expense Assumptions'!#REF!</f>
        <v>#REF!</v>
      </c>
      <c r="AF50" s="144" t="e">
        <f>'Expense Assumptions'!#REF!</f>
        <v>#REF!</v>
      </c>
      <c r="AG50" s="144" t="e">
        <f>'Expense Assumptions'!#REF!</f>
        <v>#REF!</v>
      </c>
      <c r="AH50" s="144" t="e">
        <f>'Expense Assumptions'!#REF!</f>
        <v>#REF!</v>
      </c>
      <c r="AI50" s="144" t="e">
        <f>'Expense Assumptions'!#REF!</f>
        <v>#REF!</v>
      </c>
      <c r="AJ50" s="144" t="e">
        <f>'Expense Assumptions'!#REF!</f>
        <v>#REF!</v>
      </c>
      <c r="AK50" s="144" t="e">
        <f>'Expense Assumptions'!#REF!</f>
        <v>#REF!</v>
      </c>
      <c r="AL50" s="144" t="e">
        <f>'Expense Assumptions'!#REF!</f>
        <v>#REF!</v>
      </c>
      <c r="AM50" s="144" t="e">
        <f>'Expense Assumptions'!#REF!</f>
        <v>#REF!</v>
      </c>
      <c r="AN50" s="144" t="e">
        <f>'Expense Assumptions'!#REF!</f>
        <v>#REF!</v>
      </c>
      <c r="AO50" s="144" t="e">
        <f>'Expense Assumptions'!#REF!</f>
        <v>#REF!</v>
      </c>
      <c r="AP50" s="144" t="e">
        <f>'Expense Assumptions'!#REF!</f>
        <v>#REF!</v>
      </c>
      <c r="AQ50" s="144" t="e">
        <f>'Expense Assumptions'!#REF!</f>
        <v>#REF!</v>
      </c>
      <c r="AR50" s="144" t="e">
        <f>'Expense Assumptions'!#REF!</f>
        <v>#REF!</v>
      </c>
      <c r="AS50" s="144" t="e">
        <f>'Expense Assumptions'!#REF!</f>
        <v>#REF!</v>
      </c>
      <c r="AT50" s="144" t="e">
        <f>'Expense Assumptions'!#REF!</f>
        <v>#REF!</v>
      </c>
      <c r="AU50" s="144" t="e">
        <f>'Expense Assumptions'!#REF!</f>
        <v>#REF!</v>
      </c>
      <c r="AV50" s="144" t="e">
        <f>'Expense Assumptions'!#REF!</f>
        <v>#REF!</v>
      </c>
      <c r="AW50" s="144" t="e">
        <f>'Expense Assumptions'!#REF!</f>
        <v>#REF!</v>
      </c>
      <c r="AX50" s="144" t="e">
        <f>'Expense Assumptions'!#REF!</f>
        <v>#REF!</v>
      </c>
      <c r="AY50" s="144" t="e">
        <f>'Expense Assumptions'!#REF!</f>
        <v>#REF!</v>
      </c>
      <c r="AZ50" s="144" t="e">
        <f>'Expense Assumptions'!#REF!</f>
        <v>#REF!</v>
      </c>
      <c r="BA50" s="144" t="e">
        <f>'Expense Assumptions'!#REF!</f>
        <v>#REF!</v>
      </c>
      <c r="BB50" s="144" t="e">
        <f>'Expense Assumptions'!#REF!</f>
        <v>#REF!</v>
      </c>
      <c r="BC50" s="144" t="e">
        <f>'Expense Assumptions'!#REF!</f>
        <v>#REF!</v>
      </c>
      <c r="BD50" s="144" t="e">
        <f>'Expense Assumptions'!#REF!</f>
        <v>#REF!</v>
      </c>
      <c r="BE50" s="144" t="e">
        <f>'Expense Assumptions'!#REF!</f>
        <v>#REF!</v>
      </c>
      <c r="BF50" s="144" t="e">
        <f>'Expense Assumptions'!#REF!</f>
        <v>#REF!</v>
      </c>
      <c r="BG50" s="144" t="e">
        <f>'Expense Assumptions'!#REF!</f>
        <v>#REF!</v>
      </c>
      <c r="BH50" s="144" t="e">
        <f>'Expense Assumptions'!#REF!</f>
        <v>#REF!</v>
      </c>
      <c r="BI50" s="144" t="e">
        <f>'Expense Assumptions'!#REF!</f>
        <v>#REF!</v>
      </c>
    </row>
    <row r="51" spans="1:61" s="149" customFormat="1" x14ac:dyDescent="0.15">
      <c r="A51" s="97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</row>
    <row r="52" spans="1:61" s="149" customFormat="1" x14ac:dyDescent="0.15">
      <c r="A52" s="98" t="s">
        <v>128</v>
      </c>
      <c r="B52" s="154" t="e">
        <f>SUM(B31:B51)</f>
        <v>#REF!</v>
      </c>
      <c r="C52" s="154" t="e">
        <f t="shared" ref="C52:BI52" si="9">SUM(C31:C51)</f>
        <v>#REF!</v>
      </c>
      <c r="D52" s="154" t="e">
        <f t="shared" si="9"/>
        <v>#REF!</v>
      </c>
      <c r="E52" s="154" t="e">
        <f t="shared" si="9"/>
        <v>#REF!</v>
      </c>
      <c r="F52" s="154" t="e">
        <f t="shared" si="9"/>
        <v>#REF!</v>
      </c>
      <c r="G52" s="154" t="e">
        <f t="shared" si="9"/>
        <v>#REF!</v>
      </c>
      <c r="H52" s="154" t="e">
        <f t="shared" si="9"/>
        <v>#REF!</v>
      </c>
      <c r="I52" s="154" t="e">
        <f t="shared" si="9"/>
        <v>#REF!</v>
      </c>
      <c r="J52" s="154" t="e">
        <f t="shared" si="9"/>
        <v>#REF!</v>
      </c>
      <c r="K52" s="154" t="e">
        <f t="shared" si="9"/>
        <v>#REF!</v>
      </c>
      <c r="L52" s="154" t="e">
        <f t="shared" si="9"/>
        <v>#REF!</v>
      </c>
      <c r="M52" s="154" t="e">
        <f t="shared" si="9"/>
        <v>#REF!</v>
      </c>
      <c r="N52" s="154" t="e">
        <f t="shared" si="9"/>
        <v>#REF!</v>
      </c>
      <c r="O52" s="154" t="e">
        <f t="shared" si="9"/>
        <v>#REF!</v>
      </c>
      <c r="P52" s="154" t="e">
        <f t="shared" si="9"/>
        <v>#REF!</v>
      </c>
      <c r="Q52" s="154" t="e">
        <f t="shared" si="9"/>
        <v>#REF!</v>
      </c>
      <c r="R52" s="154" t="e">
        <f t="shared" si="9"/>
        <v>#REF!</v>
      </c>
      <c r="S52" s="154" t="e">
        <f t="shared" si="9"/>
        <v>#REF!</v>
      </c>
      <c r="T52" s="154" t="e">
        <f t="shared" si="9"/>
        <v>#REF!</v>
      </c>
      <c r="U52" s="154" t="e">
        <f t="shared" si="9"/>
        <v>#REF!</v>
      </c>
      <c r="V52" s="154" t="e">
        <f t="shared" si="9"/>
        <v>#REF!</v>
      </c>
      <c r="W52" s="154" t="e">
        <f t="shared" si="9"/>
        <v>#REF!</v>
      </c>
      <c r="X52" s="154" t="e">
        <f t="shared" si="9"/>
        <v>#REF!</v>
      </c>
      <c r="Y52" s="154" t="e">
        <f t="shared" si="9"/>
        <v>#REF!</v>
      </c>
      <c r="Z52" s="154" t="e">
        <f t="shared" si="9"/>
        <v>#REF!</v>
      </c>
      <c r="AA52" s="154" t="e">
        <f t="shared" si="9"/>
        <v>#REF!</v>
      </c>
      <c r="AB52" s="154" t="e">
        <f t="shared" si="9"/>
        <v>#REF!</v>
      </c>
      <c r="AC52" s="154" t="e">
        <f t="shared" si="9"/>
        <v>#REF!</v>
      </c>
      <c r="AD52" s="154" t="e">
        <f t="shared" si="9"/>
        <v>#REF!</v>
      </c>
      <c r="AE52" s="154" t="e">
        <f t="shared" si="9"/>
        <v>#REF!</v>
      </c>
      <c r="AF52" s="154" t="e">
        <f t="shared" si="9"/>
        <v>#REF!</v>
      </c>
      <c r="AG52" s="154" t="e">
        <f t="shared" si="9"/>
        <v>#REF!</v>
      </c>
      <c r="AH52" s="154" t="e">
        <f t="shared" si="9"/>
        <v>#REF!</v>
      </c>
      <c r="AI52" s="154" t="e">
        <f t="shared" si="9"/>
        <v>#REF!</v>
      </c>
      <c r="AJ52" s="154" t="e">
        <f t="shared" si="9"/>
        <v>#REF!</v>
      </c>
      <c r="AK52" s="154" t="e">
        <f t="shared" si="9"/>
        <v>#REF!</v>
      </c>
      <c r="AL52" s="154" t="e">
        <f t="shared" si="9"/>
        <v>#REF!</v>
      </c>
      <c r="AM52" s="154" t="e">
        <f t="shared" si="9"/>
        <v>#REF!</v>
      </c>
      <c r="AN52" s="154" t="e">
        <f t="shared" si="9"/>
        <v>#REF!</v>
      </c>
      <c r="AO52" s="154" t="e">
        <f t="shared" si="9"/>
        <v>#REF!</v>
      </c>
      <c r="AP52" s="154" t="e">
        <f t="shared" si="9"/>
        <v>#REF!</v>
      </c>
      <c r="AQ52" s="154" t="e">
        <f t="shared" si="9"/>
        <v>#REF!</v>
      </c>
      <c r="AR52" s="154" t="e">
        <f t="shared" si="9"/>
        <v>#REF!</v>
      </c>
      <c r="AS52" s="154" t="e">
        <f t="shared" si="9"/>
        <v>#REF!</v>
      </c>
      <c r="AT52" s="154" t="e">
        <f t="shared" si="9"/>
        <v>#REF!</v>
      </c>
      <c r="AU52" s="154" t="e">
        <f t="shared" si="9"/>
        <v>#REF!</v>
      </c>
      <c r="AV52" s="154" t="e">
        <f t="shared" si="9"/>
        <v>#REF!</v>
      </c>
      <c r="AW52" s="154" t="e">
        <f t="shared" si="9"/>
        <v>#REF!</v>
      </c>
      <c r="AX52" s="154" t="e">
        <f t="shared" si="9"/>
        <v>#REF!</v>
      </c>
      <c r="AY52" s="154" t="e">
        <f t="shared" si="9"/>
        <v>#REF!</v>
      </c>
      <c r="AZ52" s="154" t="e">
        <f t="shared" si="9"/>
        <v>#REF!</v>
      </c>
      <c r="BA52" s="154" t="e">
        <f t="shared" si="9"/>
        <v>#REF!</v>
      </c>
      <c r="BB52" s="154" t="e">
        <f t="shared" si="9"/>
        <v>#REF!</v>
      </c>
      <c r="BC52" s="154" t="e">
        <f t="shared" si="9"/>
        <v>#REF!</v>
      </c>
      <c r="BD52" s="154" t="e">
        <f t="shared" si="9"/>
        <v>#REF!</v>
      </c>
      <c r="BE52" s="154" t="e">
        <f t="shared" si="9"/>
        <v>#REF!</v>
      </c>
      <c r="BF52" s="154" t="e">
        <f t="shared" si="9"/>
        <v>#REF!</v>
      </c>
      <c r="BG52" s="154" t="e">
        <f t="shared" si="9"/>
        <v>#REF!</v>
      </c>
      <c r="BH52" s="154" t="e">
        <f t="shared" si="9"/>
        <v>#REF!</v>
      </c>
      <c r="BI52" s="154" t="e">
        <f t="shared" si="9"/>
        <v>#REF!</v>
      </c>
    </row>
    <row r="53" spans="1:61" s="149" customFormat="1" x14ac:dyDescent="0.15">
      <c r="A53" s="99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</row>
    <row r="54" spans="1:61" s="149" customFormat="1" x14ac:dyDescent="0.15">
      <c r="A54" s="99" t="s">
        <v>212</v>
      </c>
      <c r="B54" s="148" t="e">
        <f>'Payroll Assumptions'!#REF!</f>
        <v>#REF!</v>
      </c>
      <c r="C54" s="148" t="e">
        <f>'Payroll Assumptions'!#REF!</f>
        <v>#REF!</v>
      </c>
      <c r="D54" s="148" t="e">
        <f>'Payroll Assumptions'!#REF!</f>
        <v>#REF!</v>
      </c>
      <c r="E54" s="148" t="e">
        <f>'Payroll Assumptions'!#REF!</f>
        <v>#REF!</v>
      </c>
      <c r="F54" s="148" t="e">
        <f>'Payroll Assumptions'!#REF!</f>
        <v>#REF!</v>
      </c>
      <c r="G54" s="148" t="e">
        <f>'Payroll Assumptions'!#REF!</f>
        <v>#REF!</v>
      </c>
      <c r="H54" s="148" t="e">
        <f>'Payroll Assumptions'!#REF!</f>
        <v>#REF!</v>
      </c>
      <c r="I54" s="148" t="e">
        <f>'Payroll Assumptions'!#REF!</f>
        <v>#REF!</v>
      </c>
      <c r="J54" s="148" t="e">
        <f>'Payroll Assumptions'!#REF!</f>
        <v>#REF!</v>
      </c>
      <c r="K54" s="148" t="e">
        <f>'Payroll Assumptions'!#REF!</f>
        <v>#REF!</v>
      </c>
      <c r="L54" s="148" t="e">
        <f>'Payroll Assumptions'!#REF!</f>
        <v>#REF!</v>
      </c>
      <c r="M54" s="148" t="e">
        <f>'Payroll Assumptions'!#REF!</f>
        <v>#REF!</v>
      </c>
      <c r="N54" s="148" t="e">
        <f>'Payroll Assumptions'!#REF!</f>
        <v>#REF!</v>
      </c>
      <c r="O54" s="148" t="e">
        <f>'Payroll Assumptions'!#REF!</f>
        <v>#REF!</v>
      </c>
      <c r="P54" s="148" t="e">
        <f>'Payroll Assumptions'!#REF!</f>
        <v>#REF!</v>
      </c>
      <c r="Q54" s="148" t="e">
        <f>'Payroll Assumptions'!#REF!</f>
        <v>#REF!</v>
      </c>
      <c r="R54" s="148" t="e">
        <f>'Payroll Assumptions'!#REF!</f>
        <v>#REF!</v>
      </c>
      <c r="S54" s="148" t="e">
        <f>'Payroll Assumptions'!#REF!</f>
        <v>#REF!</v>
      </c>
      <c r="T54" s="148" t="e">
        <f>'Payroll Assumptions'!#REF!</f>
        <v>#REF!</v>
      </c>
      <c r="U54" s="148" t="e">
        <f>'Payroll Assumptions'!#REF!</f>
        <v>#REF!</v>
      </c>
      <c r="V54" s="148" t="e">
        <f>'Payroll Assumptions'!#REF!</f>
        <v>#REF!</v>
      </c>
      <c r="W54" s="148" t="e">
        <f>'Payroll Assumptions'!#REF!</f>
        <v>#REF!</v>
      </c>
      <c r="X54" s="148" t="e">
        <f>'Payroll Assumptions'!#REF!</f>
        <v>#REF!</v>
      </c>
      <c r="Y54" s="148" t="e">
        <f>'Payroll Assumptions'!#REF!</f>
        <v>#REF!</v>
      </c>
      <c r="Z54" s="148" t="e">
        <f>'Payroll Assumptions'!#REF!</f>
        <v>#REF!</v>
      </c>
      <c r="AA54" s="148" t="e">
        <f>'Payroll Assumptions'!#REF!</f>
        <v>#REF!</v>
      </c>
      <c r="AB54" s="148" t="e">
        <f>'Payroll Assumptions'!#REF!</f>
        <v>#REF!</v>
      </c>
      <c r="AC54" s="148" t="e">
        <f>'Payroll Assumptions'!#REF!</f>
        <v>#REF!</v>
      </c>
      <c r="AD54" s="148" t="e">
        <f>'Payroll Assumptions'!#REF!</f>
        <v>#REF!</v>
      </c>
      <c r="AE54" s="148" t="e">
        <f>'Payroll Assumptions'!#REF!</f>
        <v>#REF!</v>
      </c>
      <c r="AF54" s="148" t="e">
        <f>'Payroll Assumptions'!#REF!</f>
        <v>#REF!</v>
      </c>
      <c r="AG54" s="148" t="e">
        <f>'Payroll Assumptions'!#REF!</f>
        <v>#REF!</v>
      </c>
      <c r="AH54" s="148" t="e">
        <f>'Payroll Assumptions'!#REF!</f>
        <v>#REF!</v>
      </c>
      <c r="AI54" s="148" t="e">
        <f>'Payroll Assumptions'!#REF!</f>
        <v>#REF!</v>
      </c>
      <c r="AJ54" s="148" t="e">
        <f>'Payroll Assumptions'!#REF!</f>
        <v>#REF!</v>
      </c>
      <c r="AK54" s="148" t="e">
        <f>'Payroll Assumptions'!#REF!</f>
        <v>#REF!</v>
      </c>
      <c r="AL54" s="148" t="e">
        <f>'Payroll Assumptions'!#REF!</f>
        <v>#REF!</v>
      </c>
      <c r="AM54" s="148" t="e">
        <f>'Payroll Assumptions'!#REF!</f>
        <v>#REF!</v>
      </c>
      <c r="AN54" s="148" t="e">
        <f>'Payroll Assumptions'!#REF!</f>
        <v>#REF!</v>
      </c>
      <c r="AO54" s="148" t="e">
        <f>'Payroll Assumptions'!#REF!</f>
        <v>#REF!</v>
      </c>
      <c r="AP54" s="148" t="e">
        <f>'Payroll Assumptions'!#REF!</f>
        <v>#REF!</v>
      </c>
      <c r="AQ54" s="148" t="e">
        <f>'Payroll Assumptions'!#REF!</f>
        <v>#REF!</v>
      </c>
      <c r="AR54" s="148" t="e">
        <f>'Payroll Assumptions'!#REF!</f>
        <v>#REF!</v>
      </c>
      <c r="AS54" s="148" t="e">
        <f>'Payroll Assumptions'!#REF!</f>
        <v>#REF!</v>
      </c>
      <c r="AT54" s="148" t="e">
        <f>'Payroll Assumptions'!#REF!</f>
        <v>#REF!</v>
      </c>
      <c r="AU54" s="148" t="e">
        <f>'Payroll Assumptions'!#REF!</f>
        <v>#REF!</v>
      </c>
      <c r="AV54" s="148" t="e">
        <f>'Payroll Assumptions'!#REF!</f>
        <v>#REF!</v>
      </c>
      <c r="AW54" s="148" t="e">
        <f>'Payroll Assumptions'!#REF!</f>
        <v>#REF!</v>
      </c>
      <c r="AX54" s="148" t="e">
        <f>'Payroll Assumptions'!#REF!</f>
        <v>#REF!</v>
      </c>
      <c r="AY54" s="148" t="e">
        <f>'Payroll Assumptions'!#REF!</f>
        <v>#REF!</v>
      </c>
      <c r="AZ54" s="148" t="e">
        <f>'Payroll Assumptions'!#REF!</f>
        <v>#REF!</v>
      </c>
      <c r="BA54" s="148" t="e">
        <f>'Payroll Assumptions'!#REF!</f>
        <v>#REF!</v>
      </c>
      <c r="BB54" s="148" t="e">
        <f>'Payroll Assumptions'!#REF!</f>
        <v>#REF!</v>
      </c>
      <c r="BC54" s="148" t="e">
        <f>'Payroll Assumptions'!#REF!</f>
        <v>#REF!</v>
      </c>
      <c r="BD54" s="148" t="e">
        <f>'Payroll Assumptions'!#REF!</f>
        <v>#REF!</v>
      </c>
      <c r="BE54" s="148" t="e">
        <f>'Payroll Assumptions'!#REF!</f>
        <v>#REF!</v>
      </c>
      <c r="BF54" s="148" t="e">
        <f>'Payroll Assumptions'!#REF!</f>
        <v>#REF!</v>
      </c>
      <c r="BG54" s="148" t="e">
        <f>'Payroll Assumptions'!#REF!</f>
        <v>#REF!</v>
      </c>
      <c r="BH54" s="148" t="e">
        <f>'Payroll Assumptions'!#REF!</f>
        <v>#REF!</v>
      </c>
      <c r="BI54" s="148" t="e">
        <f>'Payroll Assumptions'!#REF!</f>
        <v>#REF!</v>
      </c>
    </row>
    <row r="55" spans="1:61" s="149" customFormat="1" x14ac:dyDescent="0.15">
      <c r="A55" s="94"/>
    </row>
    <row r="56" spans="1:61" s="149" customFormat="1" x14ac:dyDescent="0.15">
      <c r="A56" s="110" t="s">
        <v>213</v>
      </c>
      <c r="B56" s="249" t="e">
        <f>B52+B54</f>
        <v>#REF!</v>
      </c>
      <c r="C56" s="249" t="e">
        <f t="shared" ref="C56:BI56" si="10">C52+C54</f>
        <v>#REF!</v>
      </c>
      <c r="D56" s="249" t="e">
        <f t="shared" si="10"/>
        <v>#REF!</v>
      </c>
      <c r="E56" s="249" t="e">
        <f t="shared" si="10"/>
        <v>#REF!</v>
      </c>
      <c r="F56" s="249" t="e">
        <f t="shared" si="10"/>
        <v>#REF!</v>
      </c>
      <c r="G56" s="249" t="e">
        <f t="shared" si="10"/>
        <v>#REF!</v>
      </c>
      <c r="H56" s="249" t="e">
        <f t="shared" si="10"/>
        <v>#REF!</v>
      </c>
      <c r="I56" s="249" t="e">
        <f t="shared" si="10"/>
        <v>#REF!</v>
      </c>
      <c r="J56" s="249" t="e">
        <f t="shared" si="10"/>
        <v>#REF!</v>
      </c>
      <c r="K56" s="249" t="e">
        <f t="shared" si="10"/>
        <v>#REF!</v>
      </c>
      <c r="L56" s="249" t="e">
        <f t="shared" si="10"/>
        <v>#REF!</v>
      </c>
      <c r="M56" s="249" t="e">
        <f t="shared" si="10"/>
        <v>#REF!</v>
      </c>
      <c r="N56" s="249" t="e">
        <f t="shared" si="10"/>
        <v>#REF!</v>
      </c>
      <c r="O56" s="249" t="e">
        <f t="shared" si="10"/>
        <v>#REF!</v>
      </c>
      <c r="P56" s="249" t="e">
        <f t="shared" si="10"/>
        <v>#REF!</v>
      </c>
      <c r="Q56" s="249" t="e">
        <f t="shared" si="10"/>
        <v>#REF!</v>
      </c>
      <c r="R56" s="249" t="e">
        <f t="shared" si="10"/>
        <v>#REF!</v>
      </c>
      <c r="S56" s="249" t="e">
        <f t="shared" si="10"/>
        <v>#REF!</v>
      </c>
      <c r="T56" s="249" t="e">
        <f t="shared" si="10"/>
        <v>#REF!</v>
      </c>
      <c r="U56" s="249" t="e">
        <f t="shared" si="10"/>
        <v>#REF!</v>
      </c>
      <c r="V56" s="249" t="e">
        <f t="shared" si="10"/>
        <v>#REF!</v>
      </c>
      <c r="W56" s="249" t="e">
        <f t="shared" si="10"/>
        <v>#REF!</v>
      </c>
      <c r="X56" s="249" t="e">
        <f t="shared" si="10"/>
        <v>#REF!</v>
      </c>
      <c r="Y56" s="249" t="e">
        <f t="shared" si="10"/>
        <v>#REF!</v>
      </c>
      <c r="Z56" s="249" t="e">
        <f t="shared" si="10"/>
        <v>#REF!</v>
      </c>
      <c r="AA56" s="249" t="e">
        <f t="shared" si="10"/>
        <v>#REF!</v>
      </c>
      <c r="AB56" s="249" t="e">
        <f t="shared" si="10"/>
        <v>#REF!</v>
      </c>
      <c r="AC56" s="249" t="e">
        <f t="shared" si="10"/>
        <v>#REF!</v>
      </c>
      <c r="AD56" s="249" t="e">
        <f t="shared" si="10"/>
        <v>#REF!</v>
      </c>
      <c r="AE56" s="249" t="e">
        <f t="shared" si="10"/>
        <v>#REF!</v>
      </c>
      <c r="AF56" s="249" t="e">
        <f t="shared" si="10"/>
        <v>#REF!</v>
      </c>
      <c r="AG56" s="249" t="e">
        <f t="shared" si="10"/>
        <v>#REF!</v>
      </c>
      <c r="AH56" s="249" t="e">
        <f t="shared" si="10"/>
        <v>#REF!</v>
      </c>
      <c r="AI56" s="249" t="e">
        <f t="shared" si="10"/>
        <v>#REF!</v>
      </c>
      <c r="AJ56" s="249" t="e">
        <f t="shared" si="10"/>
        <v>#REF!</v>
      </c>
      <c r="AK56" s="249" t="e">
        <f t="shared" si="10"/>
        <v>#REF!</v>
      </c>
      <c r="AL56" s="249" t="e">
        <f t="shared" si="10"/>
        <v>#REF!</v>
      </c>
      <c r="AM56" s="249" t="e">
        <f t="shared" si="10"/>
        <v>#REF!</v>
      </c>
      <c r="AN56" s="249" t="e">
        <f t="shared" si="10"/>
        <v>#REF!</v>
      </c>
      <c r="AO56" s="249" t="e">
        <f t="shared" si="10"/>
        <v>#REF!</v>
      </c>
      <c r="AP56" s="249" t="e">
        <f t="shared" si="10"/>
        <v>#REF!</v>
      </c>
      <c r="AQ56" s="249" t="e">
        <f t="shared" si="10"/>
        <v>#REF!</v>
      </c>
      <c r="AR56" s="249" t="e">
        <f t="shared" si="10"/>
        <v>#REF!</v>
      </c>
      <c r="AS56" s="249" t="e">
        <f t="shared" si="10"/>
        <v>#REF!</v>
      </c>
      <c r="AT56" s="249" t="e">
        <f t="shared" si="10"/>
        <v>#REF!</v>
      </c>
      <c r="AU56" s="249" t="e">
        <f t="shared" si="10"/>
        <v>#REF!</v>
      </c>
      <c r="AV56" s="249" t="e">
        <f t="shared" si="10"/>
        <v>#REF!</v>
      </c>
      <c r="AW56" s="249" t="e">
        <f t="shared" si="10"/>
        <v>#REF!</v>
      </c>
      <c r="AX56" s="249" t="e">
        <f t="shared" si="10"/>
        <v>#REF!</v>
      </c>
      <c r="AY56" s="249" t="e">
        <f t="shared" si="10"/>
        <v>#REF!</v>
      </c>
      <c r="AZ56" s="249" t="e">
        <f t="shared" si="10"/>
        <v>#REF!</v>
      </c>
      <c r="BA56" s="249" t="e">
        <f t="shared" si="10"/>
        <v>#REF!</v>
      </c>
      <c r="BB56" s="249" t="e">
        <f t="shared" si="10"/>
        <v>#REF!</v>
      </c>
      <c r="BC56" s="249" t="e">
        <f t="shared" si="10"/>
        <v>#REF!</v>
      </c>
      <c r="BD56" s="249" t="e">
        <f t="shared" si="10"/>
        <v>#REF!</v>
      </c>
      <c r="BE56" s="249" t="e">
        <f t="shared" si="10"/>
        <v>#REF!</v>
      </c>
      <c r="BF56" s="249" t="e">
        <f t="shared" si="10"/>
        <v>#REF!</v>
      </c>
      <c r="BG56" s="249" t="e">
        <f t="shared" si="10"/>
        <v>#REF!</v>
      </c>
      <c r="BH56" s="249" t="e">
        <f t="shared" si="10"/>
        <v>#REF!</v>
      </c>
      <c r="BI56" s="249" t="e">
        <f t="shared" si="10"/>
        <v>#REF!</v>
      </c>
    </row>
    <row r="57" spans="1:61" s="149" customFormat="1" x14ac:dyDescent="0.15">
      <c r="A57" s="92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</row>
    <row r="58" spans="1:61" s="246" customFormat="1" ht="13" x14ac:dyDescent="0.15">
      <c r="A58" s="250" t="s">
        <v>214</v>
      </c>
      <c r="B58" s="251" t="e">
        <f t="shared" ref="B58:AG58" si="11">B26-B56</f>
        <v>#N/A</v>
      </c>
      <c r="C58" s="251" t="e">
        <f t="shared" si="11"/>
        <v>#N/A</v>
      </c>
      <c r="D58" s="251" t="e">
        <f t="shared" si="11"/>
        <v>#N/A</v>
      </c>
      <c r="E58" s="251" t="e">
        <f t="shared" si="11"/>
        <v>#N/A</v>
      </c>
      <c r="F58" s="251" t="e">
        <f t="shared" si="11"/>
        <v>#N/A</v>
      </c>
      <c r="G58" s="251" t="e">
        <f t="shared" si="11"/>
        <v>#N/A</v>
      </c>
      <c r="H58" s="251" t="e">
        <f t="shared" si="11"/>
        <v>#N/A</v>
      </c>
      <c r="I58" s="251" t="e">
        <f t="shared" si="11"/>
        <v>#N/A</v>
      </c>
      <c r="J58" s="251" t="e">
        <f t="shared" si="11"/>
        <v>#N/A</v>
      </c>
      <c r="K58" s="251" t="e">
        <f t="shared" si="11"/>
        <v>#N/A</v>
      </c>
      <c r="L58" s="251" t="e">
        <f t="shared" si="11"/>
        <v>#N/A</v>
      </c>
      <c r="M58" s="251" t="e">
        <f t="shared" si="11"/>
        <v>#N/A</v>
      </c>
      <c r="N58" s="251" t="e">
        <f t="shared" si="11"/>
        <v>#N/A</v>
      </c>
      <c r="O58" s="251" t="e">
        <f t="shared" si="11"/>
        <v>#N/A</v>
      </c>
      <c r="P58" s="251" t="e">
        <f t="shared" si="11"/>
        <v>#N/A</v>
      </c>
      <c r="Q58" s="251" t="e">
        <f t="shared" si="11"/>
        <v>#N/A</v>
      </c>
      <c r="R58" s="251" t="e">
        <f t="shared" si="11"/>
        <v>#N/A</v>
      </c>
      <c r="S58" s="251" t="e">
        <f t="shared" si="11"/>
        <v>#N/A</v>
      </c>
      <c r="T58" s="251" t="e">
        <f t="shared" si="11"/>
        <v>#N/A</v>
      </c>
      <c r="U58" s="251" t="e">
        <f t="shared" si="11"/>
        <v>#N/A</v>
      </c>
      <c r="V58" s="251" t="e">
        <f t="shared" si="11"/>
        <v>#N/A</v>
      </c>
      <c r="W58" s="251" t="e">
        <f t="shared" si="11"/>
        <v>#N/A</v>
      </c>
      <c r="X58" s="251" t="e">
        <f t="shared" si="11"/>
        <v>#N/A</v>
      </c>
      <c r="Y58" s="251" t="e">
        <f t="shared" si="11"/>
        <v>#N/A</v>
      </c>
      <c r="Z58" s="251" t="e">
        <f t="shared" si="11"/>
        <v>#N/A</v>
      </c>
      <c r="AA58" s="251" t="e">
        <f t="shared" si="11"/>
        <v>#N/A</v>
      </c>
      <c r="AB58" s="251" t="e">
        <f t="shared" si="11"/>
        <v>#N/A</v>
      </c>
      <c r="AC58" s="251" t="e">
        <f t="shared" si="11"/>
        <v>#N/A</v>
      </c>
      <c r="AD58" s="251" t="e">
        <f t="shared" si="11"/>
        <v>#N/A</v>
      </c>
      <c r="AE58" s="251" t="e">
        <f t="shared" si="11"/>
        <v>#N/A</v>
      </c>
      <c r="AF58" s="251" t="e">
        <f t="shared" si="11"/>
        <v>#N/A</v>
      </c>
      <c r="AG58" s="251" t="e">
        <f t="shared" si="11"/>
        <v>#N/A</v>
      </c>
      <c r="AH58" s="251" t="e">
        <f t="shared" ref="AH58:BI58" si="12">AH26-AH56</f>
        <v>#N/A</v>
      </c>
      <c r="AI58" s="251" t="e">
        <f t="shared" si="12"/>
        <v>#N/A</v>
      </c>
      <c r="AJ58" s="251" t="e">
        <f t="shared" si="12"/>
        <v>#N/A</v>
      </c>
      <c r="AK58" s="251" t="e">
        <f t="shared" si="12"/>
        <v>#N/A</v>
      </c>
      <c r="AL58" s="251" t="e">
        <f t="shared" si="12"/>
        <v>#N/A</v>
      </c>
      <c r="AM58" s="251" t="e">
        <f t="shared" si="12"/>
        <v>#N/A</v>
      </c>
      <c r="AN58" s="251" t="e">
        <f t="shared" si="12"/>
        <v>#N/A</v>
      </c>
      <c r="AO58" s="251" t="e">
        <f t="shared" si="12"/>
        <v>#N/A</v>
      </c>
      <c r="AP58" s="251" t="e">
        <f t="shared" si="12"/>
        <v>#N/A</v>
      </c>
      <c r="AQ58" s="251" t="e">
        <f t="shared" si="12"/>
        <v>#N/A</v>
      </c>
      <c r="AR58" s="251" t="e">
        <f t="shared" si="12"/>
        <v>#N/A</v>
      </c>
      <c r="AS58" s="251" t="e">
        <f t="shared" si="12"/>
        <v>#N/A</v>
      </c>
      <c r="AT58" s="251" t="e">
        <f t="shared" si="12"/>
        <v>#N/A</v>
      </c>
      <c r="AU58" s="251" t="e">
        <f t="shared" si="12"/>
        <v>#N/A</v>
      </c>
      <c r="AV58" s="251" t="e">
        <f t="shared" si="12"/>
        <v>#N/A</v>
      </c>
      <c r="AW58" s="251" t="e">
        <f t="shared" si="12"/>
        <v>#N/A</v>
      </c>
      <c r="AX58" s="251" t="e">
        <f t="shared" si="12"/>
        <v>#N/A</v>
      </c>
      <c r="AY58" s="251" t="e">
        <f t="shared" si="12"/>
        <v>#N/A</v>
      </c>
      <c r="AZ58" s="251" t="e">
        <f t="shared" si="12"/>
        <v>#N/A</v>
      </c>
      <c r="BA58" s="251" t="e">
        <f t="shared" si="12"/>
        <v>#N/A</v>
      </c>
      <c r="BB58" s="251" t="e">
        <f t="shared" si="12"/>
        <v>#N/A</v>
      </c>
      <c r="BC58" s="251" t="e">
        <f t="shared" si="12"/>
        <v>#N/A</v>
      </c>
      <c r="BD58" s="251" t="e">
        <f t="shared" si="12"/>
        <v>#N/A</v>
      </c>
      <c r="BE58" s="251" t="e">
        <f t="shared" si="12"/>
        <v>#N/A</v>
      </c>
      <c r="BF58" s="251" t="e">
        <f t="shared" si="12"/>
        <v>#N/A</v>
      </c>
      <c r="BG58" s="251" t="e">
        <f t="shared" si="12"/>
        <v>#N/A</v>
      </c>
      <c r="BH58" s="251" t="e">
        <f t="shared" si="12"/>
        <v>#N/A</v>
      </c>
      <c r="BI58" s="251" t="e">
        <f t="shared" si="12"/>
        <v>#N/A</v>
      </c>
    </row>
    <row r="59" spans="1:61" s="246" customFormat="1" ht="13" x14ac:dyDescent="0.15">
      <c r="A59" s="252" t="s">
        <v>215</v>
      </c>
      <c r="B59" s="248" t="e">
        <f t="shared" ref="B59:AG59" si="13">+IF(B58&gt;0,B58/B14,"NA")</f>
        <v>#N/A</v>
      </c>
      <c r="C59" s="248" t="e">
        <f t="shared" si="13"/>
        <v>#N/A</v>
      </c>
      <c r="D59" s="248" t="e">
        <f t="shared" si="13"/>
        <v>#N/A</v>
      </c>
      <c r="E59" s="248" t="e">
        <f t="shared" si="13"/>
        <v>#N/A</v>
      </c>
      <c r="F59" s="248" t="e">
        <f t="shared" si="13"/>
        <v>#N/A</v>
      </c>
      <c r="G59" s="248" t="e">
        <f t="shared" si="13"/>
        <v>#N/A</v>
      </c>
      <c r="H59" s="248" t="e">
        <f t="shared" si="13"/>
        <v>#N/A</v>
      </c>
      <c r="I59" s="248" t="e">
        <f t="shared" si="13"/>
        <v>#N/A</v>
      </c>
      <c r="J59" s="248" t="e">
        <f t="shared" si="13"/>
        <v>#N/A</v>
      </c>
      <c r="K59" s="248" t="e">
        <f t="shared" si="13"/>
        <v>#N/A</v>
      </c>
      <c r="L59" s="248" t="e">
        <f t="shared" si="13"/>
        <v>#N/A</v>
      </c>
      <c r="M59" s="248" t="e">
        <f t="shared" si="13"/>
        <v>#N/A</v>
      </c>
      <c r="N59" s="248" t="e">
        <f t="shared" si="13"/>
        <v>#N/A</v>
      </c>
      <c r="O59" s="248" t="e">
        <f t="shared" si="13"/>
        <v>#N/A</v>
      </c>
      <c r="P59" s="248" t="e">
        <f t="shared" si="13"/>
        <v>#N/A</v>
      </c>
      <c r="Q59" s="248" t="e">
        <f t="shared" si="13"/>
        <v>#N/A</v>
      </c>
      <c r="R59" s="248" t="e">
        <f t="shared" si="13"/>
        <v>#N/A</v>
      </c>
      <c r="S59" s="248" t="e">
        <f t="shared" si="13"/>
        <v>#N/A</v>
      </c>
      <c r="T59" s="248" t="e">
        <f t="shared" si="13"/>
        <v>#N/A</v>
      </c>
      <c r="U59" s="248" t="e">
        <f t="shared" si="13"/>
        <v>#N/A</v>
      </c>
      <c r="V59" s="248" t="e">
        <f t="shared" si="13"/>
        <v>#N/A</v>
      </c>
      <c r="W59" s="248" t="e">
        <f t="shared" si="13"/>
        <v>#N/A</v>
      </c>
      <c r="X59" s="248" t="e">
        <f t="shared" si="13"/>
        <v>#N/A</v>
      </c>
      <c r="Y59" s="248" t="e">
        <f t="shared" si="13"/>
        <v>#N/A</v>
      </c>
      <c r="Z59" s="248" t="e">
        <f t="shared" si="13"/>
        <v>#N/A</v>
      </c>
      <c r="AA59" s="248" t="e">
        <f t="shared" si="13"/>
        <v>#N/A</v>
      </c>
      <c r="AB59" s="248" t="e">
        <f t="shared" si="13"/>
        <v>#N/A</v>
      </c>
      <c r="AC59" s="248" t="e">
        <f t="shared" si="13"/>
        <v>#N/A</v>
      </c>
      <c r="AD59" s="248" t="e">
        <f t="shared" si="13"/>
        <v>#N/A</v>
      </c>
      <c r="AE59" s="248" t="e">
        <f t="shared" si="13"/>
        <v>#N/A</v>
      </c>
      <c r="AF59" s="248" t="e">
        <f t="shared" si="13"/>
        <v>#N/A</v>
      </c>
      <c r="AG59" s="248" t="e">
        <f t="shared" si="13"/>
        <v>#N/A</v>
      </c>
      <c r="AH59" s="248" t="e">
        <f t="shared" ref="AH59:BI59" si="14">+IF(AH58&gt;0,AH58/AH14,"NA")</f>
        <v>#N/A</v>
      </c>
      <c r="AI59" s="248" t="e">
        <f t="shared" si="14"/>
        <v>#N/A</v>
      </c>
      <c r="AJ59" s="248" t="e">
        <f t="shared" si="14"/>
        <v>#N/A</v>
      </c>
      <c r="AK59" s="248" t="e">
        <f t="shared" si="14"/>
        <v>#N/A</v>
      </c>
      <c r="AL59" s="248" t="e">
        <f t="shared" si="14"/>
        <v>#N/A</v>
      </c>
      <c r="AM59" s="248" t="e">
        <f t="shared" si="14"/>
        <v>#N/A</v>
      </c>
      <c r="AN59" s="248" t="e">
        <f t="shared" si="14"/>
        <v>#N/A</v>
      </c>
      <c r="AO59" s="248" t="e">
        <f t="shared" si="14"/>
        <v>#N/A</v>
      </c>
      <c r="AP59" s="248" t="e">
        <f t="shared" si="14"/>
        <v>#N/A</v>
      </c>
      <c r="AQ59" s="248" t="e">
        <f t="shared" si="14"/>
        <v>#N/A</v>
      </c>
      <c r="AR59" s="248" t="e">
        <f t="shared" si="14"/>
        <v>#N/A</v>
      </c>
      <c r="AS59" s="248" t="e">
        <f t="shared" si="14"/>
        <v>#N/A</v>
      </c>
      <c r="AT59" s="248" t="e">
        <f t="shared" si="14"/>
        <v>#N/A</v>
      </c>
      <c r="AU59" s="248" t="e">
        <f t="shared" si="14"/>
        <v>#N/A</v>
      </c>
      <c r="AV59" s="248" t="e">
        <f t="shared" si="14"/>
        <v>#N/A</v>
      </c>
      <c r="AW59" s="248" t="e">
        <f t="shared" si="14"/>
        <v>#N/A</v>
      </c>
      <c r="AX59" s="248" t="e">
        <f t="shared" si="14"/>
        <v>#N/A</v>
      </c>
      <c r="AY59" s="248" t="e">
        <f t="shared" si="14"/>
        <v>#N/A</v>
      </c>
      <c r="AZ59" s="248" t="e">
        <f t="shared" si="14"/>
        <v>#N/A</v>
      </c>
      <c r="BA59" s="248" t="e">
        <f t="shared" si="14"/>
        <v>#N/A</v>
      </c>
      <c r="BB59" s="248" t="e">
        <f t="shared" si="14"/>
        <v>#N/A</v>
      </c>
      <c r="BC59" s="248" t="e">
        <f t="shared" si="14"/>
        <v>#N/A</v>
      </c>
      <c r="BD59" s="248" t="e">
        <f t="shared" si="14"/>
        <v>#N/A</v>
      </c>
      <c r="BE59" s="248" t="e">
        <f t="shared" si="14"/>
        <v>#N/A</v>
      </c>
      <c r="BF59" s="248" t="e">
        <f t="shared" si="14"/>
        <v>#N/A</v>
      </c>
      <c r="BG59" s="248" t="e">
        <f t="shared" si="14"/>
        <v>#N/A</v>
      </c>
      <c r="BH59" s="248" t="e">
        <f t="shared" si="14"/>
        <v>#N/A</v>
      </c>
      <c r="BI59" s="248" t="e">
        <f t="shared" si="14"/>
        <v>#N/A</v>
      </c>
    </row>
    <row r="60" spans="1:61" s="149" customFormat="1" x14ac:dyDescent="0.15">
      <c r="A60" s="100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</row>
    <row r="61" spans="1:61" s="149" customFormat="1" x14ac:dyDescent="0.15">
      <c r="A61" s="99" t="s">
        <v>216</v>
      </c>
      <c r="B61" s="148">
        <f>'Fixed Asset Schedules'!B9</f>
        <v>0</v>
      </c>
      <c r="C61" s="148">
        <f>'Fixed Asset Schedules'!C9</f>
        <v>0</v>
      </c>
      <c r="D61" s="148">
        <f>'Fixed Asset Schedules'!D9</f>
        <v>0</v>
      </c>
      <c r="E61" s="148">
        <f>'Fixed Asset Schedules'!E9</f>
        <v>0</v>
      </c>
      <c r="F61" s="148">
        <f>'Fixed Asset Schedules'!F9</f>
        <v>0</v>
      </c>
      <c r="G61" s="148">
        <f>'Fixed Asset Schedules'!G9</f>
        <v>0</v>
      </c>
      <c r="H61" s="148">
        <f>'Fixed Asset Schedules'!H9</f>
        <v>0</v>
      </c>
      <c r="I61" s="148">
        <f>'Fixed Asset Schedules'!I9</f>
        <v>0</v>
      </c>
      <c r="J61" s="148">
        <f>'Fixed Asset Schedules'!J9</f>
        <v>0</v>
      </c>
      <c r="K61" s="148">
        <f>'Fixed Asset Schedules'!K9</f>
        <v>0</v>
      </c>
      <c r="L61" s="148">
        <f>'Fixed Asset Schedules'!L9</f>
        <v>0</v>
      </c>
      <c r="M61" s="148">
        <f>'Fixed Asset Schedules'!M9</f>
        <v>0</v>
      </c>
      <c r="N61" s="148">
        <f>'Fixed Asset Schedules'!N9</f>
        <v>0</v>
      </c>
      <c r="O61" s="148">
        <f>'Fixed Asset Schedules'!O9</f>
        <v>0</v>
      </c>
      <c r="P61" s="148">
        <f>'Fixed Asset Schedules'!P9</f>
        <v>0</v>
      </c>
      <c r="Q61" s="148">
        <f>'Fixed Asset Schedules'!Q9</f>
        <v>0</v>
      </c>
      <c r="R61" s="148">
        <f>'Fixed Asset Schedules'!R9</f>
        <v>0</v>
      </c>
      <c r="S61" s="148">
        <f>'Fixed Asset Schedules'!S9</f>
        <v>0</v>
      </c>
      <c r="T61" s="148">
        <f>'Fixed Asset Schedules'!T9</f>
        <v>0</v>
      </c>
      <c r="U61" s="148">
        <f>'Fixed Asset Schedules'!U9</f>
        <v>0</v>
      </c>
      <c r="V61" s="148">
        <f>'Fixed Asset Schedules'!V9</f>
        <v>0</v>
      </c>
      <c r="W61" s="148">
        <f>'Fixed Asset Schedules'!W9</f>
        <v>0</v>
      </c>
      <c r="X61" s="148">
        <f>'Fixed Asset Schedules'!X9</f>
        <v>0</v>
      </c>
      <c r="Y61" s="148">
        <f>'Fixed Asset Schedules'!Y9</f>
        <v>0</v>
      </c>
      <c r="Z61" s="148">
        <f>'Fixed Asset Schedules'!Z9</f>
        <v>0</v>
      </c>
      <c r="AA61" s="148">
        <f>'Fixed Asset Schedules'!AA9</f>
        <v>0</v>
      </c>
      <c r="AB61" s="148">
        <f>'Fixed Asset Schedules'!AB9</f>
        <v>0</v>
      </c>
      <c r="AC61" s="148">
        <f>'Fixed Asset Schedules'!AC9</f>
        <v>0</v>
      </c>
      <c r="AD61" s="148">
        <f>'Fixed Asset Schedules'!AD9</f>
        <v>0</v>
      </c>
      <c r="AE61" s="148">
        <f>'Fixed Asset Schedules'!AE9</f>
        <v>0</v>
      </c>
      <c r="AF61" s="148">
        <f>'Fixed Asset Schedules'!AF9</f>
        <v>0</v>
      </c>
      <c r="AG61" s="148">
        <f>'Fixed Asset Schedules'!AG9</f>
        <v>0</v>
      </c>
      <c r="AH61" s="148">
        <f>'Fixed Asset Schedules'!AH9</f>
        <v>0</v>
      </c>
      <c r="AI61" s="148">
        <f>'Fixed Asset Schedules'!AI9</f>
        <v>0</v>
      </c>
      <c r="AJ61" s="148">
        <f>'Fixed Asset Schedules'!AJ9</f>
        <v>0</v>
      </c>
      <c r="AK61" s="148">
        <f>'Fixed Asset Schedules'!AK9</f>
        <v>0</v>
      </c>
      <c r="AL61" s="148">
        <f>'Fixed Asset Schedules'!AL9</f>
        <v>0</v>
      </c>
      <c r="AM61" s="148">
        <f>'Fixed Asset Schedules'!AM9</f>
        <v>0</v>
      </c>
      <c r="AN61" s="148">
        <f>'Fixed Asset Schedules'!AN9</f>
        <v>0</v>
      </c>
      <c r="AO61" s="148">
        <f>'Fixed Asset Schedules'!AO9</f>
        <v>0</v>
      </c>
      <c r="AP61" s="148">
        <f>'Fixed Asset Schedules'!AP9</f>
        <v>0</v>
      </c>
      <c r="AQ61" s="148">
        <f>'Fixed Asset Schedules'!AQ9</f>
        <v>0</v>
      </c>
      <c r="AR61" s="148">
        <f>'Fixed Asset Schedules'!AR9</f>
        <v>0</v>
      </c>
      <c r="AS61" s="148">
        <f>'Fixed Asset Schedules'!AS9</f>
        <v>0</v>
      </c>
      <c r="AT61" s="148">
        <f>'Fixed Asset Schedules'!AT9</f>
        <v>0</v>
      </c>
      <c r="AU61" s="148">
        <f>'Fixed Asset Schedules'!AU9</f>
        <v>0</v>
      </c>
      <c r="AV61" s="148">
        <f>'Fixed Asset Schedules'!AV9</f>
        <v>0</v>
      </c>
      <c r="AW61" s="148">
        <f>'Fixed Asset Schedules'!AW9</f>
        <v>0</v>
      </c>
      <c r="AX61" s="148">
        <f>'Fixed Asset Schedules'!AX9</f>
        <v>0</v>
      </c>
      <c r="AY61" s="148">
        <f>'Fixed Asset Schedules'!AY9</f>
        <v>0</v>
      </c>
      <c r="AZ61" s="148">
        <f>'Fixed Asset Schedules'!AZ9</f>
        <v>0</v>
      </c>
      <c r="BA61" s="148">
        <f>'Fixed Asset Schedules'!BA9</f>
        <v>0</v>
      </c>
      <c r="BB61" s="148">
        <f>'Fixed Asset Schedules'!BB9</f>
        <v>0</v>
      </c>
      <c r="BC61" s="148">
        <f>'Fixed Asset Schedules'!BC9</f>
        <v>0</v>
      </c>
      <c r="BD61" s="148">
        <f>'Fixed Asset Schedules'!BD9</f>
        <v>0</v>
      </c>
      <c r="BE61" s="148">
        <f>'Fixed Asset Schedules'!BE9</f>
        <v>0</v>
      </c>
      <c r="BF61" s="148">
        <f>'Fixed Asset Schedules'!BF9</f>
        <v>0</v>
      </c>
      <c r="BG61" s="148">
        <f>'Fixed Asset Schedules'!BG9</f>
        <v>0</v>
      </c>
      <c r="BH61" s="148">
        <f>'Fixed Asset Schedules'!BH9</f>
        <v>0</v>
      </c>
      <c r="BI61" s="148">
        <f>'Fixed Asset Schedules'!BI9</f>
        <v>0</v>
      </c>
    </row>
    <row r="62" spans="1:61" s="149" customFormat="1" x14ac:dyDescent="0.15">
      <c r="A62" s="99" t="s">
        <v>217</v>
      </c>
      <c r="B62" s="148" t="e">
        <f>'Debt Schedule'!#REF!</f>
        <v>#REF!</v>
      </c>
      <c r="C62" s="148" t="e">
        <f>'Debt Schedule'!#REF!</f>
        <v>#REF!</v>
      </c>
      <c r="D62" s="148" t="e">
        <f>'Debt Schedule'!#REF!</f>
        <v>#REF!</v>
      </c>
      <c r="E62" s="148" t="e">
        <f>'Debt Schedule'!#REF!</f>
        <v>#REF!</v>
      </c>
      <c r="F62" s="148" t="e">
        <f>'Debt Schedule'!#REF!</f>
        <v>#REF!</v>
      </c>
      <c r="G62" s="148" t="e">
        <f>'Debt Schedule'!#REF!</f>
        <v>#REF!</v>
      </c>
      <c r="H62" s="148" t="e">
        <f>'Debt Schedule'!#REF!</f>
        <v>#REF!</v>
      </c>
      <c r="I62" s="148" t="e">
        <f>'Debt Schedule'!#REF!</f>
        <v>#REF!</v>
      </c>
      <c r="J62" s="148" t="e">
        <f>'Debt Schedule'!#REF!</f>
        <v>#REF!</v>
      </c>
      <c r="K62" s="148" t="e">
        <f>'Debt Schedule'!#REF!</f>
        <v>#REF!</v>
      </c>
      <c r="L62" s="148" t="e">
        <f>'Debt Schedule'!#REF!</f>
        <v>#REF!</v>
      </c>
      <c r="M62" s="148" t="e">
        <f>'Debt Schedule'!#REF!</f>
        <v>#REF!</v>
      </c>
      <c r="N62" s="148" t="e">
        <f>'Debt Schedule'!#REF!</f>
        <v>#REF!</v>
      </c>
      <c r="O62" s="148" t="e">
        <f>'Debt Schedule'!#REF!</f>
        <v>#REF!</v>
      </c>
      <c r="P62" s="148" t="e">
        <f>'Debt Schedule'!#REF!</f>
        <v>#REF!</v>
      </c>
      <c r="Q62" s="148" t="e">
        <f>'Debt Schedule'!#REF!</f>
        <v>#REF!</v>
      </c>
      <c r="R62" s="148" t="e">
        <f>'Debt Schedule'!#REF!</f>
        <v>#REF!</v>
      </c>
      <c r="S62" s="148" t="e">
        <f>'Debt Schedule'!#REF!</f>
        <v>#REF!</v>
      </c>
      <c r="T62" s="148" t="e">
        <f>'Debt Schedule'!#REF!</f>
        <v>#REF!</v>
      </c>
      <c r="U62" s="148" t="e">
        <f>'Debt Schedule'!#REF!</f>
        <v>#REF!</v>
      </c>
      <c r="V62" s="148" t="e">
        <f>'Debt Schedule'!#REF!</f>
        <v>#REF!</v>
      </c>
      <c r="W62" s="148" t="e">
        <f>'Debt Schedule'!#REF!</f>
        <v>#REF!</v>
      </c>
      <c r="X62" s="148" t="e">
        <f>'Debt Schedule'!#REF!</f>
        <v>#REF!</v>
      </c>
      <c r="Y62" s="148" t="e">
        <f>'Debt Schedule'!#REF!</f>
        <v>#REF!</v>
      </c>
      <c r="Z62" s="148" t="e">
        <f>'Debt Schedule'!#REF!</f>
        <v>#REF!</v>
      </c>
      <c r="AA62" s="148" t="e">
        <f>'Debt Schedule'!#REF!</f>
        <v>#REF!</v>
      </c>
      <c r="AB62" s="148" t="e">
        <f>'Debt Schedule'!#REF!</f>
        <v>#REF!</v>
      </c>
      <c r="AC62" s="148" t="e">
        <f>'Debt Schedule'!#REF!</f>
        <v>#REF!</v>
      </c>
      <c r="AD62" s="148" t="e">
        <f>'Debt Schedule'!#REF!</f>
        <v>#REF!</v>
      </c>
      <c r="AE62" s="148" t="e">
        <f>'Debt Schedule'!#REF!</f>
        <v>#REF!</v>
      </c>
      <c r="AF62" s="148" t="e">
        <f>'Debt Schedule'!#REF!</f>
        <v>#REF!</v>
      </c>
      <c r="AG62" s="148" t="e">
        <f>'Debt Schedule'!#REF!</f>
        <v>#REF!</v>
      </c>
      <c r="AH62" s="148" t="e">
        <f>'Debt Schedule'!#REF!</f>
        <v>#REF!</v>
      </c>
      <c r="AI62" s="148" t="e">
        <f>'Debt Schedule'!#REF!</f>
        <v>#REF!</v>
      </c>
      <c r="AJ62" s="148" t="e">
        <f>'Debt Schedule'!#REF!</f>
        <v>#REF!</v>
      </c>
      <c r="AK62" s="148" t="e">
        <f>'Debt Schedule'!#REF!</f>
        <v>#REF!</v>
      </c>
      <c r="AL62" s="148" t="e">
        <f>'Debt Schedule'!#REF!</f>
        <v>#REF!</v>
      </c>
      <c r="AM62" s="148" t="e">
        <f>'Debt Schedule'!#REF!</f>
        <v>#REF!</v>
      </c>
      <c r="AN62" s="148" t="e">
        <f>'Debt Schedule'!#REF!</f>
        <v>#REF!</v>
      </c>
      <c r="AO62" s="148" t="e">
        <f>'Debt Schedule'!#REF!</f>
        <v>#REF!</v>
      </c>
      <c r="AP62" s="148" t="e">
        <f>'Debt Schedule'!#REF!</f>
        <v>#REF!</v>
      </c>
      <c r="AQ62" s="148" t="e">
        <f>'Debt Schedule'!#REF!</f>
        <v>#REF!</v>
      </c>
      <c r="AR62" s="148" t="e">
        <f>'Debt Schedule'!#REF!</f>
        <v>#REF!</v>
      </c>
      <c r="AS62" s="148" t="e">
        <f>'Debt Schedule'!#REF!</f>
        <v>#REF!</v>
      </c>
      <c r="AT62" s="148" t="e">
        <f>'Debt Schedule'!#REF!</f>
        <v>#REF!</v>
      </c>
      <c r="AU62" s="148" t="e">
        <f>'Debt Schedule'!#REF!</f>
        <v>#REF!</v>
      </c>
      <c r="AV62" s="148" t="e">
        <f>'Debt Schedule'!#REF!</f>
        <v>#REF!</v>
      </c>
      <c r="AW62" s="148" t="e">
        <f>'Debt Schedule'!#REF!</f>
        <v>#REF!</v>
      </c>
      <c r="AX62" s="148" t="e">
        <f>'Debt Schedule'!#REF!</f>
        <v>#REF!</v>
      </c>
      <c r="AY62" s="148" t="e">
        <f>'Debt Schedule'!#REF!</f>
        <v>#REF!</v>
      </c>
      <c r="AZ62" s="148" t="e">
        <f>'Debt Schedule'!#REF!</f>
        <v>#REF!</v>
      </c>
      <c r="BA62" s="148" t="e">
        <f>'Debt Schedule'!#REF!</f>
        <v>#REF!</v>
      </c>
      <c r="BB62" s="148" t="e">
        <f>'Debt Schedule'!#REF!</f>
        <v>#REF!</v>
      </c>
      <c r="BC62" s="148" t="e">
        <f>'Debt Schedule'!#REF!</f>
        <v>#REF!</v>
      </c>
      <c r="BD62" s="148" t="e">
        <f>'Debt Schedule'!#REF!</f>
        <v>#REF!</v>
      </c>
      <c r="BE62" s="148" t="e">
        <f>'Debt Schedule'!#REF!</f>
        <v>#REF!</v>
      </c>
      <c r="BF62" s="148" t="e">
        <f>'Debt Schedule'!#REF!</f>
        <v>#REF!</v>
      </c>
      <c r="BG62" s="148" t="e">
        <f>'Debt Schedule'!#REF!</f>
        <v>#REF!</v>
      </c>
      <c r="BH62" s="148" t="e">
        <f>'Debt Schedule'!#REF!</f>
        <v>#REF!</v>
      </c>
      <c r="BI62" s="148" t="e">
        <f>'Debt Schedule'!#REF!</f>
        <v>#REF!</v>
      </c>
    </row>
    <row r="63" spans="1:61" s="149" customFormat="1" x14ac:dyDescent="0.15">
      <c r="A63" s="101"/>
      <c r="B63" s="144"/>
      <c r="C63" s="144"/>
      <c r="D63" s="144"/>
      <c r="E63" s="148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</row>
    <row r="64" spans="1:61" s="149" customFormat="1" x14ac:dyDescent="0.15">
      <c r="A64" s="102" t="s">
        <v>218</v>
      </c>
      <c r="B64" s="155" t="e">
        <f>+B58-B61-B62</f>
        <v>#N/A</v>
      </c>
      <c r="C64" s="155" t="e">
        <f t="shared" ref="C64:BI64" si="15">+C58-C61-C62</f>
        <v>#N/A</v>
      </c>
      <c r="D64" s="155" t="e">
        <f t="shared" si="15"/>
        <v>#N/A</v>
      </c>
      <c r="E64" s="155" t="e">
        <f t="shared" si="15"/>
        <v>#N/A</v>
      </c>
      <c r="F64" s="155" t="e">
        <f t="shared" si="15"/>
        <v>#N/A</v>
      </c>
      <c r="G64" s="155" t="e">
        <f t="shared" si="15"/>
        <v>#N/A</v>
      </c>
      <c r="H64" s="155" t="e">
        <f t="shared" si="15"/>
        <v>#N/A</v>
      </c>
      <c r="I64" s="155" t="e">
        <f t="shared" si="15"/>
        <v>#N/A</v>
      </c>
      <c r="J64" s="155" t="e">
        <f t="shared" si="15"/>
        <v>#N/A</v>
      </c>
      <c r="K64" s="155" t="e">
        <f t="shared" si="15"/>
        <v>#N/A</v>
      </c>
      <c r="L64" s="155" t="e">
        <f t="shared" si="15"/>
        <v>#N/A</v>
      </c>
      <c r="M64" s="155" t="e">
        <f t="shared" si="15"/>
        <v>#N/A</v>
      </c>
      <c r="N64" s="155" t="e">
        <f t="shared" si="15"/>
        <v>#N/A</v>
      </c>
      <c r="O64" s="155" t="e">
        <f t="shared" si="15"/>
        <v>#N/A</v>
      </c>
      <c r="P64" s="155" t="e">
        <f t="shared" si="15"/>
        <v>#N/A</v>
      </c>
      <c r="Q64" s="155" t="e">
        <f t="shared" si="15"/>
        <v>#N/A</v>
      </c>
      <c r="R64" s="155" t="e">
        <f t="shared" si="15"/>
        <v>#N/A</v>
      </c>
      <c r="S64" s="155" t="e">
        <f t="shared" si="15"/>
        <v>#N/A</v>
      </c>
      <c r="T64" s="155" t="e">
        <f t="shared" si="15"/>
        <v>#N/A</v>
      </c>
      <c r="U64" s="155" t="e">
        <f t="shared" si="15"/>
        <v>#N/A</v>
      </c>
      <c r="V64" s="155" t="e">
        <f t="shared" si="15"/>
        <v>#N/A</v>
      </c>
      <c r="W64" s="155" t="e">
        <f t="shared" si="15"/>
        <v>#N/A</v>
      </c>
      <c r="X64" s="155" t="e">
        <f t="shared" si="15"/>
        <v>#N/A</v>
      </c>
      <c r="Y64" s="155" t="e">
        <f t="shared" si="15"/>
        <v>#N/A</v>
      </c>
      <c r="Z64" s="155" t="e">
        <f t="shared" si="15"/>
        <v>#N/A</v>
      </c>
      <c r="AA64" s="155" t="e">
        <f t="shared" si="15"/>
        <v>#N/A</v>
      </c>
      <c r="AB64" s="155" t="e">
        <f t="shared" si="15"/>
        <v>#N/A</v>
      </c>
      <c r="AC64" s="155" t="e">
        <f t="shared" si="15"/>
        <v>#N/A</v>
      </c>
      <c r="AD64" s="155" t="e">
        <f t="shared" si="15"/>
        <v>#N/A</v>
      </c>
      <c r="AE64" s="155" t="e">
        <f t="shared" si="15"/>
        <v>#N/A</v>
      </c>
      <c r="AF64" s="155" t="e">
        <f t="shared" si="15"/>
        <v>#N/A</v>
      </c>
      <c r="AG64" s="155" t="e">
        <f t="shared" si="15"/>
        <v>#N/A</v>
      </c>
      <c r="AH64" s="155" t="e">
        <f t="shared" si="15"/>
        <v>#N/A</v>
      </c>
      <c r="AI64" s="155" t="e">
        <f t="shared" si="15"/>
        <v>#N/A</v>
      </c>
      <c r="AJ64" s="155" t="e">
        <f t="shared" si="15"/>
        <v>#N/A</v>
      </c>
      <c r="AK64" s="155" t="e">
        <f t="shared" si="15"/>
        <v>#N/A</v>
      </c>
      <c r="AL64" s="155" t="e">
        <f t="shared" si="15"/>
        <v>#N/A</v>
      </c>
      <c r="AM64" s="155" t="e">
        <f t="shared" si="15"/>
        <v>#N/A</v>
      </c>
      <c r="AN64" s="155" t="e">
        <f t="shared" si="15"/>
        <v>#N/A</v>
      </c>
      <c r="AO64" s="155" t="e">
        <f t="shared" si="15"/>
        <v>#N/A</v>
      </c>
      <c r="AP64" s="155" t="e">
        <f t="shared" si="15"/>
        <v>#N/A</v>
      </c>
      <c r="AQ64" s="155" t="e">
        <f t="shared" si="15"/>
        <v>#N/A</v>
      </c>
      <c r="AR64" s="155" t="e">
        <f t="shared" si="15"/>
        <v>#N/A</v>
      </c>
      <c r="AS64" s="155" t="e">
        <f t="shared" si="15"/>
        <v>#N/A</v>
      </c>
      <c r="AT64" s="155" t="e">
        <f t="shared" si="15"/>
        <v>#N/A</v>
      </c>
      <c r="AU64" s="155" t="e">
        <f t="shared" si="15"/>
        <v>#N/A</v>
      </c>
      <c r="AV64" s="155" t="e">
        <f t="shared" si="15"/>
        <v>#N/A</v>
      </c>
      <c r="AW64" s="155" t="e">
        <f t="shared" si="15"/>
        <v>#N/A</v>
      </c>
      <c r="AX64" s="155" t="e">
        <f t="shared" si="15"/>
        <v>#N/A</v>
      </c>
      <c r="AY64" s="155" t="e">
        <f t="shared" si="15"/>
        <v>#N/A</v>
      </c>
      <c r="AZ64" s="155" t="e">
        <f t="shared" si="15"/>
        <v>#N/A</v>
      </c>
      <c r="BA64" s="155" t="e">
        <f t="shared" si="15"/>
        <v>#N/A</v>
      </c>
      <c r="BB64" s="155" t="e">
        <f t="shared" si="15"/>
        <v>#N/A</v>
      </c>
      <c r="BC64" s="155" t="e">
        <f t="shared" si="15"/>
        <v>#N/A</v>
      </c>
      <c r="BD64" s="155" t="e">
        <f t="shared" si="15"/>
        <v>#N/A</v>
      </c>
      <c r="BE64" s="155" t="e">
        <f t="shared" si="15"/>
        <v>#N/A</v>
      </c>
      <c r="BF64" s="155" t="e">
        <f t="shared" si="15"/>
        <v>#N/A</v>
      </c>
      <c r="BG64" s="155" t="e">
        <f t="shared" si="15"/>
        <v>#N/A</v>
      </c>
      <c r="BH64" s="155" t="e">
        <f t="shared" si="15"/>
        <v>#N/A</v>
      </c>
      <c r="BI64" s="155" t="e">
        <f t="shared" si="15"/>
        <v>#N/A</v>
      </c>
    </row>
    <row r="65" spans="1:61" s="149" customFormat="1" x14ac:dyDescent="0.15">
      <c r="A65" s="99" t="s">
        <v>69</v>
      </c>
      <c r="B65" s="156">
        <f>IF(MONTH(B$5)=12,SUMIF([1]Sheet1!$C$5:$G$5,B$3,[1]Sheet1!$C$63:$G$63),0)</f>
        <v>0</v>
      </c>
      <c r="C65" s="156">
        <f>IF(MONTH(C$5)=12,SUMIF([1]Sheet1!$C$5:$G$5,C$3,[1]Sheet1!$C$63:$G$63),0)</f>
        <v>0</v>
      </c>
      <c r="D65" s="156">
        <f>IF(MONTH(D$5)=12,SUMIF([1]Sheet1!$C$5:$G$5,D$3,[1]Sheet1!$C$63:$G$63),0)</f>
        <v>0</v>
      </c>
      <c r="E65" s="156">
        <f>IF(MONTH(E$5)=12,SUMIF([1]Sheet1!$C$5:$G$5,E$3,[1]Sheet1!$C$63:$G$63),0)</f>
        <v>0</v>
      </c>
      <c r="F65" s="156">
        <f>IF(MONTH(F$5)=12,SUMIF([1]Sheet1!$C$5:$G$5,F$3,[1]Sheet1!$C$63:$G$63),0)</f>
        <v>0</v>
      </c>
      <c r="G65" s="156">
        <f>IF(MONTH(G$5)=12,SUMIF([1]Sheet1!$C$5:$G$5,G$3,[1]Sheet1!$C$63:$G$63),0)</f>
        <v>0</v>
      </c>
      <c r="H65" s="156" t="e">
        <f>IF(MONTH(H$5)=12,SUMIF([1]Sheet1!$C$5:$G$5,H$3,[1]Sheet1!$C$63:$G$63),0)</f>
        <v>#VALUE!</v>
      </c>
      <c r="I65" s="156">
        <f>IF(MONTH(I$5)=12,SUMIF([1]Sheet1!$C$5:$G$5,I$3,[1]Sheet1!$C$63:$G$63),0)</f>
        <v>0</v>
      </c>
      <c r="J65" s="156">
        <f>IF(MONTH(J$5)=12,SUMIF([1]Sheet1!$C$5:$G$5,J$3,[1]Sheet1!$C$63:$G$63),0)</f>
        <v>0</v>
      </c>
      <c r="K65" s="156">
        <f>IF(MONTH(K$5)=12,SUMIF([1]Sheet1!$C$5:$G$5,K$3,[1]Sheet1!$C$63:$G$63),0)</f>
        <v>0</v>
      </c>
      <c r="L65" s="156">
        <f>IF(MONTH(L$5)=12,SUMIF([1]Sheet1!$C$5:$G$5,L$3,[1]Sheet1!$C$63:$G$63),0)</f>
        <v>0</v>
      </c>
      <c r="M65" s="156">
        <f>IF(MONTH(M$5)=12,SUMIF([1]Sheet1!$C$5:$G$5,M$3,[1]Sheet1!$C$63:$G$63),0)</f>
        <v>0</v>
      </c>
      <c r="N65" s="156">
        <f>IF(MONTH(N$5)=12,SUMIF([1]Sheet1!$C$5:$G$5,N$3,[1]Sheet1!$C$63:$G$63),0)</f>
        <v>0</v>
      </c>
      <c r="O65" s="156">
        <f>IF(MONTH(O$5)=12,SUMIF([1]Sheet1!$C$5:$G$5,O$3,[1]Sheet1!$C$63:$G$63),0)</f>
        <v>0</v>
      </c>
      <c r="P65" s="156">
        <f>IF(MONTH(P$5)=12,SUMIF([1]Sheet1!$C$5:$G$5,P$3,[1]Sheet1!$C$63:$G$63),0)</f>
        <v>0</v>
      </c>
      <c r="Q65" s="156">
        <f>IF(MONTH(Q$5)=12,SUMIF([1]Sheet1!$C$5:$G$5,Q$3,[1]Sheet1!$C$63:$G$63),0)</f>
        <v>0</v>
      </c>
      <c r="R65" s="156">
        <f>IF(MONTH(R$5)=12,SUMIF([1]Sheet1!$C$5:$G$5,R$3,[1]Sheet1!$C$63:$G$63),0)</f>
        <v>0</v>
      </c>
      <c r="S65" s="156">
        <f>IF(MONTH(S$5)=12,SUMIF([1]Sheet1!$C$5:$G$5,S$3,[1]Sheet1!$C$63:$G$63),0)</f>
        <v>0</v>
      </c>
      <c r="T65" s="156" t="e">
        <f>IF(MONTH(T$5)=12,SUMIF([1]Sheet1!$C$5:$G$5,T$3,[1]Sheet1!$C$63:$G$63),0)</f>
        <v>#VALUE!</v>
      </c>
      <c r="U65" s="156">
        <f>IF(MONTH(U$5)=12,SUMIF([1]Sheet1!$C$5:$G$5,U$3,[1]Sheet1!$C$63:$G$63),0)</f>
        <v>0</v>
      </c>
      <c r="V65" s="156">
        <f>IF(MONTH(V$5)=12,SUMIF([1]Sheet1!$C$5:$G$5,V$3,[1]Sheet1!$C$63:$G$63),0)</f>
        <v>0</v>
      </c>
      <c r="W65" s="156">
        <f>IF(MONTH(W$5)=12,SUMIF([1]Sheet1!$C$5:$G$5,W$3,[1]Sheet1!$C$63:$G$63),0)</f>
        <v>0</v>
      </c>
      <c r="X65" s="156">
        <f>IF(MONTH(X$5)=12,SUMIF([1]Sheet1!$C$5:$G$5,X$3,[1]Sheet1!$C$63:$G$63),0)</f>
        <v>0</v>
      </c>
      <c r="Y65" s="156">
        <f>IF(MONTH(Y$5)=12,SUMIF([1]Sheet1!$C$5:$G$5,Y$3,[1]Sheet1!$C$63:$G$63),0)</f>
        <v>0</v>
      </c>
      <c r="Z65" s="156">
        <f>IF(MONTH(Z$5)=12,SUMIF([1]Sheet1!$C$5:$G$5,Z$3,[1]Sheet1!$C$63:$G$63),0)</f>
        <v>0</v>
      </c>
      <c r="AA65" s="156">
        <f>IF(MONTH(AA$5)=12,SUMIF([1]Sheet1!$C$5:$G$5,AA$3,[1]Sheet1!$C$63:$G$63),0)</f>
        <v>0</v>
      </c>
      <c r="AB65" s="156">
        <f>IF(MONTH(AB$5)=12,SUMIF([1]Sheet1!$C$5:$G$5,AB$3,[1]Sheet1!$C$63:$G$63),0)</f>
        <v>0</v>
      </c>
      <c r="AC65" s="156">
        <f>IF(MONTH(AC$5)=12,SUMIF([1]Sheet1!$C$5:$G$5,AC$3,[1]Sheet1!$C$63:$G$63),0)</f>
        <v>0</v>
      </c>
      <c r="AD65" s="156">
        <f>IF(MONTH(AD$5)=12,SUMIF([1]Sheet1!$C$5:$G$5,AD$3,[1]Sheet1!$C$63:$G$63),0)</f>
        <v>0</v>
      </c>
      <c r="AE65" s="156">
        <f>IF(MONTH(AE$5)=12,SUMIF([1]Sheet1!$C$5:$G$5,AE$3,[1]Sheet1!$C$63:$G$63),0)</f>
        <v>0</v>
      </c>
      <c r="AF65" s="156" t="e">
        <f>IF(MONTH(AF$5)=12,SUMIF([1]Sheet1!$C$5:$G$5,AF$3,[1]Sheet1!$C$63:$G$63),0)</f>
        <v>#VALUE!</v>
      </c>
      <c r="AG65" s="156">
        <f>IF(MONTH(AG$5)=12,SUMIF([1]Sheet1!$C$5:$G$5,AG$3,[1]Sheet1!$C$63:$G$63),0)</f>
        <v>0</v>
      </c>
      <c r="AH65" s="156">
        <f>IF(MONTH(AH$5)=12,SUMIF([1]Sheet1!$C$5:$G$5,AH$3,[1]Sheet1!$C$63:$G$63),0)</f>
        <v>0</v>
      </c>
      <c r="AI65" s="156">
        <f>IF(MONTH(AI$5)=12,SUMIF([1]Sheet1!$C$5:$G$5,AI$3,[1]Sheet1!$C$63:$G$63),0)</f>
        <v>0</v>
      </c>
      <c r="AJ65" s="156">
        <f>IF(MONTH(AJ$5)=12,SUMIF([1]Sheet1!$C$5:$G$5,AJ$3,[1]Sheet1!$C$63:$G$63),0)</f>
        <v>0</v>
      </c>
      <c r="AK65" s="156">
        <f>IF(MONTH(AK$5)=12,SUMIF([1]Sheet1!$C$5:$G$5,AK$3,[1]Sheet1!$C$63:$G$63),0)</f>
        <v>0</v>
      </c>
      <c r="AL65" s="156">
        <f>IF(MONTH(AL$5)=12,SUMIF([1]Sheet1!$C$5:$G$5,AL$3,[1]Sheet1!$C$63:$G$63),0)</f>
        <v>0</v>
      </c>
      <c r="AM65" s="156">
        <f>IF(MONTH(AM$5)=12,SUMIF([1]Sheet1!$C$5:$G$5,AM$3,[1]Sheet1!$C$63:$G$63),0)</f>
        <v>0</v>
      </c>
      <c r="AN65" s="156">
        <f>IF(MONTH(AN$5)=12,SUMIF([1]Sheet1!$C$5:$G$5,AN$3,[1]Sheet1!$C$63:$G$63),0)</f>
        <v>0</v>
      </c>
      <c r="AO65" s="156">
        <f>IF(MONTH(AO$5)=12,SUMIF([1]Sheet1!$C$5:$G$5,AO$3,[1]Sheet1!$C$63:$G$63),0)</f>
        <v>0</v>
      </c>
      <c r="AP65" s="156">
        <f>IF(MONTH(AP$5)=12,SUMIF([1]Sheet1!$C$5:$G$5,AP$3,[1]Sheet1!$C$63:$G$63),0)</f>
        <v>0</v>
      </c>
      <c r="AQ65" s="156">
        <f>IF(MONTH(AQ$5)=12,SUMIF([1]Sheet1!$C$5:$G$5,AQ$3,[1]Sheet1!$C$63:$G$63),0)</f>
        <v>0</v>
      </c>
      <c r="AR65" s="156" t="e">
        <f>IF(MONTH(AR$5)=12,SUMIF([1]Sheet1!$C$5:$G$5,AR$3,[1]Sheet1!$C$63:$G$63),0)</f>
        <v>#VALUE!</v>
      </c>
      <c r="AS65" s="156">
        <f>IF(MONTH(AS$5)=12,SUMIF([1]Sheet1!$C$5:$G$5,AS$3,[1]Sheet1!$C$63:$G$63),0)</f>
        <v>0</v>
      </c>
      <c r="AT65" s="156">
        <f>IF(MONTH(AT$5)=12,SUMIF([1]Sheet1!$C$5:$G$5,AT$3,[1]Sheet1!$C$63:$G$63),0)</f>
        <v>0</v>
      </c>
      <c r="AU65" s="156">
        <f>IF(MONTH(AU$5)=12,SUMIF([1]Sheet1!$C$5:$G$5,AU$3,[1]Sheet1!$C$63:$G$63),0)</f>
        <v>0</v>
      </c>
      <c r="AV65" s="156">
        <f>IF(MONTH(AV$5)=12,SUMIF([1]Sheet1!$C$5:$G$5,AV$3,[1]Sheet1!$C$63:$G$63),0)</f>
        <v>0</v>
      </c>
      <c r="AW65" s="156">
        <f>IF(MONTH(AW$5)=12,SUMIF([1]Sheet1!$C$5:$G$5,AW$3,[1]Sheet1!$C$63:$G$63),0)</f>
        <v>0</v>
      </c>
      <c r="AX65" s="156">
        <f>IF(MONTH(AX$5)=12,SUMIF([1]Sheet1!$C$5:$G$5,AX$3,[1]Sheet1!$C$63:$G$63),0)</f>
        <v>0</v>
      </c>
      <c r="AY65" s="156">
        <f>IF(MONTH(AY$5)=12,SUMIF([1]Sheet1!$C$5:$G$5,AY$3,[1]Sheet1!$C$63:$G$63),0)</f>
        <v>0</v>
      </c>
      <c r="AZ65" s="156">
        <f>IF(MONTH(AZ$5)=12,SUMIF([1]Sheet1!$C$5:$G$5,AZ$3,[1]Sheet1!$C$63:$G$63),0)</f>
        <v>0</v>
      </c>
      <c r="BA65" s="156">
        <f>IF(MONTH(BA$5)=12,SUMIF([1]Sheet1!$C$5:$G$5,BA$3,[1]Sheet1!$C$63:$G$63),0)</f>
        <v>0</v>
      </c>
      <c r="BB65" s="156">
        <f>IF(MONTH(BB$5)=12,SUMIF([1]Sheet1!$C$5:$G$5,BB$3,[1]Sheet1!$C$63:$G$63),0)</f>
        <v>0</v>
      </c>
      <c r="BC65" s="156">
        <f>IF(MONTH(BC$5)=12,SUMIF([1]Sheet1!$C$5:$G$5,BC$3,[1]Sheet1!$C$63:$G$63),0)</f>
        <v>0</v>
      </c>
      <c r="BD65" s="156" t="e">
        <f>IF(MONTH(BD$5)=12,SUMIF([1]Sheet1!$C$5:$G$5,BD$3,[1]Sheet1!$C$63:$G$63),0)</f>
        <v>#VALUE!</v>
      </c>
      <c r="BE65" s="156">
        <f>IF(MONTH(BE$5)=12,SUMIF([1]Sheet1!$C$5:$G$5,BE$3,[1]Sheet1!$C$63:$G$63),0)</f>
        <v>0</v>
      </c>
      <c r="BF65" s="156">
        <f>IF(MONTH(BF$5)=12,SUMIF([1]Sheet1!$C$5:$G$5,BF$3,[1]Sheet1!$C$63:$G$63),0)</f>
        <v>0</v>
      </c>
      <c r="BG65" s="156">
        <f>IF(MONTH(BG$5)=12,SUMIF([1]Sheet1!$C$5:$G$5,BG$3,[1]Sheet1!$C$63:$G$63),0)</f>
        <v>0</v>
      </c>
      <c r="BH65" s="156">
        <f>IF(MONTH(BH$5)=12,SUMIF([1]Sheet1!$C$5:$G$5,BH$3,[1]Sheet1!$C$63:$G$63),0)</f>
        <v>0</v>
      </c>
      <c r="BI65" s="156">
        <f>IF(MONTH(BI$5)=12,SUMIF([1]Sheet1!$C$5:$G$5,BI$3,[1]Sheet1!$C$63:$G$63),0)</f>
        <v>0</v>
      </c>
    </row>
    <row r="66" spans="1:61" s="149" customFormat="1" x14ac:dyDescent="0.15">
      <c r="A66" s="99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</row>
    <row r="67" spans="1:61" s="149" customFormat="1" ht="13" thickBot="1" x14ac:dyDescent="0.2">
      <c r="A67" s="133" t="s">
        <v>219</v>
      </c>
      <c r="B67" s="157" t="e">
        <f>+B64-B65</f>
        <v>#N/A</v>
      </c>
      <c r="C67" s="157" t="e">
        <f t="shared" ref="C67:BI67" si="16">+C64-C65</f>
        <v>#N/A</v>
      </c>
      <c r="D67" s="157" t="e">
        <f t="shared" si="16"/>
        <v>#N/A</v>
      </c>
      <c r="E67" s="157" t="e">
        <f t="shared" si="16"/>
        <v>#N/A</v>
      </c>
      <c r="F67" s="157" t="e">
        <f t="shared" si="16"/>
        <v>#N/A</v>
      </c>
      <c r="G67" s="157" t="e">
        <f t="shared" si="16"/>
        <v>#N/A</v>
      </c>
      <c r="H67" s="157" t="e">
        <f t="shared" si="16"/>
        <v>#N/A</v>
      </c>
      <c r="I67" s="157" t="e">
        <f t="shared" si="16"/>
        <v>#N/A</v>
      </c>
      <c r="J67" s="157" t="e">
        <f t="shared" si="16"/>
        <v>#N/A</v>
      </c>
      <c r="K67" s="157" t="e">
        <f t="shared" si="16"/>
        <v>#N/A</v>
      </c>
      <c r="L67" s="157" t="e">
        <f t="shared" si="16"/>
        <v>#N/A</v>
      </c>
      <c r="M67" s="157" t="e">
        <f t="shared" si="16"/>
        <v>#N/A</v>
      </c>
      <c r="N67" s="157" t="e">
        <f t="shared" si="16"/>
        <v>#N/A</v>
      </c>
      <c r="O67" s="157" t="e">
        <f t="shared" si="16"/>
        <v>#N/A</v>
      </c>
      <c r="P67" s="157" t="e">
        <f t="shared" si="16"/>
        <v>#N/A</v>
      </c>
      <c r="Q67" s="157" t="e">
        <f t="shared" si="16"/>
        <v>#N/A</v>
      </c>
      <c r="R67" s="157" t="e">
        <f t="shared" si="16"/>
        <v>#N/A</v>
      </c>
      <c r="S67" s="157" t="e">
        <f t="shared" si="16"/>
        <v>#N/A</v>
      </c>
      <c r="T67" s="157" t="e">
        <f t="shared" si="16"/>
        <v>#N/A</v>
      </c>
      <c r="U67" s="157" t="e">
        <f t="shared" si="16"/>
        <v>#N/A</v>
      </c>
      <c r="V67" s="157" t="e">
        <f t="shared" si="16"/>
        <v>#N/A</v>
      </c>
      <c r="W67" s="157" t="e">
        <f t="shared" si="16"/>
        <v>#N/A</v>
      </c>
      <c r="X67" s="157" t="e">
        <f t="shared" si="16"/>
        <v>#N/A</v>
      </c>
      <c r="Y67" s="157" t="e">
        <f t="shared" si="16"/>
        <v>#N/A</v>
      </c>
      <c r="Z67" s="157" t="e">
        <f t="shared" si="16"/>
        <v>#N/A</v>
      </c>
      <c r="AA67" s="157" t="e">
        <f t="shared" si="16"/>
        <v>#N/A</v>
      </c>
      <c r="AB67" s="157" t="e">
        <f t="shared" si="16"/>
        <v>#N/A</v>
      </c>
      <c r="AC67" s="157" t="e">
        <f t="shared" si="16"/>
        <v>#N/A</v>
      </c>
      <c r="AD67" s="157" t="e">
        <f t="shared" si="16"/>
        <v>#N/A</v>
      </c>
      <c r="AE67" s="157" t="e">
        <f t="shared" si="16"/>
        <v>#N/A</v>
      </c>
      <c r="AF67" s="157" t="e">
        <f t="shared" si="16"/>
        <v>#N/A</v>
      </c>
      <c r="AG67" s="157" t="e">
        <f t="shared" si="16"/>
        <v>#N/A</v>
      </c>
      <c r="AH67" s="157" t="e">
        <f t="shared" si="16"/>
        <v>#N/A</v>
      </c>
      <c r="AI67" s="157" t="e">
        <f t="shared" si="16"/>
        <v>#N/A</v>
      </c>
      <c r="AJ67" s="157" t="e">
        <f t="shared" si="16"/>
        <v>#N/A</v>
      </c>
      <c r="AK67" s="157" t="e">
        <f t="shared" si="16"/>
        <v>#N/A</v>
      </c>
      <c r="AL67" s="157" t="e">
        <f t="shared" si="16"/>
        <v>#N/A</v>
      </c>
      <c r="AM67" s="157" t="e">
        <f t="shared" si="16"/>
        <v>#N/A</v>
      </c>
      <c r="AN67" s="157" t="e">
        <f t="shared" si="16"/>
        <v>#N/A</v>
      </c>
      <c r="AO67" s="157" t="e">
        <f t="shared" si="16"/>
        <v>#N/A</v>
      </c>
      <c r="AP67" s="157" t="e">
        <f t="shared" si="16"/>
        <v>#N/A</v>
      </c>
      <c r="AQ67" s="157" t="e">
        <f t="shared" si="16"/>
        <v>#N/A</v>
      </c>
      <c r="AR67" s="157" t="e">
        <f t="shared" si="16"/>
        <v>#N/A</v>
      </c>
      <c r="AS67" s="157" t="e">
        <f t="shared" si="16"/>
        <v>#N/A</v>
      </c>
      <c r="AT67" s="157" t="e">
        <f t="shared" si="16"/>
        <v>#N/A</v>
      </c>
      <c r="AU67" s="157" t="e">
        <f t="shared" si="16"/>
        <v>#N/A</v>
      </c>
      <c r="AV67" s="157" t="e">
        <f t="shared" si="16"/>
        <v>#N/A</v>
      </c>
      <c r="AW67" s="157" t="e">
        <f t="shared" si="16"/>
        <v>#N/A</v>
      </c>
      <c r="AX67" s="157" t="e">
        <f t="shared" si="16"/>
        <v>#N/A</v>
      </c>
      <c r="AY67" s="157" t="e">
        <f t="shared" si="16"/>
        <v>#N/A</v>
      </c>
      <c r="AZ67" s="157" t="e">
        <f t="shared" si="16"/>
        <v>#N/A</v>
      </c>
      <c r="BA67" s="157" t="e">
        <f t="shared" si="16"/>
        <v>#N/A</v>
      </c>
      <c r="BB67" s="157" t="e">
        <f t="shared" si="16"/>
        <v>#N/A</v>
      </c>
      <c r="BC67" s="157" t="e">
        <f t="shared" si="16"/>
        <v>#N/A</v>
      </c>
      <c r="BD67" s="157" t="e">
        <f t="shared" si="16"/>
        <v>#N/A</v>
      </c>
      <c r="BE67" s="157" t="e">
        <f t="shared" si="16"/>
        <v>#N/A</v>
      </c>
      <c r="BF67" s="157" t="e">
        <f t="shared" si="16"/>
        <v>#N/A</v>
      </c>
      <c r="BG67" s="157" t="e">
        <f t="shared" si="16"/>
        <v>#N/A</v>
      </c>
      <c r="BH67" s="157" t="e">
        <f t="shared" si="16"/>
        <v>#N/A</v>
      </c>
      <c r="BI67" s="157" t="e">
        <f t="shared" si="16"/>
        <v>#N/A</v>
      </c>
    </row>
    <row r="68" spans="1:61" ht="13" thickTop="1" x14ac:dyDescent="0.15">
      <c r="A68" s="103" t="s">
        <v>220</v>
      </c>
      <c r="B68" s="80" t="e">
        <f t="shared" ref="B68:AG68" si="17">+IF(B67&gt;0,B67/B14,"NA")</f>
        <v>#N/A</v>
      </c>
      <c r="C68" s="80" t="e">
        <f t="shared" si="17"/>
        <v>#N/A</v>
      </c>
      <c r="D68" s="80" t="e">
        <f t="shared" si="17"/>
        <v>#N/A</v>
      </c>
      <c r="E68" s="80" t="e">
        <f t="shared" si="17"/>
        <v>#N/A</v>
      </c>
      <c r="F68" s="80" t="e">
        <f t="shared" si="17"/>
        <v>#N/A</v>
      </c>
      <c r="G68" s="80" t="e">
        <f t="shared" si="17"/>
        <v>#N/A</v>
      </c>
      <c r="H68" s="80" t="e">
        <f t="shared" si="17"/>
        <v>#N/A</v>
      </c>
      <c r="I68" s="80" t="e">
        <f t="shared" si="17"/>
        <v>#N/A</v>
      </c>
      <c r="J68" s="80" t="e">
        <f t="shared" si="17"/>
        <v>#N/A</v>
      </c>
      <c r="K68" s="80" t="e">
        <f t="shared" si="17"/>
        <v>#N/A</v>
      </c>
      <c r="L68" s="80" t="e">
        <f t="shared" si="17"/>
        <v>#N/A</v>
      </c>
      <c r="M68" s="80" t="e">
        <f t="shared" si="17"/>
        <v>#N/A</v>
      </c>
      <c r="N68" s="80" t="e">
        <f t="shared" si="17"/>
        <v>#N/A</v>
      </c>
      <c r="O68" s="80" t="e">
        <f t="shared" si="17"/>
        <v>#N/A</v>
      </c>
      <c r="P68" s="80" t="e">
        <f t="shared" si="17"/>
        <v>#N/A</v>
      </c>
      <c r="Q68" s="80" t="e">
        <f t="shared" si="17"/>
        <v>#N/A</v>
      </c>
      <c r="R68" s="80" t="e">
        <f t="shared" si="17"/>
        <v>#N/A</v>
      </c>
      <c r="S68" s="80" t="e">
        <f t="shared" si="17"/>
        <v>#N/A</v>
      </c>
      <c r="T68" s="80" t="e">
        <f t="shared" si="17"/>
        <v>#N/A</v>
      </c>
      <c r="U68" s="80" t="e">
        <f t="shared" si="17"/>
        <v>#N/A</v>
      </c>
      <c r="V68" s="80" t="e">
        <f t="shared" si="17"/>
        <v>#N/A</v>
      </c>
      <c r="W68" s="80" t="e">
        <f t="shared" si="17"/>
        <v>#N/A</v>
      </c>
      <c r="X68" s="80" t="e">
        <f t="shared" si="17"/>
        <v>#N/A</v>
      </c>
      <c r="Y68" s="80" t="e">
        <f t="shared" si="17"/>
        <v>#N/A</v>
      </c>
      <c r="Z68" s="80" t="e">
        <f t="shared" si="17"/>
        <v>#N/A</v>
      </c>
      <c r="AA68" s="80" t="e">
        <f t="shared" si="17"/>
        <v>#N/A</v>
      </c>
      <c r="AB68" s="80" t="e">
        <f t="shared" si="17"/>
        <v>#N/A</v>
      </c>
      <c r="AC68" s="80" t="e">
        <f t="shared" si="17"/>
        <v>#N/A</v>
      </c>
      <c r="AD68" s="80" t="e">
        <f t="shared" si="17"/>
        <v>#N/A</v>
      </c>
      <c r="AE68" s="80" t="e">
        <f t="shared" si="17"/>
        <v>#N/A</v>
      </c>
      <c r="AF68" s="80" t="e">
        <f t="shared" si="17"/>
        <v>#N/A</v>
      </c>
      <c r="AG68" s="80" t="e">
        <f t="shared" si="17"/>
        <v>#N/A</v>
      </c>
      <c r="AH68" s="80" t="e">
        <f t="shared" ref="AH68:BI68" si="18">+IF(AH67&gt;0,AH67/AH14,"NA")</f>
        <v>#N/A</v>
      </c>
      <c r="AI68" s="80" t="e">
        <f t="shared" si="18"/>
        <v>#N/A</v>
      </c>
      <c r="AJ68" s="80" t="e">
        <f t="shared" si="18"/>
        <v>#N/A</v>
      </c>
      <c r="AK68" s="80" t="e">
        <f t="shared" si="18"/>
        <v>#N/A</v>
      </c>
      <c r="AL68" s="80" t="e">
        <f t="shared" si="18"/>
        <v>#N/A</v>
      </c>
      <c r="AM68" s="80" t="e">
        <f t="shared" si="18"/>
        <v>#N/A</v>
      </c>
      <c r="AN68" s="80" t="e">
        <f t="shared" si="18"/>
        <v>#N/A</v>
      </c>
      <c r="AO68" s="80" t="e">
        <f t="shared" si="18"/>
        <v>#N/A</v>
      </c>
      <c r="AP68" s="80" t="e">
        <f t="shared" si="18"/>
        <v>#N/A</v>
      </c>
      <c r="AQ68" s="80" t="e">
        <f t="shared" si="18"/>
        <v>#N/A</v>
      </c>
      <c r="AR68" s="80" t="e">
        <f t="shared" si="18"/>
        <v>#N/A</v>
      </c>
      <c r="AS68" s="80" t="e">
        <f t="shared" si="18"/>
        <v>#N/A</v>
      </c>
      <c r="AT68" s="80" t="e">
        <f t="shared" si="18"/>
        <v>#N/A</v>
      </c>
      <c r="AU68" s="80" t="e">
        <f t="shared" si="18"/>
        <v>#N/A</v>
      </c>
      <c r="AV68" s="80" t="e">
        <f t="shared" si="18"/>
        <v>#N/A</v>
      </c>
      <c r="AW68" s="80" t="e">
        <f t="shared" si="18"/>
        <v>#N/A</v>
      </c>
      <c r="AX68" s="80" t="e">
        <f t="shared" si="18"/>
        <v>#N/A</v>
      </c>
      <c r="AY68" s="80" t="e">
        <f t="shared" si="18"/>
        <v>#N/A</v>
      </c>
      <c r="AZ68" s="80" t="e">
        <f t="shared" si="18"/>
        <v>#N/A</v>
      </c>
      <c r="BA68" s="80" t="e">
        <f t="shared" si="18"/>
        <v>#N/A</v>
      </c>
      <c r="BB68" s="80" t="e">
        <f t="shared" si="18"/>
        <v>#N/A</v>
      </c>
      <c r="BC68" s="80" t="e">
        <f t="shared" si="18"/>
        <v>#N/A</v>
      </c>
      <c r="BD68" s="80" t="e">
        <f t="shared" si="18"/>
        <v>#N/A</v>
      </c>
      <c r="BE68" s="80" t="e">
        <f t="shared" si="18"/>
        <v>#N/A</v>
      </c>
      <c r="BF68" s="80" t="e">
        <f t="shared" si="18"/>
        <v>#N/A</v>
      </c>
      <c r="BG68" s="80" t="e">
        <f t="shared" si="18"/>
        <v>#N/A</v>
      </c>
      <c r="BH68" s="80" t="e">
        <f t="shared" si="18"/>
        <v>#N/A</v>
      </c>
      <c r="BI68" s="80" t="e">
        <f t="shared" si="18"/>
        <v>#N/A</v>
      </c>
    </row>
    <row r="71" spans="1:61" x14ac:dyDescent="0.15">
      <c r="N71" s="21"/>
    </row>
    <row r="76" spans="1:61" x14ac:dyDescent="0.15">
      <c r="L76" s="3" t="s">
        <v>371</v>
      </c>
    </row>
    <row r="81" spans="26:26" x14ac:dyDescent="0.15">
      <c r="Z81" s="3" t="s">
        <v>34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EDF7-F887-4734-835B-33C31115B8AA}">
  <sheetPr codeName="Sheet9">
    <tabColor rgb="FF92D050"/>
    <pageSetUpPr fitToPage="1"/>
  </sheetPr>
  <dimension ref="A1:BC969"/>
  <sheetViews>
    <sheetView showGridLines="0" tabSelected="1" zoomScale="130" zoomScaleNormal="130" workbookViewId="0">
      <selection activeCell="B16" sqref="B16"/>
    </sheetView>
  </sheetViews>
  <sheetFormatPr baseColWidth="10" defaultColWidth="8.5" defaultRowHeight="12" x14ac:dyDescent="0.15"/>
  <cols>
    <col min="1" max="1" width="48.83203125" style="3" bestFit="1" customWidth="1"/>
    <col min="2" max="2" width="36.5" style="3" bestFit="1" customWidth="1"/>
    <col min="3" max="3" width="14.6640625" style="3" bestFit="1" customWidth="1"/>
    <col min="4" max="5" width="15.5" style="3" bestFit="1" customWidth="1"/>
    <col min="6" max="7" width="13.83203125" style="3" customWidth="1"/>
    <col min="8" max="16384" width="8.5" style="3"/>
  </cols>
  <sheetData>
    <row r="1" spans="1:51" s="106" customFormat="1" ht="26.25" customHeight="1" x14ac:dyDescent="0.3">
      <c r="A1" s="104" t="s">
        <v>386</v>
      </c>
      <c r="C1" s="105"/>
      <c r="D1" s="112"/>
      <c r="E1" s="112"/>
      <c r="F1" s="112"/>
      <c r="G1" s="113"/>
      <c r="H1" s="105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</row>
    <row r="2" spans="1:51" s="108" customFormat="1" ht="34" x14ac:dyDescent="0.2">
      <c r="A2" s="429" t="s">
        <v>385</v>
      </c>
      <c r="B2" s="107" t="s">
        <v>366</v>
      </c>
    </row>
    <row r="3" spans="1:51" s="108" customFormat="1" ht="13" x14ac:dyDescent="0.15">
      <c r="B3" s="109" t="s">
        <v>42</v>
      </c>
    </row>
    <row r="4" spans="1:51" s="108" customFormat="1" x14ac:dyDescent="0.15">
      <c r="A4" s="110" t="s">
        <v>373</v>
      </c>
      <c r="B4" s="110" t="s">
        <v>48</v>
      </c>
      <c r="C4" s="116">
        <f>+Controls!B5</f>
        <v>2026</v>
      </c>
      <c r="D4" s="116">
        <f>Controls!C5</f>
        <v>2027</v>
      </c>
      <c r="E4" s="116">
        <f>Controls!D5</f>
        <v>2028</v>
      </c>
      <c r="F4" s="116">
        <f>Controls!E5</f>
        <v>2029</v>
      </c>
      <c r="G4" s="116">
        <f>Controls!F5</f>
        <v>2030</v>
      </c>
    </row>
    <row r="5" spans="1:51" s="15" customFormat="1" hidden="1" x14ac:dyDescent="0.15">
      <c r="A5" s="14" t="s">
        <v>37</v>
      </c>
      <c r="B5" s="14"/>
      <c r="C5" s="399"/>
      <c r="D5" s="399"/>
      <c r="E5" s="399"/>
      <c r="F5" s="399"/>
      <c r="G5" s="399"/>
      <c r="H5" s="3"/>
    </row>
    <row r="6" spans="1:51" s="402" customFormat="1" hidden="1" x14ac:dyDescent="0.15">
      <c r="A6" s="1" t="s">
        <v>64</v>
      </c>
      <c r="B6" s="1" t="s">
        <v>202</v>
      </c>
      <c r="C6" s="400" t="e">
        <f>SUMIF('Monthly P&amp;L'!$B$3:$BI$3,C$4,'Monthly P&amp;L'!$B7:$BI7)</f>
        <v>#N/A</v>
      </c>
      <c r="D6" s="400" t="e">
        <f>SUMIF('Monthly P&amp;L'!$B$3:$BI$3,D$4,'Monthly P&amp;L'!$B7:$BI7)</f>
        <v>#N/A</v>
      </c>
      <c r="E6" s="400" t="e">
        <f>SUMIF('Monthly P&amp;L'!$B$3:$BI$3,E$4,'Monthly P&amp;L'!$B7:$BI7)</f>
        <v>#N/A</v>
      </c>
      <c r="F6" s="400" t="e">
        <f>SUMIF('Monthly P&amp;L'!$B$3:$BI$3,F$4,'Monthly P&amp;L'!$B7:$BI7)</f>
        <v>#N/A</v>
      </c>
      <c r="G6" s="400" t="e">
        <f>SUMIF('Monthly P&amp;L'!$B$3:$BI$3,G$4,'Monthly P&amp;L'!$B7:$BI7)</f>
        <v>#N/A</v>
      </c>
      <c r="H6" s="401"/>
    </row>
    <row r="7" spans="1:51" s="402" customFormat="1" hidden="1" x14ac:dyDescent="0.15">
      <c r="A7" s="1" t="s">
        <v>374</v>
      </c>
      <c r="B7" s="1" t="s">
        <v>203</v>
      </c>
      <c r="C7" s="400" t="e">
        <f>SUMIF('Monthly P&amp;L'!$B$3:$BI$3,C$4,'Monthly P&amp;L'!$B8:$BI8)</f>
        <v>#N/A</v>
      </c>
      <c r="D7" s="400" t="e">
        <f>SUMIF('Monthly P&amp;L'!$B$3:$BI$3,D$4,'Monthly P&amp;L'!$B8:$BI8)</f>
        <v>#N/A</v>
      </c>
      <c r="E7" s="400" t="e">
        <f>SUMIF('Monthly P&amp;L'!$B$3:$BI$3,E$4,'Monthly P&amp;L'!$B8:$BI8)</f>
        <v>#N/A</v>
      </c>
      <c r="F7" s="400" t="e">
        <f>SUMIF('Monthly P&amp;L'!$B$3:$BI$3,F$4,'Monthly P&amp;L'!$B8:$BI8)</f>
        <v>#N/A</v>
      </c>
      <c r="G7" s="400" t="e">
        <f>SUMIF('Monthly P&amp;L'!$B$3:$BI$3,G$4,'Monthly P&amp;L'!$B8:$BI8)</f>
        <v>#N/A</v>
      </c>
      <c r="H7" s="403"/>
    </row>
    <row r="8" spans="1:51" s="403" customFormat="1" hidden="1" x14ac:dyDescent="0.15">
      <c r="A8" s="404" t="s">
        <v>375</v>
      </c>
      <c r="B8" s="404" t="s">
        <v>114</v>
      </c>
      <c r="C8" s="400" t="e">
        <f>SUMIF('Monthly P&amp;L'!$B$3:$BI$3,C$4,'Monthly P&amp;L'!$B9:$BI9)</f>
        <v>#N/A</v>
      </c>
      <c r="D8" s="400" t="e">
        <f>SUMIF('Monthly P&amp;L'!$B$3:$BI$3,D$4,'Monthly P&amp;L'!$B9:$BI9)</f>
        <v>#N/A</v>
      </c>
      <c r="E8" s="400" t="e">
        <f>SUMIF('Monthly P&amp;L'!$B$3:$BI$3,E$4,'Monthly P&amp;L'!$B9:$BI9)</f>
        <v>#N/A</v>
      </c>
      <c r="F8" s="400" t="e">
        <f>SUMIF('Monthly P&amp;L'!$B$3:$BI$3,F$4,'Monthly P&amp;L'!$B9:$BI9)</f>
        <v>#N/A</v>
      </c>
      <c r="G8" s="400" t="e">
        <f>SUMIF('Monthly P&amp;L'!$B$3:$BI$3,G$4,'Monthly P&amp;L'!$B9:$BI9)</f>
        <v>#N/A</v>
      </c>
    </row>
    <row r="9" spans="1:51" s="403" customFormat="1" x14ac:dyDescent="0.15">
      <c r="A9" s="404"/>
      <c r="B9" s="404"/>
      <c r="C9" s="400"/>
      <c r="D9" s="400"/>
      <c r="E9" s="400"/>
      <c r="F9" s="400"/>
      <c r="G9" s="400"/>
    </row>
    <row r="10" spans="1:51" s="403" customFormat="1" x14ac:dyDescent="0.15">
      <c r="A10" s="489" t="s">
        <v>375</v>
      </c>
      <c r="B10" s="489" t="s">
        <v>207</v>
      </c>
      <c r="C10" s="490">
        <f>+Controls!B51</f>
        <v>299700</v>
      </c>
      <c r="D10" s="490">
        <f>+Controls!C51</f>
        <v>856087.5</v>
      </c>
      <c r="E10" s="490">
        <f>+Controls!D51</f>
        <v>2295375</v>
      </c>
      <c r="F10" s="490">
        <f>+Controls!E51</f>
        <v>4490850</v>
      </c>
      <c r="G10" s="490">
        <f>+Controls!F51</f>
        <v>7209585</v>
      </c>
    </row>
    <row r="11" spans="1:51" s="406" customFormat="1" x14ac:dyDescent="0.15">
      <c r="A11" s="405"/>
      <c r="B11" s="405" t="s">
        <v>465</v>
      </c>
      <c r="C11" s="407">
        <f>+C10/39</f>
        <v>7684.6153846153848</v>
      </c>
      <c r="D11" s="407">
        <f t="shared" ref="D11:G11" si="0">+D10/39</f>
        <v>21950.961538461539</v>
      </c>
      <c r="E11" s="407">
        <f t="shared" si="0"/>
        <v>58855.769230769234</v>
      </c>
      <c r="F11" s="407">
        <f t="shared" si="0"/>
        <v>115150</v>
      </c>
      <c r="G11" s="407">
        <f t="shared" si="0"/>
        <v>184861.15384615384</v>
      </c>
      <c r="H11" s="403"/>
    </row>
    <row r="12" spans="1:51" s="406" customFormat="1" hidden="1" x14ac:dyDescent="0.15">
      <c r="A12" s="1" t="s">
        <v>37</v>
      </c>
      <c r="B12" s="1" t="s">
        <v>52</v>
      </c>
      <c r="C12" s="400">
        <f>SUMIF('Monthly P&amp;L'!$B$3:$BI$3,C$4,'Monthly P&amp;L'!$B16:$BI18)</f>
        <v>0</v>
      </c>
      <c r="D12" s="400" t="e">
        <f>SUMIF('Monthly P&amp;L'!$B$3:$BI$3,D$4,'Monthly P&amp;L'!$B17:$BI17)</f>
        <v>#REF!</v>
      </c>
      <c r="E12" s="400" t="e">
        <f>SUMIF('Monthly P&amp;L'!$B$3:$BI$3,E$4,'Monthly P&amp;L'!$B17:$BI17)</f>
        <v>#REF!</v>
      </c>
      <c r="F12" s="400" t="e">
        <f>SUMIF('Monthly P&amp;L'!$B$3:$BI$3,F$4,'Monthly P&amp;L'!$B17:$BI17)</f>
        <v>#REF!</v>
      </c>
      <c r="G12" s="400" t="e">
        <f>SUMIF('Monthly P&amp;L'!$B$3:$BI$3,G$4,'Monthly P&amp;L'!$B17:$BI17)</f>
        <v>#REF!</v>
      </c>
      <c r="H12" s="403"/>
    </row>
    <row r="13" spans="1:51" s="406" customFormat="1" hidden="1" x14ac:dyDescent="0.15">
      <c r="A13" s="1" t="s">
        <v>64</v>
      </c>
      <c r="B13" s="1" t="s">
        <v>58</v>
      </c>
      <c r="C13" s="400" t="e">
        <f>SUMIF('Monthly P&amp;L'!$B$3:$BI$3,C$4,'Monthly P&amp;L'!$B17:$BI19)</f>
        <v>#REF!</v>
      </c>
      <c r="D13" s="400" t="e">
        <f>SUMIF('Monthly P&amp;L'!$B$3:$BI$3,D$4,'Monthly P&amp;L'!$B18:$BI18)</f>
        <v>#REF!</v>
      </c>
      <c r="E13" s="400" t="e">
        <f>SUMIF('Monthly P&amp;L'!$B$3:$BI$3,E$4,'Monthly P&amp;L'!$B18:$BI18)</f>
        <v>#REF!</v>
      </c>
      <c r="F13" s="400" t="e">
        <f>SUMIF('Monthly P&amp;L'!$B$3:$BI$3,F$4,'Monthly P&amp;L'!$B18:$BI18)</f>
        <v>#REF!</v>
      </c>
      <c r="G13" s="400" t="e">
        <f>SUMIF('Monthly P&amp;L'!$B$3:$BI$3,G$4,'Monthly P&amp;L'!$B18:$BI18)</f>
        <v>#REF!</v>
      </c>
      <c r="H13" s="403"/>
    </row>
    <row r="14" spans="1:51" s="406" customFormat="1" hidden="1" x14ac:dyDescent="0.15">
      <c r="A14" s="1" t="s">
        <v>374</v>
      </c>
      <c r="B14" s="1" t="s">
        <v>114</v>
      </c>
      <c r="C14" s="400" t="e">
        <f>SUMIF('Monthly P&amp;L'!$B$3:$BI$3,C$4,'Monthly P&amp;L'!$B18:$BI20)</f>
        <v>#REF!</v>
      </c>
      <c r="D14" s="400" t="e">
        <f>SUMIF('Monthly P&amp;L'!$B$3:$BI$3,D$4,'Monthly P&amp;L'!$B19:$BI19)</f>
        <v>#REF!</v>
      </c>
      <c r="E14" s="400" t="e">
        <f>SUMIF('Monthly P&amp;L'!$B$3:$BI$3,E$4,'Monthly P&amp;L'!$B19:$BI19)</f>
        <v>#REF!</v>
      </c>
      <c r="F14" s="400" t="e">
        <f>SUMIF('Monthly P&amp;L'!$B$3:$BI$3,F$4,'Monthly P&amp;L'!$B19:$BI19)</f>
        <v>#REF!</v>
      </c>
      <c r="G14" s="400" t="e">
        <f>SUMIF('Monthly P&amp;L'!$B$3:$BI$3,G$4,'Monthly P&amp;L'!$B19:$BI19)</f>
        <v>#REF!</v>
      </c>
      <c r="H14" s="403"/>
    </row>
    <row r="15" spans="1:51" s="406" customFormat="1" x14ac:dyDescent="0.15">
      <c r="A15" s="408" t="s">
        <v>376</v>
      </c>
      <c r="B15" s="408" t="s">
        <v>367</v>
      </c>
      <c r="C15" s="409">
        <f>+'Expense Assumptions'!B27</f>
        <v>158760</v>
      </c>
      <c r="D15" s="409">
        <f>+'Expense Assumptions'!C27</f>
        <v>453495</v>
      </c>
      <c r="E15" s="409">
        <f>+'Expense Assumptions'!D27</f>
        <v>906990</v>
      </c>
      <c r="F15" s="409">
        <f>+'Expense Assumptions'!E27</f>
        <v>1496460</v>
      </c>
      <c r="G15" s="409">
        <f>+'Expense Assumptions'!F27</f>
        <v>2054178</v>
      </c>
    </row>
    <row r="16" spans="1:51" s="403" customFormat="1" x14ac:dyDescent="0.15">
      <c r="A16" s="17" t="s">
        <v>34</v>
      </c>
      <c r="B16" s="17"/>
      <c r="C16" s="410"/>
      <c r="D16" s="410"/>
      <c r="E16" s="410"/>
      <c r="F16" s="410"/>
      <c r="G16" s="411"/>
    </row>
    <row r="17" spans="1:55" s="403" customFormat="1" x14ac:dyDescent="0.15">
      <c r="A17" s="408" t="s">
        <v>377</v>
      </c>
      <c r="B17" s="408" t="s">
        <v>209</v>
      </c>
      <c r="C17" s="409">
        <f>C10-C15</f>
        <v>140940</v>
      </c>
      <c r="D17" s="409">
        <f>D10-D15</f>
        <v>402592.5</v>
      </c>
      <c r="E17" s="409">
        <f>E10-E15</f>
        <v>1388385</v>
      </c>
      <c r="F17" s="409">
        <f>F10-F15</f>
        <v>2994390</v>
      </c>
      <c r="G17" s="409">
        <f>G10-G15</f>
        <v>5155407</v>
      </c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412"/>
      <c r="AD17" s="412"/>
      <c r="AE17" s="412"/>
      <c r="AF17" s="412"/>
      <c r="AG17" s="412"/>
      <c r="AH17" s="412"/>
      <c r="AI17" s="412"/>
      <c r="AJ17" s="412"/>
      <c r="AK17" s="412"/>
      <c r="AL17" s="412"/>
      <c r="AM17" s="412"/>
      <c r="AN17" s="412"/>
      <c r="AO17" s="412"/>
      <c r="AP17" s="412"/>
      <c r="AQ17" s="412"/>
      <c r="AR17" s="412"/>
      <c r="AS17" s="412"/>
      <c r="AT17" s="412"/>
      <c r="AU17" s="412"/>
      <c r="AV17" s="412"/>
      <c r="AW17" s="412"/>
      <c r="AX17" s="412"/>
      <c r="AY17" s="412"/>
      <c r="AZ17" s="412"/>
      <c r="BA17" s="412"/>
      <c r="BB17" s="412"/>
      <c r="BC17" s="412"/>
    </row>
    <row r="18" spans="1:55" s="403" customFormat="1" x14ac:dyDescent="0.15">
      <c r="A18" s="17" t="s">
        <v>34</v>
      </c>
      <c r="B18" s="17"/>
      <c r="C18" s="413"/>
      <c r="D18" s="413"/>
      <c r="E18" s="413"/>
      <c r="F18" s="413"/>
      <c r="G18" s="413"/>
    </row>
    <row r="19" spans="1:55" s="403" customFormat="1" x14ac:dyDescent="0.15">
      <c r="A19" s="403" t="s">
        <v>384</v>
      </c>
      <c r="C19" s="414"/>
      <c r="D19" s="414"/>
      <c r="E19" s="414"/>
      <c r="F19" s="414"/>
      <c r="G19" s="414"/>
    </row>
    <row r="20" spans="1:55" s="403" customFormat="1" x14ac:dyDescent="0.15">
      <c r="A20" s="408" t="s">
        <v>378</v>
      </c>
      <c r="B20" s="408" t="s">
        <v>128</v>
      </c>
      <c r="C20" s="415">
        <f>+Controls!B127</f>
        <v>99960</v>
      </c>
      <c r="D20" s="415">
        <f>+Controls!C127</f>
        <v>140688</v>
      </c>
      <c r="E20" s="415">
        <f>+Controls!D127</f>
        <v>182621.40000000002</v>
      </c>
      <c r="F20" s="415">
        <f>+Controls!E127</f>
        <v>221362.14</v>
      </c>
      <c r="G20" s="415">
        <f>+Controls!F127</f>
        <v>251244.16200000001</v>
      </c>
    </row>
    <row r="21" spans="1:55" s="403" customFormat="1" x14ac:dyDescent="0.15">
      <c r="A21" s="416" t="s">
        <v>379</v>
      </c>
      <c r="B21" s="416" t="s">
        <v>368</v>
      </c>
      <c r="C21" s="400">
        <f>+'Expense Assumptions'!B70</f>
        <v>0</v>
      </c>
      <c r="D21" s="400">
        <f>+'Expense Assumptions'!C70</f>
        <v>91000</v>
      </c>
      <c r="E21" s="400">
        <f>+'Expense Assumptions'!D70</f>
        <v>237200</v>
      </c>
      <c r="F21" s="400">
        <f>+'Expense Assumptions'!E70</f>
        <v>420970</v>
      </c>
      <c r="G21" s="400">
        <f>+'Expense Assumptions'!F70</f>
        <v>700779.5</v>
      </c>
    </row>
    <row r="22" spans="1:55" s="418" customFormat="1" x14ac:dyDescent="0.15">
      <c r="A22" s="1" t="s">
        <v>34</v>
      </c>
      <c r="B22" s="1"/>
      <c r="C22" s="417"/>
      <c r="D22" s="417"/>
      <c r="E22" s="417"/>
      <c r="F22" s="417"/>
      <c r="G22" s="417"/>
    </row>
    <row r="23" spans="1:55" s="403" customFormat="1" x14ac:dyDescent="0.15">
      <c r="A23" s="419" t="s">
        <v>380</v>
      </c>
      <c r="B23" s="419" t="s">
        <v>213</v>
      </c>
      <c r="C23" s="420">
        <f>+C21+C20</f>
        <v>99960</v>
      </c>
      <c r="D23" s="420">
        <f>+D21+D20</f>
        <v>231688</v>
      </c>
      <c r="E23" s="420">
        <f>+E21+E20</f>
        <v>419821.4</v>
      </c>
      <c r="F23" s="420">
        <f>+F21+F20</f>
        <v>642332.14</v>
      </c>
      <c r="G23" s="420">
        <f>+G21+G20</f>
        <v>952023.66200000001</v>
      </c>
    </row>
    <row r="24" spans="1:55" s="403" customFormat="1" x14ac:dyDescent="0.15">
      <c r="A24" s="3" t="s">
        <v>34</v>
      </c>
      <c r="B24" s="3"/>
      <c r="C24" s="421"/>
      <c r="D24" s="421"/>
      <c r="E24" s="421"/>
      <c r="F24" s="421"/>
      <c r="G24" s="421"/>
    </row>
    <row r="25" spans="1:55" s="403" customFormat="1" x14ac:dyDescent="0.15">
      <c r="A25" s="422" t="s">
        <v>214</v>
      </c>
      <c r="B25" s="422" t="s">
        <v>214</v>
      </c>
      <c r="C25" s="423">
        <f>+C17-C23</f>
        <v>40980</v>
      </c>
      <c r="D25" s="423">
        <f>+D17-D23</f>
        <v>170904.5</v>
      </c>
      <c r="E25" s="423">
        <f>+E17-E23</f>
        <v>968563.6</v>
      </c>
      <c r="F25" s="423">
        <f>+F17-F23</f>
        <v>2352057.86</v>
      </c>
      <c r="G25" s="423">
        <f>+G17-G23</f>
        <v>4203383.3379999995</v>
      </c>
      <c r="H25" s="424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412"/>
      <c r="AD25" s="412"/>
      <c r="AE25" s="412"/>
      <c r="AF25" s="412"/>
      <c r="AG25" s="412"/>
      <c r="AH25" s="412"/>
      <c r="AI25" s="412"/>
      <c r="AJ25" s="412"/>
      <c r="AK25" s="412"/>
      <c r="AL25" s="412"/>
      <c r="AM25" s="412"/>
      <c r="AN25" s="412"/>
      <c r="AO25" s="412"/>
      <c r="AP25" s="412"/>
      <c r="AQ25" s="412"/>
      <c r="AR25" s="412"/>
      <c r="AS25" s="412"/>
      <c r="AT25" s="412"/>
      <c r="AU25" s="412"/>
      <c r="AV25" s="412"/>
      <c r="AW25" s="412"/>
      <c r="AX25" s="412"/>
      <c r="AY25" s="412"/>
      <c r="AZ25" s="412"/>
      <c r="BA25" s="412"/>
      <c r="BB25" s="412"/>
      <c r="BC25" s="412"/>
    </row>
    <row r="26" spans="1:55" s="403" customFormat="1" x14ac:dyDescent="0.15">
      <c r="A26" s="425" t="s">
        <v>34</v>
      </c>
      <c r="B26" s="425"/>
      <c r="C26" s="400"/>
      <c r="D26" s="400"/>
      <c r="E26" s="400"/>
      <c r="F26" s="400"/>
      <c r="G26" s="400"/>
    </row>
    <row r="27" spans="1:55" s="403" customFormat="1" x14ac:dyDescent="0.15">
      <c r="A27" s="416" t="s">
        <v>381</v>
      </c>
      <c r="B27" s="416" t="s">
        <v>216</v>
      </c>
      <c r="C27" s="400"/>
      <c r="D27" s="400"/>
      <c r="E27" s="400"/>
      <c r="F27" s="400"/>
      <c r="G27" s="400"/>
      <c r="H27" s="421"/>
    </row>
    <row r="28" spans="1:55" s="403" customFormat="1" x14ac:dyDescent="0.15">
      <c r="A28" s="99" t="s">
        <v>382</v>
      </c>
      <c r="B28" s="99" t="s">
        <v>217</v>
      </c>
      <c r="C28" s="400"/>
      <c r="D28" s="400"/>
      <c r="E28" s="400"/>
      <c r="F28" s="400"/>
      <c r="G28" s="400"/>
      <c r="H28" s="421"/>
    </row>
    <row r="29" spans="1:55" s="403" customFormat="1" x14ac:dyDescent="0.15">
      <c r="A29" s="426" t="s">
        <v>34</v>
      </c>
      <c r="B29" s="426"/>
      <c r="C29" s="414"/>
      <c r="D29" s="414"/>
      <c r="E29" s="414"/>
      <c r="F29" s="414"/>
      <c r="G29" s="414"/>
    </row>
    <row r="30" spans="1:55" s="418" customFormat="1" x14ac:dyDescent="0.15">
      <c r="A30" s="427" t="s">
        <v>383</v>
      </c>
      <c r="B30" s="427" t="s">
        <v>218</v>
      </c>
      <c r="C30" s="428">
        <f>+C25-C27-C28</f>
        <v>40980</v>
      </c>
      <c r="D30" s="428">
        <f>+D25-D27-D28</f>
        <v>170904.5</v>
      </c>
      <c r="E30" s="428">
        <f>+E25-E27-E28</f>
        <v>968563.6</v>
      </c>
      <c r="F30" s="428">
        <f>+F25-F27-F28</f>
        <v>2352057.86</v>
      </c>
      <c r="G30" s="428">
        <f>+G25-G27-G28</f>
        <v>4203383.3379999995</v>
      </c>
    </row>
    <row r="31" spans="1:55" x14ac:dyDescent="0.15">
      <c r="A31" s="416" t="s">
        <v>34</v>
      </c>
      <c r="B31" s="416"/>
      <c r="C31" s="412"/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  <c r="AA31" s="412"/>
      <c r="AB31" s="412"/>
      <c r="AC31" s="412"/>
      <c r="AD31" s="412"/>
      <c r="AE31" s="412"/>
      <c r="AF31" s="412"/>
      <c r="AG31" s="412"/>
      <c r="AH31" s="412"/>
      <c r="AI31" s="412"/>
      <c r="AJ31" s="412"/>
      <c r="AK31" s="412"/>
      <c r="AL31" s="412"/>
      <c r="AM31" s="412"/>
      <c r="AN31" s="412"/>
      <c r="AO31" s="412"/>
      <c r="AP31" s="412"/>
      <c r="AQ31" s="412"/>
      <c r="AR31" s="412"/>
      <c r="AS31" s="412"/>
      <c r="AT31" s="412"/>
      <c r="AU31" s="412"/>
      <c r="AV31" s="412"/>
      <c r="AW31" s="412"/>
      <c r="AX31" s="412"/>
      <c r="AY31" s="412"/>
      <c r="AZ31" s="412"/>
      <c r="BA31" s="412"/>
      <c r="BB31" s="412"/>
      <c r="BC31" s="412"/>
    </row>
    <row r="32" spans="1:55" ht="13" x14ac:dyDescent="0.15">
      <c r="A32" s="89"/>
    </row>
    <row r="33" spans="1:1" ht="13" x14ac:dyDescent="0.15">
      <c r="A33" s="89"/>
    </row>
    <row r="34" spans="1:1" ht="13" x14ac:dyDescent="0.15">
      <c r="A34" s="89"/>
    </row>
    <row r="35" spans="1:1" ht="13" x14ac:dyDescent="0.15">
      <c r="A35" s="89"/>
    </row>
    <row r="36" spans="1:1" ht="13" x14ac:dyDescent="0.15">
      <c r="A36" s="89"/>
    </row>
    <row r="37" spans="1:1" ht="13" x14ac:dyDescent="0.15">
      <c r="A37" s="89"/>
    </row>
    <row r="38" spans="1:1" ht="13" x14ac:dyDescent="0.15">
      <c r="A38" s="89"/>
    </row>
    <row r="39" spans="1:1" ht="13" x14ac:dyDescent="0.15">
      <c r="A39" s="89"/>
    </row>
    <row r="40" spans="1:1" ht="13" x14ac:dyDescent="0.15">
      <c r="A40" s="89"/>
    </row>
    <row r="41" spans="1:1" ht="13" x14ac:dyDescent="0.15">
      <c r="A41" s="89"/>
    </row>
    <row r="42" spans="1:1" ht="13" x14ac:dyDescent="0.15">
      <c r="A42" s="89"/>
    </row>
    <row r="43" spans="1:1" ht="13" x14ac:dyDescent="0.15">
      <c r="A43" s="89"/>
    </row>
    <row r="44" spans="1:1" ht="13" x14ac:dyDescent="0.15">
      <c r="A44" s="89"/>
    </row>
    <row r="45" spans="1:1" ht="13" x14ac:dyDescent="0.15">
      <c r="A45" s="89"/>
    </row>
    <row r="46" spans="1:1" ht="13" x14ac:dyDescent="0.15">
      <c r="A46" s="89"/>
    </row>
    <row r="47" spans="1:1" ht="13" x14ac:dyDescent="0.15">
      <c r="A47" s="89"/>
    </row>
    <row r="48" spans="1:1" ht="13" x14ac:dyDescent="0.15">
      <c r="A48" s="89"/>
    </row>
    <row r="49" spans="1:1" ht="13" x14ac:dyDescent="0.15">
      <c r="A49" s="89"/>
    </row>
    <row r="50" spans="1:1" ht="13" x14ac:dyDescent="0.15">
      <c r="A50" s="89"/>
    </row>
    <row r="51" spans="1:1" ht="13" x14ac:dyDescent="0.15">
      <c r="A51" s="89"/>
    </row>
    <row r="52" spans="1:1" ht="13" x14ac:dyDescent="0.15">
      <c r="A52" s="89"/>
    </row>
    <row r="53" spans="1:1" ht="13" x14ac:dyDescent="0.15">
      <c r="A53" s="89"/>
    </row>
    <row r="54" spans="1:1" ht="13" x14ac:dyDescent="0.15">
      <c r="A54" s="89"/>
    </row>
    <row r="55" spans="1:1" ht="13" x14ac:dyDescent="0.15">
      <c r="A55" s="89"/>
    </row>
    <row r="56" spans="1:1" ht="13" x14ac:dyDescent="0.15">
      <c r="A56" s="89"/>
    </row>
    <row r="57" spans="1:1" ht="13" x14ac:dyDescent="0.15">
      <c r="A57" s="89"/>
    </row>
    <row r="58" spans="1:1" ht="13" x14ac:dyDescent="0.15">
      <c r="A58" s="89"/>
    </row>
    <row r="59" spans="1:1" ht="13" x14ac:dyDescent="0.15">
      <c r="A59" s="89"/>
    </row>
    <row r="60" spans="1:1" ht="13" x14ac:dyDescent="0.15">
      <c r="A60" s="89"/>
    </row>
    <row r="61" spans="1:1" ht="13" x14ac:dyDescent="0.15">
      <c r="A61" s="89"/>
    </row>
    <row r="62" spans="1:1" ht="13" x14ac:dyDescent="0.15">
      <c r="A62" s="89"/>
    </row>
    <row r="63" spans="1:1" ht="13" x14ac:dyDescent="0.15">
      <c r="A63" s="89"/>
    </row>
    <row r="64" spans="1:1" ht="13" x14ac:dyDescent="0.15">
      <c r="A64" s="89"/>
    </row>
    <row r="65" spans="1:1" ht="13" x14ac:dyDescent="0.15">
      <c r="A65" s="89"/>
    </row>
    <row r="66" spans="1:1" ht="13" x14ac:dyDescent="0.15">
      <c r="A66" s="89"/>
    </row>
    <row r="67" spans="1:1" ht="13" x14ac:dyDescent="0.15">
      <c r="A67" s="89"/>
    </row>
    <row r="68" spans="1:1" ht="13" x14ac:dyDescent="0.15">
      <c r="A68" s="89"/>
    </row>
    <row r="69" spans="1:1" ht="13" x14ac:dyDescent="0.15">
      <c r="A69" s="89"/>
    </row>
    <row r="70" spans="1:1" ht="13" x14ac:dyDescent="0.15">
      <c r="A70" s="89"/>
    </row>
    <row r="71" spans="1:1" ht="13" x14ac:dyDescent="0.15">
      <c r="A71" s="89"/>
    </row>
    <row r="72" spans="1:1" ht="13" x14ac:dyDescent="0.15">
      <c r="A72" s="89"/>
    </row>
    <row r="73" spans="1:1" ht="13" x14ac:dyDescent="0.15">
      <c r="A73" s="89"/>
    </row>
    <row r="74" spans="1:1" ht="13" x14ac:dyDescent="0.15">
      <c r="A74" s="89"/>
    </row>
    <row r="75" spans="1:1" ht="13" x14ac:dyDescent="0.15">
      <c r="A75" s="89"/>
    </row>
    <row r="76" spans="1:1" ht="13" x14ac:dyDescent="0.15">
      <c r="A76" s="89"/>
    </row>
    <row r="77" spans="1:1" ht="13" x14ac:dyDescent="0.15">
      <c r="A77" s="89"/>
    </row>
    <row r="78" spans="1:1" ht="13" x14ac:dyDescent="0.15">
      <c r="A78" s="89"/>
    </row>
    <row r="79" spans="1:1" ht="13" x14ac:dyDescent="0.15">
      <c r="A79" s="89"/>
    </row>
    <row r="80" spans="1:1" ht="13" x14ac:dyDescent="0.15">
      <c r="A80" s="89"/>
    </row>
    <row r="81" spans="1:1" ht="13" x14ac:dyDescent="0.15">
      <c r="A81" s="89"/>
    </row>
    <row r="82" spans="1:1" ht="13" x14ac:dyDescent="0.15">
      <c r="A82" s="89"/>
    </row>
    <row r="83" spans="1:1" ht="13" x14ac:dyDescent="0.15">
      <c r="A83" s="89"/>
    </row>
    <row r="84" spans="1:1" ht="13" x14ac:dyDescent="0.15">
      <c r="A84" s="89"/>
    </row>
    <row r="85" spans="1:1" ht="13" x14ac:dyDescent="0.15">
      <c r="A85" s="89"/>
    </row>
    <row r="86" spans="1:1" ht="13" x14ac:dyDescent="0.15">
      <c r="A86" s="89"/>
    </row>
    <row r="87" spans="1:1" ht="13" x14ac:dyDescent="0.15">
      <c r="A87" s="89"/>
    </row>
    <row r="88" spans="1:1" ht="13" x14ac:dyDescent="0.15">
      <c r="A88" s="89"/>
    </row>
    <row r="89" spans="1:1" ht="13" x14ac:dyDescent="0.15">
      <c r="A89" s="89"/>
    </row>
    <row r="90" spans="1:1" ht="13" x14ac:dyDescent="0.15">
      <c r="A90" s="89"/>
    </row>
    <row r="91" spans="1:1" ht="13" x14ac:dyDescent="0.15">
      <c r="A91" s="89"/>
    </row>
    <row r="92" spans="1:1" ht="13" x14ac:dyDescent="0.15">
      <c r="A92" s="89"/>
    </row>
    <row r="93" spans="1:1" ht="13" x14ac:dyDescent="0.15">
      <c r="A93" s="89"/>
    </row>
    <row r="94" spans="1:1" ht="13" x14ac:dyDescent="0.15">
      <c r="A94" s="89"/>
    </row>
    <row r="95" spans="1:1" ht="13" x14ac:dyDescent="0.15">
      <c r="A95" s="89"/>
    </row>
    <row r="96" spans="1:1" ht="13" x14ac:dyDescent="0.15">
      <c r="A96" s="89"/>
    </row>
    <row r="97" spans="1:1" ht="13" x14ac:dyDescent="0.15">
      <c r="A97" s="89"/>
    </row>
    <row r="98" spans="1:1" ht="13" x14ac:dyDescent="0.15">
      <c r="A98" s="89"/>
    </row>
    <row r="99" spans="1:1" ht="13" x14ac:dyDescent="0.15">
      <c r="A99" s="89"/>
    </row>
    <row r="100" spans="1:1" ht="13" x14ac:dyDescent="0.15">
      <c r="A100" s="89"/>
    </row>
    <row r="101" spans="1:1" ht="13" x14ac:dyDescent="0.15">
      <c r="A101" s="89"/>
    </row>
    <row r="102" spans="1:1" ht="13" x14ac:dyDescent="0.15">
      <c r="A102" s="89"/>
    </row>
    <row r="103" spans="1:1" ht="13" x14ac:dyDescent="0.15">
      <c r="A103" s="89"/>
    </row>
    <row r="104" spans="1:1" ht="13" x14ac:dyDescent="0.15">
      <c r="A104" s="89"/>
    </row>
    <row r="105" spans="1:1" ht="13" x14ac:dyDescent="0.15">
      <c r="A105" s="89"/>
    </row>
    <row r="106" spans="1:1" ht="13" x14ac:dyDescent="0.15">
      <c r="A106" s="89"/>
    </row>
    <row r="107" spans="1:1" ht="13" x14ac:dyDescent="0.15">
      <c r="A107" s="89"/>
    </row>
    <row r="108" spans="1:1" ht="13" x14ac:dyDescent="0.15">
      <c r="A108" s="89"/>
    </row>
    <row r="109" spans="1:1" ht="13" x14ac:dyDescent="0.15">
      <c r="A109" s="89"/>
    </row>
    <row r="110" spans="1:1" ht="13" x14ac:dyDescent="0.15">
      <c r="A110" s="89"/>
    </row>
    <row r="111" spans="1:1" ht="13" x14ac:dyDescent="0.15">
      <c r="A111" s="89"/>
    </row>
    <row r="112" spans="1:1" ht="13" x14ac:dyDescent="0.15">
      <c r="A112" s="89"/>
    </row>
    <row r="113" spans="1:1" ht="13" x14ac:dyDescent="0.15">
      <c r="A113" s="89"/>
    </row>
    <row r="114" spans="1:1" ht="13" x14ac:dyDescent="0.15">
      <c r="A114" s="89"/>
    </row>
    <row r="115" spans="1:1" ht="13" x14ac:dyDescent="0.15">
      <c r="A115" s="89"/>
    </row>
    <row r="116" spans="1:1" ht="13" x14ac:dyDescent="0.15">
      <c r="A116" s="89"/>
    </row>
    <row r="117" spans="1:1" ht="13" x14ac:dyDescent="0.15">
      <c r="A117" s="89"/>
    </row>
    <row r="118" spans="1:1" ht="13" x14ac:dyDescent="0.15">
      <c r="A118" s="89"/>
    </row>
    <row r="119" spans="1:1" ht="13" x14ac:dyDescent="0.15">
      <c r="A119" s="89"/>
    </row>
    <row r="120" spans="1:1" ht="13" x14ac:dyDescent="0.15">
      <c r="A120" s="89"/>
    </row>
    <row r="121" spans="1:1" ht="13" x14ac:dyDescent="0.15">
      <c r="A121" s="89"/>
    </row>
    <row r="122" spans="1:1" ht="13" x14ac:dyDescent="0.15">
      <c r="A122" s="89"/>
    </row>
    <row r="123" spans="1:1" ht="13" x14ac:dyDescent="0.15">
      <c r="A123" s="89"/>
    </row>
    <row r="124" spans="1:1" ht="13" x14ac:dyDescent="0.15">
      <c r="A124" s="89"/>
    </row>
    <row r="125" spans="1:1" ht="13" x14ac:dyDescent="0.15">
      <c r="A125" s="89"/>
    </row>
    <row r="126" spans="1:1" ht="13" x14ac:dyDescent="0.15">
      <c r="A126" s="89"/>
    </row>
    <row r="127" spans="1:1" ht="13" x14ac:dyDescent="0.15">
      <c r="A127" s="89"/>
    </row>
    <row r="128" spans="1:1" ht="13" x14ac:dyDescent="0.15">
      <c r="A128" s="89"/>
    </row>
    <row r="129" spans="1:1" ht="13" x14ac:dyDescent="0.15">
      <c r="A129" s="89"/>
    </row>
    <row r="130" spans="1:1" ht="13" x14ac:dyDescent="0.15">
      <c r="A130" s="89"/>
    </row>
    <row r="131" spans="1:1" ht="13" x14ac:dyDescent="0.15">
      <c r="A131" s="89"/>
    </row>
    <row r="132" spans="1:1" ht="13" x14ac:dyDescent="0.15">
      <c r="A132" s="89"/>
    </row>
    <row r="133" spans="1:1" ht="13" x14ac:dyDescent="0.15">
      <c r="A133" s="89"/>
    </row>
    <row r="134" spans="1:1" ht="13" x14ac:dyDescent="0.15">
      <c r="A134" s="89"/>
    </row>
    <row r="135" spans="1:1" ht="13" x14ac:dyDescent="0.15">
      <c r="A135" s="89"/>
    </row>
    <row r="136" spans="1:1" ht="13" x14ac:dyDescent="0.15">
      <c r="A136" s="89"/>
    </row>
    <row r="137" spans="1:1" ht="13" x14ac:dyDescent="0.15">
      <c r="A137" s="89"/>
    </row>
    <row r="138" spans="1:1" ht="13" x14ac:dyDescent="0.15">
      <c r="A138" s="89"/>
    </row>
    <row r="139" spans="1:1" ht="13" x14ac:dyDescent="0.15">
      <c r="A139" s="89"/>
    </row>
    <row r="140" spans="1:1" ht="13" x14ac:dyDescent="0.15">
      <c r="A140" s="89"/>
    </row>
    <row r="141" spans="1:1" ht="13" x14ac:dyDescent="0.15">
      <c r="A141" s="89"/>
    </row>
    <row r="142" spans="1:1" ht="13" x14ac:dyDescent="0.15">
      <c r="A142" s="89"/>
    </row>
    <row r="143" spans="1:1" ht="13" x14ac:dyDescent="0.15">
      <c r="A143" s="89"/>
    </row>
    <row r="144" spans="1:1" ht="13" x14ac:dyDescent="0.15">
      <c r="A144" s="89"/>
    </row>
    <row r="145" spans="1:1" ht="13" x14ac:dyDescent="0.15">
      <c r="A145" s="89"/>
    </row>
    <row r="146" spans="1:1" ht="13" x14ac:dyDescent="0.15">
      <c r="A146" s="89"/>
    </row>
    <row r="147" spans="1:1" ht="13" x14ac:dyDescent="0.15">
      <c r="A147" s="89"/>
    </row>
    <row r="148" spans="1:1" ht="13" x14ac:dyDescent="0.15">
      <c r="A148" s="89"/>
    </row>
    <row r="149" spans="1:1" ht="13" x14ac:dyDescent="0.15">
      <c r="A149" s="89"/>
    </row>
    <row r="150" spans="1:1" ht="13" x14ac:dyDescent="0.15">
      <c r="A150" s="89"/>
    </row>
    <row r="151" spans="1:1" ht="13" x14ac:dyDescent="0.15">
      <c r="A151" s="89"/>
    </row>
    <row r="152" spans="1:1" ht="13" x14ac:dyDescent="0.15">
      <c r="A152" s="89"/>
    </row>
    <row r="153" spans="1:1" ht="13" x14ac:dyDescent="0.15">
      <c r="A153" s="89"/>
    </row>
    <row r="154" spans="1:1" ht="13" x14ac:dyDescent="0.15">
      <c r="A154" s="89"/>
    </row>
    <row r="155" spans="1:1" ht="13" x14ac:dyDescent="0.15">
      <c r="A155" s="89"/>
    </row>
    <row r="156" spans="1:1" ht="13" x14ac:dyDescent="0.15">
      <c r="A156" s="89"/>
    </row>
    <row r="157" spans="1:1" ht="13" x14ac:dyDescent="0.15">
      <c r="A157" s="89"/>
    </row>
    <row r="158" spans="1:1" ht="13" x14ac:dyDescent="0.15">
      <c r="A158" s="89"/>
    </row>
    <row r="159" spans="1:1" ht="13" x14ac:dyDescent="0.15">
      <c r="A159" s="89"/>
    </row>
    <row r="160" spans="1:1" ht="13" x14ac:dyDescent="0.15">
      <c r="A160" s="89"/>
    </row>
    <row r="161" spans="1:1" ht="13" x14ac:dyDescent="0.15">
      <c r="A161" s="89"/>
    </row>
    <row r="162" spans="1:1" ht="13" x14ac:dyDescent="0.15">
      <c r="A162" s="89"/>
    </row>
    <row r="163" spans="1:1" ht="13" x14ac:dyDescent="0.15">
      <c r="A163" s="89"/>
    </row>
    <row r="164" spans="1:1" ht="13" x14ac:dyDescent="0.15">
      <c r="A164" s="89"/>
    </row>
    <row r="165" spans="1:1" ht="13" x14ac:dyDescent="0.15">
      <c r="A165" s="89"/>
    </row>
    <row r="166" spans="1:1" ht="13" x14ac:dyDescent="0.15">
      <c r="A166" s="89"/>
    </row>
    <row r="167" spans="1:1" ht="13" x14ac:dyDescent="0.15">
      <c r="A167" s="89"/>
    </row>
    <row r="168" spans="1:1" ht="13" x14ac:dyDescent="0.15">
      <c r="A168" s="89"/>
    </row>
    <row r="169" spans="1:1" ht="13" x14ac:dyDescent="0.15">
      <c r="A169" s="89"/>
    </row>
    <row r="170" spans="1:1" ht="13" x14ac:dyDescent="0.15">
      <c r="A170" s="89"/>
    </row>
    <row r="171" spans="1:1" ht="13" x14ac:dyDescent="0.15">
      <c r="A171" s="89"/>
    </row>
    <row r="172" spans="1:1" ht="13" x14ac:dyDescent="0.15">
      <c r="A172" s="89"/>
    </row>
    <row r="173" spans="1:1" ht="13" x14ac:dyDescent="0.15">
      <c r="A173" s="89"/>
    </row>
    <row r="174" spans="1:1" ht="13" x14ac:dyDescent="0.15">
      <c r="A174" s="89"/>
    </row>
    <row r="175" spans="1:1" ht="13" x14ac:dyDescent="0.15">
      <c r="A175" s="89"/>
    </row>
    <row r="176" spans="1:1" ht="13" x14ac:dyDescent="0.15">
      <c r="A176" s="89"/>
    </row>
    <row r="177" spans="1:1" ht="13" x14ac:dyDescent="0.15">
      <c r="A177" s="89"/>
    </row>
    <row r="178" spans="1:1" ht="13" x14ac:dyDescent="0.15">
      <c r="A178" s="89"/>
    </row>
    <row r="179" spans="1:1" ht="13" x14ac:dyDescent="0.15">
      <c r="A179" s="89"/>
    </row>
    <row r="180" spans="1:1" ht="13" x14ac:dyDescent="0.15">
      <c r="A180" s="89"/>
    </row>
    <row r="181" spans="1:1" ht="13" x14ac:dyDescent="0.15">
      <c r="A181" s="89"/>
    </row>
    <row r="182" spans="1:1" ht="13" x14ac:dyDescent="0.15">
      <c r="A182" s="89"/>
    </row>
    <row r="183" spans="1:1" ht="13" x14ac:dyDescent="0.15">
      <c r="A183" s="89"/>
    </row>
    <row r="184" spans="1:1" ht="13" x14ac:dyDescent="0.15">
      <c r="A184" s="89"/>
    </row>
    <row r="185" spans="1:1" ht="13" x14ac:dyDescent="0.15">
      <c r="A185" s="89"/>
    </row>
    <row r="186" spans="1:1" ht="13" x14ac:dyDescent="0.15">
      <c r="A186" s="89"/>
    </row>
    <row r="187" spans="1:1" ht="13" x14ac:dyDescent="0.15">
      <c r="A187" s="89"/>
    </row>
    <row r="188" spans="1:1" ht="13" x14ac:dyDescent="0.15">
      <c r="A188" s="89"/>
    </row>
    <row r="189" spans="1:1" ht="13" x14ac:dyDescent="0.15">
      <c r="A189" s="89"/>
    </row>
    <row r="190" spans="1:1" ht="13" x14ac:dyDescent="0.15">
      <c r="A190" s="89"/>
    </row>
    <row r="191" spans="1:1" ht="13" x14ac:dyDescent="0.15">
      <c r="A191" s="89"/>
    </row>
    <row r="192" spans="1:1" ht="13" x14ac:dyDescent="0.15">
      <c r="A192" s="89"/>
    </row>
    <row r="193" spans="1:1" ht="13" x14ac:dyDescent="0.15">
      <c r="A193" s="89"/>
    </row>
    <row r="194" spans="1:1" ht="13" x14ac:dyDescent="0.15">
      <c r="A194" s="89"/>
    </row>
    <row r="195" spans="1:1" ht="13" x14ac:dyDescent="0.15">
      <c r="A195" s="89"/>
    </row>
    <row r="196" spans="1:1" ht="13" x14ac:dyDescent="0.15">
      <c r="A196" s="89"/>
    </row>
    <row r="197" spans="1:1" ht="13" x14ac:dyDescent="0.15">
      <c r="A197" s="89"/>
    </row>
    <row r="198" spans="1:1" ht="13" x14ac:dyDescent="0.15">
      <c r="A198" s="89"/>
    </row>
    <row r="199" spans="1:1" ht="13" x14ac:dyDescent="0.15">
      <c r="A199" s="89"/>
    </row>
    <row r="200" spans="1:1" ht="13" x14ac:dyDescent="0.15">
      <c r="A200" s="89"/>
    </row>
    <row r="201" spans="1:1" ht="13" x14ac:dyDescent="0.15">
      <c r="A201" s="89"/>
    </row>
    <row r="202" spans="1:1" ht="13" x14ac:dyDescent="0.15">
      <c r="A202" s="89"/>
    </row>
    <row r="203" spans="1:1" ht="13" x14ac:dyDescent="0.15">
      <c r="A203" s="89"/>
    </row>
    <row r="204" spans="1:1" ht="13" x14ac:dyDescent="0.15">
      <c r="A204" s="89"/>
    </row>
    <row r="205" spans="1:1" ht="13" x14ac:dyDescent="0.15">
      <c r="A205" s="89"/>
    </row>
    <row r="206" spans="1:1" ht="13" x14ac:dyDescent="0.15">
      <c r="A206" s="89"/>
    </row>
    <row r="207" spans="1:1" ht="13" x14ac:dyDescent="0.15">
      <c r="A207" s="89"/>
    </row>
    <row r="208" spans="1:1" ht="13" x14ac:dyDescent="0.15">
      <c r="A208" s="89"/>
    </row>
    <row r="209" spans="1:1" ht="13" x14ac:dyDescent="0.15">
      <c r="A209" s="89"/>
    </row>
    <row r="210" spans="1:1" ht="13" x14ac:dyDescent="0.15">
      <c r="A210" s="89"/>
    </row>
    <row r="211" spans="1:1" ht="13" x14ac:dyDescent="0.15">
      <c r="A211" s="89"/>
    </row>
    <row r="212" spans="1:1" ht="13" x14ac:dyDescent="0.15">
      <c r="A212" s="89"/>
    </row>
    <row r="213" spans="1:1" ht="13" x14ac:dyDescent="0.15">
      <c r="A213" s="89"/>
    </row>
    <row r="214" spans="1:1" ht="13" x14ac:dyDescent="0.15">
      <c r="A214" s="89"/>
    </row>
    <row r="215" spans="1:1" ht="13" x14ac:dyDescent="0.15">
      <c r="A215" s="89"/>
    </row>
    <row r="216" spans="1:1" ht="13" x14ac:dyDescent="0.15">
      <c r="A216" s="89"/>
    </row>
    <row r="217" spans="1:1" ht="13" x14ac:dyDescent="0.15">
      <c r="A217" s="89"/>
    </row>
    <row r="218" spans="1:1" ht="13" x14ac:dyDescent="0.15">
      <c r="A218" s="89"/>
    </row>
    <row r="219" spans="1:1" ht="13" x14ac:dyDescent="0.15">
      <c r="A219" s="89"/>
    </row>
    <row r="220" spans="1:1" ht="13" x14ac:dyDescent="0.15">
      <c r="A220" s="89"/>
    </row>
    <row r="221" spans="1:1" ht="13" x14ac:dyDescent="0.15">
      <c r="A221" s="89"/>
    </row>
    <row r="222" spans="1:1" ht="13" x14ac:dyDescent="0.15">
      <c r="A222" s="89"/>
    </row>
    <row r="223" spans="1:1" ht="13" x14ac:dyDescent="0.15">
      <c r="A223" s="89"/>
    </row>
    <row r="224" spans="1:1" ht="13" x14ac:dyDescent="0.15">
      <c r="A224" s="89"/>
    </row>
    <row r="225" spans="1:1" ht="13" x14ac:dyDescent="0.15">
      <c r="A225" s="89"/>
    </row>
    <row r="226" spans="1:1" ht="13" x14ac:dyDescent="0.15">
      <c r="A226" s="89"/>
    </row>
    <row r="227" spans="1:1" ht="13" x14ac:dyDescent="0.15">
      <c r="A227" s="89"/>
    </row>
    <row r="228" spans="1:1" ht="13" x14ac:dyDescent="0.15">
      <c r="A228" s="89"/>
    </row>
    <row r="229" spans="1:1" ht="13" x14ac:dyDescent="0.15">
      <c r="A229" s="89"/>
    </row>
    <row r="230" spans="1:1" ht="13" x14ac:dyDescent="0.15">
      <c r="A230" s="89"/>
    </row>
    <row r="231" spans="1:1" ht="13" x14ac:dyDescent="0.15">
      <c r="A231" s="89"/>
    </row>
    <row r="232" spans="1:1" ht="13" x14ac:dyDescent="0.15">
      <c r="A232" s="89"/>
    </row>
    <row r="233" spans="1:1" ht="13" x14ac:dyDescent="0.15">
      <c r="A233" s="89"/>
    </row>
    <row r="234" spans="1:1" ht="13" x14ac:dyDescent="0.15">
      <c r="A234" s="89"/>
    </row>
    <row r="235" spans="1:1" ht="13" x14ac:dyDescent="0.15">
      <c r="A235" s="89"/>
    </row>
    <row r="236" spans="1:1" ht="13" x14ac:dyDescent="0.15">
      <c r="A236" s="89"/>
    </row>
    <row r="237" spans="1:1" ht="13" x14ac:dyDescent="0.15">
      <c r="A237" s="89"/>
    </row>
    <row r="238" spans="1:1" ht="13" x14ac:dyDescent="0.15">
      <c r="A238" s="89"/>
    </row>
    <row r="239" spans="1:1" ht="13" x14ac:dyDescent="0.15">
      <c r="A239" s="89"/>
    </row>
    <row r="240" spans="1:1" ht="13" x14ac:dyDescent="0.15">
      <c r="A240" s="89"/>
    </row>
    <row r="241" spans="1:1" ht="13" x14ac:dyDescent="0.15">
      <c r="A241" s="89"/>
    </row>
    <row r="242" spans="1:1" ht="13" x14ac:dyDescent="0.15">
      <c r="A242" s="89"/>
    </row>
    <row r="243" spans="1:1" ht="13" x14ac:dyDescent="0.15">
      <c r="A243" s="89"/>
    </row>
    <row r="244" spans="1:1" ht="13" x14ac:dyDescent="0.15">
      <c r="A244" s="89"/>
    </row>
    <row r="245" spans="1:1" ht="13" x14ac:dyDescent="0.15">
      <c r="A245" s="89"/>
    </row>
    <row r="246" spans="1:1" ht="13" x14ac:dyDescent="0.15">
      <c r="A246" s="89"/>
    </row>
    <row r="247" spans="1:1" ht="13" x14ac:dyDescent="0.15">
      <c r="A247" s="89"/>
    </row>
    <row r="248" spans="1:1" ht="13" x14ac:dyDescent="0.15">
      <c r="A248" s="89"/>
    </row>
    <row r="249" spans="1:1" ht="13" x14ac:dyDescent="0.15">
      <c r="A249" s="89"/>
    </row>
    <row r="250" spans="1:1" ht="13" x14ac:dyDescent="0.15">
      <c r="A250" s="89"/>
    </row>
    <row r="251" spans="1:1" ht="13" x14ac:dyDescent="0.15">
      <c r="A251" s="89"/>
    </row>
    <row r="252" spans="1:1" ht="13" x14ac:dyDescent="0.15">
      <c r="A252" s="89"/>
    </row>
    <row r="253" spans="1:1" ht="13" x14ac:dyDescent="0.15">
      <c r="A253" s="89"/>
    </row>
    <row r="254" spans="1:1" ht="13" x14ac:dyDescent="0.15">
      <c r="A254" s="89"/>
    </row>
    <row r="255" spans="1:1" ht="13" x14ac:dyDescent="0.15">
      <c r="A255" s="89"/>
    </row>
    <row r="256" spans="1:1" ht="13" x14ac:dyDescent="0.15">
      <c r="A256" s="89"/>
    </row>
    <row r="257" spans="1:1" ht="13" x14ac:dyDescent="0.15">
      <c r="A257" s="89"/>
    </row>
    <row r="258" spans="1:1" ht="13" x14ac:dyDescent="0.15">
      <c r="A258" s="89"/>
    </row>
    <row r="259" spans="1:1" ht="13" x14ac:dyDescent="0.15">
      <c r="A259" s="89"/>
    </row>
    <row r="260" spans="1:1" ht="13" x14ac:dyDescent="0.15">
      <c r="A260" s="89"/>
    </row>
    <row r="261" spans="1:1" ht="13" x14ac:dyDescent="0.15">
      <c r="A261" s="89"/>
    </row>
    <row r="262" spans="1:1" ht="13" x14ac:dyDescent="0.15">
      <c r="A262" s="89"/>
    </row>
    <row r="263" spans="1:1" ht="13" x14ac:dyDescent="0.15">
      <c r="A263" s="89"/>
    </row>
    <row r="264" spans="1:1" ht="13" x14ac:dyDescent="0.15">
      <c r="A264" s="89"/>
    </row>
    <row r="265" spans="1:1" ht="13" x14ac:dyDescent="0.15">
      <c r="A265" s="89"/>
    </row>
    <row r="266" spans="1:1" ht="13" x14ac:dyDescent="0.15">
      <c r="A266" s="89"/>
    </row>
    <row r="267" spans="1:1" ht="13" x14ac:dyDescent="0.15">
      <c r="A267" s="89"/>
    </row>
    <row r="268" spans="1:1" ht="13" x14ac:dyDescent="0.15">
      <c r="A268" s="89"/>
    </row>
    <row r="269" spans="1:1" ht="13" x14ac:dyDescent="0.15">
      <c r="A269" s="89"/>
    </row>
    <row r="270" spans="1:1" ht="13" x14ac:dyDescent="0.15">
      <c r="A270" s="89"/>
    </row>
    <row r="271" spans="1:1" ht="13" x14ac:dyDescent="0.15">
      <c r="A271" s="89"/>
    </row>
    <row r="272" spans="1:1" ht="13" x14ac:dyDescent="0.15">
      <c r="A272" s="89"/>
    </row>
    <row r="273" spans="1:1" ht="13" x14ac:dyDescent="0.15">
      <c r="A273" s="89"/>
    </row>
    <row r="274" spans="1:1" ht="13" x14ac:dyDescent="0.15">
      <c r="A274" s="89"/>
    </row>
    <row r="275" spans="1:1" ht="13" x14ac:dyDescent="0.15">
      <c r="A275" s="89"/>
    </row>
    <row r="276" spans="1:1" ht="13" x14ac:dyDescent="0.15">
      <c r="A276" s="89"/>
    </row>
    <row r="277" spans="1:1" ht="13" x14ac:dyDescent="0.15">
      <c r="A277" s="89"/>
    </row>
    <row r="278" spans="1:1" ht="13" x14ac:dyDescent="0.15">
      <c r="A278" s="89"/>
    </row>
    <row r="279" spans="1:1" ht="13" x14ac:dyDescent="0.15">
      <c r="A279" s="89"/>
    </row>
    <row r="280" spans="1:1" ht="13" x14ac:dyDescent="0.15">
      <c r="A280" s="89"/>
    </row>
    <row r="281" spans="1:1" ht="13" x14ac:dyDescent="0.15">
      <c r="A281" s="89"/>
    </row>
    <row r="282" spans="1:1" ht="13" x14ac:dyDescent="0.15">
      <c r="A282" s="89"/>
    </row>
    <row r="283" spans="1:1" ht="13" x14ac:dyDescent="0.15">
      <c r="A283" s="89"/>
    </row>
    <row r="284" spans="1:1" ht="13" x14ac:dyDescent="0.15">
      <c r="A284" s="89"/>
    </row>
    <row r="285" spans="1:1" ht="13" x14ac:dyDescent="0.15">
      <c r="A285" s="89"/>
    </row>
    <row r="286" spans="1:1" ht="13" x14ac:dyDescent="0.15">
      <c r="A286" s="89"/>
    </row>
    <row r="287" spans="1:1" ht="13" x14ac:dyDescent="0.15">
      <c r="A287" s="89"/>
    </row>
    <row r="288" spans="1:1" ht="13" x14ac:dyDescent="0.15">
      <c r="A288" s="89"/>
    </row>
    <row r="289" spans="1:1" ht="13" x14ac:dyDescent="0.15">
      <c r="A289" s="89"/>
    </row>
    <row r="290" spans="1:1" ht="13" x14ac:dyDescent="0.15">
      <c r="A290" s="89"/>
    </row>
    <row r="291" spans="1:1" ht="13" x14ac:dyDescent="0.15">
      <c r="A291" s="89"/>
    </row>
    <row r="292" spans="1:1" ht="13" x14ac:dyDescent="0.15">
      <c r="A292" s="89"/>
    </row>
    <row r="293" spans="1:1" ht="13" x14ac:dyDescent="0.15">
      <c r="A293" s="89"/>
    </row>
    <row r="294" spans="1:1" ht="13" x14ac:dyDescent="0.15">
      <c r="A294" s="89"/>
    </row>
    <row r="295" spans="1:1" ht="13" x14ac:dyDescent="0.15">
      <c r="A295" s="89"/>
    </row>
    <row r="296" spans="1:1" ht="13" x14ac:dyDescent="0.15">
      <c r="A296" s="89"/>
    </row>
    <row r="297" spans="1:1" ht="13" x14ac:dyDescent="0.15">
      <c r="A297" s="89"/>
    </row>
    <row r="298" spans="1:1" ht="13" x14ac:dyDescent="0.15">
      <c r="A298" s="89"/>
    </row>
    <row r="299" spans="1:1" ht="13" x14ac:dyDescent="0.15">
      <c r="A299" s="89"/>
    </row>
    <row r="300" spans="1:1" ht="13" x14ac:dyDescent="0.15">
      <c r="A300" s="89"/>
    </row>
    <row r="301" spans="1:1" ht="13" x14ac:dyDescent="0.15">
      <c r="A301" s="89"/>
    </row>
    <row r="302" spans="1:1" ht="13" x14ac:dyDescent="0.15">
      <c r="A302" s="89"/>
    </row>
    <row r="303" spans="1:1" ht="13" x14ac:dyDescent="0.15">
      <c r="A303" s="89"/>
    </row>
    <row r="304" spans="1:1" ht="13" x14ac:dyDescent="0.15">
      <c r="A304" s="89"/>
    </row>
    <row r="305" spans="1:1" ht="13" x14ac:dyDescent="0.15">
      <c r="A305" s="89"/>
    </row>
    <row r="306" spans="1:1" ht="13" x14ac:dyDescent="0.15">
      <c r="A306" s="89"/>
    </row>
    <row r="307" spans="1:1" ht="13" x14ac:dyDescent="0.15">
      <c r="A307" s="89"/>
    </row>
    <row r="308" spans="1:1" ht="13" x14ac:dyDescent="0.15">
      <c r="A308" s="89"/>
    </row>
    <row r="309" spans="1:1" ht="13" x14ac:dyDescent="0.15">
      <c r="A309" s="89"/>
    </row>
    <row r="310" spans="1:1" ht="13" x14ac:dyDescent="0.15">
      <c r="A310" s="89"/>
    </row>
    <row r="311" spans="1:1" ht="13" x14ac:dyDescent="0.15">
      <c r="A311" s="89"/>
    </row>
    <row r="312" spans="1:1" ht="13" x14ac:dyDescent="0.15">
      <c r="A312" s="89"/>
    </row>
    <row r="313" spans="1:1" ht="13" x14ac:dyDescent="0.15">
      <c r="A313" s="89"/>
    </row>
    <row r="314" spans="1:1" ht="13" x14ac:dyDescent="0.15">
      <c r="A314" s="89"/>
    </row>
    <row r="315" spans="1:1" ht="13" x14ac:dyDescent="0.15">
      <c r="A315" s="89"/>
    </row>
    <row r="316" spans="1:1" ht="13" x14ac:dyDescent="0.15">
      <c r="A316" s="89"/>
    </row>
    <row r="317" spans="1:1" ht="13" x14ac:dyDescent="0.15">
      <c r="A317" s="89"/>
    </row>
    <row r="318" spans="1:1" ht="13" x14ac:dyDescent="0.15">
      <c r="A318" s="89"/>
    </row>
    <row r="319" spans="1:1" ht="13" x14ac:dyDescent="0.15">
      <c r="A319" s="89"/>
    </row>
    <row r="320" spans="1:1" ht="13" x14ac:dyDescent="0.15">
      <c r="A320" s="89"/>
    </row>
    <row r="321" spans="1:1" ht="13" x14ac:dyDescent="0.15">
      <c r="A321" s="89"/>
    </row>
    <row r="322" spans="1:1" ht="13" x14ac:dyDescent="0.15">
      <c r="A322" s="89"/>
    </row>
    <row r="323" spans="1:1" ht="13" x14ac:dyDescent="0.15">
      <c r="A323" s="89"/>
    </row>
    <row r="324" spans="1:1" ht="13" x14ac:dyDescent="0.15">
      <c r="A324" s="89"/>
    </row>
    <row r="325" spans="1:1" ht="13" x14ac:dyDescent="0.15">
      <c r="A325" s="89"/>
    </row>
    <row r="326" spans="1:1" ht="13" x14ac:dyDescent="0.15">
      <c r="A326" s="89"/>
    </row>
    <row r="327" spans="1:1" ht="13" x14ac:dyDescent="0.15">
      <c r="A327" s="89"/>
    </row>
    <row r="328" spans="1:1" ht="13" x14ac:dyDescent="0.15">
      <c r="A328" s="89"/>
    </row>
    <row r="329" spans="1:1" ht="13" x14ac:dyDescent="0.15">
      <c r="A329" s="89"/>
    </row>
    <row r="330" spans="1:1" ht="13" x14ac:dyDescent="0.15">
      <c r="A330" s="89"/>
    </row>
    <row r="331" spans="1:1" ht="13" x14ac:dyDescent="0.15">
      <c r="A331" s="89"/>
    </row>
    <row r="332" spans="1:1" ht="13" x14ac:dyDescent="0.15">
      <c r="A332" s="89"/>
    </row>
    <row r="333" spans="1:1" ht="13" x14ac:dyDescent="0.15">
      <c r="A333" s="89"/>
    </row>
    <row r="334" spans="1:1" ht="13" x14ac:dyDescent="0.15">
      <c r="A334" s="89"/>
    </row>
    <row r="335" spans="1:1" ht="13" x14ac:dyDescent="0.15">
      <c r="A335" s="89"/>
    </row>
    <row r="336" spans="1:1" ht="13" x14ac:dyDescent="0.15">
      <c r="A336" s="89"/>
    </row>
    <row r="337" spans="1:1" ht="13" x14ac:dyDescent="0.15">
      <c r="A337" s="89"/>
    </row>
    <row r="338" spans="1:1" ht="13" x14ac:dyDescent="0.15">
      <c r="A338" s="89"/>
    </row>
    <row r="339" spans="1:1" ht="13" x14ac:dyDescent="0.15">
      <c r="A339" s="89"/>
    </row>
    <row r="340" spans="1:1" ht="13" x14ac:dyDescent="0.15">
      <c r="A340" s="89"/>
    </row>
    <row r="341" spans="1:1" ht="13" x14ac:dyDescent="0.15">
      <c r="A341" s="89"/>
    </row>
    <row r="342" spans="1:1" ht="13" x14ac:dyDescent="0.15">
      <c r="A342" s="89"/>
    </row>
    <row r="343" spans="1:1" ht="13" x14ac:dyDescent="0.15">
      <c r="A343" s="89"/>
    </row>
    <row r="344" spans="1:1" ht="13" x14ac:dyDescent="0.15">
      <c r="A344" s="89"/>
    </row>
    <row r="345" spans="1:1" ht="13" x14ac:dyDescent="0.15">
      <c r="A345" s="89"/>
    </row>
    <row r="346" spans="1:1" ht="13" x14ac:dyDescent="0.15">
      <c r="A346" s="89"/>
    </row>
    <row r="347" spans="1:1" ht="13" x14ac:dyDescent="0.15">
      <c r="A347" s="89"/>
    </row>
    <row r="348" spans="1:1" ht="13" x14ac:dyDescent="0.15">
      <c r="A348" s="89"/>
    </row>
    <row r="349" spans="1:1" ht="13" x14ac:dyDescent="0.15">
      <c r="A349" s="89"/>
    </row>
    <row r="350" spans="1:1" ht="13" x14ac:dyDescent="0.15">
      <c r="A350" s="89"/>
    </row>
    <row r="351" spans="1:1" ht="13" x14ac:dyDescent="0.15">
      <c r="A351" s="89"/>
    </row>
    <row r="352" spans="1:1" ht="13" x14ac:dyDescent="0.15">
      <c r="A352" s="89"/>
    </row>
    <row r="353" spans="1:1" ht="13" x14ac:dyDescent="0.15">
      <c r="A353" s="89"/>
    </row>
    <row r="354" spans="1:1" ht="13" x14ac:dyDescent="0.15">
      <c r="A354" s="89"/>
    </row>
    <row r="355" spans="1:1" ht="13" x14ac:dyDescent="0.15">
      <c r="A355" s="89"/>
    </row>
    <row r="356" spans="1:1" ht="13" x14ac:dyDescent="0.15">
      <c r="A356" s="89"/>
    </row>
    <row r="357" spans="1:1" ht="13" x14ac:dyDescent="0.15">
      <c r="A357" s="89"/>
    </row>
    <row r="358" spans="1:1" ht="13" x14ac:dyDescent="0.15">
      <c r="A358" s="89"/>
    </row>
    <row r="359" spans="1:1" ht="13" x14ac:dyDescent="0.15">
      <c r="A359" s="89"/>
    </row>
    <row r="360" spans="1:1" ht="13" x14ac:dyDescent="0.15">
      <c r="A360" s="89"/>
    </row>
    <row r="361" spans="1:1" ht="13" x14ac:dyDescent="0.15">
      <c r="A361" s="89"/>
    </row>
    <row r="362" spans="1:1" ht="13" x14ac:dyDescent="0.15">
      <c r="A362" s="89"/>
    </row>
    <row r="363" spans="1:1" ht="13" x14ac:dyDescent="0.15">
      <c r="A363" s="89"/>
    </row>
    <row r="364" spans="1:1" ht="13" x14ac:dyDescent="0.15">
      <c r="A364" s="89"/>
    </row>
    <row r="365" spans="1:1" ht="13" x14ac:dyDescent="0.15">
      <c r="A365" s="89"/>
    </row>
    <row r="366" spans="1:1" ht="13" x14ac:dyDescent="0.15">
      <c r="A366" s="89"/>
    </row>
    <row r="367" spans="1:1" ht="13" x14ac:dyDescent="0.15">
      <c r="A367" s="89"/>
    </row>
    <row r="368" spans="1:1" ht="13" x14ac:dyDescent="0.15">
      <c r="A368" s="89"/>
    </row>
    <row r="369" spans="1:1" ht="13" x14ac:dyDescent="0.15">
      <c r="A369" s="89"/>
    </row>
    <row r="370" spans="1:1" ht="13" x14ac:dyDescent="0.15">
      <c r="A370" s="89"/>
    </row>
    <row r="371" spans="1:1" ht="13" x14ac:dyDescent="0.15">
      <c r="A371" s="89"/>
    </row>
    <row r="372" spans="1:1" ht="13" x14ac:dyDescent="0.15">
      <c r="A372" s="89"/>
    </row>
    <row r="373" spans="1:1" ht="13" x14ac:dyDescent="0.15">
      <c r="A373" s="89"/>
    </row>
    <row r="374" spans="1:1" ht="13" x14ac:dyDescent="0.15">
      <c r="A374" s="89"/>
    </row>
    <row r="375" spans="1:1" ht="13" x14ac:dyDescent="0.15">
      <c r="A375" s="89"/>
    </row>
    <row r="376" spans="1:1" ht="13" x14ac:dyDescent="0.15">
      <c r="A376" s="89"/>
    </row>
    <row r="377" spans="1:1" ht="13" x14ac:dyDescent="0.15">
      <c r="A377" s="89"/>
    </row>
    <row r="378" spans="1:1" ht="13" x14ac:dyDescent="0.15">
      <c r="A378" s="89"/>
    </row>
    <row r="379" spans="1:1" ht="13" x14ac:dyDescent="0.15">
      <c r="A379" s="89"/>
    </row>
    <row r="380" spans="1:1" ht="13" x14ac:dyDescent="0.15">
      <c r="A380" s="89"/>
    </row>
    <row r="381" spans="1:1" ht="13" x14ac:dyDescent="0.15">
      <c r="A381" s="89"/>
    </row>
    <row r="382" spans="1:1" ht="13" x14ac:dyDescent="0.15">
      <c r="A382" s="89"/>
    </row>
    <row r="383" spans="1:1" ht="13" x14ac:dyDescent="0.15">
      <c r="A383" s="89"/>
    </row>
    <row r="384" spans="1:1" ht="13" x14ac:dyDescent="0.15">
      <c r="A384" s="89"/>
    </row>
    <row r="385" spans="1:1" ht="13" x14ac:dyDescent="0.15">
      <c r="A385" s="89"/>
    </row>
    <row r="386" spans="1:1" ht="13" x14ac:dyDescent="0.15">
      <c r="A386" s="89"/>
    </row>
    <row r="387" spans="1:1" ht="13" x14ac:dyDescent="0.15">
      <c r="A387" s="89"/>
    </row>
    <row r="388" spans="1:1" ht="13" x14ac:dyDescent="0.15">
      <c r="A388" s="89"/>
    </row>
    <row r="389" spans="1:1" ht="13" x14ac:dyDescent="0.15">
      <c r="A389" s="89"/>
    </row>
    <row r="390" spans="1:1" ht="13" x14ac:dyDescent="0.15">
      <c r="A390" s="89"/>
    </row>
    <row r="391" spans="1:1" ht="13" x14ac:dyDescent="0.15">
      <c r="A391" s="89"/>
    </row>
    <row r="392" spans="1:1" ht="13" x14ac:dyDescent="0.15">
      <c r="A392" s="89"/>
    </row>
    <row r="393" spans="1:1" ht="13" x14ac:dyDescent="0.15">
      <c r="A393" s="89"/>
    </row>
    <row r="394" spans="1:1" ht="13" x14ac:dyDescent="0.15">
      <c r="A394" s="89"/>
    </row>
    <row r="395" spans="1:1" ht="13" x14ac:dyDescent="0.15">
      <c r="A395" s="89"/>
    </row>
    <row r="396" spans="1:1" ht="13" x14ac:dyDescent="0.15">
      <c r="A396" s="89"/>
    </row>
    <row r="397" spans="1:1" ht="13" x14ac:dyDescent="0.15">
      <c r="A397" s="89"/>
    </row>
    <row r="398" spans="1:1" ht="13" x14ac:dyDescent="0.15">
      <c r="A398" s="89"/>
    </row>
    <row r="399" spans="1:1" ht="13" x14ac:dyDescent="0.15">
      <c r="A399" s="89"/>
    </row>
    <row r="400" spans="1:1" ht="13" x14ac:dyDescent="0.15">
      <c r="A400" s="89"/>
    </row>
    <row r="401" spans="1:1" ht="13" x14ac:dyDescent="0.15">
      <c r="A401" s="89"/>
    </row>
    <row r="402" spans="1:1" ht="13" x14ac:dyDescent="0.15">
      <c r="A402" s="89"/>
    </row>
    <row r="403" spans="1:1" ht="13" x14ac:dyDescent="0.15">
      <c r="A403" s="89"/>
    </row>
    <row r="404" spans="1:1" ht="13" x14ac:dyDescent="0.15">
      <c r="A404" s="89"/>
    </row>
    <row r="405" spans="1:1" ht="13" x14ac:dyDescent="0.15">
      <c r="A405" s="89"/>
    </row>
    <row r="406" spans="1:1" ht="13" x14ac:dyDescent="0.15">
      <c r="A406" s="89"/>
    </row>
    <row r="407" spans="1:1" ht="13" x14ac:dyDescent="0.15">
      <c r="A407" s="89"/>
    </row>
    <row r="408" spans="1:1" ht="13" x14ac:dyDescent="0.15">
      <c r="A408" s="89"/>
    </row>
    <row r="409" spans="1:1" ht="13" x14ac:dyDescent="0.15">
      <c r="A409" s="89"/>
    </row>
    <row r="410" spans="1:1" ht="13" x14ac:dyDescent="0.15">
      <c r="A410" s="89"/>
    </row>
    <row r="411" spans="1:1" ht="13" x14ac:dyDescent="0.15">
      <c r="A411" s="89"/>
    </row>
    <row r="412" spans="1:1" ht="13" x14ac:dyDescent="0.15">
      <c r="A412" s="89"/>
    </row>
    <row r="413" spans="1:1" ht="13" x14ac:dyDescent="0.15">
      <c r="A413" s="89"/>
    </row>
    <row r="414" spans="1:1" ht="13" x14ac:dyDescent="0.15">
      <c r="A414" s="89"/>
    </row>
    <row r="415" spans="1:1" ht="13" x14ac:dyDescent="0.15">
      <c r="A415" s="89"/>
    </row>
    <row r="416" spans="1:1" ht="13" x14ac:dyDescent="0.15">
      <c r="A416" s="89"/>
    </row>
    <row r="417" spans="1:1" ht="13" x14ac:dyDescent="0.15">
      <c r="A417" s="89"/>
    </row>
    <row r="418" spans="1:1" ht="13" x14ac:dyDescent="0.15">
      <c r="A418" s="89"/>
    </row>
    <row r="419" spans="1:1" ht="13" x14ac:dyDescent="0.15">
      <c r="A419" s="89"/>
    </row>
    <row r="420" spans="1:1" ht="13" x14ac:dyDescent="0.15">
      <c r="A420" s="89"/>
    </row>
    <row r="421" spans="1:1" ht="13" x14ac:dyDescent="0.15">
      <c r="A421" s="89"/>
    </row>
    <row r="422" spans="1:1" ht="13" x14ac:dyDescent="0.15">
      <c r="A422" s="89"/>
    </row>
    <row r="423" spans="1:1" ht="13" x14ac:dyDescent="0.15">
      <c r="A423" s="89"/>
    </row>
    <row r="424" spans="1:1" ht="13" x14ac:dyDescent="0.15">
      <c r="A424" s="89"/>
    </row>
    <row r="425" spans="1:1" ht="13" x14ac:dyDescent="0.15">
      <c r="A425" s="89"/>
    </row>
    <row r="426" spans="1:1" ht="13" x14ac:dyDescent="0.15">
      <c r="A426" s="89"/>
    </row>
    <row r="427" spans="1:1" ht="13" x14ac:dyDescent="0.15">
      <c r="A427" s="89"/>
    </row>
    <row r="428" spans="1:1" ht="13" x14ac:dyDescent="0.15">
      <c r="A428" s="89"/>
    </row>
    <row r="429" spans="1:1" ht="13" x14ac:dyDescent="0.15">
      <c r="A429" s="89"/>
    </row>
    <row r="430" spans="1:1" ht="13" x14ac:dyDescent="0.15">
      <c r="A430" s="89"/>
    </row>
    <row r="431" spans="1:1" ht="13" x14ac:dyDescent="0.15">
      <c r="A431" s="89"/>
    </row>
    <row r="432" spans="1:1" ht="13" x14ac:dyDescent="0.15">
      <c r="A432" s="89"/>
    </row>
    <row r="433" spans="1:1" ht="13" x14ac:dyDescent="0.15">
      <c r="A433" s="89"/>
    </row>
    <row r="434" spans="1:1" ht="13" x14ac:dyDescent="0.15">
      <c r="A434" s="89"/>
    </row>
    <row r="435" spans="1:1" ht="13" x14ac:dyDescent="0.15">
      <c r="A435" s="89"/>
    </row>
    <row r="436" spans="1:1" ht="13" x14ac:dyDescent="0.15">
      <c r="A436" s="89"/>
    </row>
    <row r="437" spans="1:1" ht="13" x14ac:dyDescent="0.15">
      <c r="A437" s="89"/>
    </row>
    <row r="438" spans="1:1" ht="13" x14ac:dyDescent="0.15">
      <c r="A438" s="89"/>
    </row>
    <row r="439" spans="1:1" ht="13" x14ac:dyDescent="0.15">
      <c r="A439" s="89"/>
    </row>
    <row r="440" spans="1:1" ht="13" x14ac:dyDescent="0.15">
      <c r="A440" s="89"/>
    </row>
    <row r="441" spans="1:1" ht="13" x14ac:dyDescent="0.15">
      <c r="A441" s="89"/>
    </row>
    <row r="442" spans="1:1" ht="13" x14ac:dyDescent="0.15">
      <c r="A442" s="89"/>
    </row>
    <row r="443" spans="1:1" ht="13" x14ac:dyDescent="0.15">
      <c r="A443" s="89"/>
    </row>
    <row r="444" spans="1:1" ht="13" x14ac:dyDescent="0.15">
      <c r="A444" s="89"/>
    </row>
    <row r="445" spans="1:1" ht="13" x14ac:dyDescent="0.15">
      <c r="A445" s="89"/>
    </row>
    <row r="446" spans="1:1" ht="13" x14ac:dyDescent="0.15">
      <c r="A446" s="89"/>
    </row>
    <row r="447" spans="1:1" ht="13" x14ac:dyDescent="0.15">
      <c r="A447" s="89"/>
    </row>
    <row r="448" spans="1:1" ht="13" x14ac:dyDescent="0.15">
      <c r="A448" s="89"/>
    </row>
    <row r="449" spans="1:1" ht="13" x14ac:dyDescent="0.15">
      <c r="A449" s="89"/>
    </row>
    <row r="450" spans="1:1" ht="13" x14ac:dyDescent="0.15">
      <c r="A450" s="89"/>
    </row>
    <row r="451" spans="1:1" ht="13" x14ac:dyDescent="0.15">
      <c r="A451" s="89"/>
    </row>
    <row r="452" spans="1:1" ht="13" x14ac:dyDescent="0.15">
      <c r="A452" s="89"/>
    </row>
    <row r="453" spans="1:1" ht="13" x14ac:dyDescent="0.15">
      <c r="A453" s="89"/>
    </row>
    <row r="454" spans="1:1" ht="13" x14ac:dyDescent="0.15">
      <c r="A454" s="89"/>
    </row>
    <row r="455" spans="1:1" ht="13" x14ac:dyDescent="0.15">
      <c r="A455" s="89"/>
    </row>
    <row r="456" spans="1:1" ht="13" x14ac:dyDescent="0.15">
      <c r="A456" s="89"/>
    </row>
    <row r="457" spans="1:1" ht="13" x14ac:dyDescent="0.15">
      <c r="A457" s="89"/>
    </row>
    <row r="458" spans="1:1" ht="13" x14ac:dyDescent="0.15">
      <c r="A458" s="89"/>
    </row>
    <row r="459" spans="1:1" ht="13" x14ac:dyDescent="0.15">
      <c r="A459" s="89"/>
    </row>
    <row r="460" spans="1:1" ht="13" x14ac:dyDescent="0.15">
      <c r="A460" s="89"/>
    </row>
    <row r="461" spans="1:1" ht="13" x14ac:dyDescent="0.15">
      <c r="A461" s="89"/>
    </row>
    <row r="462" spans="1:1" ht="13" x14ac:dyDescent="0.15">
      <c r="A462" s="89"/>
    </row>
    <row r="463" spans="1:1" ht="13" x14ac:dyDescent="0.15">
      <c r="A463" s="89"/>
    </row>
    <row r="464" spans="1:1" ht="13" x14ac:dyDescent="0.15">
      <c r="A464" s="89"/>
    </row>
    <row r="465" spans="1:1" ht="13" x14ac:dyDescent="0.15">
      <c r="A465" s="89"/>
    </row>
    <row r="466" spans="1:1" ht="13" x14ac:dyDescent="0.15">
      <c r="A466" s="89"/>
    </row>
    <row r="467" spans="1:1" ht="13" x14ac:dyDescent="0.15">
      <c r="A467" s="89"/>
    </row>
    <row r="468" spans="1:1" ht="13" x14ac:dyDescent="0.15">
      <c r="A468" s="89"/>
    </row>
    <row r="469" spans="1:1" ht="13" x14ac:dyDescent="0.15">
      <c r="A469" s="89"/>
    </row>
    <row r="470" spans="1:1" ht="13" x14ac:dyDescent="0.15">
      <c r="A470" s="89"/>
    </row>
    <row r="471" spans="1:1" ht="13" x14ac:dyDescent="0.15">
      <c r="A471" s="89"/>
    </row>
    <row r="472" spans="1:1" ht="13" x14ac:dyDescent="0.15">
      <c r="A472" s="89"/>
    </row>
    <row r="473" spans="1:1" ht="13" x14ac:dyDescent="0.15">
      <c r="A473" s="89"/>
    </row>
    <row r="474" spans="1:1" ht="13" x14ac:dyDescent="0.15">
      <c r="A474" s="89"/>
    </row>
    <row r="475" spans="1:1" ht="13" x14ac:dyDescent="0.15">
      <c r="A475" s="89"/>
    </row>
    <row r="476" spans="1:1" ht="13" x14ac:dyDescent="0.15">
      <c r="A476" s="89"/>
    </row>
    <row r="477" spans="1:1" ht="13" x14ac:dyDescent="0.15">
      <c r="A477" s="89"/>
    </row>
    <row r="478" spans="1:1" ht="13" x14ac:dyDescent="0.15">
      <c r="A478" s="89"/>
    </row>
    <row r="479" spans="1:1" ht="13" x14ac:dyDescent="0.15">
      <c r="A479" s="89"/>
    </row>
    <row r="480" spans="1:1" ht="13" x14ac:dyDescent="0.15">
      <c r="A480" s="89"/>
    </row>
    <row r="481" spans="1:1" ht="13" x14ac:dyDescent="0.15">
      <c r="A481" s="89"/>
    </row>
    <row r="482" spans="1:1" ht="13" x14ac:dyDescent="0.15">
      <c r="A482" s="89"/>
    </row>
    <row r="483" spans="1:1" ht="13" x14ac:dyDescent="0.15">
      <c r="A483" s="89"/>
    </row>
    <row r="484" spans="1:1" ht="13" x14ac:dyDescent="0.15">
      <c r="A484" s="89"/>
    </row>
    <row r="485" spans="1:1" ht="13" x14ac:dyDescent="0.15">
      <c r="A485" s="89"/>
    </row>
    <row r="486" spans="1:1" ht="13" x14ac:dyDescent="0.15">
      <c r="A486" s="89"/>
    </row>
    <row r="487" spans="1:1" ht="13" x14ac:dyDescent="0.15">
      <c r="A487" s="89"/>
    </row>
    <row r="488" spans="1:1" ht="13" x14ac:dyDescent="0.15">
      <c r="A488" s="89"/>
    </row>
    <row r="489" spans="1:1" ht="13" x14ac:dyDescent="0.15">
      <c r="A489" s="89"/>
    </row>
    <row r="490" spans="1:1" ht="13" x14ac:dyDescent="0.15">
      <c r="A490" s="89"/>
    </row>
    <row r="491" spans="1:1" ht="13" x14ac:dyDescent="0.15">
      <c r="A491" s="89"/>
    </row>
    <row r="492" spans="1:1" ht="13" x14ac:dyDescent="0.15">
      <c r="A492" s="89"/>
    </row>
    <row r="493" spans="1:1" ht="13" x14ac:dyDescent="0.15">
      <c r="A493" s="89"/>
    </row>
    <row r="494" spans="1:1" ht="13" x14ac:dyDescent="0.15">
      <c r="A494" s="89"/>
    </row>
    <row r="495" spans="1:1" ht="13" x14ac:dyDescent="0.15">
      <c r="A495" s="89"/>
    </row>
    <row r="496" spans="1:1" ht="13" x14ac:dyDescent="0.15">
      <c r="A496" s="89"/>
    </row>
    <row r="497" spans="1:1" ht="13" x14ac:dyDescent="0.15">
      <c r="A497" s="89"/>
    </row>
    <row r="498" spans="1:1" ht="13" x14ac:dyDescent="0.15">
      <c r="A498" s="89"/>
    </row>
    <row r="499" spans="1:1" ht="13" x14ac:dyDescent="0.15">
      <c r="A499" s="89"/>
    </row>
    <row r="500" spans="1:1" ht="13" x14ac:dyDescent="0.15">
      <c r="A500" s="89"/>
    </row>
    <row r="501" spans="1:1" ht="13" x14ac:dyDescent="0.15">
      <c r="A501" s="89"/>
    </row>
    <row r="502" spans="1:1" ht="13" x14ac:dyDescent="0.15">
      <c r="A502" s="89"/>
    </row>
    <row r="503" spans="1:1" ht="13" x14ac:dyDescent="0.15">
      <c r="A503" s="89"/>
    </row>
    <row r="504" spans="1:1" ht="13" x14ac:dyDescent="0.15">
      <c r="A504" s="89"/>
    </row>
    <row r="505" spans="1:1" ht="13" x14ac:dyDescent="0.15">
      <c r="A505" s="89"/>
    </row>
    <row r="506" spans="1:1" ht="13" x14ac:dyDescent="0.15">
      <c r="A506" s="89"/>
    </row>
    <row r="507" spans="1:1" ht="13" x14ac:dyDescent="0.15">
      <c r="A507" s="89"/>
    </row>
    <row r="508" spans="1:1" ht="13" x14ac:dyDescent="0.15">
      <c r="A508" s="89"/>
    </row>
    <row r="509" spans="1:1" ht="13" x14ac:dyDescent="0.15">
      <c r="A509" s="89"/>
    </row>
    <row r="510" spans="1:1" ht="13" x14ac:dyDescent="0.15">
      <c r="A510" s="89"/>
    </row>
    <row r="511" spans="1:1" ht="13" x14ac:dyDescent="0.15">
      <c r="A511" s="89"/>
    </row>
    <row r="512" spans="1:1" ht="13" x14ac:dyDescent="0.15">
      <c r="A512" s="89"/>
    </row>
    <row r="513" spans="1:1" ht="13" x14ac:dyDescent="0.15">
      <c r="A513" s="89"/>
    </row>
    <row r="514" spans="1:1" ht="13" x14ac:dyDescent="0.15">
      <c r="A514" s="89"/>
    </row>
    <row r="515" spans="1:1" ht="13" x14ac:dyDescent="0.15">
      <c r="A515" s="89"/>
    </row>
    <row r="516" spans="1:1" ht="13" x14ac:dyDescent="0.15">
      <c r="A516" s="89"/>
    </row>
    <row r="517" spans="1:1" ht="13" x14ac:dyDescent="0.15">
      <c r="A517" s="89"/>
    </row>
    <row r="518" spans="1:1" ht="13" x14ac:dyDescent="0.15">
      <c r="A518" s="89"/>
    </row>
    <row r="519" spans="1:1" ht="13" x14ac:dyDescent="0.15">
      <c r="A519" s="89"/>
    </row>
    <row r="520" spans="1:1" ht="13" x14ac:dyDescent="0.15">
      <c r="A520" s="89"/>
    </row>
    <row r="521" spans="1:1" ht="13" x14ac:dyDescent="0.15">
      <c r="A521" s="89"/>
    </row>
    <row r="522" spans="1:1" ht="13" x14ac:dyDescent="0.15">
      <c r="A522" s="89"/>
    </row>
    <row r="523" spans="1:1" ht="13" x14ac:dyDescent="0.15">
      <c r="A523" s="89"/>
    </row>
    <row r="524" spans="1:1" ht="13" x14ac:dyDescent="0.15">
      <c r="A524" s="89"/>
    </row>
    <row r="525" spans="1:1" ht="13" x14ac:dyDescent="0.15">
      <c r="A525" s="89"/>
    </row>
    <row r="526" spans="1:1" ht="13" x14ac:dyDescent="0.15">
      <c r="A526" s="89"/>
    </row>
    <row r="527" spans="1:1" ht="13" x14ac:dyDescent="0.15">
      <c r="A527" s="89"/>
    </row>
    <row r="528" spans="1:1" ht="13" x14ac:dyDescent="0.15">
      <c r="A528" s="89"/>
    </row>
    <row r="529" spans="1:1" ht="13" x14ac:dyDescent="0.15">
      <c r="A529" s="89"/>
    </row>
    <row r="530" spans="1:1" ht="13" x14ac:dyDescent="0.15">
      <c r="A530" s="89"/>
    </row>
    <row r="531" spans="1:1" ht="13" x14ac:dyDescent="0.15">
      <c r="A531" s="89"/>
    </row>
    <row r="532" spans="1:1" ht="13" x14ac:dyDescent="0.15">
      <c r="A532" s="89"/>
    </row>
    <row r="533" spans="1:1" ht="13" x14ac:dyDescent="0.15">
      <c r="A533" s="89"/>
    </row>
    <row r="534" spans="1:1" ht="13" x14ac:dyDescent="0.15">
      <c r="A534" s="89"/>
    </row>
    <row r="535" spans="1:1" ht="13" x14ac:dyDescent="0.15">
      <c r="A535" s="89"/>
    </row>
    <row r="536" spans="1:1" ht="13" x14ac:dyDescent="0.15">
      <c r="A536" s="89"/>
    </row>
    <row r="537" spans="1:1" ht="13" x14ac:dyDescent="0.15">
      <c r="A537" s="89"/>
    </row>
    <row r="538" spans="1:1" ht="13" x14ac:dyDescent="0.15">
      <c r="A538" s="89"/>
    </row>
    <row r="539" spans="1:1" ht="13" x14ac:dyDescent="0.15">
      <c r="A539" s="89"/>
    </row>
    <row r="540" spans="1:1" ht="13" x14ac:dyDescent="0.15">
      <c r="A540" s="89"/>
    </row>
    <row r="541" spans="1:1" ht="13" x14ac:dyDescent="0.15">
      <c r="A541" s="89"/>
    </row>
    <row r="542" spans="1:1" ht="13" x14ac:dyDescent="0.15">
      <c r="A542" s="89"/>
    </row>
    <row r="543" spans="1:1" ht="13" x14ac:dyDescent="0.15">
      <c r="A543" s="89"/>
    </row>
    <row r="544" spans="1:1" ht="13" x14ac:dyDescent="0.15">
      <c r="A544" s="89"/>
    </row>
    <row r="545" spans="1:1" ht="13" x14ac:dyDescent="0.15">
      <c r="A545" s="89"/>
    </row>
    <row r="546" spans="1:1" ht="13" x14ac:dyDescent="0.15">
      <c r="A546" s="89"/>
    </row>
    <row r="547" spans="1:1" ht="13" x14ac:dyDescent="0.15">
      <c r="A547" s="89"/>
    </row>
    <row r="548" spans="1:1" ht="13" x14ac:dyDescent="0.15">
      <c r="A548" s="89"/>
    </row>
    <row r="549" spans="1:1" ht="13" x14ac:dyDescent="0.15">
      <c r="A549" s="89"/>
    </row>
    <row r="550" spans="1:1" ht="13" x14ac:dyDescent="0.15">
      <c r="A550" s="89"/>
    </row>
    <row r="551" spans="1:1" ht="13" x14ac:dyDescent="0.15">
      <c r="A551" s="89"/>
    </row>
    <row r="552" spans="1:1" ht="13" x14ac:dyDescent="0.15">
      <c r="A552" s="89"/>
    </row>
    <row r="553" spans="1:1" ht="13" x14ac:dyDescent="0.15">
      <c r="A553" s="89"/>
    </row>
    <row r="554" spans="1:1" ht="13" x14ac:dyDescent="0.15">
      <c r="A554" s="89"/>
    </row>
    <row r="555" spans="1:1" ht="13" x14ac:dyDescent="0.15">
      <c r="A555" s="89"/>
    </row>
    <row r="556" spans="1:1" ht="13" x14ac:dyDescent="0.15">
      <c r="A556" s="89"/>
    </row>
    <row r="557" spans="1:1" ht="13" x14ac:dyDescent="0.15">
      <c r="A557" s="89"/>
    </row>
    <row r="558" spans="1:1" ht="13" x14ac:dyDescent="0.15">
      <c r="A558" s="89"/>
    </row>
    <row r="559" spans="1:1" ht="13" x14ac:dyDescent="0.15">
      <c r="A559" s="89"/>
    </row>
    <row r="560" spans="1:1" ht="13" x14ac:dyDescent="0.15">
      <c r="A560" s="89"/>
    </row>
    <row r="561" spans="1:1" ht="13" x14ac:dyDescent="0.15">
      <c r="A561" s="89"/>
    </row>
    <row r="562" spans="1:1" ht="13" x14ac:dyDescent="0.15">
      <c r="A562" s="89"/>
    </row>
    <row r="563" spans="1:1" ht="13" x14ac:dyDescent="0.15">
      <c r="A563" s="89"/>
    </row>
    <row r="564" spans="1:1" ht="13" x14ac:dyDescent="0.15">
      <c r="A564" s="89"/>
    </row>
    <row r="565" spans="1:1" ht="13" x14ac:dyDescent="0.15">
      <c r="A565" s="89"/>
    </row>
    <row r="566" spans="1:1" ht="13" x14ac:dyDescent="0.15">
      <c r="A566" s="89"/>
    </row>
    <row r="567" spans="1:1" ht="13" x14ac:dyDescent="0.15">
      <c r="A567" s="89"/>
    </row>
    <row r="568" spans="1:1" ht="13" x14ac:dyDescent="0.15">
      <c r="A568" s="89"/>
    </row>
    <row r="569" spans="1:1" ht="13" x14ac:dyDescent="0.15">
      <c r="A569" s="89"/>
    </row>
    <row r="570" spans="1:1" ht="13" x14ac:dyDescent="0.15">
      <c r="A570" s="89"/>
    </row>
    <row r="571" spans="1:1" ht="13" x14ac:dyDescent="0.15">
      <c r="A571" s="89"/>
    </row>
    <row r="572" spans="1:1" ht="13" x14ac:dyDescent="0.15">
      <c r="A572" s="89"/>
    </row>
    <row r="573" spans="1:1" ht="13" x14ac:dyDescent="0.15">
      <c r="A573" s="89"/>
    </row>
    <row r="574" spans="1:1" ht="13" x14ac:dyDescent="0.15">
      <c r="A574" s="89"/>
    </row>
    <row r="575" spans="1:1" ht="13" x14ac:dyDescent="0.15">
      <c r="A575" s="89"/>
    </row>
    <row r="576" spans="1:1" ht="13" x14ac:dyDescent="0.15">
      <c r="A576" s="89"/>
    </row>
    <row r="577" spans="1:1" ht="13" x14ac:dyDescent="0.15">
      <c r="A577" s="89"/>
    </row>
    <row r="578" spans="1:1" ht="13" x14ac:dyDescent="0.15">
      <c r="A578" s="89"/>
    </row>
    <row r="579" spans="1:1" ht="13" x14ac:dyDescent="0.15">
      <c r="A579" s="89"/>
    </row>
    <row r="580" spans="1:1" ht="13" x14ac:dyDescent="0.15">
      <c r="A580" s="89"/>
    </row>
    <row r="581" spans="1:1" ht="13" x14ac:dyDescent="0.15">
      <c r="A581" s="89"/>
    </row>
    <row r="582" spans="1:1" ht="13" x14ac:dyDescent="0.15">
      <c r="A582" s="89"/>
    </row>
    <row r="583" spans="1:1" ht="13" x14ac:dyDescent="0.15">
      <c r="A583" s="89"/>
    </row>
    <row r="584" spans="1:1" ht="13" x14ac:dyDescent="0.15">
      <c r="A584" s="89"/>
    </row>
    <row r="585" spans="1:1" ht="13" x14ac:dyDescent="0.15">
      <c r="A585" s="89"/>
    </row>
    <row r="586" spans="1:1" ht="13" x14ac:dyDescent="0.15">
      <c r="A586" s="89"/>
    </row>
    <row r="587" spans="1:1" ht="13" x14ac:dyDescent="0.15">
      <c r="A587" s="89"/>
    </row>
    <row r="588" spans="1:1" ht="13" x14ac:dyDescent="0.15">
      <c r="A588" s="89"/>
    </row>
    <row r="589" spans="1:1" ht="13" x14ac:dyDescent="0.15">
      <c r="A589" s="89"/>
    </row>
    <row r="590" spans="1:1" ht="13" x14ac:dyDescent="0.15">
      <c r="A590" s="89"/>
    </row>
    <row r="591" spans="1:1" ht="13" x14ac:dyDescent="0.15">
      <c r="A591" s="89"/>
    </row>
    <row r="592" spans="1:1" ht="13" x14ac:dyDescent="0.15">
      <c r="A592" s="89"/>
    </row>
    <row r="593" spans="1:1" ht="13" x14ac:dyDescent="0.15">
      <c r="A593" s="89"/>
    </row>
    <row r="594" spans="1:1" ht="13" x14ac:dyDescent="0.15">
      <c r="A594" s="89"/>
    </row>
    <row r="595" spans="1:1" ht="13" x14ac:dyDescent="0.15">
      <c r="A595" s="89"/>
    </row>
    <row r="596" spans="1:1" ht="13" x14ac:dyDescent="0.15">
      <c r="A596" s="89"/>
    </row>
    <row r="597" spans="1:1" ht="13" x14ac:dyDescent="0.15">
      <c r="A597" s="89"/>
    </row>
    <row r="598" spans="1:1" ht="13" x14ac:dyDescent="0.15">
      <c r="A598" s="89"/>
    </row>
    <row r="599" spans="1:1" ht="13" x14ac:dyDescent="0.15">
      <c r="A599" s="89"/>
    </row>
    <row r="600" spans="1:1" ht="13" x14ac:dyDescent="0.15">
      <c r="A600" s="89"/>
    </row>
    <row r="601" spans="1:1" ht="13" x14ac:dyDescent="0.15">
      <c r="A601" s="89"/>
    </row>
    <row r="602" spans="1:1" ht="13" x14ac:dyDescent="0.15">
      <c r="A602" s="89"/>
    </row>
    <row r="603" spans="1:1" ht="13" x14ac:dyDescent="0.15">
      <c r="A603" s="89"/>
    </row>
    <row r="604" spans="1:1" ht="13" x14ac:dyDescent="0.15">
      <c r="A604" s="89"/>
    </row>
    <row r="605" spans="1:1" ht="13" x14ac:dyDescent="0.15">
      <c r="A605" s="89"/>
    </row>
    <row r="606" spans="1:1" ht="13" x14ac:dyDescent="0.15">
      <c r="A606" s="89"/>
    </row>
    <row r="607" spans="1:1" ht="13" x14ac:dyDescent="0.15">
      <c r="A607" s="89"/>
    </row>
    <row r="608" spans="1:1" ht="13" x14ac:dyDescent="0.15">
      <c r="A608" s="89"/>
    </row>
    <row r="609" spans="1:1" ht="13" x14ac:dyDescent="0.15">
      <c r="A609" s="89"/>
    </row>
    <row r="610" spans="1:1" ht="13" x14ac:dyDescent="0.15">
      <c r="A610" s="89"/>
    </row>
    <row r="611" spans="1:1" ht="13" x14ac:dyDescent="0.15">
      <c r="A611" s="89"/>
    </row>
    <row r="612" spans="1:1" ht="13" x14ac:dyDescent="0.15">
      <c r="A612" s="89"/>
    </row>
    <row r="613" spans="1:1" ht="13" x14ac:dyDescent="0.15">
      <c r="A613" s="89"/>
    </row>
    <row r="614" spans="1:1" ht="13" x14ac:dyDescent="0.15">
      <c r="A614" s="89"/>
    </row>
    <row r="615" spans="1:1" ht="13" x14ac:dyDescent="0.15">
      <c r="A615" s="89"/>
    </row>
    <row r="616" spans="1:1" ht="13" x14ac:dyDescent="0.15">
      <c r="A616" s="89"/>
    </row>
    <row r="617" spans="1:1" ht="13" x14ac:dyDescent="0.15">
      <c r="A617" s="89"/>
    </row>
    <row r="618" spans="1:1" ht="13" x14ac:dyDescent="0.15">
      <c r="A618" s="89"/>
    </row>
    <row r="619" spans="1:1" ht="13" x14ac:dyDescent="0.15">
      <c r="A619" s="89"/>
    </row>
    <row r="620" spans="1:1" ht="13" x14ac:dyDescent="0.15">
      <c r="A620" s="89"/>
    </row>
    <row r="621" spans="1:1" ht="13" x14ac:dyDescent="0.15">
      <c r="A621" s="89"/>
    </row>
    <row r="622" spans="1:1" ht="13" x14ac:dyDescent="0.15">
      <c r="A622" s="89"/>
    </row>
    <row r="623" spans="1:1" ht="13" x14ac:dyDescent="0.15">
      <c r="A623" s="89"/>
    </row>
    <row r="624" spans="1:1" ht="13" x14ac:dyDescent="0.15">
      <c r="A624" s="89"/>
    </row>
    <row r="625" spans="1:1" ht="13" x14ac:dyDescent="0.15">
      <c r="A625" s="89"/>
    </row>
    <row r="626" spans="1:1" ht="13" x14ac:dyDescent="0.15">
      <c r="A626" s="89"/>
    </row>
    <row r="627" spans="1:1" ht="13" x14ac:dyDescent="0.15">
      <c r="A627" s="89"/>
    </row>
    <row r="628" spans="1:1" ht="13" x14ac:dyDescent="0.15">
      <c r="A628" s="89"/>
    </row>
    <row r="629" spans="1:1" ht="13" x14ac:dyDescent="0.15">
      <c r="A629" s="89"/>
    </row>
    <row r="630" spans="1:1" ht="13" x14ac:dyDescent="0.15">
      <c r="A630" s="89"/>
    </row>
    <row r="631" spans="1:1" ht="13" x14ac:dyDescent="0.15">
      <c r="A631" s="89"/>
    </row>
    <row r="632" spans="1:1" ht="13" x14ac:dyDescent="0.15">
      <c r="A632" s="89"/>
    </row>
    <row r="633" spans="1:1" ht="13" x14ac:dyDescent="0.15">
      <c r="A633" s="89"/>
    </row>
    <row r="634" spans="1:1" ht="13" x14ac:dyDescent="0.15">
      <c r="A634" s="89"/>
    </row>
    <row r="635" spans="1:1" ht="13" x14ac:dyDescent="0.15">
      <c r="A635" s="89"/>
    </row>
    <row r="636" spans="1:1" ht="13" x14ac:dyDescent="0.15">
      <c r="A636" s="89"/>
    </row>
    <row r="637" spans="1:1" ht="13" x14ac:dyDescent="0.15">
      <c r="A637" s="89"/>
    </row>
    <row r="638" spans="1:1" ht="13" x14ac:dyDescent="0.15">
      <c r="A638" s="89"/>
    </row>
    <row r="639" spans="1:1" ht="13" x14ac:dyDescent="0.15">
      <c r="A639" s="89"/>
    </row>
    <row r="640" spans="1:1" ht="13" x14ac:dyDescent="0.15">
      <c r="A640" s="89"/>
    </row>
    <row r="641" spans="1:1" ht="13" x14ac:dyDescent="0.15">
      <c r="A641" s="89"/>
    </row>
    <row r="642" spans="1:1" ht="13" x14ac:dyDescent="0.15">
      <c r="A642" s="89"/>
    </row>
    <row r="643" spans="1:1" ht="13" x14ac:dyDescent="0.15">
      <c r="A643" s="89"/>
    </row>
    <row r="644" spans="1:1" ht="13" x14ac:dyDescent="0.15">
      <c r="A644" s="89"/>
    </row>
    <row r="645" spans="1:1" ht="13" x14ac:dyDescent="0.15">
      <c r="A645" s="89"/>
    </row>
    <row r="646" spans="1:1" ht="13" x14ac:dyDescent="0.15">
      <c r="A646" s="89"/>
    </row>
    <row r="647" spans="1:1" ht="13" x14ac:dyDescent="0.15">
      <c r="A647" s="89"/>
    </row>
    <row r="648" spans="1:1" ht="13" x14ac:dyDescent="0.15">
      <c r="A648" s="89"/>
    </row>
    <row r="649" spans="1:1" ht="13" x14ac:dyDescent="0.15">
      <c r="A649" s="89"/>
    </row>
    <row r="650" spans="1:1" ht="13" x14ac:dyDescent="0.15">
      <c r="A650" s="89"/>
    </row>
    <row r="651" spans="1:1" ht="13" x14ac:dyDescent="0.15">
      <c r="A651" s="89"/>
    </row>
    <row r="652" spans="1:1" ht="13" x14ac:dyDescent="0.15">
      <c r="A652" s="89"/>
    </row>
    <row r="653" spans="1:1" ht="13" x14ac:dyDescent="0.15">
      <c r="A653" s="89"/>
    </row>
    <row r="654" spans="1:1" ht="13" x14ac:dyDescent="0.15">
      <c r="A654" s="89"/>
    </row>
    <row r="655" spans="1:1" ht="13" x14ac:dyDescent="0.15">
      <c r="A655" s="89"/>
    </row>
    <row r="656" spans="1:1" ht="13" x14ac:dyDescent="0.15">
      <c r="A656" s="89"/>
    </row>
    <row r="657" spans="1:1" ht="13" x14ac:dyDescent="0.15">
      <c r="A657" s="89"/>
    </row>
    <row r="658" spans="1:1" ht="13" x14ac:dyDescent="0.15">
      <c r="A658" s="89"/>
    </row>
    <row r="659" spans="1:1" ht="13" x14ac:dyDescent="0.15">
      <c r="A659" s="89"/>
    </row>
    <row r="660" spans="1:1" ht="13" x14ac:dyDescent="0.15">
      <c r="A660" s="89"/>
    </row>
    <row r="661" spans="1:1" ht="13" x14ac:dyDescent="0.15">
      <c r="A661" s="89"/>
    </row>
    <row r="662" spans="1:1" ht="13" x14ac:dyDescent="0.15">
      <c r="A662" s="89"/>
    </row>
    <row r="663" spans="1:1" ht="13" x14ac:dyDescent="0.15">
      <c r="A663" s="89"/>
    </row>
    <row r="664" spans="1:1" ht="13" x14ac:dyDescent="0.15">
      <c r="A664" s="89"/>
    </row>
    <row r="665" spans="1:1" ht="13" x14ac:dyDescent="0.15">
      <c r="A665" s="89"/>
    </row>
    <row r="666" spans="1:1" ht="13" x14ac:dyDescent="0.15">
      <c r="A666" s="89"/>
    </row>
    <row r="667" spans="1:1" ht="13" x14ac:dyDescent="0.15">
      <c r="A667" s="89"/>
    </row>
    <row r="668" spans="1:1" ht="13" x14ac:dyDescent="0.15">
      <c r="A668" s="89"/>
    </row>
    <row r="669" spans="1:1" ht="13" x14ac:dyDescent="0.15">
      <c r="A669" s="89"/>
    </row>
    <row r="670" spans="1:1" ht="13" x14ac:dyDescent="0.15">
      <c r="A670" s="89"/>
    </row>
    <row r="671" spans="1:1" ht="13" x14ac:dyDescent="0.15">
      <c r="A671" s="89"/>
    </row>
    <row r="672" spans="1:1" ht="13" x14ac:dyDescent="0.15">
      <c r="A672" s="89"/>
    </row>
    <row r="673" spans="1:1" ht="13" x14ac:dyDescent="0.15">
      <c r="A673" s="89"/>
    </row>
    <row r="674" spans="1:1" ht="13" x14ac:dyDescent="0.15">
      <c r="A674" s="89"/>
    </row>
    <row r="675" spans="1:1" ht="13" x14ac:dyDescent="0.15">
      <c r="A675" s="89"/>
    </row>
    <row r="676" spans="1:1" ht="13" x14ac:dyDescent="0.15">
      <c r="A676" s="89"/>
    </row>
    <row r="677" spans="1:1" ht="13" x14ac:dyDescent="0.15">
      <c r="A677" s="89"/>
    </row>
    <row r="678" spans="1:1" ht="13" x14ac:dyDescent="0.15">
      <c r="A678" s="89"/>
    </row>
    <row r="679" spans="1:1" ht="13" x14ac:dyDescent="0.15">
      <c r="A679" s="89"/>
    </row>
    <row r="680" spans="1:1" ht="13" x14ac:dyDescent="0.15">
      <c r="A680" s="89"/>
    </row>
    <row r="681" spans="1:1" ht="13" x14ac:dyDescent="0.15">
      <c r="A681" s="89"/>
    </row>
    <row r="682" spans="1:1" ht="13" x14ac:dyDescent="0.15">
      <c r="A682" s="89"/>
    </row>
    <row r="683" spans="1:1" ht="13" x14ac:dyDescent="0.15">
      <c r="A683" s="89"/>
    </row>
    <row r="684" spans="1:1" ht="13" x14ac:dyDescent="0.15">
      <c r="A684" s="89"/>
    </row>
    <row r="685" spans="1:1" ht="13" x14ac:dyDescent="0.15">
      <c r="A685" s="89"/>
    </row>
    <row r="686" spans="1:1" ht="13" x14ac:dyDescent="0.15">
      <c r="A686" s="89"/>
    </row>
    <row r="687" spans="1:1" ht="13" x14ac:dyDescent="0.15">
      <c r="A687" s="89"/>
    </row>
    <row r="688" spans="1:1" ht="13" x14ac:dyDescent="0.15">
      <c r="A688" s="89"/>
    </row>
    <row r="689" spans="1:1" ht="13" x14ac:dyDescent="0.15">
      <c r="A689" s="89"/>
    </row>
    <row r="690" spans="1:1" ht="13" x14ac:dyDescent="0.15">
      <c r="A690" s="89"/>
    </row>
    <row r="691" spans="1:1" ht="13" x14ac:dyDescent="0.15">
      <c r="A691" s="89"/>
    </row>
    <row r="692" spans="1:1" ht="13" x14ac:dyDescent="0.15">
      <c r="A692" s="89"/>
    </row>
    <row r="693" spans="1:1" ht="13" x14ac:dyDescent="0.15">
      <c r="A693" s="89"/>
    </row>
    <row r="694" spans="1:1" ht="13" x14ac:dyDescent="0.15">
      <c r="A694" s="89"/>
    </row>
    <row r="695" spans="1:1" ht="13" x14ac:dyDescent="0.15">
      <c r="A695" s="89"/>
    </row>
    <row r="696" spans="1:1" ht="13" x14ac:dyDescent="0.15">
      <c r="A696" s="89"/>
    </row>
    <row r="697" spans="1:1" ht="13" x14ac:dyDescent="0.15">
      <c r="A697" s="89"/>
    </row>
    <row r="698" spans="1:1" ht="13" x14ac:dyDescent="0.15">
      <c r="A698" s="89"/>
    </row>
    <row r="699" spans="1:1" ht="13" x14ac:dyDescent="0.15">
      <c r="A699" s="89"/>
    </row>
    <row r="700" spans="1:1" ht="13" x14ac:dyDescent="0.15">
      <c r="A700" s="89"/>
    </row>
    <row r="701" spans="1:1" ht="13" x14ac:dyDescent="0.15">
      <c r="A701" s="89"/>
    </row>
    <row r="702" spans="1:1" ht="13" x14ac:dyDescent="0.15">
      <c r="A702" s="89"/>
    </row>
    <row r="703" spans="1:1" ht="13" x14ac:dyDescent="0.15">
      <c r="A703" s="89"/>
    </row>
    <row r="704" spans="1:1" ht="13" x14ac:dyDescent="0.15">
      <c r="A704" s="89"/>
    </row>
    <row r="705" spans="1:1" ht="13" x14ac:dyDescent="0.15">
      <c r="A705" s="89"/>
    </row>
    <row r="706" spans="1:1" ht="13" x14ac:dyDescent="0.15">
      <c r="A706" s="89"/>
    </row>
    <row r="707" spans="1:1" ht="13" x14ac:dyDescent="0.15">
      <c r="A707" s="89"/>
    </row>
    <row r="708" spans="1:1" ht="13" x14ac:dyDescent="0.15">
      <c r="A708" s="89"/>
    </row>
    <row r="709" spans="1:1" ht="13" x14ac:dyDescent="0.15">
      <c r="A709" s="89"/>
    </row>
    <row r="710" spans="1:1" ht="13" x14ac:dyDescent="0.15">
      <c r="A710" s="89"/>
    </row>
    <row r="711" spans="1:1" ht="13" x14ac:dyDescent="0.15">
      <c r="A711" s="89"/>
    </row>
    <row r="712" spans="1:1" ht="13" x14ac:dyDescent="0.15">
      <c r="A712" s="89"/>
    </row>
    <row r="713" spans="1:1" ht="13" x14ac:dyDescent="0.15">
      <c r="A713" s="89"/>
    </row>
    <row r="714" spans="1:1" ht="13" x14ac:dyDescent="0.15">
      <c r="A714" s="89"/>
    </row>
    <row r="715" spans="1:1" ht="13" x14ac:dyDescent="0.15">
      <c r="A715" s="89"/>
    </row>
    <row r="716" spans="1:1" ht="13" x14ac:dyDescent="0.15">
      <c r="A716" s="89"/>
    </row>
    <row r="717" spans="1:1" ht="13" x14ac:dyDescent="0.15">
      <c r="A717" s="89"/>
    </row>
    <row r="718" spans="1:1" ht="13" x14ac:dyDescent="0.15">
      <c r="A718" s="89"/>
    </row>
    <row r="719" spans="1:1" ht="13" x14ac:dyDescent="0.15">
      <c r="A719" s="89"/>
    </row>
    <row r="720" spans="1:1" ht="13" x14ac:dyDescent="0.15">
      <c r="A720" s="89"/>
    </row>
    <row r="721" spans="1:1" ht="13" x14ac:dyDescent="0.15">
      <c r="A721" s="89"/>
    </row>
    <row r="722" spans="1:1" ht="13" x14ac:dyDescent="0.15">
      <c r="A722" s="89"/>
    </row>
    <row r="723" spans="1:1" ht="13" x14ac:dyDescent="0.15">
      <c r="A723" s="89"/>
    </row>
    <row r="724" spans="1:1" ht="13" x14ac:dyDescent="0.15">
      <c r="A724" s="89"/>
    </row>
    <row r="725" spans="1:1" ht="13" x14ac:dyDescent="0.15">
      <c r="A725" s="89"/>
    </row>
    <row r="726" spans="1:1" ht="13" x14ac:dyDescent="0.15">
      <c r="A726" s="89"/>
    </row>
    <row r="727" spans="1:1" ht="13" x14ac:dyDescent="0.15">
      <c r="A727" s="89"/>
    </row>
    <row r="728" spans="1:1" ht="13" x14ac:dyDescent="0.15">
      <c r="A728" s="89"/>
    </row>
    <row r="729" spans="1:1" ht="13" x14ac:dyDescent="0.15">
      <c r="A729" s="89"/>
    </row>
    <row r="730" spans="1:1" ht="13" x14ac:dyDescent="0.15">
      <c r="A730" s="89"/>
    </row>
    <row r="731" spans="1:1" ht="13" x14ac:dyDescent="0.15">
      <c r="A731" s="89"/>
    </row>
    <row r="732" spans="1:1" ht="13" x14ac:dyDescent="0.15">
      <c r="A732" s="89"/>
    </row>
    <row r="733" spans="1:1" ht="13" x14ac:dyDescent="0.15">
      <c r="A733" s="89"/>
    </row>
    <row r="734" spans="1:1" ht="13" x14ac:dyDescent="0.15">
      <c r="A734" s="89"/>
    </row>
    <row r="735" spans="1:1" ht="13" x14ac:dyDescent="0.15">
      <c r="A735" s="89"/>
    </row>
    <row r="736" spans="1:1" ht="13" x14ac:dyDescent="0.15">
      <c r="A736" s="89"/>
    </row>
    <row r="737" spans="1:1" ht="13" x14ac:dyDescent="0.15">
      <c r="A737" s="89"/>
    </row>
    <row r="738" spans="1:1" ht="13" x14ac:dyDescent="0.15">
      <c r="A738" s="89"/>
    </row>
    <row r="739" spans="1:1" ht="13" x14ac:dyDescent="0.15">
      <c r="A739" s="89"/>
    </row>
    <row r="740" spans="1:1" ht="13" x14ac:dyDescent="0.15">
      <c r="A740" s="89"/>
    </row>
    <row r="741" spans="1:1" ht="13" x14ac:dyDescent="0.15">
      <c r="A741" s="89"/>
    </row>
    <row r="742" spans="1:1" ht="13" x14ac:dyDescent="0.15">
      <c r="A742" s="89"/>
    </row>
    <row r="743" spans="1:1" ht="13" x14ac:dyDescent="0.15">
      <c r="A743" s="89"/>
    </row>
    <row r="744" spans="1:1" ht="13" x14ac:dyDescent="0.15">
      <c r="A744" s="89"/>
    </row>
    <row r="745" spans="1:1" ht="13" x14ac:dyDescent="0.15">
      <c r="A745" s="89"/>
    </row>
    <row r="746" spans="1:1" ht="13" x14ac:dyDescent="0.15">
      <c r="A746" s="89"/>
    </row>
    <row r="747" spans="1:1" ht="13" x14ac:dyDescent="0.15">
      <c r="A747" s="89"/>
    </row>
    <row r="748" spans="1:1" ht="13" x14ac:dyDescent="0.15">
      <c r="A748" s="89"/>
    </row>
    <row r="749" spans="1:1" ht="13" x14ac:dyDescent="0.15">
      <c r="A749" s="89"/>
    </row>
    <row r="750" spans="1:1" ht="13" x14ac:dyDescent="0.15">
      <c r="A750" s="89"/>
    </row>
    <row r="751" spans="1:1" ht="13" x14ac:dyDescent="0.15">
      <c r="A751" s="89"/>
    </row>
    <row r="752" spans="1:1" ht="13" x14ac:dyDescent="0.15">
      <c r="A752" s="89"/>
    </row>
    <row r="753" spans="1:1" ht="13" x14ac:dyDescent="0.15">
      <c r="A753" s="89"/>
    </row>
    <row r="754" spans="1:1" ht="13" x14ac:dyDescent="0.15">
      <c r="A754" s="89"/>
    </row>
    <row r="755" spans="1:1" ht="13" x14ac:dyDescent="0.15">
      <c r="A755" s="89"/>
    </row>
    <row r="756" spans="1:1" ht="13" x14ac:dyDescent="0.15">
      <c r="A756" s="89"/>
    </row>
    <row r="757" spans="1:1" ht="13" x14ac:dyDescent="0.15">
      <c r="A757" s="89"/>
    </row>
    <row r="758" spans="1:1" ht="13" x14ac:dyDescent="0.15">
      <c r="A758" s="89"/>
    </row>
    <row r="759" spans="1:1" ht="13" x14ac:dyDescent="0.15">
      <c r="A759" s="89"/>
    </row>
    <row r="760" spans="1:1" ht="13" x14ac:dyDescent="0.15">
      <c r="A760" s="89"/>
    </row>
    <row r="761" spans="1:1" ht="13" x14ac:dyDescent="0.15">
      <c r="A761" s="89"/>
    </row>
    <row r="762" spans="1:1" ht="13" x14ac:dyDescent="0.15">
      <c r="A762" s="89"/>
    </row>
    <row r="763" spans="1:1" ht="13" x14ac:dyDescent="0.15">
      <c r="A763" s="89"/>
    </row>
    <row r="764" spans="1:1" ht="13" x14ac:dyDescent="0.15">
      <c r="A764" s="89"/>
    </row>
    <row r="765" spans="1:1" ht="13" x14ac:dyDescent="0.15">
      <c r="A765" s="89"/>
    </row>
    <row r="766" spans="1:1" ht="13" x14ac:dyDescent="0.15">
      <c r="A766" s="89"/>
    </row>
    <row r="767" spans="1:1" ht="13" x14ac:dyDescent="0.15">
      <c r="A767" s="89"/>
    </row>
    <row r="768" spans="1:1" ht="13" x14ac:dyDescent="0.15">
      <c r="A768" s="89"/>
    </row>
    <row r="769" spans="1:1" ht="13" x14ac:dyDescent="0.15">
      <c r="A769" s="89"/>
    </row>
    <row r="770" spans="1:1" ht="13" x14ac:dyDescent="0.15">
      <c r="A770" s="89"/>
    </row>
    <row r="771" spans="1:1" ht="13" x14ac:dyDescent="0.15">
      <c r="A771" s="89"/>
    </row>
    <row r="772" spans="1:1" ht="13" x14ac:dyDescent="0.15">
      <c r="A772" s="89"/>
    </row>
    <row r="773" spans="1:1" ht="13" x14ac:dyDescent="0.15">
      <c r="A773" s="89"/>
    </row>
    <row r="774" spans="1:1" ht="13" x14ac:dyDescent="0.15">
      <c r="A774" s="89"/>
    </row>
    <row r="775" spans="1:1" ht="13" x14ac:dyDescent="0.15">
      <c r="A775" s="89"/>
    </row>
    <row r="776" spans="1:1" ht="13" x14ac:dyDescent="0.15">
      <c r="A776" s="89"/>
    </row>
    <row r="777" spans="1:1" ht="13" x14ac:dyDescent="0.15">
      <c r="A777" s="89"/>
    </row>
    <row r="778" spans="1:1" ht="13" x14ac:dyDescent="0.15">
      <c r="A778" s="89"/>
    </row>
    <row r="779" spans="1:1" ht="13" x14ac:dyDescent="0.15">
      <c r="A779" s="89"/>
    </row>
    <row r="780" spans="1:1" ht="13" x14ac:dyDescent="0.15">
      <c r="A780" s="89"/>
    </row>
    <row r="781" spans="1:1" ht="13" x14ac:dyDescent="0.15">
      <c r="A781" s="89"/>
    </row>
    <row r="782" spans="1:1" ht="13" x14ac:dyDescent="0.15">
      <c r="A782" s="89"/>
    </row>
    <row r="783" spans="1:1" ht="13" x14ac:dyDescent="0.15">
      <c r="A783" s="89"/>
    </row>
    <row r="784" spans="1:1" ht="13" x14ac:dyDescent="0.15">
      <c r="A784" s="89"/>
    </row>
    <row r="785" spans="1:1" ht="13" x14ac:dyDescent="0.15">
      <c r="A785" s="89"/>
    </row>
    <row r="786" spans="1:1" ht="13" x14ac:dyDescent="0.15">
      <c r="A786" s="89"/>
    </row>
    <row r="787" spans="1:1" ht="13" x14ac:dyDescent="0.15">
      <c r="A787" s="89"/>
    </row>
    <row r="788" spans="1:1" ht="13" x14ac:dyDescent="0.15">
      <c r="A788" s="89"/>
    </row>
    <row r="789" spans="1:1" ht="13" x14ac:dyDescent="0.15">
      <c r="A789" s="89"/>
    </row>
    <row r="790" spans="1:1" ht="13" x14ac:dyDescent="0.15">
      <c r="A790" s="89"/>
    </row>
    <row r="791" spans="1:1" ht="13" x14ac:dyDescent="0.15">
      <c r="A791" s="89"/>
    </row>
    <row r="792" spans="1:1" ht="13" x14ac:dyDescent="0.15">
      <c r="A792" s="89"/>
    </row>
    <row r="793" spans="1:1" ht="13" x14ac:dyDescent="0.15">
      <c r="A793" s="89"/>
    </row>
    <row r="794" spans="1:1" ht="13" x14ac:dyDescent="0.15">
      <c r="A794" s="89"/>
    </row>
    <row r="795" spans="1:1" ht="13" x14ac:dyDescent="0.15">
      <c r="A795" s="89"/>
    </row>
    <row r="796" spans="1:1" ht="13" x14ac:dyDescent="0.15">
      <c r="A796" s="89"/>
    </row>
    <row r="797" spans="1:1" ht="13" x14ac:dyDescent="0.15">
      <c r="A797" s="89"/>
    </row>
    <row r="798" spans="1:1" ht="13" x14ac:dyDescent="0.15">
      <c r="A798" s="89"/>
    </row>
    <row r="799" spans="1:1" ht="13" x14ac:dyDescent="0.15">
      <c r="A799" s="89"/>
    </row>
    <row r="800" spans="1:1" ht="13" x14ac:dyDescent="0.15">
      <c r="A800" s="89"/>
    </row>
    <row r="801" spans="1:1" ht="13" x14ac:dyDescent="0.15">
      <c r="A801" s="89"/>
    </row>
    <row r="802" spans="1:1" ht="13" x14ac:dyDescent="0.15">
      <c r="A802" s="89"/>
    </row>
    <row r="803" spans="1:1" ht="13" x14ac:dyDescent="0.15">
      <c r="A803" s="89"/>
    </row>
    <row r="804" spans="1:1" ht="13" x14ac:dyDescent="0.15">
      <c r="A804" s="89"/>
    </row>
    <row r="805" spans="1:1" ht="13" x14ac:dyDescent="0.15">
      <c r="A805" s="89"/>
    </row>
    <row r="806" spans="1:1" ht="13" x14ac:dyDescent="0.15">
      <c r="A806" s="89"/>
    </row>
    <row r="807" spans="1:1" ht="13" x14ac:dyDescent="0.15">
      <c r="A807" s="89"/>
    </row>
    <row r="808" spans="1:1" ht="13" x14ac:dyDescent="0.15">
      <c r="A808" s="89"/>
    </row>
    <row r="809" spans="1:1" ht="13" x14ac:dyDescent="0.15">
      <c r="A809" s="89"/>
    </row>
    <row r="810" spans="1:1" ht="13" x14ac:dyDescent="0.15">
      <c r="A810" s="89"/>
    </row>
    <row r="811" spans="1:1" ht="13" x14ac:dyDescent="0.15">
      <c r="A811" s="89"/>
    </row>
    <row r="812" spans="1:1" ht="13" x14ac:dyDescent="0.15">
      <c r="A812" s="89"/>
    </row>
    <row r="813" spans="1:1" ht="13" x14ac:dyDescent="0.15">
      <c r="A813" s="89"/>
    </row>
    <row r="814" spans="1:1" ht="13" x14ac:dyDescent="0.15">
      <c r="A814" s="89"/>
    </row>
    <row r="815" spans="1:1" ht="13" x14ac:dyDescent="0.15">
      <c r="A815" s="89"/>
    </row>
    <row r="816" spans="1:1" ht="13" x14ac:dyDescent="0.15">
      <c r="A816" s="89"/>
    </row>
    <row r="817" spans="1:1" ht="13" x14ac:dyDescent="0.15">
      <c r="A817" s="89"/>
    </row>
    <row r="818" spans="1:1" ht="13" x14ac:dyDescent="0.15">
      <c r="A818" s="89"/>
    </row>
    <row r="819" spans="1:1" ht="13" x14ac:dyDescent="0.15">
      <c r="A819" s="89"/>
    </row>
    <row r="820" spans="1:1" ht="13" x14ac:dyDescent="0.15">
      <c r="A820" s="89"/>
    </row>
    <row r="821" spans="1:1" ht="13" x14ac:dyDescent="0.15">
      <c r="A821" s="89"/>
    </row>
    <row r="822" spans="1:1" ht="13" x14ac:dyDescent="0.15">
      <c r="A822" s="89"/>
    </row>
    <row r="823" spans="1:1" ht="13" x14ac:dyDescent="0.15">
      <c r="A823" s="89"/>
    </row>
    <row r="824" spans="1:1" ht="13" x14ac:dyDescent="0.15">
      <c r="A824" s="89"/>
    </row>
    <row r="825" spans="1:1" ht="13" x14ac:dyDescent="0.15">
      <c r="A825" s="89"/>
    </row>
    <row r="826" spans="1:1" ht="13" x14ac:dyDescent="0.15">
      <c r="A826" s="89"/>
    </row>
    <row r="827" spans="1:1" ht="13" x14ac:dyDescent="0.15">
      <c r="A827" s="89"/>
    </row>
    <row r="828" spans="1:1" ht="13" x14ac:dyDescent="0.15">
      <c r="A828" s="89"/>
    </row>
    <row r="829" spans="1:1" ht="13" x14ac:dyDescent="0.15">
      <c r="A829" s="89"/>
    </row>
    <row r="830" spans="1:1" ht="13" x14ac:dyDescent="0.15">
      <c r="A830" s="89"/>
    </row>
    <row r="831" spans="1:1" ht="13" x14ac:dyDescent="0.15">
      <c r="A831" s="89"/>
    </row>
    <row r="832" spans="1:1" ht="13" x14ac:dyDescent="0.15">
      <c r="A832" s="89"/>
    </row>
    <row r="833" spans="1:1" ht="13" x14ac:dyDescent="0.15">
      <c r="A833" s="89"/>
    </row>
    <row r="834" spans="1:1" ht="13" x14ac:dyDescent="0.15">
      <c r="A834" s="89"/>
    </row>
    <row r="835" spans="1:1" ht="13" x14ac:dyDescent="0.15">
      <c r="A835" s="89"/>
    </row>
    <row r="836" spans="1:1" ht="13" x14ac:dyDescent="0.15">
      <c r="A836" s="89"/>
    </row>
    <row r="837" spans="1:1" ht="13" x14ac:dyDescent="0.15">
      <c r="A837" s="89"/>
    </row>
    <row r="838" spans="1:1" ht="13" x14ac:dyDescent="0.15">
      <c r="A838" s="89"/>
    </row>
    <row r="839" spans="1:1" ht="13" x14ac:dyDescent="0.15">
      <c r="A839" s="89"/>
    </row>
    <row r="840" spans="1:1" ht="13" x14ac:dyDescent="0.15">
      <c r="A840" s="89"/>
    </row>
    <row r="841" spans="1:1" ht="13" x14ac:dyDescent="0.15">
      <c r="A841" s="89"/>
    </row>
    <row r="842" spans="1:1" ht="13" x14ac:dyDescent="0.15">
      <c r="A842" s="89"/>
    </row>
    <row r="843" spans="1:1" ht="13" x14ac:dyDescent="0.15">
      <c r="A843" s="89"/>
    </row>
    <row r="844" spans="1:1" ht="13" x14ac:dyDescent="0.15">
      <c r="A844" s="89"/>
    </row>
    <row r="845" spans="1:1" ht="13" x14ac:dyDescent="0.15">
      <c r="A845" s="89"/>
    </row>
    <row r="846" spans="1:1" ht="13" x14ac:dyDescent="0.15">
      <c r="A846" s="89"/>
    </row>
    <row r="847" spans="1:1" ht="13" x14ac:dyDescent="0.15">
      <c r="A847" s="89"/>
    </row>
    <row r="848" spans="1:1" ht="13" x14ac:dyDescent="0.15">
      <c r="A848" s="89"/>
    </row>
    <row r="849" spans="1:1" ht="13" x14ac:dyDescent="0.15">
      <c r="A849" s="89"/>
    </row>
    <row r="850" spans="1:1" ht="13" x14ac:dyDescent="0.15">
      <c r="A850" s="89"/>
    </row>
    <row r="851" spans="1:1" ht="13" x14ac:dyDescent="0.15">
      <c r="A851" s="89"/>
    </row>
    <row r="852" spans="1:1" ht="13" x14ac:dyDescent="0.15">
      <c r="A852" s="89"/>
    </row>
    <row r="853" spans="1:1" ht="13" x14ac:dyDescent="0.15">
      <c r="A853" s="89"/>
    </row>
    <row r="854" spans="1:1" ht="13" x14ac:dyDescent="0.15">
      <c r="A854" s="89"/>
    </row>
    <row r="855" spans="1:1" ht="13" x14ac:dyDescent="0.15">
      <c r="A855" s="89"/>
    </row>
    <row r="856" spans="1:1" ht="13" x14ac:dyDescent="0.15">
      <c r="A856" s="89"/>
    </row>
    <row r="857" spans="1:1" ht="13" x14ac:dyDescent="0.15">
      <c r="A857" s="89"/>
    </row>
    <row r="858" spans="1:1" ht="13" x14ac:dyDescent="0.15">
      <c r="A858" s="89"/>
    </row>
    <row r="859" spans="1:1" ht="13" x14ac:dyDescent="0.15">
      <c r="A859" s="89"/>
    </row>
    <row r="860" spans="1:1" ht="13" x14ac:dyDescent="0.15">
      <c r="A860" s="89"/>
    </row>
    <row r="861" spans="1:1" ht="13" x14ac:dyDescent="0.15">
      <c r="A861" s="89"/>
    </row>
    <row r="862" spans="1:1" ht="13" x14ac:dyDescent="0.15">
      <c r="A862" s="89"/>
    </row>
    <row r="863" spans="1:1" ht="13" x14ac:dyDescent="0.15">
      <c r="A863" s="89"/>
    </row>
    <row r="864" spans="1:1" ht="13" x14ac:dyDescent="0.15">
      <c r="A864" s="89"/>
    </row>
    <row r="865" spans="1:1" ht="13" x14ac:dyDescent="0.15">
      <c r="A865" s="89"/>
    </row>
    <row r="866" spans="1:1" ht="13" x14ac:dyDescent="0.15">
      <c r="A866" s="89"/>
    </row>
    <row r="867" spans="1:1" ht="13" x14ac:dyDescent="0.15">
      <c r="A867" s="89"/>
    </row>
    <row r="868" spans="1:1" ht="13" x14ac:dyDescent="0.15">
      <c r="A868" s="89"/>
    </row>
    <row r="869" spans="1:1" ht="13" x14ac:dyDescent="0.15">
      <c r="A869" s="89"/>
    </row>
    <row r="870" spans="1:1" ht="13" x14ac:dyDescent="0.15">
      <c r="A870" s="89"/>
    </row>
    <row r="871" spans="1:1" ht="13" x14ac:dyDescent="0.15">
      <c r="A871" s="89"/>
    </row>
    <row r="872" spans="1:1" ht="13" x14ac:dyDescent="0.15">
      <c r="A872" s="89"/>
    </row>
    <row r="873" spans="1:1" ht="13" x14ac:dyDescent="0.15">
      <c r="A873" s="89"/>
    </row>
    <row r="874" spans="1:1" ht="13" x14ac:dyDescent="0.15">
      <c r="A874" s="89"/>
    </row>
    <row r="875" spans="1:1" ht="13" x14ac:dyDescent="0.15">
      <c r="A875" s="89"/>
    </row>
    <row r="876" spans="1:1" ht="13" x14ac:dyDescent="0.15">
      <c r="A876" s="89"/>
    </row>
    <row r="877" spans="1:1" ht="13" x14ac:dyDescent="0.15">
      <c r="A877" s="89"/>
    </row>
    <row r="878" spans="1:1" ht="13" x14ac:dyDescent="0.15">
      <c r="A878" s="89"/>
    </row>
    <row r="879" spans="1:1" ht="13" x14ac:dyDescent="0.15">
      <c r="A879" s="89"/>
    </row>
    <row r="880" spans="1:1" ht="13" x14ac:dyDescent="0.15">
      <c r="A880" s="89"/>
    </row>
    <row r="881" spans="1:1" ht="13" x14ac:dyDescent="0.15">
      <c r="A881" s="89"/>
    </row>
    <row r="882" spans="1:1" ht="13" x14ac:dyDescent="0.15">
      <c r="A882" s="89"/>
    </row>
    <row r="883" spans="1:1" ht="13" x14ac:dyDescent="0.15">
      <c r="A883" s="89"/>
    </row>
    <row r="884" spans="1:1" ht="13" x14ac:dyDescent="0.15">
      <c r="A884" s="89"/>
    </row>
    <row r="885" spans="1:1" ht="13" x14ac:dyDescent="0.15">
      <c r="A885" s="89"/>
    </row>
    <row r="886" spans="1:1" ht="13" x14ac:dyDescent="0.15">
      <c r="A886" s="89"/>
    </row>
    <row r="887" spans="1:1" ht="13" x14ac:dyDescent="0.15">
      <c r="A887" s="89"/>
    </row>
    <row r="888" spans="1:1" ht="13" x14ac:dyDescent="0.15">
      <c r="A888" s="89"/>
    </row>
    <row r="889" spans="1:1" ht="13" x14ac:dyDescent="0.15">
      <c r="A889" s="89"/>
    </row>
    <row r="890" spans="1:1" ht="13" x14ac:dyDescent="0.15">
      <c r="A890" s="89"/>
    </row>
    <row r="891" spans="1:1" ht="13" x14ac:dyDescent="0.15">
      <c r="A891" s="89"/>
    </row>
    <row r="892" spans="1:1" ht="13" x14ac:dyDescent="0.15">
      <c r="A892" s="89"/>
    </row>
    <row r="893" spans="1:1" ht="13" x14ac:dyDescent="0.15">
      <c r="A893" s="89"/>
    </row>
    <row r="894" spans="1:1" ht="13" x14ac:dyDescent="0.15">
      <c r="A894" s="89"/>
    </row>
    <row r="895" spans="1:1" ht="13" x14ac:dyDescent="0.15">
      <c r="A895" s="89"/>
    </row>
    <row r="896" spans="1:1" ht="13" x14ac:dyDescent="0.15">
      <c r="A896" s="89"/>
    </row>
    <row r="897" spans="1:1" ht="13" x14ac:dyDescent="0.15">
      <c r="A897" s="89"/>
    </row>
    <row r="898" spans="1:1" ht="13" x14ac:dyDescent="0.15">
      <c r="A898" s="89"/>
    </row>
    <row r="899" spans="1:1" ht="13" x14ac:dyDescent="0.15">
      <c r="A899" s="89"/>
    </row>
    <row r="900" spans="1:1" ht="13" x14ac:dyDescent="0.15">
      <c r="A900" s="89"/>
    </row>
    <row r="901" spans="1:1" ht="13" x14ac:dyDescent="0.15">
      <c r="A901" s="89"/>
    </row>
    <row r="902" spans="1:1" ht="13" x14ac:dyDescent="0.15">
      <c r="A902" s="89"/>
    </row>
    <row r="903" spans="1:1" ht="13" x14ac:dyDescent="0.15">
      <c r="A903" s="89"/>
    </row>
    <row r="904" spans="1:1" ht="13" x14ac:dyDescent="0.15">
      <c r="A904" s="89"/>
    </row>
    <row r="905" spans="1:1" ht="13" x14ac:dyDescent="0.15">
      <c r="A905" s="89"/>
    </row>
    <row r="906" spans="1:1" ht="13" x14ac:dyDescent="0.15">
      <c r="A906" s="89"/>
    </row>
    <row r="907" spans="1:1" ht="13" x14ac:dyDescent="0.15">
      <c r="A907" s="89"/>
    </row>
    <row r="908" spans="1:1" ht="13" x14ac:dyDescent="0.15">
      <c r="A908" s="89"/>
    </row>
    <row r="909" spans="1:1" ht="13" x14ac:dyDescent="0.15">
      <c r="A909" s="89"/>
    </row>
    <row r="910" spans="1:1" ht="13" x14ac:dyDescent="0.15">
      <c r="A910" s="89"/>
    </row>
    <row r="911" spans="1:1" ht="13" x14ac:dyDescent="0.15">
      <c r="A911" s="89"/>
    </row>
    <row r="912" spans="1:1" ht="13" x14ac:dyDescent="0.15">
      <c r="A912" s="89"/>
    </row>
    <row r="913" spans="1:1" ht="13" x14ac:dyDescent="0.15">
      <c r="A913" s="89"/>
    </row>
    <row r="914" spans="1:1" ht="13" x14ac:dyDescent="0.15">
      <c r="A914" s="89"/>
    </row>
    <row r="915" spans="1:1" ht="13" x14ac:dyDescent="0.15">
      <c r="A915" s="89"/>
    </row>
    <row r="916" spans="1:1" ht="13" x14ac:dyDescent="0.15">
      <c r="A916" s="89"/>
    </row>
    <row r="917" spans="1:1" ht="13" x14ac:dyDescent="0.15">
      <c r="A917" s="89"/>
    </row>
    <row r="918" spans="1:1" ht="13" x14ac:dyDescent="0.15">
      <c r="A918" s="89"/>
    </row>
    <row r="919" spans="1:1" ht="13" x14ac:dyDescent="0.15">
      <c r="A919" s="89"/>
    </row>
    <row r="920" spans="1:1" ht="13" x14ac:dyDescent="0.15">
      <c r="A920" s="89"/>
    </row>
    <row r="921" spans="1:1" ht="13" x14ac:dyDescent="0.15">
      <c r="A921" s="89"/>
    </row>
    <row r="922" spans="1:1" ht="13" x14ac:dyDescent="0.15">
      <c r="A922" s="89"/>
    </row>
    <row r="923" spans="1:1" ht="13" x14ac:dyDescent="0.15">
      <c r="A923" s="89"/>
    </row>
    <row r="924" spans="1:1" ht="13" x14ac:dyDescent="0.15">
      <c r="A924" s="89"/>
    </row>
    <row r="925" spans="1:1" ht="13" x14ac:dyDescent="0.15">
      <c r="A925" s="89"/>
    </row>
    <row r="926" spans="1:1" ht="13" x14ac:dyDescent="0.15">
      <c r="A926" s="89"/>
    </row>
    <row r="927" spans="1:1" ht="13" x14ac:dyDescent="0.15">
      <c r="A927" s="89"/>
    </row>
    <row r="928" spans="1:1" ht="13" x14ac:dyDescent="0.15">
      <c r="A928" s="89"/>
    </row>
    <row r="929" spans="1:1" ht="13" x14ac:dyDescent="0.15">
      <c r="A929" s="89"/>
    </row>
    <row r="930" spans="1:1" ht="13" x14ac:dyDescent="0.15">
      <c r="A930" s="89"/>
    </row>
    <row r="931" spans="1:1" ht="13" x14ac:dyDescent="0.15">
      <c r="A931" s="89"/>
    </row>
    <row r="932" spans="1:1" ht="13" x14ac:dyDescent="0.15">
      <c r="A932" s="89"/>
    </row>
    <row r="933" spans="1:1" ht="13" x14ac:dyDescent="0.15">
      <c r="A933" s="89"/>
    </row>
    <row r="934" spans="1:1" ht="13" x14ac:dyDescent="0.15">
      <c r="A934" s="89"/>
    </row>
    <row r="935" spans="1:1" ht="13" x14ac:dyDescent="0.15">
      <c r="A935" s="89"/>
    </row>
    <row r="936" spans="1:1" ht="13" x14ac:dyDescent="0.15">
      <c r="A936" s="89"/>
    </row>
    <row r="937" spans="1:1" ht="13" x14ac:dyDescent="0.15">
      <c r="A937" s="89"/>
    </row>
    <row r="938" spans="1:1" ht="13" x14ac:dyDescent="0.15">
      <c r="A938" s="89"/>
    </row>
    <row r="939" spans="1:1" ht="13" x14ac:dyDescent="0.15">
      <c r="A939" s="89"/>
    </row>
    <row r="940" spans="1:1" ht="13" x14ac:dyDescent="0.15">
      <c r="A940" s="89"/>
    </row>
    <row r="941" spans="1:1" ht="13" x14ac:dyDescent="0.15">
      <c r="A941" s="89"/>
    </row>
    <row r="942" spans="1:1" ht="13" x14ac:dyDescent="0.15">
      <c r="A942" s="89"/>
    </row>
    <row r="943" spans="1:1" ht="13" x14ac:dyDescent="0.15">
      <c r="A943" s="89"/>
    </row>
    <row r="944" spans="1:1" ht="13" x14ac:dyDescent="0.15">
      <c r="A944" s="89"/>
    </row>
    <row r="945" spans="1:1" ht="13" x14ac:dyDescent="0.15">
      <c r="A945" s="89"/>
    </row>
    <row r="946" spans="1:1" ht="13" x14ac:dyDescent="0.15">
      <c r="A946" s="89"/>
    </row>
    <row r="947" spans="1:1" ht="13" x14ac:dyDescent="0.15">
      <c r="A947" s="89"/>
    </row>
    <row r="948" spans="1:1" ht="13" x14ac:dyDescent="0.15">
      <c r="A948" s="89"/>
    </row>
    <row r="949" spans="1:1" ht="13" x14ac:dyDescent="0.15">
      <c r="A949" s="89"/>
    </row>
    <row r="950" spans="1:1" ht="13" x14ac:dyDescent="0.15">
      <c r="A950" s="89"/>
    </row>
    <row r="951" spans="1:1" ht="13" x14ac:dyDescent="0.15">
      <c r="A951" s="89"/>
    </row>
    <row r="952" spans="1:1" ht="13" x14ac:dyDescent="0.15">
      <c r="A952" s="89"/>
    </row>
    <row r="953" spans="1:1" ht="13" x14ac:dyDescent="0.15">
      <c r="A953" s="89"/>
    </row>
    <row r="954" spans="1:1" ht="13" x14ac:dyDescent="0.15">
      <c r="A954" s="89"/>
    </row>
    <row r="955" spans="1:1" ht="13" x14ac:dyDescent="0.15">
      <c r="A955" s="89"/>
    </row>
    <row r="956" spans="1:1" ht="13" x14ac:dyDescent="0.15">
      <c r="A956" s="89"/>
    </row>
    <row r="957" spans="1:1" ht="13" x14ac:dyDescent="0.15">
      <c r="A957" s="89"/>
    </row>
    <row r="958" spans="1:1" ht="13" x14ac:dyDescent="0.15">
      <c r="A958" s="89"/>
    </row>
    <row r="959" spans="1:1" ht="13" x14ac:dyDescent="0.15">
      <c r="A959" s="89"/>
    </row>
    <row r="960" spans="1:1" ht="13" x14ac:dyDescent="0.15">
      <c r="A960" s="89"/>
    </row>
    <row r="961" spans="1:1" ht="13" x14ac:dyDescent="0.15">
      <c r="A961" s="89"/>
    </row>
    <row r="962" spans="1:1" ht="13" x14ac:dyDescent="0.15">
      <c r="A962" s="89"/>
    </row>
    <row r="963" spans="1:1" ht="13" x14ac:dyDescent="0.15">
      <c r="A963" s="89"/>
    </row>
    <row r="964" spans="1:1" ht="13" x14ac:dyDescent="0.15">
      <c r="A964" s="89"/>
    </row>
    <row r="965" spans="1:1" ht="13" x14ac:dyDescent="0.15">
      <c r="A965" s="89"/>
    </row>
    <row r="966" spans="1:1" ht="13" x14ac:dyDescent="0.15">
      <c r="A966" s="89"/>
    </row>
    <row r="967" spans="1:1" ht="13" x14ac:dyDescent="0.15">
      <c r="A967" s="89"/>
    </row>
    <row r="968" spans="1:1" ht="13" x14ac:dyDescent="0.15">
      <c r="A968" s="89"/>
    </row>
    <row r="969" spans="1:1" ht="13" x14ac:dyDescent="0.15">
      <c r="A969" s="89"/>
    </row>
  </sheetData>
  <phoneticPr fontId="7" type="noConversion"/>
  <pageMargins left="0.25" right="0.25" top="0.75" bottom="0.75" header="0.3" footer="0.3"/>
  <pageSetup scale="1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46BB-ACCB-6F4B-8862-B5DB2C60DFCF}">
  <sheetPr>
    <tabColor rgb="FF92D050"/>
  </sheetPr>
  <dimension ref="A1:BI36"/>
  <sheetViews>
    <sheetView showGridLines="0" zoomScale="130" zoomScaleNormal="130" workbookViewId="0">
      <pane xSplit="1" ySplit="5" topLeftCell="BC6" activePane="bottomRight" state="frozen"/>
      <selection pane="topRight" activeCell="A2" sqref="A2"/>
      <selection pane="bottomLeft" activeCell="A2" sqref="A2"/>
      <selection pane="bottomRight" activeCell="BI51" sqref="BI51"/>
    </sheetView>
  </sheetViews>
  <sheetFormatPr baseColWidth="10" defaultColWidth="8.83203125" defaultRowHeight="13" x14ac:dyDescent="0.15"/>
  <cols>
    <col min="1" max="1" width="39.5" style="4" bestFit="1" customWidth="1"/>
    <col min="2" max="4" width="11.5" style="4" bestFit="1" customWidth="1"/>
    <col min="5" max="19" width="12.33203125" style="4" bestFit="1" customWidth="1"/>
    <col min="20" max="52" width="13.5" style="4" bestFit="1" customWidth="1"/>
    <col min="53" max="61" width="14.33203125" style="4" bestFit="1" customWidth="1"/>
    <col min="62" max="16384" width="8.83203125" style="4"/>
  </cols>
  <sheetData>
    <row r="1" spans="1:61" s="106" customFormat="1" ht="26.25" customHeight="1" x14ac:dyDescent="0.3">
      <c r="A1" s="104" t="s">
        <v>369</v>
      </c>
      <c r="B1" s="105"/>
      <c r="C1" s="112"/>
      <c r="D1" s="112"/>
      <c r="E1" s="112"/>
      <c r="F1" s="113"/>
      <c r="G1" s="105"/>
      <c r="H1" s="105"/>
      <c r="I1" s="105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</row>
    <row r="2" spans="1:61" s="108" customFormat="1" x14ac:dyDescent="0.15">
      <c r="A2" s="107" t="s">
        <v>221</v>
      </c>
    </row>
    <row r="3" spans="1:61" s="108" customFormat="1" x14ac:dyDescent="0.15">
      <c r="A3" s="109" t="s">
        <v>42</v>
      </c>
      <c r="B3" s="116">
        <f>YEAR(B5)</f>
        <v>2026</v>
      </c>
      <c r="C3" s="116">
        <f t="shared" ref="C3:BI3" si="0">YEAR(C5)</f>
        <v>2026</v>
      </c>
      <c r="D3" s="116">
        <f t="shared" si="0"/>
        <v>2026</v>
      </c>
      <c r="E3" s="116">
        <f t="shared" si="0"/>
        <v>2026</v>
      </c>
      <c r="F3" s="116">
        <f t="shared" si="0"/>
        <v>2026</v>
      </c>
      <c r="G3" s="116">
        <f t="shared" si="0"/>
        <v>2026</v>
      </c>
      <c r="H3" s="116">
        <f t="shared" si="0"/>
        <v>2026</v>
      </c>
      <c r="I3" s="116">
        <f t="shared" si="0"/>
        <v>2027</v>
      </c>
      <c r="J3" s="116">
        <f t="shared" si="0"/>
        <v>2027</v>
      </c>
      <c r="K3" s="116">
        <f t="shared" si="0"/>
        <v>2027</v>
      </c>
      <c r="L3" s="116">
        <f t="shared" si="0"/>
        <v>2027</v>
      </c>
      <c r="M3" s="116">
        <f t="shared" si="0"/>
        <v>2027</v>
      </c>
      <c r="N3" s="116">
        <f t="shared" si="0"/>
        <v>2027</v>
      </c>
      <c r="O3" s="116">
        <f t="shared" si="0"/>
        <v>2027</v>
      </c>
      <c r="P3" s="116">
        <f t="shared" si="0"/>
        <v>2027</v>
      </c>
      <c r="Q3" s="116">
        <f t="shared" si="0"/>
        <v>2027</v>
      </c>
      <c r="R3" s="116">
        <f t="shared" si="0"/>
        <v>2027</v>
      </c>
      <c r="S3" s="116">
        <f t="shared" si="0"/>
        <v>2027</v>
      </c>
      <c r="T3" s="116">
        <f t="shared" si="0"/>
        <v>2027</v>
      </c>
      <c r="U3" s="116">
        <f t="shared" si="0"/>
        <v>2028</v>
      </c>
      <c r="V3" s="116">
        <f t="shared" si="0"/>
        <v>2028</v>
      </c>
      <c r="W3" s="116">
        <f t="shared" si="0"/>
        <v>2028</v>
      </c>
      <c r="X3" s="116">
        <f t="shared" si="0"/>
        <v>2028</v>
      </c>
      <c r="Y3" s="116">
        <f t="shared" si="0"/>
        <v>2028</v>
      </c>
      <c r="Z3" s="116">
        <f t="shared" si="0"/>
        <v>2028</v>
      </c>
      <c r="AA3" s="116">
        <f t="shared" si="0"/>
        <v>2028</v>
      </c>
      <c r="AB3" s="116">
        <f t="shared" si="0"/>
        <v>2028</v>
      </c>
      <c r="AC3" s="116">
        <f t="shared" si="0"/>
        <v>2028</v>
      </c>
      <c r="AD3" s="116">
        <f t="shared" si="0"/>
        <v>2028</v>
      </c>
      <c r="AE3" s="116">
        <f t="shared" si="0"/>
        <v>2028</v>
      </c>
      <c r="AF3" s="116">
        <f t="shared" si="0"/>
        <v>2028</v>
      </c>
      <c r="AG3" s="116">
        <f t="shared" si="0"/>
        <v>2029</v>
      </c>
      <c r="AH3" s="116">
        <f t="shared" si="0"/>
        <v>2029</v>
      </c>
      <c r="AI3" s="116">
        <f t="shared" si="0"/>
        <v>2029</v>
      </c>
      <c r="AJ3" s="116">
        <f t="shared" si="0"/>
        <v>2029</v>
      </c>
      <c r="AK3" s="116">
        <f t="shared" si="0"/>
        <v>2029</v>
      </c>
      <c r="AL3" s="116">
        <f t="shared" si="0"/>
        <v>2029</v>
      </c>
      <c r="AM3" s="116">
        <f t="shared" si="0"/>
        <v>2029</v>
      </c>
      <c r="AN3" s="116">
        <f t="shared" si="0"/>
        <v>2029</v>
      </c>
      <c r="AO3" s="116">
        <f t="shared" si="0"/>
        <v>2029</v>
      </c>
      <c r="AP3" s="116">
        <f t="shared" si="0"/>
        <v>2029</v>
      </c>
      <c r="AQ3" s="116">
        <f t="shared" si="0"/>
        <v>2029</v>
      </c>
      <c r="AR3" s="116">
        <f t="shared" si="0"/>
        <v>2029</v>
      </c>
      <c r="AS3" s="116">
        <f t="shared" si="0"/>
        <v>2030</v>
      </c>
      <c r="AT3" s="116">
        <f t="shared" si="0"/>
        <v>2030</v>
      </c>
      <c r="AU3" s="116">
        <f t="shared" si="0"/>
        <v>2030</v>
      </c>
      <c r="AV3" s="116">
        <f t="shared" si="0"/>
        <v>2030</v>
      </c>
      <c r="AW3" s="116">
        <f t="shared" si="0"/>
        <v>2030</v>
      </c>
      <c r="AX3" s="116">
        <f t="shared" si="0"/>
        <v>2030</v>
      </c>
      <c r="AY3" s="116">
        <f t="shared" si="0"/>
        <v>2030</v>
      </c>
      <c r="AZ3" s="116">
        <f t="shared" si="0"/>
        <v>2030</v>
      </c>
      <c r="BA3" s="116">
        <f t="shared" si="0"/>
        <v>2030</v>
      </c>
      <c r="BB3" s="116">
        <f t="shared" si="0"/>
        <v>2030</v>
      </c>
      <c r="BC3" s="116">
        <f t="shared" si="0"/>
        <v>2030</v>
      </c>
      <c r="BD3" s="116">
        <f t="shared" si="0"/>
        <v>2030</v>
      </c>
      <c r="BE3" s="116">
        <f t="shared" si="0"/>
        <v>2031</v>
      </c>
      <c r="BF3" s="116">
        <f t="shared" si="0"/>
        <v>2031</v>
      </c>
      <c r="BG3" s="116">
        <f t="shared" si="0"/>
        <v>2031</v>
      </c>
      <c r="BH3" s="116">
        <f t="shared" si="0"/>
        <v>2031</v>
      </c>
      <c r="BI3" s="116">
        <f t="shared" si="0"/>
        <v>2031</v>
      </c>
    </row>
    <row r="4" spans="1:61" s="5" customFormat="1" ht="11" x14ac:dyDescent="0.15">
      <c r="B4" s="127">
        <v>1</v>
      </c>
      <c r="C4" s="127">
        <f>B4+1</f>
        <v>2</v>
      </c>
      <c r="D4" s="127">
        <f t="shared" ref="D4:BI4" si="1">C4+1</f>
        <v>3</v>
      </c>
      <c r="E4" s="127">
        <f t="shared" si="1"/>
        <v>4</v>
      </c>
      <c r="F4" s="127">
        <f t="shared" si="1"/>
        <v>5</v>
      </c>
      <c r="G4" s="127">
        <f t="shared" si="1"/>
        <v>6</v>
      </c>
      <c r="H4" s="127">
        <f t="shared" si="1"/>
        <v>7</v>
      </c>
      <c r="I4" s="127">
        <f t="shared" si="1"/>
        <v>8</v>
      </c>
      <c r="J4" s="127">
        <f t="shared" si="1"/>
        <v>9</v>
      </c>
      <c r="K4" s="127">
        <f t="shared" si="1"/>
        <v>10</v>
      </c>
      <c r="L4" s="127">
        <f t="shared" si="1"/>
        <v>11</v>
      </c>
      <c r="M4" s="127">
        <f t="shared" si="1"/>
        <v>12</v>
      </c>
      <c r="N4" s="127">
        <f t="shared" si="1"/>
        <v>13</v>
      </c>
      <c r="O4" s="127">
        <f t="shared" si="1"/>
        <v>14</v>
      </c>
      <c r="P4" s="127">
        <f t="shared" si="1"/>
        <v>15</v>
      </c>
      <c r="Q4" s="127">
        <f t="shared" si="1"/>
        <v>16</v>
      </c>
      <c r="R4" s="127">
        <f t="shared" si="1"/>
        <v>17</v>
      </c>
      <c r="S4" s="127">
        <f t="shared" si="1"/>
        <v>18</v>
      </c>
      <c r="T4" s="127">
        <f t="shared" si="1"/>
        <v>19</v>
      </c>
      <c r="U4" s="127">
        <f t="shared" si="1"/>
        <v>20</v>
      </c>
      <c r="V4" s="127">
        <f t="shared" si="1"/>
        <v>21</v>
      </c>
      <c r="W4" s="127">
        <f t="shared" si="1"/>
        <v>22</v>
      </c>
      <c r="X4" s="127">
        <f t="shared" si="1"/>
        <v>23</v>
      </c>
      <c r="Y4" s="127">
        <f t="shared" si="1"/>
        <v>24</v>
      </c>
      <c r="Z4" s="127">
        <f t="shared" si="1"/>
        <v>25</v>
      </c>
      <c r="AA4" s="127">
        <f t="shared" si="1"/>
        <v>26</v>
      </c>
      <c r="AB4" s="127">
        <f t="shared" si="1"/>
        <v>27</v>
      </c>
      <c r="AC4" s="127">
        <f t="shared" si="1"/>
        <v>28</v>
      </c>
      <c r="AD4" s="127">
        <f t="shared" si="1"/>
        <v>29</v>
      </c>
      <c r="AE4" s="127">
        <f t="shared" si="1"/>
        <v>30</v>
      </c>
      <c r="AF4" s="127">
        <f t="shared" si="1"/>
        <v>31</v>
      </c>
      <c r="AG4" s="127">
        <f t="shared" si="1"/>
        <v>32</v>
      </c>
      <c r="AH4" s="127">
        <f t="shared" si="1"/>
        <v>33</v>
      </c>
      <c r="AI4" s="127">
        <f t="shared" si="1"/>
        <v>34</v>
      </c>
      <c r="AJ4" s="127">
        <f t="shared" si="1"/>
        <v>35</v>
      </c>
      <c r="AK4" s="127">
        <f t="shared" si="1"/>
        <v>36</v>
      </c>
      <c r="AL4" s="127">
        <f t="shared" si="1"/>
        <v>37</v>
      </c>
      <c r="AM4" s="127">
        <f t="shared" si="1"/>
        <v>38</v>
      </c>
      <c r="AN4" s="127">
        <f t="shared" si="1"/>
        <v>39</v>
      </c>
      <c r="AO4" s="127">
        <f t="shared" si="1"/>
        <v>40</v>
      </c>
      <c r="AP4" s="127">
        <f t="shared" si="1"/>
        <v>41</v>
      </c>
      <c r="AQ4" s="127">
        <f t="shared" si="1"/>
        <v>42</v>
      </c>
      <c r="AR4" s="127">
        <f t="shared" si="1"/>
        <v>43</v>
      </c>
      <c r="AS4" s="127">
        <f t="shared" si="1"/>
        <v>44</v>
      </c>
      <c r="AT4" s="127">
        <f t="shared" si="1"/>
        <v>45</v>
      </c>
      <c r="AU4" s="127">
        <f t="shared" si="1"/>
        <v>46</v>
      </c>
      <c r="AV4" s="127">
        <f t="shared" si="1"/>
        <v>47</v>
      </c>
      <c r="AW4" s="127">
        <f t="shared" si="1"/>
        <v>48</v>
      </c>
      <c r="AX4" s="127">
        <f t="shared" si="1"/>
        <v>49</v>
      </c>
      <c r="AY4" s="127">
        <f t="shared" si="1"/>
        <v>50</v>
      </c>
      <c r="AZ4" s="127">
        <f t="shared" si="1"/>
        <v>51</v>
      </c>
      <c r="BA4" s="127">
        <f t="shared" si="1"/>
        <v>52</v>
      </c>
      <c r="BB4" s="127">
        <f t="shared" si="1"/>
        <v>53</v>
      </c>
      <c r="BC4" s="127">
        <f t="shared" si="1"/>
        <v>54</v>
      </c>
      <c r="BD4" s="127">
        <f t="shared" si="1"/>
        <v>55</v>
      </c>
      <c r="BE4" s="127">
        <f t="shared" si="1"/>
        <v>56</v>
      </c>
      <c r="BF4" s="127">
        <f t="shared" si="1"/>
        <v>57</v>
      </c>
      <c r="BG4" s="127">
        <f t="shared" si="1"/>
        <v>58</v>
      </c>
      <c r="BH4" s="127">
        <f t="shared" si="1"/>
        <v>59</v>
      </c>
      <c r="BI4" s="127">
        <f t="shared" si="1"/>
        <v>60</v>
      </c>
    </row>
    <row r="5" spans="1:61" s="108" customFormat="1" ht="12" x14ac:dyDescent="0.15">
      <c r="A5" s="110" t="s">
        <v>109</v>
      </c>
      <c r="B5" s="111">
        <f>'Revenue Asumptions'!B5</f>
        <v>46174</v>
      </c>
      <c r="C5" s="111">
        <f>'Revenue Asumptions'!C5</f>
        <v>46204</v>
      </c>
      <c r="D5" s="111">
        <f>'Revenue Asumptions'!D5</f>
        <v>46235</v>
      </c>
      <c r="E5" s="111">
        <f>'Revenue Asumptions'!E5</f>
        <v>46266</v>
      </c>
      <c r="F5" s="111">
        <f>'Revenue Asumptions'!F5</f>
        <v>46296</v>
      </c>
      <c r="G5" s="111">
        <f>'Revenue Asumptions'!G5</f>
        <v>46327</v>
      </c>
      <c r="H5" s="111">
        <f>'Revenue Asumptions'!H5</f>
        <v>46357</v>
      </c>
      <c r="I5" s="111">
        <f>'Revenue Asumptions'!I5</f>
        <v>46388</v>
      </c>
      <c r="J5" s="111">
        <f>'Revenue Asumptions'!J5</f>
        <v>46419</v>
      </c>
      <c r="K5" s="111">
        <f>'Revenue Asumptions'!K5</f>
        <v>46447</v>
      </c>
      <c r="L5" s="111">
        <f>'Revenue Asumptions'!L5</f>
        <v>46478</v>
      </c>
      <c r="M5" s="111">
        <f>'Revenue Asumptions'!M5</f>
        <v>46508</v>
      </c>
      <c r="N5" s="111">
        <f>'Revenue Asumptions'!N5</f>
        <v>46539</v>
      </c>
      <c r="O5" s="111">
        <f>'Revenue Asumptions'!O5</f>
        <v>46569</v>
      </c>
      <c r="P5" s="111">
        <f>'Revenue Asumptions'!P5</f>
        <v>46600</v>
      </c>
      <c r="Q5" s="111">
        <f>'Revenue Asumptions'!Q5</f>
        <v>46631</v>
      </c>
      <c r="R5" s="111">
        <f>'Revenue Asumptions'!R5</f>
        <v>46661</v>
      </c>
      <c r="S5" s="111">
        <f>'Revenue Asumptions'!S5</f>
        <v>46692</v>
      </c>
      <c r="T5" s="111">
        <f>'Revenue Asumptions'!T5</f>
        <v>46722</v>
      </c>
      <c r="U5" s="111">
        <f>'Revenue Asumptions'!U5</f>
        <v>46753</v>
      </c>
      <c r="V5" s="111">
        <f>'Revenue Asumptions'!V5</f>
        <v>46784</v>
      </c>
      <c r="W5" s="111">
        <f>'Revenue Asumptions'!W5</f>
        <v>46813</v>
      </c>
      <c r="X5" s="111">
        <f>'Revenue Asumptions'!X5</f>
        <v>46844</v>
      </c>
      <c r="Y5" s="111">
        <f>'Revenue Asumptions'!Y5</f>
        <v>46874</v>
      </c>
      <c r="Z5" s="111">
        <f>'Revenue Asumptions'!Z5</f>
        <v>46905</v>
      </c>
      <c r="AA5" s="111">
        <f>'Revenue Asumptions'!AA5</f>
        <v>46935</v>
      </c>
      <c r="AB5" s="111">
        <f>'Revenue Asumptions'!AB5</f>
        <v>46966</v>
      </c>
      <c r="AC5" s="111">
        <f>'Revenue Asumptions'!AC5</f>
        <v>46997</v>
      </c>
      <c r="AD5" s="111">
        <f>'Revenue Asumptions'!AD5</f>
        <v>47027</v>
      </c>
      <c r="AE5" s="111">
        <f>'Revenue Asumptions'!AE5</f>
        <v>47058</v>
      </c>
      <c r="AF5" s="111">
        <f>'Revenue Asumptions'!AF5</f>
        <v>47088</v>
      </c>
      <c r="AG5" s="111">
        <f>'Revenue Asumptions'!AG5</f>
        <v>47119</v>
      </c>
      <c r="AH5" s="111">
        <f>'Revenue Asumptions'!AH5</f>
        <v>47150</v>
      </c>
      <c r="AI5" s="111">
        <f>'Revenue Asumptions'!AI5</f>
        <v>47178</v>
      </c>
      <c r="AJ5" s="111">
        <f>'Revenue Asumptions'!AJ5</f>
        <v>47209</v>
      </c>
      <c r="AK5" s="111">
        <f>'Revenue Asumptions'!AK5</f>
        <v>47239</v>
      </c>
      <c r="AL5" s="111">
        <f>'Revenue Asumptions'!AL5</f>
        <v>47270</v>
      </c>
      <c r="AM5" s="111">
        <f>'Revenue Asumptions'!AM5</f>
        <v>47300</v>
      </c>
      <c r="AN5" s="111">
        <f>'Revenue Asumptions'!AN5</f>
        <v>47331</v>
      </c>
      <c r="AO5" s="111">
        <f>'Revenue Asumptions'!AO5</f>
        <v>47362</v>
      </c>
      <c r="AP5" s="111">
        <f>'Revenue Asumptions'!AP5</f>
        <v>47392</v>
      </c>
      <c r="AQ5" s="111">
        <f>'Revenue Asumptions'!AQ5</f>
        <v>47423</v>
      </c>
      <c r="AR5" s="111">
        <f>'Revenue Asumptions'!AR5</f>
        <v>47453</v>
      </c>
      <c r="AS5" s="111">
        <f>'Revenue Asumptions'!AS5</f>
        <v>47484</v>
      </c>
      <c r="AT5" s="111">
        <f>'Revenue Asumptions'!AT5</f>
        <v>47515</v>
      </c>
      <c r="AU5" s="111">
        <f>'Revenue Asumptions'!AU5</f>
        <v>47543</v>
      </c>
      <c r="AV5" s="111">
        <f>'Revenue Asumptions'!AV5</f>
        <v>47574</v>
      </c>
      <c r="AW5" s="111">
        <f>'Revenue Asumptions'!AW5</f>
        <v>47604</v>
      </c>
      <c r="AX5" s="111">
        <f>'Revenue Asumptions'!AX5</f>
        <v>47635</v>
      </c>
      <c r="AY5" s="111">
        <f>'Revenue Asumptions'!AY5</f>
        <v>47665</v>
      </c>
      <c r="AZ5" s="111">
        <f>'Revenue Asumptions'!AZ5</f>
        <v>47696</v>
      </c>
      <c r="BA5" s="111">
        <f>'Revenue Asumptions'!BA5</f>
        <v>47727</v>
      </c>
      <c r="BB5" s="111">
        <f>'Revenue Asumptions'!BB5</f>
        <v>47757</v>
      </c>
      <c r="BC5" s="111">
        <f>'Revenue Asumptions'!BC5</f>
        <v>47788</v>
      </c>
      <c r="BD5" s="111">
        <f>'Revenue Asumptions'!BD5</f>
        <v>47818</v>
      </c>
      <c r="BE5" s="111">
        <f>'Revenue Asumptions'!BE5</f>
        <v>47849</v>
      </c>
      <c r="BF5" s="111">
        <f>'Revenue Asumptions'!BF5</f>
        <v>47880</v>
      </c>
      <c r="BG5" s="111">
        <f>'Revenue Asumptions'!BG5</f>
        <v>47908</v>
      </c>
      <c r="BH5" s="111">
        <f>'Revenue Asumptions'!BH5</f>
        <v>47939</v>
      </c>
      <c r="BI5" s="111">
        <f>'Revenue Asumptions'!BI5</f>
        <v>47969</v>
      </c>
    </row>
    <row r="6" spans="1:61" s="163" customFormat="1" x14ac:dyDescent="0.15">
      <c r="A6" s="4"/>
    </row>
    <row r="7" spans="1:61" s="163" customFormat="1" x14ac:dyDescent="0.15">
      <c r="A7" s="7" t="s">
        <v>222</v>
      </c>
    </row>
    <row r="8" spans="1:61" s="163" customFormat="1" x14ac:dyDescent="0.15">
      <c r="A8" s="78" t="s">
        <v>223</v>
      </c>
      <c r="B8" s="147" t="e">
        <f>'Monthly P&amp;L'!B64</f>
        <v>#N/A</v>
      </c>
      <c r="C8" s="147" t="e">
        <f>'Monthly P&amp;L'!C64</f>
        <v>#N/A</v>
      </c>
      <c r="D8" s="147" t="e">
        <f>'Monthly P&amp;L'!D64</f>
        <v>#N/A</v>
      </c>
      <c r="E8" s="147" t="e">
        <f>'Monthly P&amp;L'!E64</f>
        <v>#N/A</v>
      </c>
      <c r="F8" s="147" t="e">
        <f>'Monthly P&amp;L'!F64</f>
        <v>#N/A</v>
      </c>
      <c r="G8" s="147" t="e">
        <f>'Monthly P&amp;L'!G64</f>
        <v>#N/A</v>
      </c>
      <c r="H8" s="147" t="e">
        <f>'Monthly P&amp;L'!H64</f>
        <v>#N/A</v>
      </c>
      <c r="I8" s="147" t="e">
        <f>'Monthly P&amp;L'!I64</f>
        <v>#N/A</v>
      </c>
      <c r="J8" s="147" t="e">
        <f>'Monthly P&amp;L'!J64</f>
        <v>#N/A</v>
      </c>
      <c r="K8" s="147" t="e">
        <f>'Monthly P&amp;L'!K64</f>
        <v>#N/A</v>
      </c>
      <c r="L8" s="147" t="e">
        <f>'Monthly P&amp;L'!L64</f>
        <v>#N/A</v>
      </c>
      <c r="M8" s="147" t="e">
        <f>'Monthly P&amp;L'!M64</f>
        <v>#N/A</v>
      </c>
      <c r="N8" s="147" t="e">
        <f>'Monthly P&amp;L'!N64</f>
        <v>#N/A</v>
      </c>
      <c r="O8" s="147" t="e">
        <f>'Monthly P&amp;L'!O64</f>
        <v>#N/A</v>
      </c>
      <c r="P8" s="147" t="e">
        <f>'Monthly P&amp;L'!P64</f>
        <v>#N/A</v>
      </c>
      <c r="Q8" s="147" t="e">
        <f>'Monthly P&amp;L'!Q64</f>
        <v>#N/A</v>
      </c>
      <c r="R8" s="147" t="e">
        <f>'Monthly P&amp;L'!R64</f>
        <v>#N/A</v>
      </c>
      <c r="S8" s="147" t="e">
        <f>'Monthly P&amp;L'!S64</f>
        <v>#N/A</v>
      </c>
      <c r="T8" s="147" t="e">
        <f>'Monthly P&amp;L'!T64</f>
        <v>#N/A</v>
      </c>
      <c r="U8" s="147" t="e">
        <f>'Monthly P&amp;L'!U64</f>
        <v>#N/A</v>
      </c>
      <c r="V8" s="147" t="e">
        <f>'Monthly P&amp;L'!V64</f>
        <v>#N/A</v>
      </c>
      <c r="W8" s="147" t="e">
        <f>'Monthly P&amp;L'!W64</f>
        <v>#N/A</v>
      </c>
      <c r="X8" s="147" t="e">
        <f>'Monthly P&amp;L'!X64</f>
        <v>#N/A</v>
      </c>
      <c r="Y8" s="147" t="e">
        <f>'Monthly P&amp;L'!Y64</f>
        <v>#N/A</v>
      </c>
      <c r="Z8" s="147" t="e">
        <f>'Monthly P&amp;L'!Z64</f>
        <v>#N/A</v>
      </c>
      <c r="AA8" s="147" t="e">
        <f>'Monthly P&amp;L'!AA64</f>
        <v>#N/A</v>
      </c>
      <c r="AB8" s="147" t="e">
        <f>'Monthly P&amp;L'!AB64</f>
        <v>#N/A</v>
      </c>
      <c r="AC8" s="147" t="e">
        <f>'Monthly P&amp;L'!AC64</f>
        <v>#N/A</v>
      </c>
      <c r="AD8" s="147" t="e">
        <f>'Monthly P&amp;L'!AD64</f>
        <v>#N/A</v>
      </c>
      <c r="AE8" s="147" t="e">
        <f>'Monthly P&amp;L'!AE64</f>
        <v>#N/A</v>
      </c>
      <c r="AF8" s="147" t="e">
        <f>'Monthly P&amp;L'!AF64</f>
        <v>#N/A</v>
      </c>
      <c r="AG8" s="147" t="e">
        <f>'Monthly P&amp;L'!AG64</f>
        <v>#N/A</v>
      </c>
      <c r="AH8" s="147" t="e">
        <f>'Monthly P&amp;L'!AH64</f>
        <v>#N/A</v>
      </c>
      <c r="AI8" s="147" t="e">
        <f>'Monthly P&amp;L'!AI64</f>
        <v>#N/A</v>
      </c>
      <c r="AJ8" s="147" t="e">
        <f>'Monthly P&amp;L'!AJ64</f>
        <v>#N/A</v>
      </c>
      <c r="AK8" s="147" t="e">
        <f>'Monthly P&amp;L'!AK64</f>
        <v>#N/A</v>
      </c>
      <c r="AL8" s="147" t="e">
        <f>'Monthly P&amp;L'!AL64</f>
        <v>#N/A</v>
      </c>
      <c r="AM8" s="147" t="e">
        <f>'Monthly P&amp;L'!AM64</f>
        <v>#N/A</v>
      </c>
      <c r="AN8" s="147" t="e">
        <f>'Monthly P&amp;L'!AN64</f>
        <v>#N/A</v>
      </c>
      <c r="AO8" s="147" t="e">
        <f>'Monthly P&amp;L'!AO64</f>
        <v>#N/A</v>
      </c>
      <c r="AP8" s="147" t="e">
        <f>'Monthly P&amp;L'!AP64</f>
        <v>#N/A</v>
      </c>
      <c r="AQ8" s="147" t="e">
        <f>'Monthly P&amp;L'!AQ64</f>
        <v>#N/A</v>
      </c>
      <c r="AR8" s="147" t="e">
        <f>'Monthly P&amp;L'!AR64</f>
        <v>#N/A</v>
      </c>
      <c r="AS8" s="147" t="e">
        <f>'Monthly P&amp;L'!AS64</f>
        <v>#N/A</v>
      </c>
      <c r="AT8" s="147" t="e">
        <f>'Monthly P&amp;L'!AT64</f>
        <v>#N/A</v>
      </c>
      <c r="AU8" s="147" t="e">
        <f>'Monthly P&amp;L'!AU64</f>
        <v>#N/A</v>
      </c>
      <c r="AV8" s="147" t="e">
        <f>'Monthly P&amp;L'!AV64</f>
        <v>#N/A</v>
      </c>
      <c r="AW8" s="147" t="e">
        <f>'Monthly P&amp;L'!AW64</f>
        <v>#N/A</v>
      </c>
      <c r="AX8" s="147" t="e">
        <f>'Monthly P&amp;L'!AX64</f>
        <v>#N/A</v>
      </c>
      <c r="AY8" s="147" t="e">
        <f>'Monthly P&amp;L'!AY64</f>
        <v>#N/A</v>
      </c>
      <c r="AZ8" s="147" t="e">
        <f>'Monthly P&amp;L'!AZ64</f>
        <v>#N/A</v>
      </c>
      <c r="BA8" s="147" t="e">
        <f>'Monthly P&amp;L'!BA64</f>
        <v>#N/A</v>
      </c>
      <c r="BB8" s="147" t="e">
        <f>'Monthly P&amp;L'!BB64</f>
        <v>#N/A</v>
      </c>
      <c r="BC8" s="147" t="e">
        <f>'Monthly P&amp;L'!BC64</f>
        <v>#N/A</v>
      </c>
      <c r="BD8" s="147" t="e">
        <f>'Monthly P&amp;L'!BD64</f>
        <v>#N/A</v>
      </c>
      <c r="BE8" s="147" t="e">
        <f>'Monthly P&amp;L'!BE64</f>
        <v>#N/A</v>
      </c>
      <c r="BF8" s="147" t="e">
        <f>'Monthly P&amp;L'!BF64</f>
        <v>#N/A</v>
      </c>
      <c r="BG8" s="147" t="e">
        <f>'Monthly P&amp;L'!BG64</f>
        <v>#N/A</v>
      </c>
      <c r="BH8" s="147" t="e">
        <f>'Monthly P&amp;L'!BH64</f>
        <v>#N/A</v>
      </c>
      <c r="BI8" s="147" t="e">
        <f>'Monthly P&amp;L'!BI64</f>
        <v>#N/A</v>
      </c>
    </row>
    <row r="9" spans="1:61" s="163" customFormat="1" x14ac:dyDescent="0.15">
      <c r="A9" s="86" t="s">
        <v>224</v>
      </c>
    </row>
    <row r="10" spans="1:61" s="163" customFormat="1" x14ac:dyDescent="0.15">
      <c r="A10" s="78" t="s">
        <v>225</v>
      </c>
      <c r="B10" s="147">
        <f>+'Monthly P&amp;L'!B61</f>
        <v>0</v>
      </c>
      <c r="C10" s="147">
        <f>+'Monthly P&amp;L'!C61</f>
        <v>0</v>
      </c>
      <c r="D10" s="147">
        <f>+'Monthly P&amp;L'!D61</f>
        <v>0</v>
      </c>
      <c r="E10" s="147">
        <f>+'Monthly P&amp;L'!E61</f>
        <v>0</v>
      </c>
      <c r="F10" s="147">
        <f>+'Monthly P&amp;L'!F61</f>
        <v>0</v>
      </c>
      <c r="G10" s="147">
        <f>+'Monthly P&amp;L'!G61</f>
        <v>0</v>
      </c>
      <c r="H10" s="147">
        <f>+'Monthly P&amp;L'!H61</f>
        <v>0</v>
      </c>
      <c r="I10" s="147">
        <f>+'Monthly P&amp;L'!I61</f>
        <v>0</v>
      </c>
      <c r="J10" s="147">
        <f>+'Monthly P&amp;L'!J61</f>
        <v>0</v>
      </c>
      <c r="K10" s="147">
        <f>+'Monthly P&amp;L'!K61</f>
        <v>0</v>
      </c>
      <c r="L10" s="147">
        <f>+'Monthly P&amp;L'!L61</f>
        <v>0</v>
      </c>
      <c r="M10" s="147">
        <f>+'Monthly P&amp;L'!M61</f>
        <v>0</v>
      </c>
      <c r="N10" s="147">
        <f>+'Monthly P&amp;L'!N61</f>
        <v>0</v>
      </c>
      <c r="O10" s="147">
        <f>+'Monthly P&amp;L'!O61</f>
        <v>0</v>
      </c>
      <c r="P10" s="147">
        <f>+'Monthly P&amp;L'!P61</f>
        <v>0</v>
      </c>
      <c r="Q10" s="147">
        <f>+'Monthly P&amp;L'!Q61</f>
        <v>0</v>
      </c>
      <c r="R10" s="147">
        <f>+'Monthly P&amp;L'!R61</f>
        <v>0</v>
      </c>
      <c r="S10" s="147">
        <f>+'Monthly P&amp;L'!S61</f>
        <v>0</v>
      </c>
      <c r="T10" s="147">
        <f>+'Monthly P&amp;L'!T61</f>
        <v>0</v>
      </c>
      <c r="U10" s="147">
        <f>+'Monthly P&amp;L'!U61</f>
        <v>0</v>
      </c>
      <c r="V10" s="147">
        <f>+'Monthly P&amp;L'!V61</f>
        <v>0</v>
      </c>
      <c r="W10" s="147">
        <f>+'Monthly P&amp;L'!W61</f>
        <v>0</v>
      </c>
      <c r="X10" s="147">
        <f>+'Monthly P&amp;L'!X61</f>
        <v>0</v>
      </c>
      <c r="Y10" s="147">
        <f>+'Monthly P&amp;L'!Y61</f>
        <v>0</v>
      </c>
      <c r="Z10" s="147">
        <f>+'Monthly P&amp;L'!Z61</f>
        <v>0</v>
      </c>
      <c r="AA10" s="147">
        <f>+'Monthly P&amp;L'!AA61</f>
        <v>0</v>
      </c>
      <c r="AB10" s="147">
        <f>+'Monthly P&amp;L'!AB61</f>
        <v>0</v>
      </c>
      <c r="AC10" s="147">
        <f>+'Monthly P&amp;L'!AC61</f>
        <v>0</v>
      </c>
      <c r="AD10" s="147">
        <f>+'Monthly P&amp;L'!AD61</f>
        <v>0</v>
      </c>
      <c r="AE10" s="147">
        <f>+'Monthly P&amp;L'!AE61</f>
        <v>0</v>
      </c>
      <c r="AF10" s="147">
        <f>+'Monthly P&amp;L'!AF61</f>
        <v>0</v>
      </c>
      <c r="AG10" s="147">
        <f>+'Monthly P&amp;L'!AG61</f>
        <v>0</v>
      </c>
      <c r="AH10" s="147">
        <f>+'Monthly P&amp;L'!AH61</f>
        <v>0</v>
      </c>
      <c r="AI10" s="147">
        <f>+'Monthly P&amp;L'!AI61</f>
        <v>0</v>
      </c>
      <c r="AJ10" s="147">
        <f>+'Monthly P&amp;L'!AJ61</f>
        <v>0</v>
      </c>
      <c r="AK10" s="147">
        <f>+'Monthly P&amp;L'!AK61</f>
        <v>0</v>
      </c>
      <c r="AL10" s="147">
        <f>+'Monthly P&amp;L'!AL61</f>
        <v>0</v>
      </c>
      <c r="AM10" s="147">
        <f>+'Monthly P&amp;L'!AM61</f>
        <v>0</v>
      </c>
      <c r="AN10" s="147">
        <f>+'Monthly P&amp;L'!AN61</f>
        <v>0</v>
      </c>
      <c r="AO10" s="147">
        <f>+'Monthly P&amp;L'!AO61</f>
        <v>0</v>
      </c>
      <c r="AP10" s="147">
        <f>+'Monthly P&amp;L'!AP61</f>
        <v>0</v>
      </c>
      <c r="AQ10" s="147">
        <f>+'Monthly P&amp;L'!AQ61</f>
        <v>0</v>
      </c>
      <c r="AR10" s="147">
        <f>+'Monthly P&amp;L'!AR61</f>
        <v>0</v>
      </c>
      <c r="AS10" s="147">
        <f>+'Monthly P&amp;L'!AS61</f>
        <v>0</v>
      </c>
      <c r="AT10" s="147">
        <f>+'Monthly P&amp;L'!AT61</f>
        <v>0</v>
      </c>
      <c r="AU10" s="147">
        <f>+'Monthly P&amp;L'!AU61</f>
        <v>0</v>
      </c>
      <c r="AV10" s="147">
        <f>+'Monthly P&amp;L'!AV61</f>
        <v>0</v>
      </c>
      <c r="AW10" s="147">
        <f>+'Monthly P&amp;L'!AW61</f>
        <v>0</v>
      </c>
      <c r="AX10" s="147">
        <f>+'Monthly P&amp;L'!AX61</f>
        <v>0</v>
      </c>
      <c r="AY10" s="147">
        <f>+'Monthly P&amp;L'!AY61</f>
        <v>0</v>
      </c>
      <c r="AZ10" s="147">
        <f>+'Monthly P&amp;L'!AZ61</f>
        <v>0</v>
      </c>
      <c r="BA10" s="147">
        <f>+'Monthly P&amp;L'!BA61</f>
        <v>0</v>
      </c>
      <c r="BB10" s="147">
        <f>+'Monthly P&amp;L'!BB61</f>
        <v>0</v>
      </c>
      <c r="BC10" s="147">
        <f>+'Monthly P&amp;L'!BC61</f>
        <v>0</v>
      </c>
      <c r="BD10" s="147">
        <f>+'Monthly P&amp;L'!BD61</f>
        <v>0</v>
      </c>
      <c r="BE10" s="147">
        <f>+'Monthly P&amp;L'!BE61</f>
        <v>0</v>
      </c>
      <c r="BF10" s="147">
        <f>+'Monthly P&amp;L'!BF61</f>
        <v>0</v>
      </c>
      <c r="BG10" s="147">
        <f>+'Monthly P&amp;L'!BG61</f>
        <v>0</v>
      </c>
      <c r="BH10" s="147">
        <f>+'Monthly P&amp;L'!BH61</f>
        <v>0</v>
      </c>
      <c r="BI10" s="147">
        <f>+'Monthly P&amp;L'!BI61</f>
        <v>0</v>
      </c>
    </row>
    <row r="11" spans="1:61" s="163" customFormat="1" x14ac:dyDescent="0.15">
      <c r="A11" s="78" t="s">
        <v>226</v>
      </c>
      <c r="B11" s="147" t="e">
        <f>-(' Balance Sheet'!D9-' Balance Sheet'!C9)</f>
        <v>#REF!</v>
      </c>
      <c r="C11" s="147" t="e">
        <f>-(' Balance Sheet'!E9-' Balance Sheet'!D9)</f>
        <v>#REF!</v>
      </c>
      <c r="D11" s="147" t="e">
        <f>-(' Balance Sheet'!F9-' Balance Sheet'!E9)</f>
        <v>#REF!</v>
      </c>
      <c r="E11" s="147" t="e">
        <f>-(' Balance Sheet'!G9-' Balance Sheet'!F9)</f>
        <v>#REF!</v>
      </c>
      <c r="F11" s="147" t="e">
        <f>-(' Balance Sheet'!H9-' Balance Sheet'!G9)</f>
        <v>#REF!</v>
      </c>
      <c r="G11" s="147" t="e">
        <f>-(' Balance Sheet'!I9-' Balance Sheet'!H9)</f>
        <v>#REF!</v>
      </c>
      <c r="H11" s="147" t="e">
        <f>-(' Balance Sheet'!J9-' Balance Sheet'!I9)</f>
        <v>#REF!</v>
      </c>
      <c r="I11" s="147" t="e">
        <f>-(' Balance Sheet'!K9-' Balance Sheet'!J9)</f>
        <v>#REF!</v>
      </c>
      <c r="J11" s="147" t="e">
        <f>-(' Balance Sheet'!L9-' Balance Sheet'!K9)</f>
        <v>#REF!</v>
      </c>
      <c r="K11" s="147" t="e">
        <f>-(' Balance Sheet'!M9-' Balance Sheet'!L9)</f>
        <v>#REF!</v>
      </c>
      <c r="L11" s="147" t="e">
        <f>-(' Balance Sheet'!N9-' Balance Sheet'!M9)</f>
        <v>#REF!</v>
      </c>
      <c r="M11" s="147" t="e">
        <f>-(' Balance Sheet'!O9-' Balance Sheet'!N9)</f>
        <v>#REF!</v>
      </c>
      <c r="N11" s="147" t="e">
        <f>-(' Balance Sheet'!P9-' Balance Sheet'!O9)</f>
        <v>#REF!</v>
      </c>
      <c r="O11" s="147" t="e">
        <f>-(' Balance Sheet'!Q9-' Balance Sheet'!P9)</f>
        <v>#REF!</v>
      </c>
      <c r="P11" s="147" t="e">
        <f>-(' Balance Sheet'!R9-' Balance Sheet'!Q9)</f>
        <v>#REF!</v>
      </c>
      <c r="Q11" s="147" t="e">
        <f>-(' Balance Sheet'!S9-' Balance Sheet'!R9)</f>
        <v>#REF!</v>
      </c>
      <c r="R11" s="147" t="e">
        <f>-(' Balance Sheet'!T9-' Balance Sheet'!S9)</f>
        <v>#REF!</v>
      </c>
      <c r="S11" s="147" t="e">
        <f>-(' Balance Sheet'!U9-' Balance Sheet'!T9)</f>
        <v>#REF!</v>
      </c>
      <c r="T11" s="147" t="e">
        <f>-(' Balance Sheet'!V9-' Balance Sheet'!U9)</f>
        <v>#REF!</v>
      </c>
      <c r="U11" s="147" t="e">
        <f>-(' Balance Sheet'!W9-' Balance Sheet'!V9)</f>
        <v>#REF!</v>
      </c>
      <c r="V11" s="147" t="e">
        <f>-(' Balance Sheet'!X9-' Balance Sheet'!W9)</f>
        <v>#REF!</v>
      </c>
      <c r="W11" s="147" t="e">
        <f>-(' Balance Sheet'!Y9-' Balance Sheet'!X9)</f>
        <v>#REF!</v>
      </c>
      <c r="X11" s="147" t="e">
        <f>-(' Balance Sheet'!Z9-' Balance Sheet'!Y9)</f>
        <v>#REF!</v>
      </c>
      <c r="Y11" s="147" t="e">
        <f>-(' Balance Sheet'!AA9-' Balance Sheet'!Z9)</f>
        <v>#REF!</v>
      </c>
      <c r="Z11" s="147" t="e">
        <f>-(' Balance Sheet'!AB9-' Balance Sheet'!AA9)</f>
        <v>#REF!</v>
      </c>
      <c r="AA11" s="147" t="e">
        <f>-(' Balance Sheet'!AC9-' Balance Sheet'!AB9)</f>
        <v>#REF!</v>
      </c>
      <c r="AB11" s="147" t="e">
        <f>-(' Balance Sheet'!AD9-' Balance Sheet'!AC9)</f>
        <v>#REF!</v>
      </c>
      <c r="AC11" s="147" t="e">
        <f>-(' Balance Sheet'!AE9-' Balance Sheet'!AD9)</f>
        <v>#REF!</v>
      </c>
      <c r="AD11" s="147" t="e">
        <f>-(' Balance Sheet'!AF9-' Balance Sheet'!AE9)</f>
        <v>#REF!</v>
      </c>
      <c r="AE11" s="147" t="e">
        <f>-(' Balance Sheet'!AG9-' Balance Sheet'!AF9)</f>
        <v>#REF!</v>
      </c>
      <c r="AF11" s="147" t="e">
        <f>-(' Balance Sheet'!AH9-' Balance Sheet'!AG9)</f>
        <v>#REF!</v>
      </c>
      <c r="AG11" s="147" t="e">
        <f>-(' Balance Sheet'!AI9-' Balance Sheet'!AH9)</f>
        <v>#REF!</v>
      </c>
      <c r="AH11" s="147" t="e">
        <f>-(' Balance Sheet'!AJ9-' Balance Sheet'!AI9)</f>
        <v>#REF!</v>
      </c>
      <c r="AI11" s="147" t="e">
        <f>-(' Balance Sheet'!AK9-' Balance Sheet'!AJ9)</f>
        <v>#REF!</v>
      </c>
      <c r="AJ11" s="147" t="e">
        <f>-(' Balance Sheet'!AL9-' Balance Sheet'!AK9)</f>
        <v>#REF!</v>
      </c>
      <c r="AK11" s="147" t="e">
        <f>-(' Balance Sheet'!AM9-' Balance Sheet'!AL9)</f>
        <v>#REF!</v>
      </c>
      <c r="AL11" s="147" t="e">
        <f>-(' Balance Sheet'!AN9-' Balance Sheet'!AM9)</f>
        <v>#REF!</v>
      </c>
      <c r="AM11" s="147" t="e">
        <f>-(' Balance Sheet'!AO9-' Balance Sheet'!AN9)</f>
        <v>#REF!</v>
      </c>
      <c r="AN11" s="147" t="e">
        <f>-(' Balance Sheet'!AP9-' Balance Sheet'!AO9)</f>
        <v>#REF!</v>
      </c>
      <c r="AO11" s="147" t="e">
        <f>-(' Balance Sheet'!AQ9-' Balance Sheet'!AP9)</f>
        <v>#REF!</v>
      </c>
      <c r="AP11" s="147" t="e">
        <f>-(' Balance Sheet'!AR9-' Balance Sheet'!AQ9)</f>
        <v>#REF!</v>
      </c>
      <c r="AQ11" s="147" t="e">
        <f>-(' Balance Sheet'!AS9-' Balance Sheet'!AR9)</f>
        <v>#REF!</v>
      </c>
      <c r="AR11" s="147" t="e">
        <f>-(' Balance Sheet'!AT9-' Balance Sheet'!AS9)</f>
        <v>#REF!</v>
      </c>
      <c r="AS11" s="147" t="e">
        <f>-(' Balance Sheet'!AU9-' Balance Sheet'!AT9)</f>
        <v>#REF!</v>
      </c>
      <c r="AT11" s="147" t="e">
        <f>-(' Balance Sheet'!AV9-' Balance Sheet'!AU9)</f>
        <v>#REF!</v>
      </c>
      <c r="AU11" s="147" t="e">
        <f>-(' Balance Sheet'!AW9-' Balance Sheet'!AV9)</f>
        <v>#REF!</v>
      </c>
      <c r="AV11" s="147" t="e">
        <f>-(' Balance Sheet'!AX9-' Balance Sheet'!AW9)</f>
        <v>#REF!</v>
      </c>
      <c r="AW11" s="147" t="e">
        <f>-(' Balance Sheet'!AY9-' Balance Sheet'!AX9)</f>
        <v>#REF!</v>
      </c>
      <c r="AX11" s="147" t="e">
        <f>-(' Balance Sheet'!AZ9-' Balance Sheet'!AY9)</f>
        <v>#REF!</v>
      </c>
      <c r="AY11" s="147" t="e">
        <f>-(' Balance Sheet'!BA9-' Balance Sheet'!AZ9)</f>
        <v>#REF!</v>
      </c>
      <c r="AZ11" s="147" t="e">
        <f>-(' Balance Sheet'!BB9-' Balance Sheet'!BA9)</f>
        <v>#REF!</v>
      </c>
      <c r="BA11" s="147" t="e">
        <f>-(' Balance Sheet'!BC9-' Balance Sheet'!BB9)</f>
        <v>#REF!</v>
      </c>
      <c r="BB11" s="147" t="e">
        <f>-(' Balance Sheet'!BD9-' Balance Sheet'!BC9)</f>
        <v>#REF!</v>
      </c>
      <c r="BC11" s="147" t="e">
        <f>-(' Balance Sheet'!BE9-' Balance Sheet'!BD9)</f>
        <v>#REF!</v>
      </c>
      <c r="BD11" s="147" t="e">
        <f>-(' Balance Sheet'!BF9-' Balance Sheet'!BE9)</f>
        <v>#REF!</v>
      </c>
      <c r="BE11" s="147" t="e">
        <f>-(' Balance Sheet'!BG9-' Balance Sheet'!BF9)</f>
        <v>#REF!</v>
      </c>
      <c r="BF11" s="147" t="e">
        <f>-(' Balance Sheet'!BH9-' Balance Sheet'!BG9)</f>
        <v>#REF!</v>
      </c>
      <c r="BG11" s="147" t="e">
        <f>-(' Balance Sheet'!BI9-' Balance Sheet'!BH9)</f>
        <v>#REF!</v>
      </c>
      <c r="BH11" s="147" t="e">
        <f>-(' Balance Sheet'!BJ9-' Balance Sheet'!BI9)</f>
        <v>#REF!</v>
      </c>
      <c r="BI11" s="147" t="e">
        <f>-(' Balance Sheet'!BK9-' Balance Sheet'!BJ9)</f>
        <v>#REF!</v>
      </c>
    </row>
    <row r="12" spans="1:61" s="163" customFormat="1" x14ac:dyDescent="0.15">
      <c r="A12" s="78" t="s">
        <v>227</v>
      </c>
      <c r="B12" s="147" t="e">
        <f>-(' Balance Sheet'!D10-' Balance Sheet'!C10)</f>
        <v>#REF!</v>
      </c>
      <c r="C12" s="147" t="e">
        <f>-(' Balance Sheet'!E10-' Balance Sheet'!D10)</f>
        <v>#REF!</v>
      </c>
      <c r="D12" s="147" t="e">
        <f>-(' Balance Sheet'!F10-' Balance Sheet'!E10)</f>
        <v>#REF!</v>
      </c>
      <c r="E12" s="147" t="e">
        <f>-(' Balance Sheet'!G10-' Balance Sheet'!F10)</f>
        <v>#REF!</v>
      </c>
      <c r="F12" s="147" t="e">
        <f>-(' Balance Sheet'!H10-' Balance Sheet'!G10)</f>
        <v>#REF!</v>
      </c>
      <c r="G12" s="147" t="e">
        <f>-(' Balance Sheet'!I10-' Balance Sheet'!H10)</f>
        <v>#REF!</v>
      </c>
      <c r="H12" s="147" t="e">
        <f>-(' Balance Sheet'!J10-' Balance Sheet'!I10)</f>
        <v>#REF!</v>
      </c>
      <c r="I12" s="147" t="e">
        <f>-(' Balance Sheet'!K10-' Balance Sheet'!J10)</f>
        <v>#REF!</v>
      </c>
      <c r="J12" s="147" t="e">
        <f>-(' Balance Sheet'!L10-' Balance Sheet'!K10)</f>
        <v>#REF!</v>
      </c>
      <c r="K12" s="147" t="e">
        <f>-(' Balance Sheet'!M10-' Balance Sheet'!L10)</f>
        <v>#REF!</v>
      </c>
      <c r="L12" s="147" t="e">
        <f>-(' Balance Sheet'!N10-' Balance Sheet'!M10)</f>
        <v>#REF!</v>
      </c>
      <c r="M12" s="147" t="e">
        <f>-(' Balance Sheet'!O10-' Balance Sheet'!N10)</f>
        <v>#REF!</v>
      </c>
      <c r="N12" s="147" t="e">
        <f>-(' Balance Sheet'!P10-' Balance Sheet'!O10)</f>
        <v>#REF!</v>
      </c>
      <c r="O12" s="147" t="e">
        <f>-(' Balance Sheet'!Q10-' Balance Sheet'!P10)</f>
        <v>#REF!</v>
      </c>
      <c r="P12" s="147" t="e">
        <f>-(' Balance Sheet'!R10-' Balance Sheet'!Q10)</f>
        <v>#REF!</v>
      </c>
      <c r="Q12" s="147" t="e">
        <f>-(' Balance Sheet'!S10-' Balance Sheet'!R10)</f>
        <v>#REF!</v>
      </c>
      <c r="R12" s="147" t="e">
        <f>-(' Balance Sheet'!T10-' Balance Sheet'!S10)</f>
        <v>#REF!</v>
      </c>
      <c r="S12" s="147" t="e">
        <f>-(' Balance Sheet'!U10-' Balance Sheet'!T10)</f>
        <v>#REF!</v>
      </c>
      <c r="T12" s="147" t="e">
        <f>-(' Balance Sheet'!V10-' Balance Sheet'!U10)</f>
        <v>#REF!</v>
      </c>
      <c r="U12" s="147" t="e">
        <f>-(' Balance Sheet'!W10-' Balance Sheet'!V10)</f>
        <v>#REF!</v>
      </c>
      <c r="V12" s="147" t="e">
        <f>-(' Balance Sheet'!X10-' Balance Sheet'!W10)</f>
        <v>#REF!</v>
      </c>
      <c r="W12" s="147" t="e">
        <f>-(' Balance Sheet'!Y10-' Balance Sheet'!X10)</f>
        <v>#REF!</v>
      </c>
      <c r="X12" s="147" t="e">
        <f>-(' Balance Sheet'!Z10-' Balance Sheet'!Y10)</f>
        <v>#REF!</v>
      </c>
      <c r="Y12" s="147" t="e">
        <f>-(' Balance Sheet'!AA10-' Balance Sheet'!Z10)</f>
        <v>#REF!</v>
      </c>
      <c r="Z12" s="147" t="e">
        <f>-(' Balance Sheet'!AB10-' Balance Sheet'!AA10)</f>
        <v>#REF!</v>
      </c>
      <c r="AA12" s="147" t="e">
        <f>-(' Balance Sheet'!AC10-' Balance Sheet'!AB10)</f>
        <v>#REF!</v>
      </c>
      <c r="AB12" s="147" t="e">
        <f>-(' Balance Sheet'!AD10-' Balance Sheet'!AC10)</f>
        <v>#REF!</v>
      </c>
      <c r="AC12" s="147" t="e">
        <f>-(' Balance Sheet'!AE10-' Balance Sheet'!AD10)</f>
        <v>#REF!</v>
      </c>
      <c r="AD12" s="147" t="e">
        <f>-(' Balance Sheet'!AF10-' Balance Sheet'!AE10)</f>
        <v>#REF!</v>
      </c>
      <c r="AE12" s="147" t="e">
        <f>-(' Balance Sheet'!AG10-' Balance Sheet'!AF10)</f>
        <v>#REF!</v>
      </c>
      <c r="AF12" s="147" t="e">
        <f>-(' Balance Sheet'!AH10-' Balance Sheet'!AG10)</f>
        <v>#REF!</v>
      </c>
      <c r="AG12" s="147" t="e">
        <f>-(' Balance Sheet'!AI10-' Balance Sheet'!AH10)</f>
        <v>#REF!</v>
      </c>
      <c r="AH12" s="147" t="e">
        <f>-(' Balance Sheet'!AJ10-' Balance Sheet'!AI10)</f>
        <v>#REF!</v>
      </c>
      <c r="AI12" s="147" t="e">
        <f>-(' Balance Sheet'!AK10-' Balance Sheet'!AJ10)</f>
        <v>#REF!</v>
      </c>
      <c r="AJ12" s="147" t="e">
        <f>-(' Balance Sheet'!AL10-' Balance Sheet'!AK10)</f>
        <v>#REF!</v>
      </c>
      <c r="AK12" s="147" t="e">
        <f>-(' Balance Sheet'!AM10-' Balance Sheet'!AL10)</f>
        <v>#REF!</v>
      </c>
      <c r="AL12" s="147" t="e">
        <f>-(' Balance Sheet'!AN10-' Balance Sheet'!AM10)</f>
        <v>#REF!</v>
      </c>
      <c r="AM12" s="147" t="e">
        <f>-(' Balance Sheet'!AO10-' Balance Sheet'!AN10)</f>
        <v>#REF!</v>
      </c>
      <c r="AN12" s="147" t="e">
        <f>-(' Balance Sheet'!AP10-' Balance Sheet'!AO10)</f>
        <v>#REF!</v>
      </c>
      <c r="AO12" s="147" t="e">
        <f>-(' Balance Sheet'!AQ10-' Balance Sheet'!AP10)</f>
        <v>#REF!</v>
      </c>
      <c r="AP12" s="147" t="e">
        <f>-(' Balance Sheet'!AR10-' Balance Sheet'!AQ10)</f>
        <v>#REF!</v>
      </c>
      <c r="AQ12" s="147" t="e">
        <f>-(' Balance Sheet'!AS10-' Balance Sheet'!AR10)</f>
        <v>#REF!</v>
      </c>
      <c r="AR12" s="147" t="e">
        <f>-(' Balance Sheet'!AT10-' Balance Sheet'!AS10)</f>
        <v>#REF!</v>
      </c>
      <c r="AS12" s="147" t="e">
        <f>-(' Balance Sheet'!AU10-' Balance Sheet'!AT10)</f>
        <v>#REF!</v>
      </c>
      <c r="AT12" s="147" t="e">
        <f>-(' Balance Sheet'!AV10-' Balance Sheet'!AU10)</f>
        <v>#REF!</v>
      </c>
      <c r="AU12" s="147" t="e">
        <f>-(' Balance Sheet'!AW10-' Balance Sheet'!AV10)</f>
        <v>#REF!</v>
      </c>
      <c r="AV12" s="147" t="e">
        <f>-(' Balance Sheet'!AX10-' Balance Sheet'!AW10)</f>
        <v>#REF!</v>
      </c>
      <c r="AW12" s="147" t="e">
        <f>-(' Balance Sheet'!AY10-' Balance Sheet'!AX10)</f>
        <v>#REF!</v>
      </c>
      <c r="AX12" s="147" t="e">
        <f>-(' Balance Sheet'!AZ10-' Balance Sheet'!AY10)</f>
        <v>#REF!</v>
      </c>
      <c r="AY12" s="147" t="e">
        <f>-(' Balance Sheet'!BA10-' Balance Sheet'!AZ10)</f>
        <v>#REF!</v>
      </c>
      <c r="AZ12" s="147" t="e">
        <f>-(' Balance Sheet'!BB10-' Balance Sheet'!BA10)</f>
        <v>#REF!</v>
      </c>
      <c r="BA12" s="147" t="e">
        <f>-(' Balance Sheet'!BC10-' Balance Sheet'!BB10)</f>
        <v>#REF!</v>
      </c>
      <c r="BB12" s="147" t="e">
        <f>-(' Balance Sheet'!BD10-' Balance Sheet'!BC10)</f>
        <v>#REF!</v>
      </c>
      <c r="BC12" s="147" t="e">
        <f>-(' Balance Sheet'!BE10-' Balance Sheet'!BD10)</f>
        <v>#REF!</v>
      </c>
      <c r="BD12" s="147" t="e">
        <f>-(' Balance Sheet'!BF10-' Balance Sheet'!BE10)</f>
        <v>#REF!</v>
      </c>
      <c r="BE12" s="147" t="e">
        <f>-(' Balance Sheet'!BG10-' Balance Sheet'!BF10)</f>
        <v>#REF!</v>
      </c>
      <c r="BF12" s="147" t="e">
        <f>-(' Balance Sheet'!BH10-' Balance Sheet'!BG10)</f>
        <v>#REF!</v>
      </c>
      <c r="BG12" s="147" t="e">
        <f>-(' Balance Sheet'!BI10-' Balance Sheet'!BH10)</f>
        <v>#REF!</v>
      </c>
      <c r="BH12" s="147" t="e">
        <f>-(' Balance Sheet'!BJ10-' Balance Sheet'!BI10)</f>
        <v>#REF!</v>
      </c>
      <c r="BI12" s="147" t="e">
        <f>-(' Balance Sheet'!BK10-' Balance Sheet'!BJ10)</f>
        <v>#REF!</v>
      </c>
    </row>
    <row r="13" spans="1:61" s="163" customFormat="1" x14ac:dyDescent="0.15">
      <c r="A13" s="78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</row>
    <row r="14" spans="1:61" s="163" customFormat="1" x14ac:dyDescent="0.15">
      <c r="A14" s="87" t="s">
        <v>228</v>
      </c>
      <c r="B14" s="147">
        <f>-'Monthly P&amp;L'!B65</f>
        <v>0</v>
      </c>
      <c r="C14" s="147">
        <f>-'Monthly P&amp;L'!C65</f>
        <v>0</v>
      </c>
      <c r="D14" s="147">
        <f>-'Monthly P&amp;L'!D65</f>
        <v>0</v>
      </c>
      <c r="E14" s="147">
        <f>-'Monthly P&amp;L'!E65</f>
        <v>0</v>
      </c>
      <c r="F14" s="147">
        <f>-'Monthly P&amp;L'!F65</f>
        <v>0</v>
      </c>
      <c r="G14" s="147">
        <f>-'Monthly P&amp;L'!G65</f>
        <v>0</v>
      </c>
      <c r="H14" s="147" t="e">
        <f>-'Monthly P&amp;L'!H65</f>
        <v>#VALUE!</v>
      </c>
      <c r="I14" s="147">
        <f>-'Monthly P&amp;L'!I65</f>
        <v>0</v>
      </c>
      <c r="J14" s="147">
        <f>-'Monthly P&amp;L'!J65</f>
        <v>0</v>
      </c>
      <c r="K14" s="147">
        <f>-'Monthly P&amp;L'!K65</f>
        <v>0</v>
      </c>
      <c r="L14" s="147">
        <f>-'Monthly P&amp;L'!L65</f>
        <v>0</v>
      </c>
      <c r="M14" s="147">
        <f>-'Monthly P&amp;L'!M65</f>
        <v>0</v>
      </c>
      <c r="N14" s="147">
        <f>-'Monthly P&amp;L'!N65</f>
        <v>0</v>
      </c>
      <c r="O14" s="147">
        <f>-'Monthly P&amp;L'!O65</f>
        <v>0</v>
      </c>
      <c r="P14" s="147">
        <f>-'Monthly P&amp;L'!P65</f>
        <v>0</v>
      </c>
      <c r="Q14" s="147">
        <f>-'Monthly P&amp;L'!Q65</f>
        <v>0</v>
      </c>
      <c r="R14" s="147">
        <f>-'Monthly P&amp;L'!R65</f>
        <v>0</v>
      </c>
      <c r="S14" s="147">
        <f>-'Monthly P&amp;L'!S65</f>
        <v>0</v>
      </c>
      <c r="T14" s="147" t="e">
        <f>-'Monthly P&amp;L'!T65</f>
        <v>#VALUE!</v>
      </c>
      <c r="U14" s="147">
        <f>-'Monthly P&amp;L'!U65</f>
        <v>0</v>
      </c>
      <c r="V14" s="147">
        <f>-'Monthly P&amp;L'!V65</f>
        <v>0</v>
      </c>
      <c r="W14" s="147">
        <f>-'Monthly P&amp;L'!W65</f>
        <v>0</v>
      </c>
      <c r="X14" s="147">
        <f>-'Monthly P&amp;L'!X65</f>
        <v>0</v>
      </c>
      <c r="Y14" s="147">
        <f>-'Monthly P&amp;L'!Y65</f>
        <v>0</v>
      </c>
      <c r="Z14" s="147">
        <f>-'Monthly P&amp;L'!Z65</f>
        <v>0</v>
      </c>
      <c r="AA14" s="147">
        <f>-'Monthly P&amp;L'!AA65</f>
        <v>0</v>
      </c>
      <c r="AB14" s="147">
        <f>-'Monthly P&amp;L'!AB65</f>
        <v>0</v>
      </c>
      <c r="AC14" s="147">
        <f>-'Monthly P&amp;L'!AC65</f>
        <v>0</v>
      </c>
      <c r="AD14" s="147">
        <f>-'Monthly P&amp;L'!AD65</f>
        <v>0</v>
      </c>
      <c r="AE14" s="147">
        <f>-'Monthly P&amp;L'!AE65</f>
        <v>0</v>
      </c>
      <c r="AF14" s="147" t="e">
        <f>-'Monthly P&amp;L'!AF65</f>
        <v>#VALUE!</v>
      </c>
      <c r="AG14" s="147">
        <f>-'Monthly P&amp;L'!AG65</f>
        <v>0</v>
      </c>
      <c r="AH14" s="147">
        <f>-'Monthly P&amp;L'!AH65</f>
        <v>0</v>
      </c>
      <c r="AI14" s="147">
        <f>-'Monthly P&amp;L'!AI65</f>
        <v>0</v>
      </c>
      <c r="AJ14" s="147">
        <f>-'Monthly P&amp;L'!AJ65</f>
        <v>0</v>
      </c>
      <c r="AK14" s="147">
        <f>-'Monthly P&amp;L'!AK65</f>
        <v>0</v>
      </c>
      <c r="AL14" s="147">
        <f>-'Monthly P&amp;L'!AL65</f>
        <v>0</v>
      </c>
      <c r="AM14" s="147">
        <f>-'Monthly P&amp;L'!AM65</f>
        <v>0</v>
      </c>
      <c r="AN14" s="147">
        <f>-'Monthly P&amp;L'!AN65</f>
        <v>0</v>
      </c>
      <c r="AO14" s="147">
        <f>-'Monthly P&amp;L'!AO65</f>
        <v>0</v>
      </c>
      <c r="AP14" s="147">
        <f>-'Monthly P&amp;L'!AP65</f>
        <v>0</v>
      </c>
      <c r="AQ14" s="147">
        <f>-'Monthly P&amp;L'!AQ65</f>
        <v>0</v>
      </c>
      <c r="AR14" s="147" t="e">
        <f>-'Monthly P&amp;L'!AR65</f>
        <v>#VALUE!</v>
      </c>
      <c r="AS14" s="147">
        <f>-'Monthly P&amp;L'!AS65</f>
        <v>0</v>
      </c>
      <c r="AT14" s="147">
        <f>-'Monthly P&amp;L'!AT65</f>
        <v>0</v>
      </c>
      <c r="AU14" s="147">
        <f>-'Monthly P&amp;L'!AU65</f>
        <v>0</v>
      </c>
      <c r="AV14" s="147">
        <f>-'Monthly P&amp;L'!AV65</f>
        <v>0</v>
      </c>
      <c r="AW14" s="147">
        <f>-'Monthly P&amp;L'!AW65</f>
        <v>0</v>
      </c>
      <c r="AX14" s="147">
        <f>-'Monthly P&amp;L'!AX65</f>
        <v>0</v>
      </c>
      <c r="AY14" s="147">
        <f>-'Monthly P&amp;L'!AY65</f>
        <v>0</v>
      </c>
      <c r="AZ14" s="147">
        <f>-'Monthly P&amp;L'!AZ65</f>
        <v>0</v>
      </c>
      <c r="BA14" s="147">
        <f>-'Monthly P&amp;L'!BA65</f>
        <v>0</v>
      </c>
      <c r="BB14" s="147">
        <f>-'Monthly P&amp;L'!BB65</f>
        <v>0</v>
      </c>
      <c r="BC14" s="147">
        <f>-'Monthly P&amp;L'!BC65</f>
        <v>0</v>
      </c>
      <c r="BD14" s="147" t="e">
        <f>-'Monthly P&amp;L'!BD65</f>
        <v>#VALUE!</v>
      </c>
      <c r="BE14" s="147">
        <f>-'Monthly P&amp;L'!BE65</f>
        <v>0</v>
      </c>
      <c r="BF14" s="147">
        <f>-'Monthly P&amp;L'!BF65</f>
        <v>0</v>
      </c>
      <c r="BG14" s="147">
        <f>-'Monthly P&amp;L'!BG65</f>
        <v>0</v>
      </c>
      <c r="BH14" s="147">
        <f>-'Monthly P&amp;L'!BH65</f>
        <v>0</v>
      </c>
      <c r="BI14" s="147">
        <f>-'Monthly P&amp;L'!BI65</f>
        <v>0</v>
      </c>
    </row>
    <row r="15" spans="1:61" s="163" customFormat="1" x14ac:dyDescent="0.15">
      <c r="A15" s="3"/>
    </row>
    <row r="16" spans="1:61" s="163" customFormat="1" x14ac:dyDescent="0.15">
      <c r="A16" s="13" t="s">
        <v>229</v>
      </c>
      <c r="B16" s="182" t="e">
        <f>SUM(B8:B15)</f>
        <v>#N/A</v>
      </c>
      <c r="C16" s="182" t="e">
        <f t="shared" ref="C16:BI16" si="2">SUM(C8:C15)</f>
        <v>#N/A</v>
      </c>
      <c r="D16" s="182" t="e">
        <f t="shared" si="2"/>
        <v>#N/A</v>
      </c>
      <c r="E16" s="182" t="e">
        <f t="shared" si="2"/>
        <v>#N/A</v>
      </c>
      <c r="F16" s="182" t="e">
        <f t="shared" si="2"/>
        <v>#N/A</v>
      </c>
      <c r="G16" s="182" t="e">
        <f t="shared" si="2"/>
        <v>#N/A</v>
      </c>
      <c r="H16" s="182" t="e">
        <f t="shared" si="2"/>
        <v>#N/A</v>
      </c>
      <c r="I16" s="182" t="e">
        <f t="shared" si="2"/>
        <v>#N/A</v>
      </c>
      <c r="J16" s="182" t="e">
        <f t="shared" si="2"/>
        <v>#N/A</v>
      </c>
      <c r="K16" s="182" t="e">
        <f t="shared" si="2"/>
        <v>#N/A</v>
      </c>
      <c r="L16" s="182" t="e">
        <f t="shared" si="2"/>
        <v>#N/A</v>
      </c>
      <c r="M16" s="182" t="e">
        <f t="shared" si="2"/>
        <v>#N/A</v>
      </c>
      <c r="N16" s="182" t="e">
        <f t="shared" si="2"/>
        <v>#N/A</v>
      </c>
      <c r="O16" s="182" t="e">
        <f t="shared" si="2"/>
        <v>#N/A</v>
      </c>
      <c r="P16" s="182" t="e">
        <f t="shared" si="2"/>
        <v>#N/A</v>
      </c>
      <c r="Q16" s="182" t="e">
        <f t="shared" si="2"/>
        <v>#N/A</v>
      </c>
      <c r="R16" s="182" t="e">
        <f t="shared" si="2"/>
        <v>#N/A</v>
      </c>
      <c r="S16" s="182" t="e">
        <f t="shared" si="2"/>
        <v>#N/A</v>
      </c>
      <c r="T16" s="182" t="e">
        <f t="shared" si="2"/>
        <v>#N/A</v>
      </c>
      <c r="U16" s="182" t="e">
        <f t="shared" si="2"/>
        <v>#N/A</v>
      </c>
      <c r="V16" s="182" t="e">
        <f t="shared" si="2"/>
        <v>#N/A</v>
      </c>
      <c r="W16" s="182" t="e">
        <f t="shared" si="2"/>
        <v>#N/A</v>
      </c>
      <c r="X16" s="182" t="e">
        <f t="shared" si="2"/>
        <v>#N/A</v>
      </c>
      <c r="Y16" s="182" t="e">
        <f t="shared" si="2"/>
        <v>#N/A</v>
      </c>
      <c r="Z16" s="182" t="e">
        <f t="shared" si="2"/>
        <v>#N/A</v>
      </c>
      <c r="AA16" s="182" t="e">
        <f t="shared" si="2"/>
        <v>#N/A</v>
      </c>
      <c r="AB16" s="182" t="e">
        <f t="shared" si="2"/>
        <v>#N/A</v>
      </c>
      <c r="AC16" s="182" t="e">
        <f t="shared" si="2"/>
        <v>#N/A</v>
      </c>
      <c r="AD16" s="182" t="e">
        <f t="shared" si="2"/>
        <v>#N/A</v>
      </c>
      <c r="AE16" s="182" t="e">
        <f t="shared" si="2"/>
        <v>#N/A</v>
      </c>
      <c r="AF16" s="182" t="e">
        <f t="shared" si="2"/>
        <v>#N/A</v>
      </c>
      <c r="AG16" s="182" t="e">
        <f t="shared" si="2"/>
        <v>#N/A</v>
      </c>
      <c r="AH16" s="182" t="e">
        <f t="shared" si="2"/>
        <v>#N/A</v>
      </c>
      <c r="AI16" s="182" t="e">
        <f t="shared" si="2"/>
        <v>#N/A</v>
      </c>
      <c r="AJ16" s="182" t="e">
        <f t="shared" si="2"/>
        <v>#N/A</v>
      </c>
      <c r="AK16" s="182" t="e">
        <f t="shared" si="2"/>
        <v>#N/A</v>
      </c>
      <c r="AL16" s="182" t="e">
        <f t="shared" si="2"/>
        <v>#N/A</v>
      </c>
      <c r="AM16" s="182" t="e">
        <f t="shared" si="2"/>
        <v>#N/A</v>
      </c>
      <c r="AN16" s="182" t="e">
        <f t="shared" si="2"/>
        <v>#N/A</v>
      </c>
      <c r="AO16" s="182" t="e">
        <f t="shared" si="2"/>
        <v>#N/A</v>
      </c>
      <c r="AP16" s="182" t="e">
        <f t="shared" si="2"/>
        <v>#N/A</v>
      </c>
      <c r="AQ16" s="182" t="e">
        <f t="shared" si="2"/>
        <v>#N/A</v>
      </c>
      <c r="AR16" s="182" t="e">
        <f t="shared" si="2"/>
        <v>#N/A</v>
      </c>
      <c r="AS16" s="182" t="e">
        <f t="shared" si="2"/>
        <v>#N/A</v>
      </c>
      <c r="AT16" s="182" t="e">
        <f t="shared" si="2"/>
        <v>#N/A</v>
      </c>
      <c r="AU16" s="182" t="e">
        <f t="shared" si="2"/>
        <v>#N/A</v>
      </c>
      <c r="AV16" s="182" t="e">
        <f t="shared" si="2"/>
        <v>#N/A</v>
      </c>
      <c r="AW16" s="182" t="e">
        <f t="shared" si="2"/>
        <v>#N/A</v>
      </c>
      <c r="AX16" s="182" t="e">
        <f t="shared" si="2"/>
        <v>#N/A</v>
      </c>
      <c r="AY16" s="182" t="e">
        <f t="shared" si="2"/>
        <v>#N/A</v>
      </c>
      <c r="AZ16" s="182" t="e">
        <f t="shared" si="2"/>
        <v>#N/A</v>
      </c>
      <c r="BA16" s="182" t="e">
        <f t="shared" si="2"/>
        <v>#N/A</v>
      </c>
      <c r="BB16" s="182" t="e">
        <f t="shared" si="2"/>
        <v>#N/A</v>
      </c>
      <c r="BC16" s="182" t="e">
        <f t="shared" si="2"/>
        <v>#N/A</v>
      </c>
      <c r="BD16" s="182" t="e">
        <f t="shared" si="2"/>
        <v>#N/A</v>
      </c>
      <c r="BE16" s="182" t="e">
        <f t="shared" si="2"/>
        <v>#N/A</v>
      </c>
      <c r="BF16" s="182" t="e">
        <f t="shared" si="2"/>
        <v>#N/A</v>
      </c>
      <c r="BG16" s="182" t="e">
        <f t="shared" si="2"/>
        <v>#N/A</v>
      </c>
      <c r="BH16" s="182" t="e">
        <f t="shared" si="2"/>
        <v>#N/A</v>
      </c>
      <c r="BI16" s="182" t="e">
        <f t="shared" si="2"/>
        <v>#N/A</v>
      </c>
    </row>
    <row r="17" spans="1:61" s="163" customFormat="1" x14ac:dyDescent="0.15">
      <c r="A17" s="1"/>
    </row>
    <row r="18" spans="1:61" s="163" customFormat="1" x14ac:dyDescent="0.15">
      <c r="A18" s="7" t="s">
        <v>230</v>
      </c>
    </row>
    <row r="19" spans="1:61" s="163" customFormat="1" x14ac:dyDescent="0.15">
      <c r="A19" s="78" t="s">
        <v>231</v>
      </c>
      <c r="B19" s="147">
        <f>-'Fixed Asset Schedules'!B8</f>
        <v>0</v>
      </c>
      <c r="C19" s="147">
        <f>-'Fixed Asset Schedules'!C8</f>
        <v>0</v>
      </c>
      <c r="D19" s="147">
        <f>-'Fixed Asset Schedules'!D8</f>
        <v>0</v>
      </c>
      <c r="E19" s="147">
        <f>-'Fixed Asset Schedules'!E8</f>
        <v>0</v>
      </c>
      <c r="F19" s="147">
        <f>-'Fixed Asset Schedules'!F8</f>
        <v>0</v>
      </c>
      <c r="G19" s="147">
        <f>-'Fixed Asset Schedules'!G8</f>
        <v>0</v>
      </c>
      <c r="H19" s="147">
        <f>-'Fixed Asset Schedules'!H8</f>
        <v>0</v>
      </c>
      <c r="I19" s="147">
        <f>-'Fixed Asset Schedules'!I8</f>
        <v>0</v>
      </c>
      <c r="J19" s="147">
        <f>-'Fixed Asset Schedules'!J8</f>
        <v>0</v>
      </c>
      <c r="K19" s="147">
        <f>-'Fixed Asset Schedules'!K8</f>
        <v>0</v>
      </c>
      <c r="L19" s="147">
        <f>-'Fixed Asset Schedules'!L8</f>
        <v>0</v>
      </c>
      <c r="M19" s="147">
        <f>-'Fixed Asset Schedules'!M8</f>
        <v>0</v>
      </c>
      <c r="N19" s="147">
        <f>-'Fixed Asset Schedules'!N8</f>
        <v>0</v>
      </c>
      <c r="O19" s="147">
        <f>-'Fixed Asset Schedules'!O8</f>
        <v>0</v>
      </c>
      <c r="P19" s="147">
        <f>-'Fixed Asset Schedules'!P8</f>
        <v>0</v>
      </c>
      <c r="Q19" s="147">
        <f>-'Fixed Asset Schedules'!Q8</f>
        <v>0</v>
      </c>
      <c r="R19" s="147">
        <f>-'Fixed Asset Schedules'!R8</f>
        <v>0</v>
      </c>
      <c r="S19" s="147">
        <f>-'Fixed Asset Schedules'!S8</f>
        <v>0</v>
      </c>
      <c r="T19" s="147">
        <f>-'Fixed Asset Schedules'!T8</f>
        <v>0</v>
      </c>
      <c r="U19" s="147">
        <f>-'Fixed Asset Schedules'!U8</f>
        <v>0</v>
      </c>
      <c r="V19" s="147">
        <f>-'Fixed Asset Schedules'!V8</f>
        <v>0</v>
      </c>
      <c r="W19" s="147">
        <f>-'Fixed Asset Schedules'!W8</f>
        <v>0</v>
      </c>
      <c r="X19" s="147">
        <f>-'Fixed Asset Schedules'!X8</f>
        <v>0</v>
      </c>
      <c r="Y19" s="147">
        <f>-'Fixed Asset Schedules'!Y8</f>
        <v>0</v>
      </c>
      <c r="Z19" s="147">
        <f>-'Fixed Asset Schedules'!Z8</f>
        <v>0</v>
      </c>
      <c r="AA19" s="147">
        <f>-'Fixed Asset Schedules'!AA8</f>
        <v>0</v>
      </c>
      <c r="AB19" s="147">
        <f>-'Fixed Asset Schedules'!AB8</f>
        <v>0</v>
      </c>
      <c r="AC19" s="147">
        <f>-'Fixed Asset Schedules'!AC8</f>
        <v>0</v>
      </c>
      <c r="AD19" s="147">
        <f>-'Fixed Asset Schedules'!AD8</f>
        <v>0</v>
      </c>
      <c r="AE19" s="147">
        <f>-'Fixed Asset Schedules'!AE8</f>
        <v>0</v>
      </c>
      <c r="AF19" s="147">
        <f>-'Fixed Asset Schedules'!AF8</f>
        <v>0</v>
      </c>
      <c r="AG19" s="147">
        <f>-'Fixed Asset Schedules'!AG8</f>
        <v>0</v>
      </c>
      <c r="AH19" s="147">
        <f>-'Fixed Asset Schedules'!AH8</f>
        <v>0</v>
      </c>
      <c r="AI19" s="147">
        <f>-'Fixed Asset Schedules'!AI8</f>
        <v>0</v>
      </c>
      <c r="AJ19" s="147">
        <f>-'Fixed Asset Schedules'!AJ8</f>
        <v>0</v>
      </c>
      <c r="AK19" s="147">
        <f>-'Fixed Asset Schedules'!AK8</f>
        <v>0</v>
      </c>
      <c r="AL19" s="147">
        <f>-'Fixed Asset Schedules'!AL8</f>
        <v>0</v>
      </c>
      <c r="AM19" s="147">
        <f>-'Fixed Asset Schedules'!AM8</f>
        <v>0</v>
      </c>
      <c r="AN19" s="147">
        <f>-'Fixed Asset Schedules'!AN8</f>
        <v>0</v>
      </c>
      <c r="AO19" s="147">
        <f>-'Fixed Asset Schedules'!AO8</f>
        <v>0</v>
      </c>
      <c r="AP19" s="147">
        <f>-'Fixed Asset Schedules'!AP8</f>
        <v>0</v>
      </c>
      <c r="AQ19" s="147">
        <f>-'Fixed Asset Schedules'!AQ8</f>
        <v>0</v>
      </c>
      <c r="AR19" s="147">
        <f>-'Fixed Asset Schedules'!AR8</f>
        <v>0</v>
      </c>
      <c r="AS19" s="147">
        <f>-'Fixed Asset Schedules'!AS8</f>
        <v>0</v>
      </c>
      <c r="AT19" s="147">
        <f>-'Fixed Asset Schedules'!AT8</f>
        <v>0</v>
      </c>
      <c r="AU19" s="147">
        <f>-'Fixed Asset Schedules'!AU8</f>
        <v>0</v>
      </c>
      <c r="AV19" s="147">
        <f>-'Fixed Asset Schedules'!AV8</f>
        <v>0</v>
      </c>
      <c r="AW19" s="147">
        <f>-'Fixed Asset Schedules'!AW8</f>
        <v>0</v>
      </c>
      <c r="AX19" s="147">
        <f>-'Fixed Asset Schedules'!AX8</f>
        <v>0</v>
      </c>
      <c r="AY19" s="147">
        <f>-'Fixed Asset Schedules'!AY8</f>
        <v>0</v>
      </c>
      <c r="AZ19" s="147">
        <f>-'Fixed Asset Schedules'!AZ8</f>
        <v>0</v>
      </c>
      <c r="BA19" s="147">
        <f>-'Fixed Asset Schedules'!BA8</f>
        <v>0</v>
      </c>
      <c r="BB19" s="147">
        <f>-'Fixed Asset Schedules'!BB8</f>
        <v>0</v>
      </c>
      <c r="BC19" s="147">
        <f>-'Fixed Asset Schedules'!BC8</f>
        <v>0</v>
      </c>
      <c r="BD19" s="147">
        <f>-'Fixed Asset Schedules'!BD8</f>
        <v>0</v>
      </c>
      <c r="BE19" s="147">
        <f>-'Fixed Asset Schedules'!BE8</f>
        <v>0</v>
      </c>
      <c r="BF19" s="147">
        <f>-'Fixed Asset Schedules'!BF8</f>
        <v>0</v>
      </c>
      <c r="BG19" s="147">
        <f>-'Fixed Asset Schedules'!BG8</f>
        <v>0</v>
      </c>
      <c r="BH19" s="147">
        <f>-'Fixed Asset Schedules'!BH8</f>
        <v>0</v>
      </c>
      <c r="BI19" s="147">
        <f>-'Fixed Asset Schedules'!BI8</f>
        <v>0</v>
      </c>
    </row>
    <row r="20" spans="1:61" s="163" customFormat="1" x14ac:dyDescent="0.15">
      <c r="A20" s="1"/>
    </row>
    <row r="21" spans="1:61" s="163" customFormat="1" x14ac:dyDescent="0.15">
      <c r="A21" s="13" t="s">
        <v>232</v>
      </c>
      <c r="B21" s="182">
        <f t="shared" ref="B21:BI21" si="3">+B19</f>
        <v>0</v>
      </c>
      <c r="C21" s="182">
        <f t="shared" si="3"/>
        <v>0</v>
      </c>
      <c r="D21" s="182">
        <f t="shared" si="3"/>
        <v>0</v>
      </c>
      <c r="E21" s="182">
        <f t="shared" si="3"/>
        <v>0</v>
      </c>
      <c r="F21" s="182">
        <f t="shared" si="3"/>
        <v>0</v>
      </c>
      <c r="G21" s="182">
        <f t="shared" si="3"/>
        <v>0</v>
      </c>
      <c r="H21" s="182">
        <f t="shared" si="3"/>
        <v>0</v>
      </c>
      <c r="I21" s="182">
        <f t="shared" si="3"/>
        <v>0</v>
      </c>
      <c r="J21" s="182">
        <f t="shared" si="3"/>
        <v>0</v>
      </c>
      <c r="K21" s="182">
        <f t="shared" si="3"/>
        <v>0</v>
      </c>
      <c r="L21" s="182">
        <f t="shared" si="3"/>
        <v>0</v>
      </c>
      <c r="M21" s="182">
        <f t="shared" si="3"/>
        <v>0</v>
      </c>
      <c r="N21" s="182">
        <f t="shared" si="3"/>
        <v>0</v>
      </c>
      <c r="O21" s="182">
        <f t="shared" si="3"/>
        <v>0</v>
      </c>
      <c r="P21" s="182">
        <f t="shared" si="3"/>
        <v>0</v>
      </c>
      <c r="Q21" s="182">
        <f t="shared" si="3"/>
        <v>0</v>
      </c>
      <c r="R21" s="182">
        <f t="shared" si="3"/>
        <v>0</v>
      </c>
      <c r="S21" s="182">
        <f t="shared" si="3"/>
        <v>0</v>
      </c>
      <c r="T21" s="182">
        <f t="shared" si="3"/>
        <v>0</v>
      </c>
      <c r="U21" s="182">
        <f t="shared" si="3"/>
        <v>0</v>
      </c>
      <c r="V21" s="182">
        <f t="shared" si="3"/>
        <v>0</v>
      </c>
      <c r="W21" s="182">
        <f t="shared" si="3"/>
        <v>0</v>
      </c>
      <c r="X21" s="182">
        <f t="shared" si="3"/>
        <v>0</v>
      </c>
      <c r="Y21" s="182">
        <f t="shared" si="3"/>
        <v>0</v>
      </c>
      <c r="Z21" s="182">
        <f t="shared" si="3"/>
        <v>0</v>
      </c>
      <c r="AA21" s="182">
        <f t="shared" si="3"/>
        <v>0</v>
      </c>
      <c r="AB21" s="182">
        <f t="shared" si="3"/>
        <v>0</v>
      </c>
      <c r="AC21" s="182">
        <f t="shared" si="3"/>
        <v>0</v>
      </c>
      <c r="AD21" s="182">
        <f t="shared" si="3"/>
        <v>0</v>
      </c>
      <c r="AE21" s="182">
        <f t="shared" si="3"/>
        <v>0</v>
      </c>
      <c r="AF21" s="182">
        <f t="shared" si="3"/>
        <v>0</v>
      </c>
      <c r="AG21" s="182">
        <f t="shared" si="3"/>
        <v>0</v>
      </c>
      <c r="AH21" s="182">
        <f t="shared" si="3"/>
        <v>0</v>
      </c>
      <c r="AI21" s="182">
        <f t="shared" si="3"/>
        <v>0</v>
      </c>
      <c r="AJ21" s="182">
        <f t="shared" si="3"/>
        <v>0</v>
      </c>
      <c r="AK21" s="182">
        <f t="shared" si="3"/>
        <v>0</v>
      </c>
      <c r="AL21" s="182">
        <f t="shared" si="3"/>
        <v>0</v>
      </c>
      <c r="AM21" s="182">
        <f t="shared" si="3"/>
        <v>0</v>
      </c>
      <c r="AN21" s="182">
        <f t="shared" si="3"/>
        <v>0</v>
      </c>
      <c r="AO21" s="182">
        <f t="shared" si="3"/>
        <v>0</v>
      </c>
      <c r="AP21" s="182">
        <f t="shared" si="3"/>
        <v>0</v>
      </c>
      <c r="AQ21" s="182">
        <f t="shared" si="3"/>
        <v>0</v>
      </c>
      <c r="AR21" s="182">
        <f t="shared" si="3"/>
        <v>0</v>
      </c>
      <c r="AS21" s="182">
        <f t="shared" si="3"/>
        <v>0</v>
      </c>
      <c r="AT21" s="182">
        <f t="shared" si="3"/>
        <v>0</v>
      </c>
      <c r="AU21" s="182">
        <f t="shared" si="3"/>
        <v>0</v>
      </c>
      <c r="AV21" s="182">
        <f t="shared" si="3"/>
        <v>0</v>
      </c>
      <c r="AW21" s="182">
        <f t="shared" si="3"/>
        <v>0</v>
      </c>
      <c r="AX21" s="182">
        <f t="shared" si="3"/>
        <v>0</v>
      </c>
      <c r="AY21" s="182">
        <f t="shared" si="3"/>
        <v>0</v>
      </c>
      <c r="AZ21" s="182">
        <f t="shared" si="3"/>
        <v>0</v>
      </c>
      <c r="BA21" s="182">
        <f t="shared" si="3"/>
        <v>0</v>
      </c>
      <c r="BB21" s="182">
        <f t="shared" si="3"/>
        <v>0</v>
      </c>
      <c r="BC21" s="182">
        <f t="shared" si="3"/>
        <v>0</v>
      </c>
      <c r="BD21" s="182">
        <f t="shared" si="3"/>
        <v>0</v>
      </c>
      <c r="BE21" s="182">
        <f t="shared" si="3"/>
        <v>0</v>
      </c>
      <c r="BF21" s="182">
        <f t="shared" si="3"/>
        <v>0</v>
      </c>
      <c r="BG21" s="182">
        <f t="shared" si="3"/>
        <v>0</v>
      </c>
      <c r="BH21" s="182">
        <f t="shared" si="3"/>
        <v>0</v>
      </c>
      <c r="BI21" s="182">
        <f t="shared" si="3"/>
        <v>0</v>
      </c>
    </row>
    <row r="22" spans="1:61" s="163" customFormat="1" x14ac:dyDescent="0.15">
      <c r="A22" s="1"/>
    </row>
    <row r="23" spans="1:61" s="163" customFormat="1" x14ac:dyDescent="0.15">
      <c r="A23" s="7" t="s">
        <v>233</v>
      </c>
    </row>
    <row r="24" spans="1:61" s="163" customFormat="1" x14ac:dyDescent="0.15">
      <c r="A24" s="78" t="s">
        <v>234</v>
      </c>
      <c r="B24" s="145">
        <v>2000000</v>
      </c>
      <c r="C24" s="145">
        <v>0</v>
      </c>
      <c r="D24" s="145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45">
        <v>0</v>
      </c>
      <c r="L24" s="145">
        <v>0</v>
      </c>
      <c r="M24" s="145">
        <v>0</v>
      </c>
      <c r="N24" s="145">
        <v>0</v>
      </c>
      <c r="O24" s="145">
        <v>0</v>
      </c>
      <c r="P24" s="145">
        <v>0</v>
      </c>
      <c r="Q24" s="145">
        <v>0</v>
      </c>
      <c r="R24" s="145">
        <v>0</v>
      </c>
      <c r="S24" s="145">
        <v>0</v>
      </c>
      <c r="T24" s="145">
        <v>0</v>
      </c>
      <c r="U24" s="145">
        <v>0</v>
      </c>
      <c r="V24" s="145">
        <v>0</v>
      </c>
      <c r="W24" s="145">
        <v>0</v>
      </c>
      <c r="X24" s="145">
        <v>0</v>
      </c>
      <c r="Y24" s="145">
        <v>0</v>
      </c>
      <c r="Z24" s="145">
        <v>0</v>
      </c>
      <c r="AA24" s="145">
        <v>0</v>
      </c>
      <c r="AB24" s="145">
        <v>0</v>
      </c>
      <c r="AC24" s="145">
        <v>0</v>
      </c>
      <c r="AD24" s="145">
        <v>0</v>
      </c>
      <c r="AE24" s="145">
        <v>0</v>
      </c>
      <c r="AF24" s="145">
        <v>0</v>
      </c>
      <c r="AG24" s="145">
        <v>0</v>
      </c>
      <c r="AH24" s="145">
        <v>0</v>
      </c>
      <c r="AI24" s="145">
        <v>0</v>
      </c>
      <c r="AJ24" s="145">
        <v>0</v>
      </c>
      <c r="AK24" s="145">
        <v>0</v>
      </c>
      <c r="AL24" s="145">
        <v>0</v>
      </c>
      <c r="AM24" s="145">
        <v>0</v>
      </c>
      <c r="AN24" s="145">
        <v>0</v>
      </c>
      <c r="AO24" s="145">
        <v>0</v>
      </c>
      <c r="AP24" s="145">
        <v>0</v>
      </c>
      <c r="AQ24" s="145">
        <v>0</v>
      </c>
      <c r="AR24" s="145">
        <v>0</v>
      </c>
      <c r="AS24" s="145">
        <v>0</v>
      </c>
      <c r="AT24" s="145">
        <v>0</v>
      </c>
      <c r="AU24" s="145">
        <v>0</v>
      </c>
      <c r="AV24" s="145">
        <v>0</v>
      </c>
      <c r="AW24" s="145">
        <v>0</v>
      </c>
      <c r="AX24" s="145">
        <v>0</v>
      </c>
      <c r="AY24" s="145">
        <v>0</v>
      </c>
      <c r="AZ24" s="145">
        <v>0</v>
      </c>
      <c r="BA24" s="145">
        <v>0</v>
      </c>
      <c r="BB24" s="145">
        <v>0</v>
      </c>
      <c r="BC24" s="145">
        <v>0</v>
      </c>
      <c r="BD24" s="145">
        <v>0</v>
      </c>
      <c r="BE24" s="145">
        <v>0</v>
      </c>
      <c r="BF24" s="145">
        <v>0</v>
      </c>
      <c r="BG24" s="145">
        <v>0</v>
      </c>
      <c r="BH24" s="145">
        <v>0</v>
      </c>
      <c r="BI24" s="145">
        <v>0</v>
      </c>
    </row>
    <row r="25" spans="1:61" s="163" customFormat="1" x14ac:dyDescent="0.15">
      <c r="A25" s="78" t="s">
        <v>235</v>
      </c>
      <c r="B25" s="163" t="e">
        <f>'Debt Schedule'!#REF!</f>
        <v>#REF!</v>
      </c>
      <c r="AL25" s="163" t="e">
        <f>'Debt Schedule'!#REF!</f>
        <v>#REF!</v>
      </c>
      <c r="AX25" s="163" t="e">
        <f>'Debt Schedule'!#REF!</f>
        <v>#REF!</v>
      </c>
    </row>
    <row r="26" spans="1:61" s="163" customFormat="1" x14ac:dyDescent="0.15">
      <c r="A26" s="78" t="s">
        <v>236</v>
      </c>
      <c r="B26" s="163" t="e">
        <f>-'Debt Schedule'!#REF!</f>
        <v>#REF!</v>
      </c>
      <c r="C26" s="163" t="e">
        <f>-'Debt Schedule'!#REF!</f>
        <v>#REF!</v>
      </c>
      <c r="D26" s="163" t="e">
        <f>-'Debt Schedule'!#REF!</f>
        <v>#REF!</v>
      </c>
      <c r="E26" s="163" t="e">
        <f>-'Debt Schedule'!#REF!</f>
        <v>#REF!</v>
      </c>
      <c r="F26" s="163" t="e">
        <f>-'Debt Schedule'!#REF!</f>
        <v>#REF!</v>
      </c>
      <c r="G26" s="163" t="e">
        <f>-'Debt Schedule'!#REF!</f>
        <v>#REF!</v>
      </c>
      <c r="H26" s="163" t="e">
        <f>-'Debt Schedule'!#REF!</f>
        <v>#REF!</v>
      </c>
      <c r="I26" s="163" t="e">
        <f>-'Debt Schedule'!#REF!</f>
        <v>#REF!</v>
      </c>
      <c r="J26" s="163" t="e">
        <f>-'Debt Schedule'!#REF!</f>
        <v>#REF!</v>
      </c>
      <c r="K26" s="163" t="e">
        <f>-'Debt Schedule'!#REF!</f>
        <v>#REF!</v>
      </c>
      <c r="L26" s="163" t="e">
        <f>-'Debt Schedule'!#REF!</f>
        <v>#REF!</v>
      </c>
      <c r="M26" s="163" t="e">
        <f>-'Debt Schedule'!#REF!</f>
        <v>#REF!</v>
      </c>
      <c r="N26" s="163" t="e">
        <f>-'Debt Schedule'!#REF!</f>
        <v>#REF!</v>
      </c>
      <c r="O26" s="163" t="e">
        <f>-'Debt Schedule'!#REF!</f>
        <v>#REF!</v>
      </c>
      <c r="P26" s="163" t="e">
        <f>-'Debt Schedule'!#REF!</f>
        <v>#REF!</v>
      </c>
      <c r="Q26" s="163" t="e">
        <f>-'Debt Schedule'!#REF!</f>
        <v>#REF!</v>
      </c>
      <c r="R26" s="163" t="e">
        <f>-'Debt Schedule'!#REF!</f>
        <v>#REF!</v>
      </c>
      <c r="S26" s="163" t="e">
        <f>-'Debt Schedule'!#REF!</f>
        <v>#REF!</v>
      </c>
      <c r="T26" s="163" t="e">
        <f>-'Debt Schedule'!#REF!</f>
        <v>#REF!</v>
      </c>
      <c r="U26" s="163" t="e">
        <f>-'Debt Schedule'!#REF!</f>
        <v>#REF!</v>
      </c>
      <c r="V26" s="163" t="e">
        <f>-'Debt Schedule'!#REF!</f>
        <v>#REF!</v>
      </c>
      <c r="W26" s="163" t="e">
        <f>-'Debt Schedule'!#REF!</f>
        <v>#REF!</v>
      </c>
      <c r="X26" s="163" t="e">
        <f>-'Debt Schedule'!#REF!</f>
        <v>#REF!</v>
      </c>
      <c r="Y26" s="163" t="e">
        <f>-'Debt Schedule'!#REF!</f>
        <v>#REF!</v>
      </c>
      <c r="Z26" s="163" t="e">
        <f>-'Debt Schedule'!#REF!</f>
        <v>#REF!</v>
      </c>
      <c r="AA26" s="163" t="e">
        <f>-'Debt Schedule'!#REF!</f>
        <v>#REF!</v>
      </c>
      <c r="AB26" s="163" t="e">
        <f>-'Debt Schedule'!#REF!</f>
        <v>#REF!</v>
      </c>
      <c r="AC26" s="163" t="e">
        <f>-'Debt Schedule'!#REF!</f>
        <v>#REF!</v>
      </c>
      <c r="AD26" s="163" t="e">
        <f>-'Debt Schedule'!#REF!</f>
        <v>#REF!</v>
      </c>
      <c r="AE26" s="163" t="e">
        <f>-'Debt Schedule'!#REF!</f>
        <v>#REF!</v>
      </c>
      <c r="AF26" s="163" t="e">
        <f>-'Debt Schedule'!#REF!</f>
        <v>#REF!</v>
      </c>
      <c r="AG26" s="163" t="e">
        <f>-'Debt Schedule'!#REF!</f>
        <v>#REF!</v>
      </c>
      <c r="AH26" s="163" t="e">
        <f>-'Debt Schedule'!#REF!</f>
        <v>#REF!</v>
      </c>
      <c r="AI26" s="163" t="e">
        <f>-'Debt Schedule'!#REF!</f>
        <v>#REF!</v>
      </c>
      <c r="AJ26" s="163" t="e">
        <f>-'Debt Schedule'!#REF!</f>
        <v>#REF!</v>
      </c>
      <c r="AK26" s="163" t="e">
        <f>-'Debt Schedule'!#REF!</f>
        <v>#REF!</v>
      </c>
      <c r="AL26" s="163" t="e">
        <f>-'Debt Schedule'!#REF!</f>
        <v>#REF!</v>
      </c>
      <c r="AM26" s="163" t="e">
        <f>-'Debt Schedule'!#REF!</f>
        <v>#REF!</v>
      </c>
      <c r="AN26" s="163" t="e">
        <f>-'Debt Schedule'!#REF!</f>
        <v>#REF!</v>
      </c>
      <c r="AO26" s="163" t="e">
        <f>-'Debt Schedule'!#REF!</f>
        <v>#REF!</v>
      </c>
      <c r="AP26" s="163" t="e">
        <f>-'Debt Schedule'!#REF!</f>
        <v>#REF!</v>
      </c>
      <c r="AQ26" s="163" t="e">
        <f>-'Debt Schedule'!#REF!</f>
        <v>#REF!</v>
      </c>
      <c r="AR26" s="163" t="e">
        <f>-'Debt Schedule'!#REF!</f>
        <v>#REF!</v>
      </c>
      <c r="AS26" s="163" t="e">
        <f>-'Debt Schedule'!#REF!</f>
        <v>#REF!</v>
      </c>
      <c r="AT26" s="163" t="e">
        <f>-'Debt Schedule'!#REF!</f>
        <v>#REF!</v>
      </c>
      <c r="AU26" s="163" t="e">
        <f>-'Debt Schedule'!#REF!</f>
        <v>#REF!</v>
      </c>
      <c r="AV26" s="163" t="e">
        <f>-'Debt Schedule'!#REF!</f>
        <v>#REF!</v>
      </c>
      <c r="AW26" s="163" t="e">
        <f>-'Debt Schedule'!#REF!</f>
        <v>#REF!</v>
      </c>
      <c r="AX26" s="163" t="e">
        <f>-'Debt Schedule'!#REF!</f>
        <v>#REF!</v>
      </c>
      <c r="AY26" s="163" t="e">
        <f>-'Debt Schedule'!#REF!</f>
        <v>#REF!</v>
      </c>
      <c r="AZ26" s="163" t="e">
        <f>-'Debt Schedule'!#REF!</f>
        <v>#REF!</v>
      </c>
      <c r="BA26" s="163" t="e">
        <f>-'Debt Schedule'!#REF!</f>
        <v>#REF!</v>
      </c>
      <c r="BB26" s="163" t="e">
        <f>-'Debt Schedule'!#REF!</f>
        <v>#REF!</v>
      </c>
      <c r="BC26" s="163" t="e">
        <f>-'Debt Schedule'!#REF!</f>
        <v>#REF!</v>
      </c>
      <c r="BD26" s="163" t="e">
        <f>-'Debt Schedule'!#REF!</f>
        <v>#REF!</v>
      </c>
      <c r="BE26" s="163" t="e">
        <f>-'Debt Schedule'!#REF!</f>
        <v>#REF!</v>
      </c>
      <c r="BF26" s="163" t="e">
        <f>-'Debt Schedule'!#REF!</f>
        <v>#REF!</v>
      </c>
      <c r="BG26" s="163" t="e">
        <f>-'Debt Schedule'!#REF!</f>
        <v>#REF!</v>
      </c>
      <c r="BH26" s="163" t="e">
        <f>-'Debt Schedule'!#REF!</f>
        <v>#REF!</v>
      </c>
      <c r="BI26" s="163" t="e">
        <f>-'Debt Schedule'!#REF!</f>
        <v>#REF!</v>
      </c>
    </row>
    <row r="27" spans="1:61" s="163" customFormat="1" x14ac:dyDescent="0.15">
      <c r="A27" s="12"/>
    </row>
    <row r="28" spans="1:61" s="163" customFormat="1" x14ac:dyDescent="0.15">
      <c r="A28" s="12"/>
    </row>
    <row r="29" spans="1:61" s="163" customFormat="1" x14ac:dyDescent="0.15">
      <c r="A29" s="13" t="s">
        <v>237</v>
      </c>
      <c r="B29" s="182" t="e">
        <f>SUM(B24:B28)</f>
        <v>#REF!</v>
      </c>
      <c r="C29" s="182" t="e">
        <f t="shared" ref="C29:BI29" si="4">SUM(C24:C28)</f>
        <v>#REF!</v>
      </c>
      <c r="D29" s="182" t="e">
        <f t="shared" si="4"/>
        <v>#REF!</v>
      </c>
      <c r="E29" s="182" t="e">
        <f t="shared" si="4"/>
        <v>#REF!</v>
      </c>
      <c r="F29" s="182" t="e">
        <f t="shared" si="4"/>
        <v>#REF!</v>
      </c>
      <c r="G29" s="182" t="e">
        <f t="shared" si="4"/>
        <v>#REF!</v>
      </c>
      <c r="H29" s="182" t="e">
        <f t="shared" si="4"/>
        <v>#REF!</v>
      </c>
      <c r="I29" s="182" t="e">
        <f t="shared" si="4"/>
        <v>#REF!</v>
      </c>
      <c r="J29" s="182" t="e">
        <f t="shared" si="4"/>
        <v>#REF!</v>
      </c>
      <c r="K29" s="182" t="e">
        <f t="shared" si="4"/>
        <v>#REF!</v>
      </c>
      <c r="L29" s="182" t="e">
        <f t="shared" si="4"/>
        <v>#REF!</v>
      </c>
      <c r="M29" s="182" t="e">
        <f t="shared" si="4"/>
        <v>#REF!</v>
      </c>
      <c r="N29" s="182" t="e">
        <f t="shared" si="4"/>
        <v>#REF!</v>
      </c>
      <c r="O29" s="182" t="e">
        <f t="shared" si="4"/>
        <v>#REF!</v>
      </c>
      <c r="P29" s="182" t="e">
        <f t="shared" si="4"/>
        <v>#REF!</v>
      </c>
      <c r="Q29" s="182" t="e">
        <f t="shared" si="4"/>
        <v>#REF!</v>
      </c>
      <c r="R29" s="182" t="e">
        <f t="shared" si="4"/>
        <v>#REF!</v>
      </c>
      <c r="S29" s="182" t="e">
        <f t="shared" si="4"/>
        <v>#REF!</v>
      </c>
      <c r="T29" s="182" t="e">
        <f t="shared" si="4"/>
        <v>#REF!</v>
      </c>
      <c r="U29" s="182" t="e">
        <f t="shared" si="4"/>
        <v>#REF!</v>
      </c>
      <c r="V29" s="182" t="e">
        <f t="shared" si="4"/>
        <v>#REF!</v>
      </c>
      <c r="W29" s="182" t="e">
        <f t="shared" si="4"/>
        <v>#REF!</v>
      </c>
      <c r="X29" s="182" t="e">
        <f t="shared" si="4"/>
        <v>#REF!</v>
      </c>
      <c r="Y29" s="182" t="e">
        <f t="shared" si="4"/>
        <v>#REF!</v>
      </c>
      <c r="Z29" s="182" t="e">
        <f t="shared" si="4"/>
        <v>#REF!</v>
      </c>
      <c r="AA29" s="182" t="e">
        <f t="shared" si="4"/>
        <v>#REF!</v>
      </c>
      <c r="AB29" s="182" t="e">
        <f t="shared" si="4"/>
        <v>#REF!</v>
      </c>
      <c r="AC29" s="182" t="e">
        <f t="shared" si="4"/>
        <v>#REF!</v>
      </c>
      <c r="AD29" s="182" t="e">
        <f t="shared" si="4"/>
        <v>#REF!</v>
      </c>
      <c r="AE29" s="182" t="e">
        <f t="shared" si="4"/>
        <v>#REF!</v>
      </c>
      <c r="AF29" s="182" t="e">
        <f t="shared" si="4"/>
        <v>#REF!</v>
      </c>
      <c r="AG29" s="182" t="e">
        <f t="shared" si="4"/>
        <v>#REF!</v>
      </c>
      <c r="AH29" s="182" t="e">
        <f t="shared" si="4"/>
        <v>#REF!</v>
      </c>
      <c r="AI29" s="182" t="e">
        <f t="shared" si="4"/>
        <v>#REF!</v>
      </c>
      <c r="AJ29" s="182" t="e">
        <f t="shared" si="4"/>
        <v>#REF!</v>
      </c>
      <c r="AK29" s="182" t="e">
        <f t="shared" si="4"/>
        <v>#REF!</v>
      </c>
      <c r="AL29" s="182" t="e">
        <f t="shared" si="4"/>
        <v>#REF!</v>
      </c>
      <c r="AM29" s="182" t="e">
        <f t="shared" si="4"/>
        <v>#REF!</v>
      </c>
      <c r="AN29" s="182" t="e">
        <f t="shared" si="4"/>
        <v>#REF!</v>
      </c>
      <c r="AO29" s="182" t="e">
        <f t="shared" si="4"/>
        <v>#REF!</v>
      </c>
      <c r="AP29" s="182" t="e">
        <f t="shared" si="4"/>
        <v>#REF!</v>
      </c>
      <c r="AQ29" s="182" t="e">
        <f t="shared" si="4"/>
        <v>#REF!</v>
      </c>
      <c r="AR29" s="182" t="e">
        <f t="shared" si="4"/>
        <v>#REF!</v>
      </c>
      <c r="AS29" s="182" t="e">
        <f t="shared" si="4"/>
        <v>#REF!</v>
      </c>
      <c r="AT29" s="182" t="e">
        <f t="shared" si="4"/>
        <v>#REF!</v>
      </c>
      <c r="AU29" s="182" t="e">
        <f t="shared" si="4"/>
        <v>#REF!</v>
      </c>
      <c r="AV29" s="182" t="e">
        <f t="shared" si="4"/>
        <v>#REF!</v>
      </c>
      <c r="AW29" s="182" t="e">
        <f t="shared" si="4"/>
        <v>#REF!</v>
      </c>
      <c r="AX29" s="182" t="e">
        <f t="shared" si="4"/>
        <v>#REF!</v>
      </c>
      <c r="AY29" s="182" t="e">
        <f t="shared" si="4"/>
        <v>#REF!</v>
      </c>
      <c r="AZ29" s="182" t="e">
        <f t="shared" si="4"/>
        <v>#REF!</v>
      </c>
      <c r="BA29" s="182" t="e">
        <f t="shared" si="4"/>
        <v>#REF!</v>
      </c>
      <c r="BB29" s="182" t="e">
        <f t="shared" si="4"/>
        <v>#REF!</v>
      </c>
      <c r="BC29" s="182" t="e">
        <f t="shared" si="4"/>
        <v>#REF!</v>
      </c>
      <c r="BD29" s="182" t="e">
        <f t="shared" si="4"/>
        <v>#REF!</v>
      </c>
      <c r="BE29" s="182" t="e">
        <f t="shared" si="4"/>
        <v>#REF!</v>
      </c>
      <c r="BF29" s="182" t="e">
        <f t="shared" si="4"/>
        <v>#REF!</v>
      </c>
      <c r="BG29" s="182" t="e">
        <f t="shared" si="4"/>
        <v>#REF!</v>
      </c>
      <c r="BH29" s="182" t="e">
        <f t="shared" si="4"/>
        <v>#REF!</v>
      </c>
      <c r="BI29" s="182" t="e">
        <f t="shared" si="4"/>
        <v>#REF!</v>
      </c>
    </row>
    <row r="30" spans="1:61" s="163" customFormat="1" x14ac:dyDescent="0.15">
      <c r="A30" s="1"/>
    </row>
    <row r="31" spans="1:61" s="163" customFormat="1" x14ac:dyDescent="0.15">
      <c r="A31" s="13" t="s">
        <v>238</v>
      </c>
      <c r="B31" s="182" t="e">
        <f>+B16+B21+B29</f>
        <v>#N/A</v>
      </c>
      <c r="C31" s="182" t="e">
        <f t="shared" ref="C31:AG31" si="5">+C16+C21+C29</f>
        <v>#N/A</v>
      </c>
      <c r="D31" s="182" t="e">
        <f t="shared" si="5"/>
        <v>#N/A</v>
      </c>
      <c r="E31" s="182" t="e">
        <f t="shared" si="5"/>
        <v>#N/A</v>
      </c>
      <c r="F31" s="182" t="e">
        <f t="shared" si="5"/>
        <v>#N/A</v>
      </c>
      <c r="G31" s="182" t="e">
        <f t="shared" si="5"/>
        <v>#N/A</v>
      </c>
      <c r="H31" s="182" t="e">
        <f t="shared" si="5"/>
        <v>#N/A</v>
      </c>
      <c r="I31" s="182" t="e">
        <f t="shared" si="5"/>
        <v>#N/A</v>
      </c>
      <c r="J31" s="182" t="e">
        <f t="shared" si="5"/>
        <v>#N/A</v>
      </c>
      <c r="K31" s="182" t="e">
        <f t="shared" si="5"/>
        <v>#N/A</v>
      </c>
      <c r="L31" s="182" t="e">
        <f t="shared" si="5"/>
        <v>#N/A</v>
      </c>
      <c r="M31" s="182" t="e">
        <f t="shared" si="5"/>
        <v>#N/A</v>
      </c>
      <c r="N31" s="182" t="e">
        <f t="shared" si="5"/>
        <v>#N/A</v>
      </c>
      <c r="O31" s="182" t="e">
        <f t="shared" si="5"/>
        <v>#N/A</v>
      </c>
      <c r="P31" s="182" t="e">
        <f t="shared" si="5"/>
        <v>#N/A</v>
      </c>
      <c r="Q31" s="182" t="e">
        <f t="shared" si="5"/>
        <v>#N/A</v>
      </c>
      <c r="R31" s="182" t="e">
        <f t="shared" si="5"/>
        <v>#N/A</v>
      </c>
      <c r="S31" s="182" t="e">
        <f t="shared" si="5"/>
        <v>#N/A</v>
      </c>
      <c r="T31" s="182" t="e">
        <f t="shared" si="5"/>
        <v>#N/A</v>
      </c>
      <c r="U31" s="182" t="e">
        <f t="shared" si="5"/>
        <v>#N/A</v>
      </c>
      <c r="V31" s="182" t="e">
        <f t="shared" si="5"/>
        <v>#N/A</v>
      </c>
      <c r="W31" s="182" t="e">
        <f t="shared" si="5"/>
        <v>#N/A</v>
      </c>
      <c r="X31" s="182" t="e">
        <f t="shared" si="5"/>
        <v>#N/A</v>
      </c>
      <c r="Y31" s="182" t="e">
        <f t="shared" si="5"/>
        <v>#N/A</v>
      </c>
      <c r="Z31" s="182" t="e">
        <f t="shared" si="5"/>
        <v>#N/A</v>
      </c>
      <c r="AA31" s="182" t="e">
        <f t="shared" si="5"/>
        <v>#N/A</v>
      </c>
      <c r="AB31" s="182" t="e">
        <f t="shared" si="5"/>
        <v>#N/A</v>
      </c>
      <c r="AC31" s="182" t="e">
        <f t="shared" si="5"/>
        <v>#N/A</v>
      </c>
      <c r="AD31" s="182" t="e">
        <f t="shared" si="5"/>
        <v>#N/A</v>
      </c>
      <c r="AE31" s="182" t="e">
        <f t="shared" si="5"/>
        <v>#N/A</v>
      </c>
      <c r="AF31" s="182" t="e">
        <f t="shared" si="5"/>
        <v>#N/A</v>
      </c>
      <c r="AG31" s="182" t="e">
        <f t="shared" si="5"/>
        <v>#N/A</v>
      </c>
      <c r="AH31" s="182" t="e">
        <f t="shared" ref="AH31:BI31" si="6">+AH16+AH21+AH29</f>
        <v>#N/A</v>
      </c>
      <c r="AI31" s="182" t="e">
        <f t="shared" si="6"/>
        <v>#N/A</v>
      </c>
      <c r="AJ31" s="182" t="e">
        <f t="shared" si="6"/>
        <v>#N/A</v>
      </c>
      <c r="AK31" s="182" t="e">
        <f t="shared" si="6"/>
        <v>#N/A</v>
      </c>
      <c r="AL31" s="182" t="e">
        <f t="shared" si="6"/>
        <v>#N/A</v>
      </c>
      <c r="AM31" s="182" t="e">
        <f t="shared" si="6"/>
        <v>#N/A</v>
      </c>
      <c r="AN31" s="182" t="e">
        <f t="shared" si="6"/>
        <v>#N/A</v>
      </c>
      <c r="AO31" s="182" t="e">
        <f t="shared" si="6"/>
        <v>#N/A</v>
      </c>
      <c r="AP31" s="182" t="e">
        <f t="shared" si="6"/>
        <v>#N/A</v>
      </c>
      <c r="AQ31" s="182" t="e">
        <f t="shared" si="6"/>
        <v>#N/A</v>
      </c>
      <c r="AR31" s="182" t="e">
        <f t="shared" si="6"/>
        <v>#N/A</v>
      </c>
      <c r="AS31" s="182" t="e">
        <f t="shared" si="6"/>
        <v>#N/A</v>
      </c>
      <c r="AT31" s="182" t="e">
        <f t="shared" si="6"/>
        <v>#N/A</v>
      </c>
      <c r="AU31" s="182" t="e">
        <f t="shared" si="6"/>
        <v>#N/A</v>
      </c>
      <c r="AV31" s="182" t="e">
        <f t="shared" si="6"/>
        <v>#N/A</v>
      </c>
      <c r="AW31" s="182" t="e">
        <f t="shared" si="6"/>
        <v>#N/A</v>
      </c>
      <c r="AX31" s="182" t="e">
        <f t="shared" si="6"/>
        <v>#N/A</v>
      </c>
      <c r="AY31" s="182" t="e">
        <f t="shared" si="6"/>
        <v>#N/A</v>
      </c>
      <c r="AZ31" s="182" t="e">
        <f t="shared" si="6"/>
        <v>#N/A</v>
      </c>
      <c r="BA31" s="182" t="e">
        <f t="shared" si="6"/>
        <v>#N/A</v>
      </c>
      <c r="BB31" s="182" t="e">
        <f t="shared" si="6"/>
        <v>#N/A</v>
      </c>
      <c r="BC31" s="182" t="e">
        <f t="shared" si="6"/>
        <v>#N/A</v>
      </c>
      <c r="BD31" s="182" t="e">
        <f t="shared" si="6"/>
        <v>#N/A</v>
      </c>
      <c r="BE31" s="182" t="e">
        <f t="shared" si="6"/>
        <v>#N/A</v>
      </c>
      <c r="BF31" s="182" t="e">
        <f t="shared" si="6"/>
        <v>#N/A</v>
      </c>
      <c r="BG31" s="182" t="e">
        <f t="shared" si="6"/>
        <v>#N/A</v>
      </c>
      <c r="BH31" s="182" t="e">
        <f t="shared" si="6"/>
        <v>#N/A</v>
      </c>
      <c r="BI31" s="182" t="e">
        <f t="shared" si="6"/>
        <v>#N/A</v>
      </c>
    </row>
    <row r="32" spans="1:61" s="163" customFormat="1" x14ac:dyDescent="0.15">
      <c r="A32" s="1"/>
    </row>
    <row r="33" spans="1:61" s="163" customFormat="1" x14ac:dyDescent="0.15">
      <c r="A33" s="1" t="s">
        <v>239</v>
      </c>
      <c r="B33" s="147">
        <f>' Balance Sheet'!C8</f>
        <v>0</v>
      </c>
      <c r="C33" s="147" t="e">
        <f>+B35</f>
        <v>#N/A</v>
      </c>
      <c r="D33" s="147" t="e">
        <f t="shared" ref="D33:BI33" si="7">+C35</f>
        <v>#N/A</v>
      </c>
      <c r="E33" s="147" t="e">
        <f t="shared" si="7"/>
        <v>#N/A</v>
      </c>
      <c r="F33" s="147" t="e">
        <f t="shared" si="7"/>
        <v>#N/A</v>
      </c>
      <c r="G33" s="147" t="e">
        <f t="shared" si="7"/>
        <v>#N/A</v>
      </c>
      <c r="H33" s="147" t="e">
        <f t="shared" si="7"/>
        <v>#N/A</v>
      </c>
      <c r="I33" s="147" t="e">
        <f t="shared" si="7"/>
        <v>#N/A</v>
      </c>
      <c r="J33" s="147" t="e">
        <f t="shared" si="7"/>
        <v>#N/A</v>
      </c>
      <c r="K33" s="147" t="e">
        <f t="shared" si="7"/>
        <v>#N/A</v>
      </c>
      <c r="L33" s="147" t="e">
        <f t="shared" si="7"/>
        <v>#N/A</v>
      </c>
      <c r="M33" s="147" t="e">
        <f t="shared" si="7"/>
        <v>#N/A</v>
      </c>
      <c r="N33" s="147" t="e">
        <f t="shared" si="7"/>
        <v>#N/A</v>
      </c>
      <c r="O33" s="147" t="e">
        <f t="shared" si="7"/>
        <v>#N/A</v>
      </c>
      <c r="P33" s="147" t="e">
        <f t="shared" si="7"/>
        <v>#N/A</v>
      </c>
      <c r="Q33" s="147" t="e">
        <f t="shared" si="7"/>
        <v>#N/A</v>
      </c>
      <c r="R33" s="147" t="e">
        <f t="shared" si="7"/>
        <v>#N/A</v>
      </c>
      <c r="S33" s="147" t="e">
        <f t="shared" si="7"/>
        <v>#N/A</v>
      </c>
      <c r="T33" s="147" t="e">
        <f t="shared" si="7"/>
        <v>#N/A</v>
      </c>
      <c r="U33" s="147" t="e">
        <f t="shared" si="7"/>
        <v>#N/A</v>
      </c>
      <c r="V33" s="147" t="e">
        <f t="shared" si="7"/>
        <v>#N/A</v>
      </c>
      <c r="W33" s="147" t="e">
        <f t="shared" si="7"/>
        <v>#N/A</v>
      </c>
      <c r="X33" s="147" t="e">
        <f t="shared" si="7"/>
        <v>#N/A</v>
      </c>
      <c r="Y33" s="147" t="e">
        <f t="shared" si="7"/>
        <v>#N/A</v>
      </c>
      <c r="Z33" s="147" t="e">
        <f t="shared" si="7"/>
        <v>#N/A</v>
      </c>
      <c r="AA33" s="147" t="e">
        <f t="shared" si="7"/>
        <v>#N/A</v>
      </c>
      <c r="AB33" s="147" t="e">
        <f t="shared" si="7"/>
        <v>#N/A</v>
      </c>
      <c r="AC33" s="147" t="e">
        <f t="shared" si="7"/>
        <v>#N/A</v>
      </c>
      <c r="AD33" s="147" t="e">
        <f t="shared" si="7"/>
        <v>#N/A</v>
      </c>
      <c r="AE33" s="147" t="e">
        <f t="shared" si="7"/>
        <v>#N/A</v>
      </c>
      <c r="AF33" s="147" t="e">
        <f t="shared" si="7"/>
        <v>#N/A</v>
      </c>
      <c r="AG33" s="147" t="e">
        <f t="shared" si="7"/>
        <v>#N/A</v>
      </c>
      <c r="AH33" s="147" t="e">
        <f t="shared" si="7"/>
        <v>#N/A</v>
      </c>
      <c r="AI33" s="147" t="e">
        <f t="shared" si="7"/>
        <v>#N/A</v>
      </c>
      <c r="AJ33" s="147" t="e">
        <f t="shared" si="7"/>
        <v>#N/A</v>
      </c>
      <c r="AK33" s="147" t="e">
        <f t="shared" si="7"/>
        <v>#N/A</v>
      </c>
      <c r="AL33" s="147" t="e">
        <f t="shared" si="7"/>
        <v>#N/A</v>
      </c>
      <c r="AM33" s="147" t="e">
        <f t="shared" si="7"/>
        <v>#N/A</v>
      </c>
      <c r="AN33" s="147" t="e">
        <f t="shared" si="7"/>
        <v>#N/A</v>
      </c>
      <c r="AO33" s="147" t="e">
        <f t="shared" si="7"/>
        <v>#N/A</v>
      </c>
      <c r="AP33" s="147" t="e">
        <f t="shared" si="7"/>
        <v>#N/A</v>
      </c>
      <c r="AQ33" s="147" t="e">
        <f t="shared" si="7"/>
        <v>#N/A</v>
      </c>
      <c r="AR33" s="147" t="e">
        <f t="shared" si="7"/>
        <v>#N/A</v>
      </c>
      <c r="AS33" s="147" t="e">
        <f t="shared" si="7"/>
        <v>#N/A</v>
      </c>
      <c r="AT33" s="147" t="e">
        <f t="shared" si="7"/>
        <v>#N/A</v>
      </c>
      <c r="AU33" s="147" t="e">
        <f t="shared" si="7"/>
        <v>#N/A</v>
      </c>
      <c r="AV33" s="147" t="e">
        <f t="shared" si="7"/>
        <v>#N/A</v>
      </c>
      <c r="AW33" s="147" t="e">
        <f t="shared" si="7"/>
        <v>#N/A</v>
      </c>
      <c r="AX33" s="147" t="e">
        <f t="shared" si="7"/>
        <v>#N/A</v>
      </c>
      <c r="AY33" s="147" t="e">
        <f t="shared" si="7"/>
        <v>#N/A</v>
      </c>
      <c r="AZ33" s="147" t="e">
        <f t="shared" si="7"/>
        <v>#N/A</v>
      </c>
      <c r="BA33" s="147" t="e">
        <f t="shared" si="7"/>
        <v>#N/A</v>
      </c>
      <c r="BB33" s="147" t="e">
        <f t="shared" si="7"/>
        <v>#N/A</v>
      </c>
      <c r="BC33" s="147" t="e">
        <f t="shared" si="7"/>
        <v>#N/A</v>
      </c>
      <c r="BD33" s="147" t="e">
        <f t="shared" si="7"/>
        <v>#N/A</v>
      </c>
      <c r="BE33" s="147" t="e">
        <f t="shared" si="7"/>
        <v>#N/A</v>
      </c>
      <c r="BF33" s="147" t="e">
        <f t="shared" si="7"/>
        <v>#N/A</v>
      </c>
      <c r="BG33" s="147" t="e">
        <f t="shared" si="7"/>
        <v>#N/A</v>
      </c>
      <c r="BH33" s="147" t="e">
        <f t="shared" si="7"/>
        <v>#N/A</v>
      </c>
      <c r="BI33" s="147" t="e">
        <f t="shared" si="7"/>
        <v>#N/A</v>
      </c>
    </row>
    <row r="34" spans="1:61" s="163" customFormat="1" x14ac:dyDescent="0.15">
      <c r="A34" s="1"/>
    </row>
    <row r="35" spans="1:61" s="163" customFormat="1" ht="14" thickBot="1" x14ac:dyDescent="0.2">
      <c r="A35" s="11" t="s">
        <v>240</v>
      </c>
      <c r="B35" s="183" t="e">
        <f t="shared" ref="B35" si="8">+B31+B33</f>
        <v>#N/A</v>
      </c>
      <c r="C35" s="183" t="e">
        <f t="shared" ref="C35:BI35" si="9">+C31+C33</f>
        <v>#N/A</v>
      </c>
      <c r="D35" s="183" t="e">
        <f t="shared" si="9"/>
        <v>#N/A</v>
      </c>
      <c r="E35" s="183" t="e">
        <f t="shared" si="9"/>
        <v>#N/A</v>
      </c>
      <c r="F35" s="183" t="e">
        <f t="shared" si="9"/>
        <v>#N/A</v>
      </c>
      <c r="G35" s="183" t="e">
        <f t="shared" si="9"/>
        <v>#N/A</v>
      </c>
      <c r="H35" s="183" t="e">
        <f t="shared" si="9"/>
        <v>#N/A</v>
      </c>
      <c r="I35" s="183" t="e">
        <f t="shared" si="9"/>
        <v>#N/A</v>
      </c>
      <c r="J35" s="183" t="e">
        <f t="shared" si="9"/>
        <v>#N/A</v>
      </c>
      <c r="K35" s="183" t="e">
        <f t="shared" si="9"/>
        <v>#N/A</v>
      </c>
      <c r="L35" s="183" t="e">
        <f t="shared" si="9"/>
        <v>#N/A</v>
      </c>
      <c r="M35" s="183" t="e">
        <f t="shared" si="9"/>
        <v>#N/A</v>
      </c>
      <c r="N35" s="183" t="e">
        <f t="shared" si="9"/>
        <v>#N/A</v>
      </c>
      <c r="O35" s="183" t="e">
        <f t="shared" si="9"/>
        <v>#N/A</v>
      </c>
      <c r="P35" s="183" t="e">
        <f t="shared" si="9"/>
        <v>#N/A</v>
      </c>
      <c r="Q35" s="183" t="e">
        <f t="shared" si="9"/>
        <v>#N/A</v>
      </c>
      <c r="R35" s="183" t="e">
        <f t="shared" si="9"/>
        <v>#N/A</v>
      </c>
      <c r="S35" s="183" t="e">
        <f t="shared" si="9"/>
        <v>#N/A</v>
      </c>
      <c r="T35" s="183" t="e">
        <f t="shared" si="9"/>
        <v>#N/A</v>
      </c>
      <c r="U35" s="183" t="e">
        <f t="shared" si="9"/>
        <v>#N/A</v>
      </c>
      <c r="V35" s="183" t="e">
        <f t="shared" si="9"/>
        <v>#N/A</v>
      </c>
      <c r="W35" s="183" t="e">
        <f t="shared" si="9"/>
        <v>#N/A</v>
      </c>
      <c r="X35" s="183" t="e">
        <f t="shared" si="9"/>
        <v>#N/A</v>
      </c>
      <c r="Y35" s="183" t="e">
        <f t="shared" si="9"/>
        <v>#N/A</v>
      </c>
      <c r="Z35" s="183" t="e">
        <f t="shared" si="9"/>
        <v>#N/A</v>
      </c>
      <c r="AA35" s="183" t="e">
        <f t="shared" si="9"/>
        <v>#N/A</v>
      </c>
      <c r="AB35" s="183" t="e">
        <f t="shared" si="9"/>
        <v>#N/A</v>
      </c>
      <c r="AC35" s="253" t="e">
        <f t="shared" si="9"/>
        <v>#N/A</v>
      </c>
      <c r="AD35" s="253" t="e">
        <f t="shared" si="9"/>
        <v>#N/A</v>
      </c>
      <c r="AE35" s="253" t="e">
        <f t="shared" si="9"/>
        <v>#N/A</v>
      </c>
      <c r="AF35" s="253" t="e">
        <f t="shared" si="9"/>
        <v>#N/A</v>
      </c>
      <c r="AG35" s="253" t="e">
        <f t="shared" si="9"/>
        <v>#N/A</v>
      </c>
      <c r="AH35" s="183" t="e">
        <f t="shared" si="9"/>
        <v>#N/A</v>
      </c>
      <c r="AI35" s="253" t="e">
        <f t="shared" si="9"/>
        <v>#N/A</v>
      </c>
      <c r="AJ35" s="183" t="e">
        <f t="shared" si="9"/>
        <v>#N/A</v>
      </c>
      <c r="AK35" s="183" t="e">
        <f t="shared" si="9"/>
        <v>#N/A</v>
      </c>
      <c r="AL35" s="183" t="e">
        <f t="shared" si="9"/>
        <v>#N/A</v>
      </c>
      <c r="AM35" s="183" t="e">
        <f t="shared" si="9"/>
        <v>#N/A</v>
      </c>
      <c r="AN35" s="183" t="e">
        <f t="shared" si="9"/>
        <v>#N/A</v>
      </c>
      <c r="AO35" s="183" t="e">
        <f t="shared" si="9"/>
        <v>#N/A</v>
      </c>
      <c r="AP35" s="183" t="e">
        <f t="shared" si="9"/>
        <v>#N/A</v>
      </c>
      <c r="AQ35" s="183" t="e">
        <f t="shared" si="9"/>
        <v>#N/A</v>
      </c>
      <c r="AR35" s="183" t="e">
        <f t="shared" si="9"/>
        <v>#N/A</v>
      </c>
      <c r="AS35" s="183" t="e">
        <f t="shared" si="9"/>
        <v>#N/A</v>
      </c>
      <c r="AT35" s="183" t="e">
        <f t="shared" si="9"/>
        <v>#N/A</v>
      </c>
      <c r="AU35" s="183" t="e">
        <f t="shared" si="9"/>
        <v>#N/A</v>
      </c>
      <c r="AV35" s="183" t="e">
        <f t="shared" si="9"/>
        <v>#N/A</v>
      </c>
      <c r="AW35" s="183" t="e">
        <f t="shared" si="9"/>
        <v>#N/A</v>
      </c>
      <c r="AX35" s="183" t="e">
        <f t="shared" si="9"/>
        <v>#N/A</v>
      </c>
      <c r="AY35" s="183" t="e">
        <f t="shared" si="9"/>
        <v>#N/A</v>
      </c>
      <c r="AZ35" s="183" t="e">
        <f t="shared" si="9"/>
        <v>#N/A</v>
      </c>
      <c r="BA35" s="183" t="e">
        <f t="shared" si="9"/>
        <v>#N/A</v>
      </c>
      <c r="BB35" s="183" t="e">
        <f t="shared" si="9"/>
        <v>#N/A</v>
      </c>
      <c r="BC35" s="183" t="e">
        <f t="shared" si="9"/>
        <v>#N/A</v>
      </c>
      <c r="BD35" s="183" t="e">
        <f t="shared" si="9"/>
        <v>#N/A</v>
      </c>
      <c r="BE35" s="183" t="e">
        <f t="shared" si="9"/>
        <v>#N/A</v>
      </c>
      <c r="BF35" s="183" t="e">
        <f t="shared" si="9"/>
        <v>#N/A</v>
      </c>
      <c r="BG35" s="183" t="e">
        <f t="shared" si="9"/>
        <v>#N/A</v>
      </c>
      <c r="BH35" s="183" t="e">
        <f t="shared" si="9"/>
        <v>#N/A</v>
      </c>
      <c r="BI35" s="183" t="e">
        <f t="shared" si="9"/>
        <v>#N/A</v>
      </c>
    </row>
    <row r="36" spans="1:61" ht="14" thickTop="1" x14ac:dyDescent="0.15">
      <c r="AB36" s="254" t="s">
        <v>241</v>
      </c>
      <c r="AC36" s="254"/>
      <c r="AD36" s="254"/>
      <c r="AE36" s="254" t="s">
        <v>241</v>
      </c>
      <c r="AF36" s="254"/>
      <c r="AG36" s="254"/>
      <c r="AH36" s="254" t="s">
        <v>241</v>
      </c>
      <c r="AI36" s="254"/>
      <c r="AJ36" s="254"/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C44C-8259-4089-A58D-607B3FD7F3DA}">
  <sheetPr codeName="Sheet13">
    <tabColor rgb="FF92D050"/>
  </sheetPr>
  <dimension ref="A1:BI38"/>
  <sheetViews>
    <sheetView showGridLines="0" zoomScale="130" zoomScaleNormal="130" workbookViewId="0">
      <pane xSplit="1" ySplit="5" topLeftCell="B9" activePane="bottomRight" state="frozen"/>
      <selection pane="topRight" activeCell="B11" sqref="B11"/>
      <selection pane="bottomLeft" activeCell="B11" sqref="B11"/>
      <selection pane="bottomRight" activeCell="J52" sqref="J52"/>
    </sheetView>
  </sheetViews>
  <sheetFormatPr baseColWidth="10" defaultColWidth="8.83203125" defaultRowHeight="13" x14ac:dyDescent="0.15"/>
  <cols>
    <col min="1" max="1" width="39.5" style="4" bestFit="1" customWidth="1"/>
    <col min="2" max="2" width="13" style="4" customWidth="1"/>
    <col min="3" max="6" width="15.5" style="4" bestFit="1" customWidth="1"/>
    <col min="7" max="7" width="8.83203125" style="4"/>
    <col min="8" max="8" width="15.5" style="4" bestFit="1" customWidth="1"/>
    <col min="9" max="9" width="12.1640625" style="4" bestFit="1" customWidth="1"/>
    <col min="10" max="10" width="18.33203125" style="4" customWidth="1"/>
    <col min="11" max="16384" width="8.83203125" style="4"/>
  </cols>
  <sheetData>
    <row r="1" spans="1:61" s="106" customFormat="1" ht="26.25" customHeight="1" x14ac:dyDescent="0.3">
      <c r="A1" s="104" t="s">
        <v>369</v>
      </c>
      <c r="B1" s="105"/>
      <c r="C1" s="112"/>
      <c r="D1" s="112"/>
      <c r="E1" s="112"/>
      <c r="F1" s="113"/>
      <c r="G1" s="105"/>
      <c r="H1" s="105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</row>
    <row r="2" spans="1:61" s="108" customFormat="1" x14ac:dyDescent="0.15">
      <c r="A2" s="107" t="s">
        <v>242</v>
      </c>
    </row>
    <row r="3" spans="1:61" s="108" customFormat="1" x14ac:dyDescent="0.15">
      <c r="A3" s="109" t="s">
        <v>42</v>
      </c>
    </row>
    <row r="4" spans="1:61" s="7" customFormat="1" ht="12" x14ac:dyDescent="0.1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1" s="108" customFormat="1" ht="12" x14ac:dyDescent="0.15">
      <c r="A5" s="110" t="s">
        <v>48</v>
      </c>
      <c r="B5" s="116">
        <f>Controls!B5</f>
        <v>2026</v>
      </c>
      <c r="C5" s="116">
        <f>Controls!C5</f>
        <v>2027</v>
      </c>
      <c r="D5" s="116">
        <f>Controls!D5</f>
        <v>2028</v>
      </c>
      <c r="E5" s="116">
        <f>Controls!E5</f>
        <v>2029</v>
      </c>
      <c r="F5" s="116">
        <f>Controls!F5</f>
        <v>2030</v>
      </c>
    </row>
    <row r="7" spans="1:61" x14ac:dyDescent="0.15">
      <c r="A7" s="7" t="s">
        <v>222</v>
      </c>
      <c r="B7" s="163"/>
      <c r="C7" s="163"/>
      <c r="D7" s="163"/>
      <c r="E7" s="163"/>
      <c r="F7" s="163"/>
      <c r="G7" s="163"/>
      <c r="H7" s="163"/>
    </row>
    <row r="8" spans="1:61" x14ac:dyDescent="0.15">
      <c r="A8" s="77" t="s">
        <v>223</v>
      </c>
      <c r="B8" s="147" t="e">
        <f>SUMIF('Monthly CFS'!$B$3:$BI$3,B$5,'Monthly CFS'!$B8:$BI8)</f>
        <v>#N/A</v>
      </c>
      <c r="C8" s="147" t="e">
        <f>SUMIF('Monthly CFS'!$B$3:$BI$3,C$5,'Monthly CFS'!$B8:$BI8)</f>
        <v>#N/A</v>
      </c>
      <c r="D8" s="147" t="e">
        <f>SUMIF('Monthly CFS'!$B$3:$BI$3,D$5,'Monthly CFS'!$B8:$BI8)</f>
        <v>#N/A</v>
      </c>
      <c r="E8" s="147" t="e">
        <f>SUMIF('Monthly CFS'!$B$3:$BI$3,E$5,'Monthly CFS'!$B8:$BI8)</f>
        <v>#N/A</v>
      </c>
      <c r="F8" s="147" t="e">
        <f>SUMIF('Monthly CFS'!$B$3:$BI$3,F$5,'Monthly CFS'!$B8:$BI8)</f>
        <v>#N/A</v>
      </c>
      <c r="G8" s="163"/>
      <c r="H8" s="163"/>
    </row>
    <row r="9" spans="1:61" x14ac:dyDescent="0.15">
      <c r="A9" s="83" t="s">
        <v>224</v>
      </c>
      <c r="B9" s="163"/>
      <c r="C9" s="163"/>
      <c r="D9" s="163"/>
      <c r="E9" s="163"/>
      <c r="F9" s="163"/>
      <c r="G9" s="163"/>
      <c r="H9" s="163"/>
    </row>
    <row r="10" spans="1:61" x14ac:dyDescent="0.15">
      <c r="A10" s="77" t="s">
        <v>225</v>
      </c>
      <c r="B10" s="147">
        <f>SUMIF('Monthly CFS'!$B$3:$BI$3,B$5,'Monthly CFS'!$B10:$BI10)</f>
        <v>0</v>
      </c>
      <c r="C10" s="147">
        <f>SUMIF('Monthly CFS'!$B$3:$BI$3,C$5,'Monthly CFS'!$B10:$BI10)</f>
        <v>0</v>
      </c>
      <c r="D10" s="147">
        <f>SUMIF('Monthly CFS'!$B$3:$BI$3,D$5,'Monthly CFS'!$B10:$BI10)</f>
        <v>0</v>
      </c>
      <c r="E10" s="147">
        <f>SUMIF('Monthly CFS'!$B$3:$BI$3,E$5,'Monthly CFS'!$B10:$BI10)</f>
        <v>0</v>
      </c>
      <c r="F10" s="147">
        <f>SUMIF('Monthly CFS'!$B$3:$BI$3,F$5,'Monthly CFS'!$B10:$BI10)</f>
        <v>0</v>
      </c>
      <c r="G10" s="163"/>
      <c r="H10" s="163"/>
    </row>
    <row r="11" spans="1:61" x14ac:dyDescent="0.15">
      <c r="A11" s="77" t="s">
        <v>226</v>
      </c>
      <c r="B11" s="147" t="e">
        <f>SUMIF('Monthly CFS'!$B$3:$BI$3,B$5,'Monthly CFS'!$B11:$BI11)</f>
        <v>#REF!</v>
      </c>
      <c r="C11" s="147" t="e">
        <f>SUMIF('Monthly CFS'!$B$3:$BI$3,C$5,'Monthly CFS'!$B11:$BI11)</f>
        <v>#REF!</v>
      </c>
      <c r="D11" s="147" t="e">
        <f>SUMIF('Monthly CFS'!$B$3:$BI$3,D$5,'Monthly CFS'!$B11:$BI11)</f>
        <v>#REF!</v>
      </c>
      <c r="E11" s="147" t="e">
        <f>SUMIF('Monthly CFS'!$B$3:$BI$3,E$5,'Monthly CFS'!$B11:$BI11)</f>
        <v>#REF!</v>
      </c>
      <c r="F11" s="147" t="e">
        <f>SUMIF('Monthly CFS'!$B$3:$BI$3,F$5,'Monthly CFS'!$B11:$BI11)</f>
        <v>#REF!</v>
      </c>
      <c r="G11" s="163"/>
      <c r="H11" s="163"/>
    </row>
    <row r="12" spans="1:61" x14ac:dyDescent="0.15">
      <c r="A12" s="77" t="s">
        <v>227</v>
      </c>
      <c r="B12" s="147" t="e">
        <f>SUMIF('Monthly CFS'!$B$3:$BI$3,B$5,'Monthly CFS'!$B12:$BI12)</f>
        <v>#REF!</v>
      </c>
      <c r="C12" s="147" t="e">
        <f>SUMIF('Monthly CFS'!$B$3:$BI$3,C$5,'Monthly CFS'!$B12:$BI12)</f>
        <v>#REF!</v>
      </c>
      <c r="D12" s="147" t="e">
        <f>SUMIF('Monthly CFS'!$B$3:$BI$3,D$5,'Monthly CFS'!$B12:$BI12)</f>
        <v>#REF!</v>
      </c>
      <c r="E12" s="147" t="e">
        <f>SUMIF('Monthly CFS'!$B$3:$BI$3,E$5,'Monthly CFS'!$B12:$BI12)</f>
        <v>#REF!</v>
      </c>
      <c r="F12" s="147" t="e">
        <f>SUMIF('Monthly CFS'!$B$3:$BI$3,F$5,'Monthly CFS'!$B12:$BI12)</f>
        <v>#REF!</v>
      </c>
      <c r="G12" s="163"/>
      <c r="H12" s="163"/>
    </row>
    <row r="13" spans="1:61" x14ac:dyDescent="0.15">
      <c r="A13" s="77"/>
      <c r="B13" s="147"/>
      <c r="C13" s="147"/>
      <c r="D13" s="147"/>
      <c r="E13" s="147"/>
      <c r="F13" s="147"/>
      <c r="G13" s="163"/>
      <c r="H13" s="163"/>
    </row>
    <row r="14" spans="1:61" x14ac:dyDescent="0.15">
      <c r="A14" s="84" t="s">
        <v>228</v>
      </c>
      <c r="B14" s="147" t="e">
        <f>SUMIF('Monthly CFS'!$B$3:$BI$3,B$5,'Monthly CFS'!$B14:$BI14)</f>
        <v>#VALUE!</v>
      </c>
      <c r="C14" s="147" t="e">
        <f>SUMIF('Monthly CFS'!$B$3:$BI$3,C$5,'Monthly CFS'!$B14:$BI14)</f>
        <v>#VALUE!</v>
      </c>
      <c r="D14" s="147" t="e">
        <f>SUMIF('Monthly CFS'!$B$3:$BI$3,D$5,'Monthly CFS'!$B14:$BI14)</f>
        <v>#VALUE!</v>
      </c>
      <c r="E14" s="147" t="e">
        <f>SUMIF('Monthly CFS'!$B$3:$BI$3,E$5,'Monthly CFS'!$B14:$BI14)</f>
        <v>#VALUE!</v>
      </c>
      <c r="F14" s="147" t="e">
        <f>SUMIF('Monthly CFS'!$B$3:$BI$3,F$5,'Monthly CFS'!$B14:$BI14)</f>
        <v>#VALUE!</v>
      </c>
      <c r="G14" s="163"/>
      <c r="H14" s="163"/>
    </row>
    <row r="15" spans="1:61" x14ac:dyDescent="0.15">
      <c r="A15" s="3"/>
      <c r="B15" s="163"/>
      <c r="C15" s="163"/>
      <c r="D15" s="163"/>
      <c r="E15" s="163"/>
      <c r="F15" s="163"/>
      <c r="G15" s="163"/>
      <c r="H15" s="163"/>
    </row>
    <row r="16" spans="1:61" x14ac:dyDescent="0.15">
      <c r="A16" s="13" t="s">
        <v>229</v>
      </c>
      <c r="B16" s="182" t="e">
        <f>SUM(B8:B15)</f>
        <v>#N/A</v>
      </c>
      <c r="C16" s="182" t="e">
        <f t="shared" ref="C16:F16" si="0">SUM(C8:C15)</f>
        <v>#N/A</v>
      </c>
      <c r="D16" s="182" t="e">
        <f t="shared" si="0"/>
        <v>#N/A</v>
      </c>
      <c r="E16" s="182" t="e">
        <f t="shared" si="0"/>
        <v>#N/A</v>
      </c>
      <c r="F16" s="182" t="e">
        <f t="shared" si="0"/>
        <v>#N/A</v>
      </c>
      <c r="G16" s="163"/>
      <c r="H16" s="163"/>
      <c r="J16" s="75"/>
    </row>
    <row r="17" spans="1:10" x14ac:dyDescent="0.15">
      <c r="A17" s="1"/>
      <c r="B17" s="163"/>
      <c r="C17" s="163"/>
      <c r="D17" s="163"/>
      <c r="E17" s="163"/>
      <c r="F17" s="163"/>
      <c r="G17" s="163"/>
      <c r="H17" s="163"/>
    </row>
    <row r="18" spans="1:10" x14ac:dyDescent="0.15">
      <c r="A18" s="7" t="s">
        <v>230</v>
      </c>
      <c r="B18" s="163"/>
      <c r="C18" s="163"/>
      <c r="D18" s="163"/>
      <c r="E18" s="163"/>
      <c r="F18" s="163"/>
      <c r="G18" s="163"/>
      <c r="H18" s="163"/>
    </row>
    <row r="19" spans="1:10" x14ac:dyDescent="0.15">
      <c r="A19" s="85" t="s">
        <v>231</v>
      </c>
      <c r="B19" s="147">
        <f>SUMIF('Monthly CFS'!$B$3:$BI$3,B$5,'Monthly CFS'!$B19:$BI19)</f>
        <v>0</v>
      </c>
      <c r="C19" s="147">
        <f>SUMIF('Monthly CFS'!$B$3:$BI$3,C$5,'Monthly CFS'!$B19:$BI19)</f>
        <v>0</v>
      </c>
      <c r="D19" s="147">
        <f>SUMIF('Monthly CFS'!$B$3:$BI$3,D$5,'Monthly CFS'!$B19:$BI19)</f>
        <v>0</v>
      </c>
      <c r="E19" s="147">
        <f>SUMIF('Monthly CFS'!$B$3:$BI$3,E$5,'Monthly CFS'!$B19:$BI19)</f>
        <v>0</v>
      </c>
      <c r="F19" s="147">
        <f>SUMIF('Monthly CFS'!$B$3:$BI$3,F$5,'Monthly CFS'!$B19:$BI19)</f>
        <v>0</v>
      </c>
      <c r="G19" s="163"/>
      <c r="H19" s="163"/>
    </row>
    <row r="20" spans="1:10" x14ac:dyDescent="0.15">
      <c r="A20" s="1"/>
      <c r="B20" s="163"/>
      <c r="C20" s="163"/>
      <c r="D20" s="163"/>
      <c r="E20" s="163"/>
      <c r="F20" s="163"/>
      <c r="G20" s="163"/>
      <c r="H20" s="163"/>
    </row>
    <row r="21" spans="1:10" x14ac:dyDescent="0.15">
      <c r="A21" s="13" t="s">
        <v>232</v>
      </c>
      <c r="B21" s="182">
        <f t="shared" ref="B21:E21" si="1">+B19</f>
        <v>0</v>
      </c>
      <c r="C21" s="182">
        <f t="shared" si="1"/>
        <v>0</v>
      </c>
      <c r="D21" s="182">
        <f t="shared" si="1"/>
        <v>0</v>
      </c>
      <c r="E21" s="182">
        <f t="shared" si="1"/>
        <v>0</v>
      </c>
      <c r="F21" s="182">
        <f t="shared" ref="F21" si="2">+F19</f>
        <v>0</v>
      </c>
      <c r="G21" s="163"/>
      <c r="H21" s="163"/>
    </row>
    <row r="22" spans="1:10" x14ac:dyDescent="0.15">
      <c r="A22" s="1"/>
      <c r="B22" s="163"/>
      <c r="C22" s="163"/>
      <c r="D22" s="163"/>
      <c r="E22" s="163"/>
      <c r="F22" s="163"/>
      <c r="G22" s="163"/>
      <c r="H22" s="163"/>
    </row>
    <row r="23" spans="1:10" x14ac:dyDescent="0.15">
      <c r="A23" s="7" t="s">
        <v>233</v>
      </c>
      <c r="B23" s="163"/>
      <c r="C23" s="163"/>
      <c r="D23" s="163"/>
      <c r="E23" s="163"/>
      <c r="F23" s="163"/>
      <c r="G23" s="163"/>
      <c r="H23" s="163"/>
    </row>
    <row r="24" spans="1:10" x14ac:dyDescent="0.15">
      <c r="A24" s="77" t="s">
        <v>243</v>
      </c>
      <c r="B24" s="147">
        <f>SUMIF('Monthly CFS'!$B$3:$BI$3,B$5,'Monthly CFS'!$B24:$BI24)</f>
        <v>2000000</v>
      </c>
      <c r="C24" s="147">
        <f>SUMIF('Monthly CFS'!$B$3:$BI$3,C$5,'Monthly CFS'!$B24:$BI24)</f>
        <v>0</v>
      </c>
      <c r="D24" s="147">
        <f>SUMIF('Monthly CFS'!$B$3:$BI$3,D$5,'Monthly CFS'!$B24:$BI24)</f>
        <v>0</v>
      </c>
      <c r="E24" s="147">
        <f>SUMIF('Monthly CFS'!$B$3:$BI$3,E$5,'Monthly CFS'!$B24:$BI24)</f>
        <v>0</v>
      </c>
      <c r="F24" s="147">
        <f>SUMIF('Monthly CFS'!$B$3:$BI$3,F$5,'Monthly CFS'!$B24:$BI24)</f>
        <v>0</v>
      </c>
      <c r="G24" s="163"/>
      <c r="H24" s="163"/>
    </row>
    <row r="25" spans="1:10" x14ac:dyDescent="0.15">
      <c r="A25" s="78" t="s">
        <v>235</v>
      </c>
      <c r="B25" s="147" t="e">
        <f>SUMIF('Monthly CFS'!$B$3:$BI$3,B$5,'Monthly CFS'!$B25:$BI25)</f>
        <v>#REF!</v>
      </c>
      <c r="C25" s="147">
        <f>SUMIF('Monthly CFS'!$B$3:$BI$3,C$5,'Monthly CFS'!$B25:$BI25)</f>
        <v>0</v>
      </c>
      <c r="D25" s="147">
        <f>SUMIF('Monthly CFS'!$B$3:$BI$3,D$5,'Monthly CFS'!$B25:$BI25)</f>
        <v>0</v>
      </c>
      <c r="E25" s="147" t="e">
        <f>SUMIF('Monthly CFS'!$B$3:$BI$3,E$5,'Monthly CFS'!$B25:$BI25)</f>
        <v>#REF!</v>
      </c>
      <c r="F25" s="147" t="e">
        <f>SUMIF('Monthly CFS'!$B$3:$BI$3,F$5,'Monthly CFS'!$B25:$BI25)</f>
        <v>#REF!</v>
      </c>
      <c r="G25" s="163"/>
      <c r="H25" s="163"/>
    </row>
    <row r="26" spans="1:10" x14ac:dyDescent="0.15">
      <c r="A26" s="78" t="s">
        <v>244</v>
      </c>
      <c r="B26" s="147" t="e">
        <f>SUMIF('Monthly CFS'!$B$3:$BI$3,B$5,'Monthly CFS'!$B26:$BI26)</f>
        <v>#REF!</v>
      </c>
      <c r="C26" s="147" t="e">
        <f>SUMIF('Monthly CFS'!$B$3:$BI$3,C$5,'Monthly CFS'!$B26:$BI26)</f>
        <v>#REF!</v>
      </c>
      <c r="D26" s="147" t="e">
        <f>SUMIF('Monthly CFS'!$B$3:$BI$3,D$5,'Monthly CFS'!$B26:$BI26)</f>
        <v>#REF!</v>
      </c>
      <c r="E26" s="147" t="e">
        <f>SUMIF('Monthly CFS'!$B$3:$BI$3,E$5,'Monthly CFS'!$B26:$BI26)</f>
        <v>#REF!</v>
      </c>
      <c r="F26" s="147" t="e">
        <f>SUMIF('Monthly CFS'!$B$3:$BI$3,F$5,'Monthly CFS'!$B26:$BI26)</f>
        <v>#REF!</v>
      </c>
      <c r="G26" s="163"/>
      <c r="H26" s="163"/>
    </row>
    <row r="27" spans="1:10" x14ac:dyDescent="0.15">
      <c r="A27" s="12"/>
      <c r="B27" s="163"/>
      <c r="C27" s="163"/>
      <c r="D27" s="163"/>
      <c r="E27" s="163"/>
      <c r="F27" s="163"/>
      <c r="G27" s="163"/>
      <c r="H27" s="163"/>
    </row>
    <row r="28" spans="1:10" x14ac:dyDescent="0.15">
      <c r="A28" s="12"/>
      <c r="B28" s="163"/>
      <c r="C28" s="163"/>
      <c r="D28" s="163"/>
      <c r="E28" s="163"/>
      <c r="F28" s="163"/>
      <c r="G28" s="163"/>
      <c r="H28" s="163"/>
    </row>
    <row r="29" spans="1:10" x14ac:dyDescent="0.15">
      <c r="A29" s="13" t="s">
        <v>237</v>
      </c>
      <c r="B29" s="182" t="e">
        <f>SUM(B24:B28)</f>
        <v>#REF!</v>
      </c>
      <c r="C29" s="182" t="e">
        <f t="shared" ref="C29:F29" si="3">SUM(C24:C28)</f>
        <v>#REF!</v>
      </c>
      <c r="D29" s="182" t="e">
        <f t="shared" si="3"/>
        <v>#REF!</v>
      </c>
      <c r="E29" s="182" t="e">
        <f t="shared" si="3"/>
        <v>#REF!</v>
      </c>
      <c r="F29" s="182" t="e">
        <f t="shared" si="3"/>
        <v>#REF!</v>
      </c>
      <c r="G29" s="163"/>
      <c r="H29" s="163"/>
    </row>
    <row r="30" spans="1:10" x14ac:dyDescent="0.15">
      <c r="A30" s="1"/>
      <c r="B30" s="163"/>
      <c r="C30" s="163"/>
      <c r="D30" s="163"/>
      <c r="E30" s="163"/>
      <c r="F30" s="163"/>
      <c r="G30" s="163"/>
      <c r="H30" s="163"/>
    </row>
    <row r="31" spans="1:10" x14ac:dyDescent="0.15">
      <c r="A31" s="13" t="s">
        <v>238</v>
      </c>
      <c r="B31" s="182" t="e">
        <f t="shared" ref="B31:F31" si="4">+B16+B21+B29</f>
        <v>#N/A</v>
      </c>
      <c r="C31" s="182" t="e">
        <f t="shared" si="4"/>
        <v>#N/A</v>
      </c>
      <c r="D31" s="182" t="e">
        <f t="shared" si="4"/>
        <v>#N/A</v>
      </c>
      <c r="E31" s="182" t="e">
        <f t="shared" si="4"/>
        <v>#N/A</v>
      </c>
      <c r="F31" s="182" t="e">
        <f t="shared" si="4"/>
        <v>#N/A</v>
      </c>
      <c r="G31" s="163"/>
      <c r="H31" s="163"/>
      <c r="J31" s="75"/>
    </row>
    <row r="32" spans="1:10" x14ac:dyDescent="0.15">
      <c r="A32" s="1"/>
      <c r="B32" s="163"/>
      <c r="C32" s="163"/>
      <c r="D32" s="163"/>
      <c r="E32" s="163"/>
      <c r="F32" s="163"/>
      <c r="G32" s="163"/>
      <c r="H32" s="163"/>
    </row>
    <row r="33" spans="1:10" x14ac:dyDescent="0.15">
      <c r="A33" s="1" t="s">
        <v>239</v>
      </c>
      <c r="B33" s="147">
        <f>'Monthly CFS'!B33</f>
        <v>0</v>
      </c>
      <c r="C33" s="147" t="e">
        <f>+B35</f>
        <v>#N/A</v>
      </c>
      <c r="D33" s="147" t="e">
        <f t="shared" ref="D33:F33" si="5">+C35</f>
        <v>#N/A</v>
      </c>
      <c r="E33" s="147" t="e">
        <f t="shared" si="5"/>
        <v>#N/A</v>
      </c>
      <c r="F33" s="147" t="e">
        <f t="shared" si="5"/>
        <v>#N/A</v>
      </c>
      <c r="G33" s="163"/>
      <c r="H33" s="163"/>
    </row>
    <row r="34" spans="1:10" x14ac:dyDescent="0.15">
      <c r="A34" s="1"/>
      <c r="B34" s="163"/>
      <c r="C34" s="163"/>
      <c r="D34" s="163"/>
      <c r="E34" s="163"/>
      <c r="F34" s="163"/>
      <c r="G34" s="163"/>
      <c r="H34" s="163"/>
    </row>
    <row r="35" spans="1:10" ht="14" thickBot="1" x14ac:dyDescent="0.2">
      <c r="A35" s="11" t="s">
        <v>240</v>
      </c>
      <c r="B35" s="183" t="e">
        <f t="shared" ref="B35:F35" si="6">+B31+B33</f>
        <v>#N/A</v>
      </c>
      <c r="C35" s="183" t="e">
        <f t="shared" si="6"/>
        <v>#N/A</v>
      </c>
      <c r="D35" s="183" t="e">
        <f t="shared" si="6"/>
        <v>#N/A</v>
      </c>
      <c r="E35" s="183" t="e">
        <f t="shared" si="6"/>
        <v>#N/A</v>
      </c>
      <c r="F35" s="183" t="e">
        <f t="shared" si="6"/>
        <v>#N/A</v>
      </c>
      <c r="G35" s="163"/>
      <c r="H35" s="163"/>
      <c r="J35" s="75"/>
    </row>
    <row r="36" spans="1:10" ht="14" thickTop="1" x14ac:dyDescent="0.15">
      <c r="B36" s="163"/>
      <c r="C36" s="163"/>
      <c r="D36" s="163"/>
      <c r="E36" s="163"/>
      <c r="F36" s="163"/>
      <c r="G36" s="163"/>
      <c r="H36" s="163"/>
    </row>
    <row r="37" spans="1:10" x14ac:dyDescent="0.15">
      <c r="B37" s="163"/>
      <c r="C37" s="163"/>
      <c r="D37" s="163"/>
      <c r="E37" s="163"/>
      <c r="F37" s="163"/>
      <c r="G37" s="163"/>
      <c r="H37" s="163"/>
    </row>
    <row r="38" spans="1:10" x14ac:dyDescent="0.15">
      <c r="B38" s="163"/>
      <c r="C38" s="163"/>
      <c r="D38" s="163"/>
      <c r="E38" s="163"/>
      <c r="F38" s="163"/>
      <c r="G38" s="163"/>
      <c r="H38" s="163"/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BFAD-03F1-044B-895A-DF5AAB9D7AF6}">
  <sheetPr>
    <tabColor rgb="FF92D050"/>
  </sheetPr>
  <dimension ref="A1:BK26"/>
  <sheetViews>
    <sheetView showGridLines="0" zoomScale="150" zoomScaleNormal="150" workbookViewId="0">
      <pane xSplit="1" ySplit="5" topLeftCell="BA12" activePane="bottomRight" state="frozen"/>
      <selection pane="topRight" activeCell="A2" sqref="A2"/>
      <selection pane="bottomLeft" activeCell="A2" sqref="A2"/>
      <selection pane="bottomRight" activeCell="A33" sqref="A33"/>
    </sheetView>
  </sheetViews>
  <sheetFormatPr baseColWidth="10" defaultColWidth="8.83203125" defaultRowHeight="13" x14ac:dyDescent="0.15"/>
  <cols>
    <col min="1" max="1" width="39.1640625" style="4" customWidth="1"/>
    <col min="2" max="3" width="14.1640625" style="4" hidden="1" customWidth="1"/>
    <col min="4" max="63" width="14.1640625" style="4" customWidth="1"/>
    <col min="64" max="16384" width="8.83203125" style="4"/>
  </cols>
  <sheetData>
    <row r="1" spans="1:63" s="106" customFormat="1" ht="26.25" customHeight="1" x14ac:dyDescent="0.3">
      <c r="A1" s="104" t="s">
        <v>369</v>
      </c>
      <c r="B1" s="105"/>
      <c r="C1" s="105"/>
      <c r="D1" s="112"/>
      <c r="E1" s="112"/>
      <c r="F1" s="112"/>
      <c r="G1" s="113"/>
      <c r="H1" s="105"/>
      <c r="I1" s="105"/>
      <c r="J1" s="105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</row>
    <row r="2" spans="1:63" s="108" customFormat="1" x14ac:dyDescent="0.15">
      <c r="A2" s="107" t="s">
        <v>27</v>
      </c>
    </row>
    <row r="3" spans="1:63" s="108" customFormat="1" x14ac:dyDescent="0.15">
      <c r="A3" s="109" t="s">
        <v>42</v>
      </c>
      <c r="D3" s="115" t="s">
        <v>245</v>
      </c>
      <c r="E3" s="115" t="s">
        <v>246</v>
      </c>
      <c r="F3" s="115" t="s">
        <v>247</v>
      </c>
      <c r="G3" s="115" t="s">
        <v>248</v>
      </c>
      <c r="H3" s="115" t="s">
        <v>249</v>
      </c>
      <c r="I3" s="115" t="s">
        <v>250</v>
      </c>
      <c r="J3" s="115" t="s">
        <v>251</v>
      </c>
      <c r="K3" s="115" t="s">
        <v>252</v>
      </c>
      <c r="L3" s="115" t="s">
        <v>253</v>
      </c>
      <c r="M3" s="115" t="s">
        <v>254</v>
      </c>
      <c r="N3" s="115" t="s">
        <v>255</v>
      </c>
      <c r="O3" s="115" t="s">
        <v>256</v>
      </c>
      <c r="P3" s="115" t="s">
        <v>257</v>
      </c>
      <c r="Q3" s="115" t="s">
        <v>258</v>
      </c>
      <c r="R3" s="115" t="s">
        <v>259</v>
      </c>
      <c r="S3" s="115" t="s">
        <v>260</v>
      </c>
      <c r="T3" s="115" t="s">
        <v>261</v>
      </c>
      <c r="U3" s="115" t="s">
        <v>262</v>
      </c>
      <c r="V3" s="115" t="s">
        <v>263</v>
      </c>
      <c r="W3" s="115" t="s">
        <v>264</v>
      </c>
      <c r="X3" s="115" t="s">
        <v>265</v>
      </c>
      <c r="Y3" s="115" t="s">
        <v>266</v>
      </c>
      <c r="Z3" s="115" t="s">
        <v>267</v>
      </c>
      <c r="AA3" s="115" t="s">
        <v>268</v>
      </c>
      <c r="AB3" s="115" t="s">
        <v>269</v>
      </c>
      <c r="AC3" s="115" t="s">
        <v>270</v>
      </c>
      <c r="AD3" s="115" t="s">
        <v>271</v>
      </c>
      <c r="AE3" s="115" t="s">
        <v>272</v>
      </c>
      <c r="AF3" s="115" t="s">
        <v>273</v>
      </c>
      <c r="AG3" s="115" t="s">
        <v>274</v>
      </c>
      <c r="AH3" s="115" t="s">
        <v>275</v>
      </c>
      <c r="AI3" s="115" t="s">
        <v>276</v>
      </c>
      <c r="AJ3" s="115" t="s">
        <v>277</v>
      </c>
      <c r="AK3" s="115" t="s">
        <v>278</v>
      </c>
      <c r="AL3" s="115" t="s">
        <v>279</v>
      </c>
      <c r="AM3" s="115" t="s">
        <v>280</v>
      </c>
      <c r="AN3" s="115" t="s">
        <v>281</v>
      </c>
      <c r="AO3" s="115" t="s">
        <v>282</v>
      </c>
      <c r="AP3" s="115" t="s">
        <v>283</v>
      </c>
      <c r="AQ3" s="115" t="s">
        <v>284</v>
      </c>
      <c r="AR3" s="115" t="s">
        <v>285</v>
      </c>
      <c r="AS3" s="115" t="s">
        <v>286</v>
      </c>
      <c r="AT3" s="115" t="s">
        <v>287</v>
      </c>
      <c r="AU3" s="115" t="s">
        <v>288</v>
      </c>
      <c r="AV3" s="115" t="s">
        <v>289</v>
      </c>
      <c r="AW3" s="115" t="s">
        <v>290</v>
      </c>
      <c r="AX3" s="115" t="s">
        <v>291</v>
      </c>
      <c r="AY3" s="115" t="s">
        <v>292</v>
      </c>
      <c r="AZ3" s="115" t="s">
        <v>293</v>
      </c>
      <c r="BA3" s="115" t="s">
        <v>294</v>
      </c>
      <c r="BB3" s="115" t="s">
        <v>295</v>
      </c>
      <c r="BC3" s="115" t="s">
        <v>296</v>
      </c>
      <c r="BD3" s="115" t="s">
        <v>297</v>
      </c>
      <c r="BE3" s="115" t="s">
        <v>298</v>
      </c>
      <c r="BF3" s="115" t="s">
        <v>299</v>
      </c>
      <c r="BG3" s="115" t="s">
        <v>300</v>
      </c>
      <c r="BH3" s="115" t="s">
        <v>301</v>
      </c>
      <c r="BI3" s="115" t="s">
        <v>302</v>
      </c>
      <c r="BJ3" s="115" t="s">
        <v>303</v>
      </c>
      <c r="BK3" s="115" t="s">
        <v>304</v>
      </c>
    </row>
    <row r="4" spans="1:63" x14ac:dyDescent="0.15">
      <c r="A4" s="82"/>
      <c r="B4" s="4" t="s">
        <v>34</v>
      </c>
      <c r="D4" s="6">
        <f t="shared" ref="D4:BI4" si="0">YEAR(D5)</f>
        <v>2026</v>
      </c>
      <c r="E4" s="6">
        <f t="shared" si="0"/>
        <v>2026</v>
      </c>
      <c r="F4" s="6">
        <f t="shared" si="0"/>
        <v>2026</v>
      </c>
      <c r="G4" s="6">
        <f t="shared" si="0"/>
        <v>2026</v>
      </c>
      <c r="H4" s="6">
        <f t="shared" si="0"/>
        <v>2026</v>
      </c>
      <c r="I4" s="6">
        <f t="shared" si="0"/>
        <v>2026</v>
      </c>
      <c r="J4" s="6">
        <f t="shared" si="0"/>
        <v>2026</v>
      </c>
      <c r="K4" s="6">
        <f t="shared" si="0"/>
        <v>2027</v>
      </c>
      <c r="L4" s="6">
        <f t="shared" si="0"/>
        <v>2027</v>
      </c>
      <c r="M4" s="6">
        <f t="shared" si="0"/>
        <v>2027</v>
      </c>
      <c r="N4" s="6">
        <f t="shared" si="0"/>
        <v>2027</v>
      </c>
      <c r="O4" s="6">
        <f t="shared" si="0"/>
        <v>2027</v>
      </c>
      <c r="P4" s="6">
        <f t="shared" si="0"/>
        <v>2027</v>
      </c>
      <c r="Q4" s="6">
        <f t="shared" si="0"/>
        <v>2027</v>
      </c>
      <c r="R4" s="6">
        <f t="shared" si="0"/>
        <v>2027</v>
      </c>
      <c r="S4" s="6">
        <f t="shared" si="0"/>
        <v>2027</v>
      </c>
      <c r="T4" s="6">
        <f t="shared" si="0"/>
        <v>2027</v>
      </c>
      <c r="U4" s="6">
        <f t="shared" si="0"/>
        <v>2027</v>
      </c>
      <c r="V4" s="6">
        <f t="shared" si="0"/>
        <v>2027</v>
      </c>
      <c r="W4" s="6">
        <f t="shared" si="0"/>
        <v>2028</v>
      </c>
      <c r="X4" s="6">
        <f t="shared" si="0"/>
        <v>2028</v>
      </c>
      <c r="Y4" s="6">
        <f t="shared" si="0"/>
        <v>2028</v>
      </c>
      <c r="Z4" s="6">
        <f t="shared" si="0"/>
        <v>2028</v>
      </c>
      <c r="AA4" s="6">
        <f t="shared" si="0"/>
        <v>2028</v>
      </c>
      <c r="AB4" s="6">
        <f t="shared" si="0"/>
        <v>2028</v>
      </c>
      <c r="AC4" s="6">
        <f t="shared" si="0"/>
        <v>2028</v>
      </c>
      <c r="AD4" s="6">
        <f t="shared" si="0"/>
        <v>2028</v>
      </c>
      <c r="AE4" s="6">
        <f t="shared" si="0"/>
        <v>2028</v>
      </c>
      <c r="AF4" s="6">
        <f t="shared" si="0"/>
        <v>2028</v>
      </c>
      <c r="AG4" s="6">
        <f t="shared" si="0"/>
        <v>2028</v>
      </c>
      <c r="AH4" s="6">
        <f t="shared" si="0"/>
        <v>2028</v>
      </c>
      <c r="AI4" s="6">
        <f t="shared" si="0"/>
        <v>2029</v>
      </c>
      <c r="AJ4" s="6">
        <f t="shared" si="0"/>
        <v>2029</v>
      </c>
      <c r="AK4" s="6">
        <f t="shared" si="0"/>
        <v>2029</v>
      </c>
      <c r="AL4" s="6">
        <f t="shared" si="0"/>
        <v>2029</v>
      </c>
      <c r="AM4" s="6">
        <f t="shared" si="0"/>
        <v>2029</v>
      </c>
      <c r="AN4" s="6">
        <f t="shared" si="0"/>
        <v>2029</v>
      </c>
      <c r="AO4" s="6">
        <f t="shared" si="0"/>
        <v>2029</v>
      </c>
      <c r="AP4" s="6">
        <f t="shared" si="0"/>
        <v>2029</v>
      </c>
      <c r="AQ4" s="6">
        <f t="shared" si="0"/>
        <v>2029</v>
      </c>
      <c r="AR4" s="6">
        <f t="shared" si="0"/>
        <v>2029</v>
      </c>
      <c r="AS4" s="6">
        <f t="shared" si="0"/>
        <v>2029</v>
      </c>
      <c r="AT4" s="6">
        <f t="shared" si="0"/>
        <v>2029</v>
      </c>
      <c r="AU4" s="6">
        <f t="shared" si="0"/>
        <v>2030</v>
      </c>
      <c r="AV4" s="6">
        <f t="shared" si="0"/>
        <v>2030</v>
      </c>
      <c r="AW4" s="6">
        <f t="shared" si="0"/>
        <v>2030</v>
      </c>
      <c r="AX4" s="6">
        <f t="shared" si="0"/>
        <v>2030</v>
      </c>
      <c r="AY4" s="6">
        <f t="shared" si="0"/>
        <v>2030</v>
      </c>
      <c r="AZ4" s="6">
        <f t="shared" si="0"/>
        <v>2030</v>
      </c>
      <c r="BA4" s="6">
        <f t="shared" si="0"/>
        <v>2030</v>
      </c>
      <c r="BB4" s="6">
        <f t="shared" si="0"/>
        <v>2030</v>
      </c>
      <c r="BC4" s="6">
        <f t="shared" si="0"/>
        <v>2030</v>
      </c>
      <c r="BD4" s="6">
        <f t="shared" si="0"/>
        <v>2030</v>
      </c>
      <c r="BE4" s="6">
        <f t="shared" si="0"/>
        <v>2030</v>
      </c>
      <c r="BF4" s="6">
        <f t="shared" si="0"/>
        <v>2030</v>
      </c>
      <c r="BG4" s="6">
        <f t="shared" si="0"/>
        <v>2031</v>
      </c>
      <c r="BH4" s="6">
        <f t="shared" si="0"/>
        <v>2031</v>
      </c>
      <c r="BI4" s="6">
        <f t="shared" si="0"/>
        <v>2031</v>
      </c>
      <c r="BJ4" s="129">
        <f t="shared" ref="BJ4:BK4" si="1">+YEAR(BJ5)</f>
        <v>2031</v>
      </c>
      <c r="BK4" s="129">
        <f t="shared" si="1"/>
        <v>2031</v>
      </c>
    </row>
    <row r="5" spans="1:63" s="108" customFormat="1" ht="12" x14ac:dyDescent="0.15">
      <c r="A5" s="110" t="s">
        <v>109</v>
      </c>
      <c r="B5" s="111"/>
      <c r="C5" s="111"/>
      <c r="D5" s="111">
        <f>'Revenue Asumptions'!B5</f>
        <v>46174</v>
      </c>
      <c r="E5" s="111">
        <f>'Revenue Asumptions'!C5</f>
        <v>46204</v>
      </c>
      <c r="F5" s="111">
        <f>'Revenue Asumptions'!D5</f>
        <v>46235</v>
      </c>
      <c r="G5" s="111">
        <f>'Revenue Asumptions'!E5</f>
        <v>46266</v>
      </c>
      <c r="H5" s="111">
        <f>'Revenue Asumptions'!F5</f>
        <v>46296</v>
      </c>
      <c r="I5" s="111">
        <f>'Revenue Asumptions'!G5</f>
        <v>46327</v>
      </c>
      <c r="J5" s="111">
        <f>'Revenue Asumptions'!H5</f>
        <v>46357</v>
      </c>
      <c r="K5" s="111">
        <f>'Revenue Asumptions'!I5</f>
        <v>46388</v>
      </c>
      <c r="L5" s="111">
        <f>'Revenue Asumptions'!J5</f>
        <v>46419</v>
      </c>
      <c r="M5" s="111">
        <f>'Revenue Asumptions'!K5</f>
        <v>46447</v>
      </c>
      <c r="N5" s="111">
        <f>'Revenue Asumptions'!L5</f>
        <v>46478</v>
      </c>
      <c r="O5" s="111">
        <f>'Revenue Asumptions'!M5</f>
        <v>46508</v>
      </c>
      <c r="P5" s="111">
        <f>'Revenue Asumptions'!N5</f>
        <v>46539</v>
      </c>
      <c r="Q5" s="111">
        <f>'Revenue Asumptions'!O5</f>
        <v>46569</v>
      </c>
      <c r="R5" s="111">
        <f>'Revenue Asumptions'!P5</f>
        <v>46600</v>
      </c>
      <c r="S5" s="111">
        <f>'Revenue Asumptions'!Q5</f>
        <v>46631</v>
      </c>
      <c r="T5" s="111">
        <f>'Revenue Asumptions'!R5</f>
        <v>46661</v>
      </c>
      <c r="U5" s="111">
        <f>'Revenue Asumptions'!S5</f>
        <v>46692</v>
      </c>
      <c r="V5" s="111">
        <f>'Revenue Asumptions'!T5</f>
        <v>46722</v>
      </c>
      <c r="W5" s="111">
        <f>'Revenue Asumptions'!U5</f>
        <v>46753</v>
      </c>
      <c r="X5" s="111">
        <f>'Revenue Asumptions'!V5</f>
        <v>46784</v>
      </c>
      <c r="Y5" s="111">
        <f>'Revenue Asumptions'!W5</f>
        <v>46813</v>
      </c>
      <c r="Z5" s="111">
        <f>'Revenue Asumptions'!X5</f>
        <v>46844</v>
      </c>
      <c r="AA5" s="111">
        <f>'Revenue Asumptions'!Y5</f>
        <v>46874</v>
      </c>
      <c r="AB5" s="111">
        <f>'Revenue Asumptions'!Z5</f>
        <v>46905</v>
      </c>
      <c r="AC5" s="111">
        <f>'Revenue Asumptions'!AA5</f>
        <v>46935</v>
      </c>
      <c r="AD5" s="111">
        <f>'Revenue Asumptions'!AB5</f>
        <v>46966</v>
      </c>
      <c r="AE5" s="111">
        <f>'Revenue Asumptions'!AC5</f>
        <v>46997</v>
      </c>
      <c r="AF5" s="111">
        <f>'Revenue Asumptions'!AD5</f>
        <v>47027</v>
      </c>
      <c r="AG5" s="111">
        <f>'Revenue Asumptions'!AE5</f>
        <v>47058</v>
      </c>
      <c r="AH5" s="111">
        <f>'Revenue Asumptions'!AF5</f>
        <v>47088</v>
      </c>
      <c r="AI5" s="111">
        <f>'Revenue Asumptions'!AG5</f>
        <v>47119</v>
      </c>
      <c r="AJ5" s="111">
        <f>'Revenue Asumptions'!AH5</f>
        <v>47150</v>
      </c>
      <c r="AK5" s="111">
        <f>'Revenue Asumptions'!AI5</f>
        <v>47178</v>
      </c>
      <c r="AL5" s="111">
        <f>'Revenue Asumptions'!AJ5</f>
        <v>47209</v>
      </c>
      <c r="AM5" s="111">
        <f>'Revenue Asumptions'!AK5</f>
        <v>47239</v>
      </c>
      <c r="AN5" s="111">
        <f>'Revenue Asumptions'!AL5</f>
        <v>47270</v>
      </c>
      <c r="AO5" s="111">
        <f>'Revenue Asumptions'!AM5</f>
        <v>47300</v>
      </c>
      <c r="AP5" s="111">
        <f>'Revenue Asumptions'!AN5</f>
        <v>47331</v>
      </c>
      <c r="AQ5" s="111">
        <f>'Revenue Asumptions'!AO5</f>
        <v>47362</v>
      </c>
      <c r="AR5" s="111">
        <f>'Revenue Asumptions'!AP5</f>
        <v>47392</v>
      </c>
      <c r="AS5" s="111">
        <f>'Revenue Asumptions'!AQ5</f>
        <v>47423</v>
      </c>
      <c r="AT5" s="111">
        <f>'Revenue Asumptions'!AR5</f>
        <v>47453</v>
      </c>
      <c r="AU5" s="111">
        <f>'Revenue Asumptions'!AS5</f>
        <v>47484</v>
      </c>
      <c r="AV5" s="111">
        <f>'Revenue Asumptions'!AT5</f>
        <v>47515</v>
      </c>
      <c r="AW5" s="111">
        <f>'Revenue Asumptions'!AU5</f>
        <v>47543</v>
      </c>
      <c r="AX5" s="111">
        <f>'Revenue Asumptions'!AV5</f>
        <v>47574</v>
      </c>
      <c r="AY5" s="111">
        <f>'Revenue Asumptions'!AW5</f>
        <v>47604</v>
      </c>
      <c r="AZ5" s="111">
        <f>'Revenue Asumptions'!AX5</f>
        <v>47635</v>
      </c>
      <c r="BA5" s="111">
        <f>'Revenue Asumptions'!AY5</f>
        <v>47665</v>
      </c>
      <c r="BB5" s="111">
        <f>'Revenue Asumptions'!AZ5</f>
        <v>47696</v>
      </c>
      <c r="BC5" s="111">
        <f>'Revenue Asumptions'!BA5</f>
        <v>47727</v>
      </c>
      <c r="BD5" s="111">
        <f>'Revenue Asumptions'!BB5</f>
        <v>47757</v>
      </c>
      <c r="BE5" s="111">
        <f>'Revenue Asumptions'!BC5</f>
        <v>47788</v>
      </c>
      <c r="BF5" s="111">
        <f>'Revenue Asumptions'!BD5</f>
        <v>47818</v>
      </c>
      <c r="BG5" s="111">
        <f>'Revenue Asumptions'!BE5</f>
        <v>47849</v>
      </c>
      <c r="BH5" s="111">
        <f>'Revenue Asumptions'!BF5</f>
        <v>47880</v>
      </c>
      <c r="BI5" s="111">
        <f>'Revenue Asumptions'!BG5</f>
        <v>47908</v>
      </c>
      <c r="BJ5" s="111">
        <f>'Revenue Asumptions'!BH5</f>
        <v>47939</v>
      </c>
      <c r="BK5" s="111">
        <f>'Revenue Asumptions'!BI5</f>
        <v>47969</v>
      </c>
    </row>
    <row r="6" spans="1:63" x14ac:dyDescent="0.15">
      <c r="A6" s="7" t="s">
        <v>305</v>
      </c>
    </row>
    <row r="7" spans="1:63" s="93" customFormat="1" x14ac:dyDescent="0.15">
      <c r="A7" s="7" t="s">
        <v>306</v>
      </c>
      <c r="B7" s="8"/>
      <c r="C7" s="171">
        <f>C8</f>
        <v>0</v>
      </c>
      <c r="D7" s="171" t="e">
        <f t="shared" ref="D7:BJ7" si="2">SUM(D8:D10)</f>
        <v>#N/A</v>
      </c>
      <c r="E7" s="171" t="e">
        <f t="shared" si="2"/>
        <v>#N/A</v>
      </c>
      <c r="F7" s="171" t="e">
        <f t="shared" si="2"/>
        <v>#N/A</v>
      </c>
      <c r="G7" s="171" t="e">
        <f t="shared" si="2"/>
        <v>#N/A</v>
      </c>
      <c r="H7" s="171" t="e">
        <f t="shared" si="2"/>
        <v>#N/A</v>
      </c>
      <c r="I7" s="171" t="e">
        <f t="shared" si="2"/>
        <v>#N/A</v>
      </c>
      <c r="J7" s="171" t="e">
        <f t="shared" si="2"/>
        <v>#N/A</v>
      </c>
      <c r="K7" s="171" t="e">
        <f t="shared" si="2"/>
        <v>#N/A</v>
      </c>
      <c r="L7" s="171" t="e">
        <f t="shared" si="2"/>
        <v>#N/A</v>
      </c>
      <c r="M7" s="171" t="e">
        <f t="shared" si="2"/>
        <v>#N/A</v>
      </c>
      <c r="N7" s="171" t="e">
        <f t="shared" si="2"/>
        <v>#N/A</v>
      </c>
      <c r="O7" s="171" t="e">
        <f t="shared" si="2"/>
        <v>#N/A</v>
      </c>
      <c r="P7" s="171" t="e">
        <f t="shared" si="2"/>
        <v>#N/A</v>
      </c>
      <c r="Q7" s="171" t="e">
        <f t="shared" si="2"/>
        <v>#N/A</v>
      </c>
      <c r="R7" s="171" t="e">
        <f t="shared" si="2"/>
        <v>#N/A</v>
      </c>
      <c r="S7" s="171" t="e">
        <f t="shared" si="2"/>
        <v>#N/A</v>
      </c>
      <c r="T7" s="171" t="e">
        <f t="shared" si="2"/>
        <v>#N/A</v>
      </c>
      <c r="U7" s="171" t="e">
        <f t="shared" si="2"/>
        <v>#N/A</v>
      </c>
      <c r="V7" s="171" t="e">
        <f t="shared" si="2"/>
        <v>#N/A</v>
      </c>
      <c r="W7" s="171" t="e">
        <f t="shared" si="2"/>
        <v>#N/A</v>
      </c>
      <c r="X7" s="171" t="e">
        <f t="shared" si="2"/>
        <v>#N/A</v>
      </c>
      <c r="Y7" s="171" t="e">
        <f t="shared" si="2"/>
        <v>#N/A</v>
      </c>
      <c r="Z7" s="171" t="e">
        <f t="shared" si="2"/>
        <v>#N/A</v>
      </c>
      <c r="AA7" s="171" t="e">
        <f t="shared" si="2"/>
        <v>#N/A</v>
      </c>
      <c r="AB7" s="171" t="e">
        <f t="shared" si="2"/>
        <v>#N/A</v>
      </c>
      <c r="AC7" s="171" t="e">
        <f t="shared" si="2"/>
        <v>#N/A</v>
      </c>
      <c r="AD7" s="171" t="e">
        <f t="shared" si="2"/>
        <v>#N/A</v>
      </c>
      <c r="AE7" s="171" t="e">
        <f t="shared" si="2"/>
        <v>#N/A</v>
      </c>
      <c r="AF7" s="171" t="e">
        <f t="shared" si="2"/>
        <v>#N/A</v>
      </c>
      <c r="AG7" s="171" t="e">
        <f t="shared" si="2"/>
        <v>#N/A</v>
      </c>
      <c r="AH7" s="171" t="e">
        <f t="shared" si="2"/>
        <v>#N/A</v>
      </c>
      <c r="AI7" s="171" t="e">
        <f t="shared" si="2"/>
        <v>#N/A</v>
      </c>
      <c r="AJ7" s="171" t="e">
        <f t="shared" si="2"/>
        <v>#N/A</v>
      </c>
      <c r="AK7" s="171" t="e">
        <f t="shared" si="2"/>
        <v>#N/A</v>
      </c>
      <c r="AL7" s="171" t="e">
        <f t="shared" si="2"/>
        <v>#N/A</v>
      </c>
      <c r="AM7" s="171" t="e">
        <f t="shared" si="2"/>
        <v>#N/A</v>
      </c>
      <c r="AN7" s="171" t="e">
        <f t="shared" si="2"/>
        <v>#N/A</v>
      </c>
      <c r="AO7" s="171" t="e">
        <f t="shared" si="2"/>
        <v>#N/A</v>
      </c>
      <c r="AP7" s="171" t="e">
        <f t="shared" si="2"/>
        <v>#N/A</v>
      </c>
      <c r="AQ7" s="171" t="e">
        <f t="shared" si="2"/>
        <v>#N/A</v>
      </c>
      <c r="AR7" s="171" t="e">
        <f t="shared" si="2"/>
        <v>#N/A</v>
      </c>
      <c r="AS7" s="171" t="e">
        <f t="shared" si="2"/>
        <v>#N/A</v>
      </c>
      <c r="AT7" s="171" t="e">
        <f t="shared" si="2"/>
        <v>#N/A</v>
      </c>
      <c r="AU7" s="171" t="e">
        <f t="shared" si="2"/>
        <v>#N/A</v>
      </c>
      <c r="AV7" s="171" t="e">
        <f t="shared" si="2"/>
        <v>#N/A</v>
      </c>
      <c r="AW7" s="171" t="e">
        <f t="shared" si="2"/>
        <v>#N/A</v>
      </c>
      <c r="AX7" s="171" t="e">
        <f t="shared" si="2"/>
        <v>#N/A</v>
      </c>
      <c r="AY7" s="171" t="e">
        <f t="shared" si="2"/>
        <v>#N/A</v>
      </c>
      <c r="AZ7" s="171" t="e">
        <f t="shared" si="2"/>
        <v>#N/A</v>
      </c>
      <c r="BA7" s="171" t="e">
        <f t="shared" si="2"/>
        <v>#N/A</v>
      </c>
      <c r="BB7" s="171" t="e">
        <f t="shared" si="2"/>
        <v>#N/A</v>
      </c>
      <c r="BC7" s="171" t="e">
        <f t="shared" si="2"/>
        <v>#N/A</v>
      </c>
      <c r="BD7" s="171" t="e">
        <f t="shared" si="2"/>
        <v>#N/A</v>
      </c>
      <c r="BE7" s="171" t="e">
        <f t="shared" si="2"/>
        <v>#N/A</v>
      </c>
      <c r="BF7" s="171" t="e">
        <f t="shared" si="2"/>
        <v>#N/A</v>
      </c>
      <c r="BG7" s="171" t="e">
        <f t="shared" si="2"/>
        <v>#N/A</v>
      </c>
      <c r="BH7" s="171" t="e">
        <f t="shared" si="2"/>
        <v>#N/A</v>
      </c>
      <c r="BI7" s="171" t="e">
        <f t="shared" si="2"/>
        <v>#N/A</v>
      </c>
      <c r="BJ7" s="171" t="e">
        <f t="shared" si="2"/>
        <v>#N/A</v>
      </c>
      <c r="BK7" s="171" t="e">
        <f>SUM(BK8:BK10)</f>
        <v>#N/A</v>
      </c>
    </row>
    <row r="8" spans="1:63" s="93" customFormat="1" x14ac:dyDescent="0.15">
      <c r="A8" s="78" t="s">
        <v>307</v>
      </c>
      <c r="B8" s="43"/>
      <c r="C8" s="172">
        <v>0</v>
      </c>
      <c r="D8" s="146" t="e">
        <f>+'Monthly CFS'!B35</f>
        <v>#N/A</v>
      </c>
      <c r="E8" s="146" t="e">
        <f>+'Monthly CFS'!C35</f>
        <v>#N/A</v>
      </c>
      <c r="F8" s="146" t="e">
        <f>+'Monthly CFS'!D35</f>
        <v>#N/A</v>
      </c>
      <c r="G8" s="146" t="e">
        <f>+'Monthly CFS'!E35</f>
        <v>#N/A</v>
      </c>
      <c r="H8" s="146" t="e">
        <f>+'Monthly CFS'!F35</f>
        <v>#N/A</v>
      </c>
      <c r="I8" s="146" t="e">
        <f>+'Monthly CFS'!G35</f>
        <v>#N/A</v>
      </c>
      <c r="J8" s="146" t="e">
        <f>+'Monthly CFS'!H35</f>
        <v>#N/A</v>
      </c>
      <c r="K8" s="146" t="e">
        <f>+'Monthly CFS'!I35</f>
        <v>#N/A</v>
      </c>
      <c r="L8" s="146" t="e">
        <f>+'Monthly CFS'!J35</f>
        <v>#N/A</v>
      </c>
      <c r="M8" s="146" t="e">
        <f>+'Monthly CFS'!K35</f>
        <v>#N/A</v>
      </c>
      <c r="N8" s="146" t="e">
        <f>+'Monthly CFS'!L35</f>
        <v>#N/A</v>
      </c>
      <c r="O8" s="146" t="e">
        <f>+'Monthly CFS'!M35</f>
        <v>#N/A</v>
      </c>
      <c r="P8" s="146" t="e">
        <f>+'Monthly CFS'!N35</f>
        <v>#N/A</v>
      </c>
      <c r="Q8" s="146" t="e">
        <f>+'Monthly CFS'!O35</f>
        <v>#N/A</v>
      </c>
      <c r="R8" s="146" t="e">
        <f>+'Monthly CFS'!P35</f>
        <v>#N/A</v>
      </c>
      <c r="S8" s="146" t="e">
        <f>+'Monthly CFS'!Q35</f>
        <v>#N/A</v>
      </c>
      <c r="T8" s="146" t="e">
        <f>+'Monthly CFS'!R35</f>
        <v>#N/A</v>
      </c>
      <c r="U8" s="146" t="e">
        <f>+'Monthly CFS'!S35</f>
        <v>#N/A</v>
      </c>
      <c r="V8" s="146" t="e">
        <f>+'Monthly CFS'!T35</f>
        <v>#N/A</v>
      </c>
      <c r="W8" s="146" t="e">
        <f>+'Monthly CFS'!U35</f>
        <v>#N/A</v>
      </c>
      <c r="X8" s="146" t="e">
        <f>+'Monthly CFS'!V35</f>
        <v>#N/A</v>
      </c>
      <c r="Y8" s="146" t="e">
        <f>+'Monthly CFS'!W35</f>
        <v>#N/A</v>
      </c>
      <c r="Z8" s="146" t="e">
        <f>+'Monthly CFS'!X35</f>
        <v>#N/A</v>
      </c>
      <c r="AA8" s="146" t="e">
        <f>+'Monthly CFS'!Y35</f>
        <v>#N/A</v>
      </c>
      <c r="AB8" s="146" t="e">
        <f>+'Monthly CFS'!Z35</f>
        <v>#N/A</v>
      </c>
      <c r="AC8" s="146" t="e">
        <f>+'Monthly CFS'!AA35</f>
        <v>#N/A</v>
      </c>
      <c r="AD8" s="146" t="e">
        <f>+'Monthly CFS'!AB35</f>
        <v>#N/A</v>
      </c>
      <c r="AE8" s="146" t="e">
        <f>+'Monthly CFS'!AC35</f>
        <v>#N/A</v>
      </c>
      <c r="AF8" s="146" t="e">
        <f>+'Monthly CFS'!AD35</f>
        <v>#N/A</v>
      </c>
      <c r="AG8" s="146" t="e">
        <f>+'Monthly CFS'!AE35</f>
        <v>#N/A</v>
      </c>
      <c r="AH8" s="146" t="e">
        <f>+'Monthly CFS'!AF35</f>
        <v>#N/A</v>
      </c>
      <c r="AI8" s="146" t="e">
        <f>+'Monthly CFS'!AG35</f>
        <v>#N/A</v>
      </c>
      <c r="AJ8" s="146" t="e">
        <f>+'Monthly CFS'!AH35</f>
        <v>#N/A</v>
      </c>
      <c r="AK8" s="146" t="e">
        <f>+'Monthly CFS'!AI35</f>
        <v>#N/A</v>
      </c>
      <c r="AL8" s="146" t="e">
        <f>+'Monthly CFS'!AJ35</f>
        <v>#N/A</v>
      </c>
      <c r="AM8" s="146" t="e">
        <f>+'Monthly CFS'!AK35</f>
        <v>#N/A</v>
      </c>
      <c r="AN8" s="146" t="e">
        <f>+'Monthly CFS'!AL35</f>
        <v>#N/A</v>
      </c>
      <c r="AO8" s="146" t="e">
        <f>+'Monthly CFS'!AM35</f>
        <v>#N/A</v>
      </c>
      <c r="AP8" s="146" t="e">
        <f>+'Monthly CFS'!AN35</f>
        <v>#N/A</v>
      </c>
      <c r="AQ8" s="146" t="e">
        <f>+'Monthly CFS'!AO35</f>
        <v>#N/A</v>
      </c>
      <c r="AR8" s="146" t="e">
        <f>+'Monthly CFS'!AP35</f>
        <v>#N/A</v>
      </c>
      <c r="AS8" s="146" t="e">
        <f>+'Monthly CFS'!AQ35</f>
        <v>#N/A</v>
      </c>
      <c r="AT8" s="146" t="e">
        <f>+'Monthly CFS'!AR35</f>
        <v>#N/A</v>
      </c>
      <c r="AU8" s="146" t="e">
        <f>+'Monthly CFS'!AS35</f>
        <v>#N/A</v>
      </c>
      <c r="AV8" s="146" t="e">
        <f>+'Monthly CFS'!AT35</f>
        <v>#N/A</v>
      </c>
      <c r="AW8" s="146" t="e">
        <f>+'Monthly CFS'!AU35</f>
        <v>#N/A</v>
      </c>
      <c r="AX8" s="146" t="e">
        <f>+'Monthly CFS'!AV35</f>
        <v>#N/A</v>
      </c>
      <c r="AY8" s="146" t="e">
        <f>+'Monthly CFS'!AW35</f>
        <v>#N/A</v>
      </c>
      <c r="AZ8" s="146" t="e">
        <f>+'Monthly CFS'!AX35</f>
        <v>#N/A</v>
      </c>
      <c r="BA8" s="146" t="e">
        <f>+'Monthly CFS'!AY35</f>
        <v>#N/A</v>
      </c>
      <c r="BB8" s="146" t="e">
        <f>+'Monthly CFS'!AZ35</f>
        <v>#N/A</v>
      </c>
      <c r="BC8" s="146" t="e">
        <f>+'Monthly CFS'!BA35</f>
        <v>#N/A</v>
      </c>
      <c r="BD8" s="146" t="e">
        <f>+'Monthly CFS'!BB35</f>
        <v>#N/A</v>
      </c>
      <c r="BE8" s="146" t="e">
        <f>+'Monthly CFS'!BC35</f>
        <v>#N/A</v>
      </c>
      <c r="BF8" s="146" t="e">
        <f>+'Monthly CFS'!BD35</f>
        <v>#N/A</v>
      </c>
      <c r="BG8" s="146" t="e">
        <f>+'Monthly CFS'!BE35</f>
        <v>#N/A</v>
      </c>
      <c r="BH8" s="146" t="e">
        <f>+'Monthly CFS'!BF35</f>
        <v>#N/A</v>
      </c>
      <c r="BI8" s="146" t="e">
        <f>+'Monthly CFS'!BG35</f>
        <v>#N/A</v>
      </c>
      <c r="BJ8" s="146" t="e">
        <f>+'Monthly CFS'!BH35</f>
        <v>#N/A</v>
      </c>
      <c r="BK8" s="146" t="e">
        <f>+'Monthly CFS'!BI35</f>
        <v>#N/A</v>
      </c>
    </row>
    <row r="9" spans="1:63" s="93" customFormat="1" x14ac:dyDescent="0.15">
      <c r="A9" s="78" t="s">
        <v>190</v>
      </c>
      <c r="B9" s="43"/>
      <c r="C9" s="172">
        <v>0</v>
      </c>
      <c r="D9" s="146" t="e">
        <f>'Working Capital Schedule'!#REF!</f>
        <v>#REF!</v>
      </c>
      <c r="E9" s="146" t="e">
        <f>'Working Capital Schedule'!#REF!</f>
        <v>#REF!</v>
      </c>
      <c r="F9" s="146" t="e">
        <f>'Working Capital Schedule'!#REF!</f>
        <v>#REF!</v>
      </c>
      <c r="G9" s="146" t="e">
        <f>'Working Capital Schedule'!#REF!</f>
        <v>#REF!</v>
      </c>
      <c r="H9" s="146" t="e">
        <f>'Working Capital Schedule'!#REF!</f>
        <v>#REF!</v>
      </c>
      <c r="I9" s="146" t="e">
        <f>'Working Capital Schedule'!#REF!</f>
        <v>#REF!</v>
      </c>
      <c r="J9" s="146" t="e">
        <f>'Working Capital Schedule'!#REF!</f>
        <v>#REF!</v>
      </c>
      <c r="K9" s="146" t="e">
        <f>'Working Capital Schedule'!#REF!</f>
        <v>#REF!</v>
      </c>
      <c r="L9" s="146" t="e">
        <f>'Working Capital Schedule'!#REF!</f>
        <v>#REF!</v>
      </c>
      <c r="M9" s="146" t="e">
        <f>'Working Capital Schedule'!#REF!</f>
        <v>#REF!</v>
      </c>
      <c r="N9" s="146" t="e">
        <f>'Working Capital Schedule'!#REF!</f>
        <v>#REF!</v>
      </c>
      <c r="O9" s="146" t="e">
        <f>'Working Capital Schedule'!#REF!</f>
        <v>#REF!</v>
      </c>
      <c r="P9" s="146" t="e">
        <f>'Working Capital Schedule'!#REF!</f>
        <v>#REF!</v>
      </c>
      <c r="Q9" s="146" t="e">
        <f>'Working Capital Schedule'!#REF!</f>
        <v>#REF!</v>
      </c>
      <c r="R9" s="146" t="e">
        <f>'Working Capital Schedule'!#REF!</f>
        <v>#REF!</v>
      </c>
      <c r="S9" s="146" t="e">
        <f>'Working Capital Schedule'!#REF!</f>
        <v>#REF!</v>
      </c>
      <c r="T9" s="146" t="e">
        <f>'Working Capital Schedule'!#REF!</f>
        <v>#REF!</v>
      </c>
      <c r="U9" s="146" t="e">
        <f>'Working Capital Schedule'!#REF!</f>
        <v>#REF!</v>
      </c>
      <c r="V9" s="146" t="e">
        <f>'Working Capital Schedule'!#REF!</f>
        <v>#REF!</v>
      </c>
      <c r="W9" s="146" t="e">
        <f>'Working Capital Schedule'!#REF!</f>
        <v>#REF!</v>
      </c>
      <c r="X9" s="146" t="e">
        <f>'Working Capital Schedule'!#REF!</f>
        <v>#REF!</v>
      </c>
      <c r="Y9" s="146" t="e">
        <f>'Working Capital Schedule'!#REF!</f>
        <v>#REF!</v>
      </c>
      <c r="Z9" s="146" t="e">
        <f>'Working Capital Schedule'!#REF!</f>
        <v>#REF!</v>
      </c>
      <c r="AA9" s="146" t="e">
        <f>'Working Capital Schedule'!#REF!</f>
        <v>#REF!</v>
      </c>
      <c r="AB9" s="146" t="e">
        <f>'Working Capital Schedule'!#REF!</f>
        <v>#REF!</v>
      </c>
      <c r="AC9" s="146" t="e">
        <f>'Working Capital Schedule'!#REF!</f>
        <v>#REF!</v>
      </c>
      <c r="AD9" s="146" t="e">
        <f>'Working Capital Schedule'!#REF!</f>
        <v>#REF!</v>
      </c>
      <c r="AE9" s="146" t="e">
        <f>'Working Capital Schedule'!#REF!</f>
        <v>#REF!</v>
      </c>
      <c r="AF9" s="146" t="e">
        <f>'Working Capital Schedule'!#REF!</f>
        <v>#REF!</v>
      </c>
      <c r="AG9" s="146" t="e">
        <f>'Working Capital Schedule'!#REF!</f>
        <v>#REF!</v>
      </c>
      <c r="AH9" s="146" t="e">
        <f>'Working Capital Schedule'!#REF!</f>
        <v>#REF!</v>
      </c>
      <c r="AI9" s="146" t="e">
        <f>'Working Capital Schedule'!#REF!</f>
        <v>#REF!</v>
      </c>
      <c r="AJ9" s="146" t="e">
        <f>'Working Capital Schedule'!#REF!</f>
        <v>#REF!</v>
      </c>
      <c r="AK9" s="146" t="e">
        <f>'Working Capital Schedule'!#REF!</f>
        <v>#REF!</v>
      </c>
      <c r="AL9" s="146" t="e">
        <f>'Working Capital Schedule'!#REF!</f>
        <v>#REF!</v>
      </c>
      <c r="AM9" s="146" t="e">
        <f>'Working Capital Schedule'!#REF!</f>
        <v>#REF!</v>
      </c>
      <c r="AN9" s="146" t="e">
        <f>'Working Capital Schedule'!#REF!</f>
        <v>#REF!</v>
      </c>
      <c r="AO9" s="146" t="e">
        <f>'Working Capital Schedule'!#REF!</f>
        <v>#REF!</v>
      </c>
      <c r="AP9" s="146" t="e">
        <f>'Working Capital Schedule'!#REF!</f>
        <v>#REF!</v>
      </c>
      <c r="AQ9" s="146" t="e">
        <f>'Working Capital Schedule'!#REF!</f>
        <v>#REF!</v>
      </c>
      <c r="AR9" s="146" t="e">
        <f>'Working Capital Schedule'!#REF!</f>
        <v>#REF!</v>
      </c>
      <c r="AS9" s="146" t="e">
        <f>'Working Capital Schedule'!#REF!</f>
        <v>#REF!</v>
      </c>
      <c r="AT9" s="146" t="e">
        <f>'Working Capital Schedule'!#REF!</f>
        <v>#REF!</v>
      </c>
      <c r="AU9" s="146" t="e">
        <f>'Working Capital Schedule'!#REF!</f>
        <v>#REF!</v>
      </c>
      <c r="AV9" s="146" t="e">
        <f>'Working Capital Schedule'!#REF!</f>
        <v>#REF!</v>
      </c>
      <c r="AW9" s="146" t="e">
        <f>'Working Capital Schedule'!#REF!</f>
        <v>#REF!</v>
      </c>
      <c r="AX9" s="146" t="e">
        <f>'Working Capital Schedule'!#REF!</f>
        <v>#REF!</v>
      </c>
      <c r="AY9" s="146" t="e">
        <f>'Working Capital Schedule'!#REF!</f>
        <v>#REF!</v>
      </c>
      <c r="AZ9" s="146" t="e">
        <f>'Working Capital Schedule'!#REF!</f>
        <v>#REF!</v>
      </c>
      <c r="BA9" s="146" t="e">
        <f>'Working Capital Schedule'!#REF!</f>
        <v>#REF!</v>
      </c>
      <c r="BB9" s="146" t="e">
        <f>'Working Capital Schedule'!#REF!</f>
        <v>#REF!</v>
      </c>
      <c r="BC9" s="146" t="e">
        <f>'Working Capital Schedule'!#REF!</f>
        <v>#REF!</v>
      </c>
      <c r="BD9" s="146" t="e">
        <f>'Working Capital Schedule'!#REF!</f>
        <v>#REF!</v>
      </c>
      <c r="BE9" s="146" t="e">
        <f>'Working Capital Schedule'!#REF!</f>
        <v>#REF!</v>
      </c>
      <c r="BF9" s="146" t="e">
        <f>'Working Capital Schedule'!#REF!</f>
        <v>#REF!</v>
      </c>
      <c r="BG9" s="146" t="e">
        <f>'Working Capital Schedule'!#REF!</f>
        <v>#REF!</v>
      </c>
      <c r="BH9" s="146" t="e">
        <f>'Working Capital Schedule'!#REF!</f>
        <v>#REF!</v>
      </c>
      <c r="BI9" s="146" t="e">
        <f>'Working Capital Schedule'!#REF!</f>
        <v>#REF!</v>
      </c>
      <c r="BJ9" s="146" t="e">
        <f>'Working Capital Schedule'!#REF!</f>
        <v>#REF!</v>
      </c>
      <c r="BK9" s="146" t="e">
        <f>'Working Capital Schedule'!#REF!</f>
        <v>#REF!</v>
      </c>
    </row>
    <row r="10" spans="1:63" s="93" customFormat="1" x14ac:dyDescent="0.15">
      <c r="A10" s="78" t="s">
        <v>197</v>
      </c>
      <c r="B10" s="43"/>
      <c r="C10" s="172">
        <v>0</v>
      </c>
      <c r="D10" s="146" t="e">
        <f>'Working Capital Schedule'!#REF!</f>
        <v>#REF!</v>
      </c>
      <c r="E10" s="146" t="e">
        <f>'Working Capital Schedule'!#REF!</f>
        <v>#REF!</v>
      </c>
      <c r="F10" s="146" t="e">
        <f>'Working Capital Schedule'!#REF!</f>
        <v>#REF!</v>
      </c>
      <c r="G10" s="146" t="e">
        <f>'Working Capital Schedule'!#REF!</f>
        <v>#REF!</v>
      </c>
      <c r="H10" s="146" t="e">
        <f>'Working Capital Schedule'!#REF!</f>
        <v>#REF!</v>
      </c>
      <c r="I10" s="146" t="e">
        <f>'Working Capital Schedule'!#REF!</f>
        <v>#REF!</v>
      </c>
      <c r="J10" s="146" t="e">
        <f>'Working Capital Schedule'!#REF!</f>
        <v>#REF!</v>
      </c>
      <c r="K10" s="146" t="e">
        <f>'Working Capital Schedule'!#REF!</f>
        <v>#REF!</v>
      </c>
      <c r="L10" s="146" t="e">
        <f>'Working Capital Schedule'!#REF!</f>
        <v>#REF!</v>
      </c>
      <c r="M10" s="146" t="e">
        <f>'Working Capital Schedule'!#REF!</f>
        <v>#REF!</v>
      </c>
      <c r="N10" s="146" t="e">
        <f>'Working Capital Schedule'!#REF!</f>
        <v>#REF!</v>
      </c>
      <c r="O10" s="146" t="e">
        <f>'Working Capital Schedule'!#REF!</f>
        <v>#REF!</v>
      </c>
      <c r="P10" s="146" t="e">
        <f>'Working Capital Schedule'!#REF!</f>
        <v>#REF!</v>
      </c>
      <c r="Q10" s="146" t="e">
        <f>'Working Capital Schedule'!#REF!</f>
        <v>#REF!</v>
      </c>
      <c r="R10" s="146" t="e">
        <f>'Working Capital Schedule'!#REF!</f>
        <v>#REF!</v>
      </c>
      <c r="S10" s="146" t="e">
        <f>'Working Capital Schedule'!#REF!</f>
        <v>#REF!</v>
      </c>
      <c r="T10" s="146" t="e">
        <f>'Working Capital Schedule'!#REF!</f>
        <v>#REF!</v>
      </c>
      <c r="U10" s="146" t="e">
        <f>'Working Capital Schedule'!#REF!</f>
        <v>#REF!</v>
      </c>
      <c r="V10" s="146" t="e">
        <f>'Working Capital Schedule'!#REF!</f>
        <v>#REF!</v>
      </c>
      <c r="W10" s="146" t="e">
        <f>'Working Capital Schedule'!#REF!</f>
        <v>#REF!</v>
      </c>
      <c r="X10" s="146" t="e">
        <f>'Working Capital Schedule'!#REF!</f>
        <v>#REF!</v>
      </c>
      <c r="Y10" s="146" t="e">
        <f>'Working Capital Schedule'!#REF!</f>
        <v>#REF!</v>
      </c>
      <c r="Z10" s="146" t="e">
        <f>'Working Capital Schedule'!#REF!</f>
        <v>#REF!</v>
      </c>
      <c r="AA10" s="146" t="e">
        <f>'Working Capital Schedule'!#REF!</f>
        <v>#REF!</v>
      </c>
      <c r="AB10" s="146" t="e">
        <f>'Working Capital Schedule'!#REF!</f>
        <v>#REF!</v>
      </c>
      <c r="AC10" s="146" t="e">
        <f>'Working Capital Schedule'!#REF!</f>
        <v>#REF!</v>
      </c>
      <c r="AD10" s="146" t="e">
        <f>'Working Capital Schedule'!#REF!</f>
        <v>#REF!</v>
      </c>
      <c r="AE10" s="146" t="e">
        <f>'Working Capital Schedule'!#REF!</f>
        <v>#REF!</v>
      </c>
      <c r="AF10" s="146" t="e">
        <f>'Working Capital Schedule'!#REF!</f>
        <v>#REF!</v>
      </c>
      <c r="AG10" s="146" t="e">
        <f>'Working Capital Schedule'!#REF!</f>
        <v>#REF!</v>
      </c>
      <c r="AH10" s="146" t="e">
        <f>'Working Capital Schedule'!#REF!</f>
        <v>#REF!</v>
      </c>
      <c r="AI10" s="146" t="e">
        <f>'Working Capital Schedule'!#REF!</f>
        <v>#REF!</v>
      </c>
      <c r="AJ10" s="146" t="e">
        <f>'Working Capital Schedule'!#REF!</f>
        <v>#REF!</v>
      </c>
      <c r="AK10" s="146" t="e">
        <f>'Working Capital Schedule'!#REF!</f>
        <v>#REF!</v>
      </c>
      <c r="AL10" s="146" t="e">
        <f>'Working Capital Schedule'!#REF!</f>
        <v>#REF!</v>
      </c>
      <c r="AM10" s="146" t="e">
        <f>'Working Capital Schedule'!#REF!</f>
        <v>#REF!</v>
      </c>
      <c r="AN10" s="146" t="e">
        <f>'Working Capital Schedule'!#REF!</f>
        <v>#REF!</v>
      </c>
      <c r="AO10" s="146" t="e">
        <f>'Working Capital Schedule'!#REF!</f>
        <v>#REF!</v>
      </c>
      <c r="AP10" s="146" t="e">
        <f>'Working Capital Schedule'!#REF!</f>
        <v>#REF!</v>
      </c>
      <c r="AQ10" s="146" t="e">
        <f>'Working Capital Schedule'!#REF!</f>
        <v>#REF!</v>
      </c>
      <c r="AR10" s="146" t="e">
        <f>'Working Capital Schedule'!#REF!</f>
        <v>#REF!</v>
      </c>
      <c r="AS10" s="146" t="e">
        <f>'Working Capital Schedule'!#REF!</f>
        <v>#REF!</v>
      </c>
      <c r="AT10" s="146" t="e">
        <f>'Working Capital Schedule'!#REF!</f>
        <v>#REF!</v>
      </c>
      <c r="AU10" s="146" t="e">
        <f>'Working Capital Schedule'!#REF!</f>
        <v>#REF!</v>
      </c>
      <c r="AV10" s="146" t="e">
        <f>'Working Capital Schedule'!#REF!</f>
        <v>#REF!</v>
      </c>
      <c r="AW10" s="146" t="e">
        <f>'Working Capital Schedule'!#REF!</f>
        <v>#REF!</v>
      </c>
      <c r="AX10" s="146" t="e">
        <f>'Working Capital Schedule'!#REF!</f>
        <v>#REF!</v>
      </c>
      <c r="AY10" s="146" t="e">
        <f>'Working Capital Schedule'!#REF!</f>
        <v>#REF!</v>
      </c>
      <c r="AZ10" s="146" t="e">
        <f>'Working Capital Schedule'!#REF!</f>
        <v>#REF!</v>
      </c>
      <c r="BA10" s="146" t="e">
        <f>'Working Capital Schedule'!#REF!</f>
        <v>#REF!</v>
      </c>
      <c r="BB10" s="146" t="e">
        <f>'Working Capital Schedule'!#REF!</f>
        <v>#REF!</v>
      </c>
      <c r="BC10" s="146" t="e">
        <f>'Working Capital Schedule'!#REF!</f>
        <v>#REF!</v>
      </c>
      <c r="BD10" s="146" t="e">
        <f>'Working Capital Schedule'!#REF!</f>
        <v>#REF!</v>
      </c>
      <c r="BE10" s="146" t="e">
        <f>'Working Capital Schedule'!#REF!</f>
        <v>#REF!</v>
      </c>
      <c r="BF10" s="146" t="e">
        <f>'Working Capital Schedule'!#REF!</f>
        <v>#REF!</v>
      </c>
      <c r="BG10" s="146" t="e">
        <f>'Working Capital Schedule'!#REF!</f>
        <v>#REF!</v>
      </c>
      <c r="BH10" s="146" t="e">
        <f>'Working Capital Schedule'!#REF!</f>
        <v>#REF!</v>
      </c>
      <c r="BI10" s="146" t="e">
        <f>'Working Capital Schedule'!#REF!</f>
        <v>#REF!</v>
      </c>
      <c r="BJ10" s="146" t="e">
        <f>'Working Capital Schedule'!#REF!</f>
        <v>#REF!</v>
      </c>
      <c r="BK10" s="146" t="e">
        <f>'Working Capital Schedule'!#REF!</f>
        <v>#REF!</v>
      </c>
    </row>
    <row r="11" spans="1:63" s="93" customFormat="1" x14ac:dyDescent="0.15">
      <c r="A11" s="10"/>
      <c r="B11" s="4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</row>
    <row r="12" spans="1:63" s="93" customFormat="1" x14ac:dyDescent="0.15">
      <c r="A12" s="7" t="s">
        <v>308</v>
      </c>
      <c r="B12" s="81"/>
      <c r="C12" s="173">
        <f t="shared" ref="C12:AH12" si="3">SUM(C13:C13)</f>
        <v>0</v>
      </c>
      <c r="D12" s="173">
        <f t="shared" si="3"/>
        <v>0</v>
      </c>
      <c r="E12" s="173">
        <f t="shared" si="3"/>
        <v>0</v>
      </c>
      <c r="F12" s="173">
        <f t="shared" si="3"/>
        <v>0</v>
      </c>
      <c r="G12" s="173">
        <f t="shared" si="3"/>
        <v>0</v>
      </c>
      <c r="H12" s="173">
        <f t="shared" si="3"/>
        <v>0</v>
      </c>
      <c r="I12" s="173">
        <f t="shared" si="3"/>
        <v>0</v>
      </c>
      <c r="J12" s="173">
        <f t="shared" si="3"/>
        <v>0</v>
      </c>
      <c r="K12" s="173">
        <f t="shared" si="3"/>
        <v>0</v>
      </c>
      <c r="L12" s="173">
        <f t="shared" si="3"/>
        <v>0</v>
      </c>
      <c r="M12" s="173">
        <f t="shared" si="3"/>
        <v>0</v>
      </c>
      <c r="N12" s="173">
        <f t="shared" si="3"/>
        <v>0</v>
      </c>
      <c r="O12" s="173">
        <f t="shared" si="3"/>
        <v>0</v>
      </c>
      <c r="P12" s="173">
        <f t="shared" si="3"/>
        <v>0</v>
      </c>
      <c r="Q12" s="173">
        <f t="shared" si="3"/>
        <v>0</v>
      </c>
      <c r="R12" s="173">
        <f t="shared" si="3"/>
        <v>0</v>
      </c>
      <c r="S12" s="173">
        <f t="shared" si="3"/>
        <v>0</v>
      </c>
      <c r="T12" s="173">
        <f t="shared" si="3"/>
        <v>0</v>
      </c>
      <c r="U12" s="173">
        <f t="shared" si="3"/>
        <v>0</v>
      </c>
      <c r="V12" s="173">
        <f t="shared" si="3"/>
        <v>0</v>
      </c>
      <c r="W12" s="173">
        <f t="shared" si="3"/>
        <v>0</v>
      </c>
      <c r="X12" s="173">
        <f t="shared" si="3"/>
        <v>0</v>
      </c>
      <c r="Y12" s="173">
        <f t="shared" si="3"/>
        <v>0</v>
      </c>
      <c r="Z12" s="173">
        <f t="shared" si="3"/>
        <v>0</v>
      </c>
      <c r="AA12" s="173">
        <f t="shared" si="3"/>
        <v>0</v>
      </c>
      <c r="AB12" s="173">
        <f t="shared" si="3"/>
        <v>0</v>
      </c>
      <c r="AC12" s="173">
        <f t="shared" si="3"/>
        <v>0</v>
      </c>
      <c r="AD12" s="173">
        <f t="shared" si="3"/>
        <v>0</v>
      </c>
      <c r="AE12" s="173">
        <f t="shared" si="3"/>
        <v>0</v>
      </c>
      <c r="AF12" s="173">
        <f t="shared" si="3"/>
        <v>0</v>
      </c>
      <c r="AG12" s="173">
        <f t="shared" si="3"/>
        <v>0</v>
      </c>
      <c r="AH12" s="173">
        <f t="shared" si="3"/>
        <v>0</v>
      </c>
      <c r="AI12" s="173">
        <f t="shared" ref="AI12:BK12" si="4">SUM(AI13:AI13)</f>
        <v>0</v>
      </c>
      <c r="AJ12" s="173">
        <f t="shared" si="4"/>
        <v>0</v>
      </c>
      <c r="AK12" s="173">
        <f t="shared" si="4"/>
        <v>0</v>
      </c>
      <c r="AL12" s="173">
        <f t="shared" si="4"/>
        <v>0</v>
      </c>
      <c r="AM12" s="173">
        <f t="shared" si="4"/>
        <v>0</v>
      </c>
      <c r="AN12" s="173">
        <f t="shared" si="4"/>
        <v>0</v>
      </c>
      <c r="AO12" s="173">
        <f t="shared" si="4"/>
        <v>0</v>
      </c>
      <c r="AP12" s="173">
        <f t="shared" si="4"/>
        <v>0</v>
      </c>
      <c r="AQ12" s="173">
        <f t="shared" si="4"/>
        <v>0</v>
      </c>
      <c r="AR12" s="173">
        <f t="shared" si="4"/>
        <v>0</v>
      </c>
      <c r="AS12" s="173">
        <f t="shared" si="4"/>
        <v>0</v>
      </c>
      <c r="AT12" s="173">
        <f t="shared" si="4"/>
        <v>0</v>
      </c>
      <c r="AU12" s="173">
        <f t="shared" si="4"/>
        <v>0</v>
      </c>
      <c r="AV12" s="173">
        <f t="shared" si="4"/>
        <v>0</v>
      </c>
      <c r="AW12" s="173">
        <f t="shared" si="4"/>
        <v>0</v>
      </c>
      <c r="AX12" s="173">
        <f t="shared" si="4"/>
        <v>0</v>
      </c>
      <c r="AY12" s="173">
        <f t="shared" si="4"/>
        <v>0</v>
      </c>
      <c r="AZ12" s="173">
        <f t="shared" si="4"/>
        <v>0</v>
      </c>
      <c r="BA12" s="173">
        <f t="shared" si="4"/>
        <v>0</v>
      </c>
      <c r="BB12" s="173">
        <f t="shared" si="4"/>
        <v>0</v>
      </c>
      <c r="BC12" s="173">
        <f t="shared" si="4"/>
        <v>0</v>
      </c>
      <c r="BD12" s="173">
        <f t="shared" si="4"/>
        <v>0</v>
      </c>
      <c r="BE12" s="173">
        <f t="shared" si="4"/>
        <v>0</v>
      </c>
      <c r="BF12" s="173">
        <f t="shared" si="4"/>
        <v>0</v>
      </c>
      <c r="BG12" s="173">
        <f t="shared" si="4"/>
        <v>0</v>
      </c>
      <c r="BH12" s="173">
        <f t="shared" si="4"/>
        <v>0</v>
      </c>
      <c r="BI12" s="173">
        <f t="shared" si="4"/>
        <v>0</v>
      </c>
      <c r="BJ12" s="173">
        <f t="shared" si="4"/>
        <v>0</v>
      </c>
      <c r="BK12" s="173">
        <f t="shared" si="4"/>
        <v>0</v>
      </c>
    </row>
    <row r="13" spans="1:63" s="93" customFormat="1" x14ac:dyDescent="0.15">
      <c r="A13" s="78" t="s">
        <v>309</v>
      </c>
      <c r="B13" s="9"/>
      <c r="C13" s="147">
        <f>'Fixed Asset Schedules'!B7</f>
        <v>0</v>
      </c>
      <c r="D13" s="147">
        <f>'Fixed Asset Schedules'!B10</f>
        <v>0</v>
      </c>
      <c r="E13" s="147">
        <f>'Fixed Asset Schedules'!C10</f>
        <v>0</v>
      </c>
      <c r="F13" s="147">
        <f>'Fixed Asset Schedules'!D10</f>
        <v>0</v>
      </c>
      <c r="G13" s="147">
        <f>'Fixed Asset Schedules'!E10</f>
        <v>0</v>
      </c>
      <c r="H13" s="147">
        <f>'Fixed Asset Schedules'!F10</f>
        <v>0</v>
      </c>
      <c r="I13" s="147">
        <f>'Fixed Asset Schedules'!G10</f>
        <v>0</v>
      </c>
      <c r="J13" s="147">
        <f>'Fixed Asset Schedules'!H10</f>
        <v>0</v>
      </c>
      <c r="K13" s="147">
        <f>'Fixed Asset Schedules'!I10</f>
        <v>0</v>
      </c>
      <c r="L13" s="147">
        <f>'Fixed Asset Schedules'!J10</f>
        <v>0</v>
      </c>
      <c r="M13" s="147">
        <f>'Fixed Asset Schedules'!K10</f>
        <v>0</v>
      </c>
      <c r="N13" s="147">
        <f>'Fixed Asset Schedules'!L10</f>
        <v>0</v>
      </c>
      <c r="O13" s="147">
        <f>'Fixed Asset Schedules'!M10</f>
        <v>0</v>
      </c>
      <c r="P13" s="147">
        <f>'Fixed Asset Schedules'!N10</f>
        <v>0</v>
      </c>
      <c r="Q13" s="147">
        <f>'Fixed Asset Schedules'!O10</f>
        <v>0</v>
      </c>
      <c r="R13" s="147">
        <f>'Fixed Asset Schedules'!P10</f>
        <v>0</v>
      </c>
      <c r="S13" s="147">
        <f>'Fixed Asset Schedules'!Q10</f>
        <v>0</v>
      </c>
      <c r="T13" s="147">
        <f>'Fixed Asset Schedules'!R10</f>
        <v>0</v>
      </c>
      <c r="U13" s="147">
        <f>'Fixed Asset Schedules'!S10</f>
        <v>0</v>
      </c>
      <c r="V13" s="147">
        <f>'Fixed Asset Schedules'!T10</f>
        <v>0</v>
      </c>
      <c r="W13" s="147">
        <f>'Fixed Asset Schedules'!U10</f>
        <v>0</v>
      </c>
      <c r="X13" s="147">
        <f>'Fixed Asset Schedules'!V10</f>
        <v>0</v>
      </c>
      <c r="Y13" s="147">
        <f>'Fixed Asset Schedules'!W10</f>
        <v>0</v>
      </c>
      <c r="Z13" s="147">
        <f>'Fixed Asset Schedules'!X10</f>
        <v>0</v>
      </c>
      <c r="AA13" s="147">
        <f>'Fixed Asset Schedules'!Y10</f>
        <v>0</v>
      </c>
      <c r="AB13" s="147">
        <f>'Fixed Asset Schedules'!Z10</f>
        <v>0</v>
      </c>
      <c r="AC13" s="147">
        <f>'Fixed Asset Schedules'!AA10</f>
        <v>0</v>
      </c>
      <c r="AD13" s="147">
        <f>'Fixed Asset Schedules'!AB10</f>
        <v>0</v>
      </c>
      <c r="AE13" s="147">
        <f>'Fixed Asset Schedules'!AC10</f>
        <v>0</v>
      </c>
      <c r="AF13" s="147">
        <f>'Fixed Asset Schedules'!AD10</f>
        <v>0</v>
      </c>
      <c r="AG13" s="147">
        <f>'Fixed Asset Schedules'!AE10</f>
        <v>0</v>
      </c>
      <c r="AH13" s="147">
        <f>'Fixed Asset Schedules'!AF10</f>
        <v>0</v>
      </c>
      <c r="AI13" s="147">
        <f>'Fixed Asset Schedules'!AG10</f>
        <v>0</v>
      </c>
      <c r="AJ13" s="147">
        <f>'Fixed Asset Schedules'!AH10</f>
        <v>0</v>
      </c>
      <c r="AK13" s="147">
        <f>'Fixed Asset Schedules'!AI10</f>
        <v>0</v>
      </c>
      <c r="AL13" s="147">
        <f>'Fixed Asset Schedules'!AJ10</f>
        <v>0</v>
      </c>
      <c r="AM13" s="147">
        <f>'Fixed Asset Schedules'!AK10</f>
        <v>0</v>
      </c>
      <c r="AN13" s="147">
        <f>'Fixed Asset Schedules'!AL10</f>
        <v>0</v>
      </c>
      <c r="AO13" s="147">
        <f>'Fixed Asset Schedules'!AM10</f>
        <v>0</v>
      </c>
      <c r="AP13" s="147">
        <f>'Fixed Asset Schedules'!AN10</f>
        <v>0</v>
      </c>
      <c r="AQ13" s="147">
        <f>'Fixed Asset Schedules'!AO10</f>
        <v>0</v>
      </c>
      <c r="AR13" s="147">
        <f>'Fixed Asset Schedules'!AP10</f>
        <v>0</v>
      </c>
      <c r="AS13" s="147">
        <f>'Fixed Asset Schedules'!AQ10</f>
        <v>0</v>
      </c>
      <c r="AT13" s="147">
        <f>'Fixed Asset Schedules'!AR10</f>
        <v>0</v>
      </c>
      <c r="AU13" s="147">
        <f>'Fixed Asset Schedules'!AS10</f>
        <v>0</v>
      </c>
      <c r="AV13" s="147">
        <f>'Fixed Asset Schedules'!AT10</f>
        <v>0</v>
      </c>
      <c r="AW13" s="147">
        <f>'Fixed Asset Schedules'!AU10</f>
        <v>0</v>
      </c>
      <c r="AX13" s="147">
        <f>'Fixed Asset Schedules'!AV10</f>
        <v>0</v>
      </c>
      <c r="AY13" s="147">
        <f>'Fixed Asset Schedules'!AW10</f>
        <v>0</v>
      </c>
      <c r="AZ13" s="147">
        <f>'Fixed Asset Schedules'!AX10</f>
        <v>0</v>
      </c>
      <c r="BA13" s="147">
        <f>'Fixed Asset Schedules'!AY10</f>
        <v>0</v>
      </c>
      <c r="BB13" s="147">
        <f>'Fixed Asset Schedules'!AZ10</f>
        <v>0</v>
      </c>
      <c r="BC13" s="147">
        <f>'Fixed Asset Schedules'!BA10</f>
        <v>0</v>
      </c>
      <c r="BD13" s="147">
        <f>'Fixed Asset Schedules'!BB10</f>
        <v>0</v>
      </c>
      <c r="BE13" s="147">
        <f>'Fixed Asset Schedules'!BC10</f>
        <v>0</v>
      </c>
      <c r="BF13" s="147">
        <f>'Fixed Asset Schedules'!BD10</f>
        <v>0</v>
      </c>
      <c r="BG13" s="147">
        <f>'Fixed Asset Schedules'!BE10</f>
        <v>0</v>
      </c>
      <c r="BH13" s="147">
        <f>'Fixed Asset Schedules'!BF10</f>
        <v>0</v>
      </c>
      <c r="BI13" s="147">
        <f>'Fixed Asset Schedules'!BG10</f>
        <v>0</v>
      </c>
      <c r="BJ13" s="147">
        <f>'Fixed Asset Schedules'!BH10</f>
        <v>0</v>
      </c>
      <c r="BK13" s="147">
        <f>'Fixed Asset Schedules'!BI10</f>
        <v>0</v>
      </c>
    </row>
    <row r="14" spans="1:63" s="93" customFormat="1" x14ac:dyDescent="0.15">
      <c r="A14" s="82"/>
      <c r="B14" s="4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</row>
    <row r="15" spans="1:63" s="168" customFormat="1" ht="14" thickBot="1" x14ac:dyDescent="0.2">
      <c r="A15" s="134" t="s">
        <v>310</v>
      </c>
      <c r="B15" s="167"/>
      <c r="C15" s="158">
        <f t="shared" ref="C15:AH15" si="5">+C7+C12</f>
        <v>0</v>
      </c>
      <c r="D15" s="158" t="e">
        <f t="shared" si="5"/>
        <v>#N/A</v>
      </c>
      <c r="E15" s="158" t="e">
        <f t="shared" si="5"/>
        <v>#N/A</v>
      </c>
      <c r="F15" s="158" t="e">
        <f t="shared" si="5"/>
        <v>#N/A</v>
      </c>
      <c r="G15" s="158" t="e">
        <f t="shared" si="5"/>
        <v>#N/A</v>
      </c>
      <c r="H15" s="158" t="e">
        <f t="shared" si="5"/>
        <v>#N/A</v>
      </c>
      <c r="I15" s="158" t="e">
        <f t="shared" si="5"/>
        <v>#N/A</v>
      </c>
      <c r="J15" s="158" t="e">
        <f t="shared" si="5"/>
        <v>#N/A</v>
      </c>
      <c r="K15" s="158" t="e">
        <f t="shared" si="5"/>
        <v>#N/A</v>
      </c>
      <c r="L15" s="158" t="e">
        <f t="shared" si="5"/>
        <v>#N/A</v>
      </c>
      <c r="M15" s="158" t="e">
        <f t="shared" si="5"/>
        <v>#N/A</v>
      </c>
      <c r="N15" s="158" t="e">
        <f t="shared" si="5"/>
        <v>#N/A</v>
      </c>
      <c r="O15" s="158" t="e">
        <f t="shared" si="5"/>
        <v>#N/A</v>
      </c>
      <c r="P15" s="158" t="e">
        <f t="shared" si="5"/>
        <v>#N/A</v>
      </c>
      <c r="Q15" s="158" t="e">
        <f t="shared" si="5"/>
        <v>#N/A</v>
      </c>
      <c r="R15" s="158" t="e">
        <f t="shared" si="5"/>
        <v>#N/A</v>
      </c>
      <c r="S15" s="158" t="e">
        <f t="shared" si="5"/>
        <v>#N/A</v>
      </c>
      <c r="T15" s="158" t="e">
        <f t="shared" si="5"/>
        <v>#N/A</v>
      </c>
      <c r="U15" s="158" t="e">
        <f t="shared" si="5"/>
        <v>#N/A</v>
      </c>
      <c r="V15" s="158" t="e">
        <f t="shared" si="5"/>
        <v>#N/A</v>
      </c>
      <c r="W15" s="158" t="e">
        <f t="shared" si="5"/>
        <v>#N/A</v>
      </c>
      <c r="X15" s="158" t="e">
        <f t="shared" si="5"/>
        <v>#N/A</v>
      </c>
      <c r="Y15" s="158" t="e">
        <f t="shared" si="5"/>
        <v>#N/A</v>
      </c>
      <c r="Z15" s="158" t="e">
        <f t="shared" si="5"/>
        <v>#N/A</v>
      </c>
      <c r="AA15" s="158" t="e">
        <f t="shared" si="5"/>
        <v>#N/A</v>
      </c>
      <c r="AB15" s="158" t="e">
        <f t="shared" si="5"/>
        <v>#N/A</v>
      </c>
      <c r="AC15" s="158" t="e">
        <f t="shared" si="5"/>
        <v>#N/A</v>
      </c>
      <c r="AD15" s="158" t="e">
        <f t="shared" si="5"/>
        <v>#N/A</v>
      </c>
      <c r="AE15" s="158" t="e">
        <f t="shared" si="5"/>
        <v>#N/A</v>
      </c>
      <c r="AF15" s="158" t="e">
        <f t="shared" si="5"/>
        <v>#N/A</v>
      </c>
      <c r="AG15" s="158" t="e">
        <f t="shared" si="5"/>
        <v>#N/A</v>
      </c>
      <c r="AH15" s="158" t="e">
        <f t="shared" si="5"/>
        <v>#N/A</v>
      </c>
      <c r="AI15" s="158" t="e">
        <f t="shared" ref="AI15:BK15" si="6">+AI7+AI12</f>
        <v>#N/A</v>
      </c>
      <c r="AJ15" s="158" t="e">
        <f t="shared" si="6"/>
        <v>#N/A</v>
      </c>
      <c r="AK15" s="158" t="e">
        <f t="shared" si="6"/>
        <v>#N/A</v>
      </c>
      <c r="AL15" s="158" t="e">
        <f t="shared" si="6"/>
        <v>#N/A</v>
      </c>
      <c r="AM15" s="158" t="e">
        <f t="shared" si="6"/>
        <v>#N/A</v>
      </c>
      <c r="AN15" s="158" t="e">
        <f t="shared" si="6"/>
        <v>#N/A</v>
      </c>
      <c r="AO15" s="158" t="e">
        <f t="shared" si="6"/>
        <v>#N/A</v>
      </c>
      <c r="AP15" s="158" t="e">
        <f t="shared" si="6"/>
        <v>#N/A</v>
      </c>
      <c r="AQ15" s="158" t="e">
        <f t="shared" si="6"/>
        <v>#N/A</v>
      </c>
      <c r="AR15" s="158" t="e">
        <f t="shared" si="6"/>
        <v>#N/A</v>
      </c>
      <c r="AS15" s="158" t="e">
        <f t="shared" si="6"/>
        <v>#N/A</v>
      </c>
      <c r="AT15" s="158" t="e">
        <f t="shared" si="6"/>
        <v>#N/A</v>
      </c>
      <c r="AU15" s="158" t="e">
        <f t="shared" si="6"/>
        <v>#N/A</v>
      </c>
      <c r="AV15" s="158" t="e">
        <f t="shared" si="6"/>
        <v>#N/A</v>
      </c>
      <c r="AW15" s="158" t="e">
        <f t="shared" si="6"/>
        <v>#N/A</v>
      </c>
      <c r="AX15" s="158" t="e">
        <f t="shared" si="6"/>
        <v>#N/A</v>
      </c>
      <c r="AY15" s="158" t="e">
        <f t="shared" si="6"/>
        <v>#N/A</v>
      </c>
      <c r="AZ15" s="158" t="e">
        <f t="shared" si="6"/>
        <v>#N/A</v>
      </c>
      <c r="BA15" s="158" t="e">
        <f t="shared" si="6"/>
        <v>#N/A</v>
      </c>
      <c r="BB15" s="158" t="e">
        <f t="shared" si="6"/>
        <v>#N/A</v>
      </c>
      <c r="BC15" s="158" t="e">
        <f t="shared" si="6"/>
        <v>#N/A</v>
      </c>
      <c r="BD15" s="158" t="e">
        <f t="shared" si="6"/>
        <v>#N/A</v>
      </c>
      <c r="BE15" s="158" t="e">
        <f t="shared" si="6"/>
        <v>#N/A</v>
      </c>
      <c r="BF15" s="158" t="e">
        <f t="shared" si="6"/>
        <v>#N/A</v>
      </c>
      <c r="BG15" s="158" t="e">
        <f t="shared" si="6"/>
        <v>#N/A</v>
      </c>
      <c r="BH15" s="158" t="e">
        <f t="shared" si="6"/>
        <v>#N/A</v>
      </c>
      <c r="BI15" s="158" t="e">
        <f t="shared" si="6"/>
        <v>#N/A</v>
      </c>
      <c r="BJ15" s="158" t="e">
        <f t="shared" si="6"/>
        <v>#N/A</v>
      </c>
      <c r="BK15" s="158" t="e">
        <f t="shared" si="6"/>
        <v>#N/A</v>
      </c>
    </row>
    <row r="16" spans="1:63" s="93" customFormat="1" ht="14" thickTop="1" x14ac:dyDescent="0.15">
      <c r="A16" s="1"/>
      <c r="B16" s="4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</row>
    <row r="17" spans="1:63" s="169" customFormat="1" x14ac:dyDescent="0.15">
      <c r="A17" s="7" t="s">
        <v>311</v>
      </c>
      <c r="B17" s="43"/>
      <c r="C17" s="172">
        <v>0</v>
      </c>
      <c r="D17" s="174" t="e">
        <f t="shared" ref="D17:BJ17" si="7">D18</f>
        <v>#REF!</v>
      </c>
      <c r="E17" s="174" t="e">
        <f t="shared" si="7"/>
        <v>#REF!</v>
      </c>
      <c r="F17" s="174" t="e">
        <f t="shared" si="7"/>
        <v>#REF!</v>
      </c>
      <c r="G17" s="174" t="e">
        <f t="shared" si="7"/>
        <v>#REF!</v>
      </c>
      <c r="H17" s="174" t="e">
        <f t="shared" si="7"/>
        <v>#REF!</v>
      </c>
      <c r="I17" s="174" t="e">
        <f t="shared" si="7"/>
        <v>#REF!</v>
      </c>
      <c r="J17" s="174" t="e">
        <f t="shared" si="7"/>
        <v>#REF!</v>
      </c>
      <c r="K17" s="174" t="e">
        <f t="shared" si="7"/>
        <v>#REF!</v>
      </c>
      <c r="L17" s="174" t="e">
        <f t="shared" si="7"/>
        <v>#REF!</v>
      </c>
      <c r="M17" s="174" t="e">
        <f t="shared" si="7"/>
        <v>#REF!</v>
      </c>
      <c r="N17" s="174" t="e">
        <f t="shared" si="7"/>
        <v>#REF!</v>
      </c>
      <c r="O17" s="174" t="e">
        <f t="shared" si="7"/>
        <v>#REF!</v>
      </c>
      <c r="P17" s="174" t="e">
        <f t="shared" si="7"/>
        <v>#REF!</v>
      </c>
      <c r="Q17" s="174" t="e">
        <f t="shared" si="7"/>
        <v>#REF!</v>
      </c>
      <c r="R17" s="174" t="e">
        <f t="shared" si="7"/>
        <v>#REF!</v>
      </c>
      <c r="S17" s="174" t="e">
        <f t="shared" si="7"/>
        <v>#REF!</v>
      </c>
      <c r="T17" s="174" t="e">
        <f t="shared" si="7"/>
        <v>#REF!</v>
      </c>
      <c r="U17" s="174" t="e">
        <f t="shared" si="7"/>
        <v>#REF!</v>
      </c>
      <c r="V17" s="174" t="e">
        <f t="shared" si="7"/>
        <v>#REF!</v>
      </c>
      <c r="W17" s="174" t="e">
        <f t="shared" si="7"/>
        <v>#REF!</v>
      </c>
      <c r="X17" s="174" t="e">
        <f t="shared" si="7"/>
        <v>#REF!</v>
      </c>
      <c r="Y17" s="174" t="e">
        <f t="shared" si="7"/>
        <v>#REF!</v>
      </c>
      <c r="Z17" s="174" t="e">
        <f t="shared" si="7"/>
        <v>#REF!</v>
      </c>
      <c r="AA17" s="174" t="e">
        <f t="shared" si="7"/>
        <v>#REF!</v>
      </c>
      <c r="AB17" s="174" t="e">
        <f t="shared" si="7"/>
        <v>#REF!</v>
      </c>
      <c r="AC17" s="174" t="e">
        <f t="shared" si="7"/>
        <v>#REF!</v>
      </c>
      <c r="AD17" s="174" t="e">
        <f t="shared" si="7"/>
        <v>#REF!</v>
      </c>
      <c r="AE17" s="174" t="e">
        <f t="shared" si="7"/>
        <v>#REF!</v>
      </c>
      <c r="AF17" s="174" t="e">
        <f t="shared" si="7"/>
        <v>#REF!</v>
      </c>
      <c r="AG17" s="174" t="e">
        <f t="shared" si="7"/>
        <v>#REF!</v>
      </c>
      <c r="AH17" s="174" t="e">
        <f t="shared" si="7"/>
        <v>#REF!</v>
      </c>
      <c r="AI17" s="174" t="e">
        <f t="shared" si="7"/>
        <v>#REF!</v>
      </c>
      <c r="AJ17" s="174" t="e">
        <f t="shared" si="7"/>
        <v>#REF!</v>
      </c>
      <c r="AK17" s="174" t="e">
        <f t="shared" si="7"/>
        <v>#REF!</v>
      </c>
      <c r="AL17" s="174" t="e">
        <f t="shared" si="7"/>
        <v>#REF!</v>
      </c>
      <c r="AM17" s="174" t="e">
        <f t="shared" si="7"/>
        <v>#REF!</v>
      </c>
      <c r="AN17" s="174" t="e">
        <f t="shared" si="7"/>
        <v>#REF!</v>
      </c>
      <c r="AO17" s="174" t="e">
        <f t="shared" si="7"/>
        <v>#REF!</v>
      </c>
      <c r="AP17" s="174" t="e">
        <f t="shared" si="7"/>
        <v>#REF!</v>
      </c>
      <c r="AQ17" s="174" t="e">
        <f t="shared" si="7"/>
        <v>#REF!</v>
      </c>
      <c r="AR17" s="174" t="e">
        <f t="shared" si="7"/>
        <v>#REF!</v>
      </c>
      <c r="AS17" s="174" t="e">
        <f t="shared" si="7"/>
        <v>#REF!</v>
      </c>
      <c r="AT17" s="174" t="e">
        <f t="shared" si="7"/>
        <v>#REF!</v>
      </c>
      <c r="AU17" s="174" t="e">
        <f t="shared" si="7"/>
        <v>#REF!</v>
      </c>
      <c r="AV17" s="174" t="e">
        <f t="shared" si="7"/>
        <v>#REF!</v>
      </c>
      <c r="AW17" s="174" t="e">
        <f t="shared" si="7"/>
        <v>#REF!</v>
      </c>
      <c r="AX17" s="174" t="e">
        <f t="shared" si="7"/>
        <v>#REF!</v>
      </c>
      <c r="AY17" s="174" t="e">
        <f t="shared" si="7"/>
        <v>#REF!</v>
      </c>
      <c r="AZ17" s="174" t="e">
        <f t="shared" si="7"/>
        <v>#REF!</v>
      </c>
      <c r="BA17" s="174" t="e">
        <f t="shared" si="7"/>
        <v>#REF!</v>
      </c>
      <c r="BB17" s="174" t="e">
        <f t="shared" si="7"/>
        <v>#REF!</v>
      </c>
      <c r="BC17" s="174" t="e">
        <f t="shared" si="7"/>
        <v>#REF!</v>
      </c>
      <c r="BD17" s="174" t="e">
        <f t="shared" si="7"/>
        <v>#REF!</v>
      </c>
      <c r="BE17" s="174" t="e">
        <f t="shared" si="7"/>
        <v>#REF!</v>
      </c>
      <c r="BF17" s="174" t="e">
        <f t="shared" si="7"/>
        <v>#REF!</v>
      </c>
      <c r="BG17" s="174" t="e">
        <f t="shared" si="7"/>
        <v>#REF!</v>
      </c>
      <c r="BH17" s="174" t="e">
        <f t="shared" si="7"/>
        <v>#REF!</v>
      </c>
      <c r="BI17" s="174" t="e">
        <f t="shared" si="7"/>
        <v>#REF!</v>
      </c>
      <c r="BJ17" s="174" t="e">
        <f t="shared" si="7"/>
        <v>#REF!</v>
      </c>
      <c r="BK17" s="174" t="e">
        <f>BK18</f>
        <v>#REF!</v>
      </c>
    </row>
    <row r="18" spans="1:63" s="93" customFormat="1" x14ac:dyDescent="0.15">
      <c r="A18" s="7" t="s">
        <v>312</v>
      </c>
      <c r="B18" s="4"/>
      <c r="C18" s="172">
        <v>0</v>
      </c>
      <c r="D18" s="163" t="e">
        <f>'Debt Schedule'!#REF!</f>
        <v>#REF!</v>
      </c>
      <c r="E18" s="163" t="e">
        <f>'Debt Schedule'!#REF!</f>
        <v>#REF!</v>
      </c>
      <c r="F18" s="163" t="e">
        <f>'Debt Schedule'!#REF!</f>
        <v>#REF!</v>
      </c>
      <c r="G18" s="163" t="e">
        <f>'Debt Schedule'!#REF!</f>
        <v>#REF!</v>
      </c>
      <c r="H18" s="163" t="e">
        <f>'Debt Schedule'!#REF!</f>
        <v>#REF!</v>
      </c>
      <c r="I18" s="163" t="e">
        <f>'Debt Schedule'!#REF!</f>
        <v>#REF!</v>
      </c>
      <c r="J18" s="163" t="e">
        <f>'Debt Schedule'!#REF!</f>
        <v>#REF!</v>
      </c>
      <c r="K18" s="163" t="e">
        <f>'Debt Schedule'!#REF!</f>
        <v>#REF!</v>
      </c>
      <c r="L18" s="163" t="e">
        <f>'Debt Schedule'!#REF!</f>
        <v>#REF!</v>
      </c>
      <c r="M18" s="163" t="e">
        <f>'Debt Schedule'!#REF!</f>
        <v>#REF!</v>
      </c>
      <c r="N18" s="163" t="e">
        <f>'Debt Schedule'!#REF!</f>
        <v>#REF!</v>
      </c>
      <c r="O18" s="163" t="e">
        <f>'Debt Schedule'!#REF!</f>
        <v>#REF!</v>
      </c>
      <c r="P18" s="163" t="e">
        <f>'Debt Schedule'!#REF!</f>
        <v>#REF!</v>
      </c>
      <c r="Q18" s="163" t="e">
        <f>'Debt Schedule'!#REF!</f>
        <v>#REF!</v>
      </c>
      <c r="R18" s="163" t="e">
        <f>'Debt Schedule'!#REF!</f>
        <v>#REF!</v>
      </c>
      <c r="S18" s="163" t="e">
        <f>'Debt Schedule'!#REF!</f>
        <v>#REF!</v>
      </c>
      <c r="T18" s="163" t="e">
        <f>'Debt Schedule'!#REF!</f>
        <v>#REF!</v>
      </c>
      <c r="U18" s="163" t="e">
        <f>'Debt Schedule'!#REF!</f>
        <v>#REF!</v>
      </c>
      <c r="V18" s="163" t="e">
        <f>'Debt Schedule'!#REF!</f>
        <v>#REF!</v>
      </c>
      <c r="W18" s="163" t="e">
        <f>'Debt Schedule'!#REF!</f>
        <v>#REF!</v>
      </c>
      <c r="X18" s="163" t="e">
        <f>'Debt Schedule'!#REF!</f>
        <v>#REF!</v>
      </c>
      <c r="Y18" s="163" t="e">
        <f>'Debt Schedule'!#REF!</f>
        <v>#REF!</v>
      </c>
      <c r="Z18" s="163" t="e">
        <f>'Debt Schedule'!#REF!</f>
        <v>#REF!</v>
      </c>
      <c r="AA18" s="163" t="e">
        <f>'Debt Schedule'!#REF!</f>
        <v>#REF!</v>
      </c>
      <c r="AB18" s="163" t="e">
        <f>'Debt Schedule'!#REF!</f>
        <v>#REF!</v>
      </c>
      <c r="AC18" s="163" t="e">
        <f>'Debt Schedule'!#REF!</f>
        <v>#REF!</v>
      </c>
      <c r="AD18" s="163" t="e">
        <f>'Debt Schedule'!#REF!</f>
        <v>#REF!</v>
      </c>
      <c r="AE18" s="163" t="e">
        <f>'Debt Schedule'!#REF!</f>
        <v>#REF!</v>
      </c>
      <c r="AF18" s="163" t="e">
        <f>'Debt Schedule'!#REF!</f>
        <v>#REF!</v>
      </c>
      <c r="AG18" s="163" t="e">
        <f>'Debt Schedule'!#REF!</f>
        <v>#REF!</v>
      </c>
      <c r="AH18" s="163" t="e">
        <f>'Debt Schedule'!#REF!</f>
        <v>#REF!</v>
      </c>
      <c r="AI18" s="163" t="e">
        <f>'Debt Schedule'!#REF!</f>
        <v>#REF!</v>
      </c>
      <c r="AJ18" s="163" t="e">
        <f>'Debt Schedule'!#REF!</f>
        <v>#REF!</v>
      </c>
      <c r="AK18" s="163" t="e">
        <f>'Debt Schedule'!#REF!</f>
        <v>#REF!</v>
      </c>
      <c r="AL18" s="163" t="e">
        <f>'Debt Schedule'!#REF!</f>
        <v>#REF!</v>
      </c>
      <c r="AM18" s="163" t="e">
        <f>'Debt Schedule'!#REF!</f>
        <v>#REF!</v>
      </c>
      <c r="AN18" s="163" t="e">
        <f>'Debt Schedule'!#REF!</f>
        <v>#REF!</v>
      </c>
      <c r="AO18" s="163" t="e">
        <f>'Debt Schedule'!#REF!</f>
        <v>#REF!</v>
      </c>
      <c r="AP18" s="163" t="e">
        <f>'Debt Schedule'!#REF!</f>
        <v>#REF!</v>
      </c>
      <c r="AQ18" s="163" t="e">
        <f>'Debt Schedule'!#REF!</f>
        <v>#REF!</v>
      </c>
      <c r="AR18" s="163" t="e">
        <f>'Debt Schedule'!#REF!</f>
        <v>#REF!</v>
      </c>
      <c r="AS18" s="163" t="e">
        <f>'Debt Schedule'!#REF!</f>
        <v>#REF!</v>
      </c>
      <c r="AT18" s="163" t="e">
        <f>'Debt Schedule'!#REF!</f>
        <v>#REF!</v>
      </c>
      <c r="AU18" s="163" t="e">
        <f>'Debt Schedule'!#REF!</f>
        <v>#REF!</v>
      </c>
      <c r="AV18" s="163" t="e">
        <f>'Debt Schedule'!#REF!</f>
        <v>#REF!</v>
      </c>
      <c r="AW18" s="163" t="e">
        <f>'Debt Schedule'!#REF!</f>
        <v>#REF!</v>
      </c>
      <c r="AX18" s="163" t="e">
        <f>'Debt Schedule'!#REF!</f>
        <v>#REF!</v>
      </c>
      <c r="AY18" s="163" t="e">
        <f>'Debt Schedule'!#REF!</f>
        <v>#REF!</v>
      </c>
      <c r="AZ18" s="163" t="e">
        <f>'Debt Schedule'!#REF!</f>
        <v>#REF!</v>
      </c>
      <c r="BA18" s="163" t="e">
        <f>'Debt Schedule'!#REF!</f>
        <v>#REF!</v>
      </c>
      <c r="BB18" s="163" t="e">
        <f>'Debt Schedule'!#REF!</f>
        <v>#REF!</v>
      </c>
      <c r="BC18" s="163" t="e">
        <f>'Debt Schedule'!#REF!</f>
        <v>#REF!</v>
      </c>
      <c r="BD18" s="163" t="e">
        <f>'Debt Schedule'!#REF!</f>
        <v>#REF!</v>
      </c>
      <c r="BE18" s="163" t="e">
        <f>'Debt Schedule'!#REF!</f>
        <v>#REF!</v>
      </c>
      <c r="BF18" s="163" t="e">
        <f>'Debt Schedule'!#REF!</f>
        <v>#REF!</v>
      </c>
      <c r="BG18" s="163" t="e">
        <f>'Debt Schedule'!#REF!</f>
        <v>#REF!</v>
      </c>
      <c r="BH18" s="163" t="e">
        <f>'Debt Schedule'!#REF!</f>
        <v>#REF!</v>
      </c>
      <c r="BI18" s="163" t="e">
        <f>'Debt Schedule'!#REF!</f>
        <v>#REF!</v>
      </c>
      <c r="BJ18" s="163" t="e">
        <f>'Debt Schedule'!#REF!</f>
        <v>#REF!</v>
      </c>
      <c r="BK18" s="163" t="e">
        <f>'Debt Schedule'!#REF!</f>
        <v>#REF!</v>
      </c>
    </row>
    <row r="19" spans="1:63" s="93" customFormat="1" x14ac:dyDescent="0.15">
      <c r="A19" s="7" t="s">
        <v>313</v>
      </c>
      <c r="B19" s="4"/>
      <c r="C19" s="163" t="e">
        <f>+'Working Capital Schedule'!#REF!+'Expense Assumptions'!#REF!</f>
        <v>#REF!</v>
      </c>
      <c r="D19" s="163" t="e">
        <f>+'Working Capital Schedule'!#REF!+'Expense Assumptions'!#REF!</f>
        <v>#REF!</v>
      </c>
      <c r="E19" s="163" t="e">
        <f>+'Working Capital Schedule'!#REF!+'Expense Assumptions'!#REF!</f>
        <v>#REF!</v>
      </c>
      <c r="F19" s="163" t="e">
        <f>+'Working Capital Schedule'!#REF!+'Expense Assumptions'!#REF!</f>
        <v>#REF!</v>
      </c>
      <c r="G19" s="163" t="e">
        <f>+'Working Capital Schedule'!#REF!+'Expense Assumptions'!#REF!</f>
        <v>#REF!</v>
      </c>
      <c r="H19" s="163" t="e">
        <f>+'Working Capital Schedule'!#REF!+'Expense Assumptions'!#REF!</f>
        <v>#REF!</v>
      </c>
      <c r="I19" s="163" t="e">
        <f>+'Working Capital Schedule'!#REF!+'Expense Assumptions'!#REF!</f>
        <v>#REF!</v>
      </c>
      <c r="J19" s="163" t="e">
        <f>+'Working Capital Schedule'!#REF!+'Expense Assumptions'!#REF!</f>
        <v>#REF!</v>
      </c>
      <c r="K19" s="163" t="e">
        <f>+'Working Capital Schedule'!#REF!+'Expense Assumptions'!#REF!</f>
        <v>#REF!</v>
      </c>
      <c r="L19" s="163" t="e">
        <f>+'Working Capital Schedule'!#REF!+'Expense Assumptions'!#REF!</f>
        <v>#REF!</v>
      </c>
      <c r="M19" s="163" t="e">
        <f>+'Working Capital Schedule'!#REF!+'Expense Assumptions'!#REF!</f>
        <v>#REF!</v>
      </c>
      <c r="N19" s="163" t="e">
        <f>+'Working Capital Schedule'!#REF!+'Expense Assumptions'!#REF!</f>
        <v>#REF!</v>
      </c>
      <c r="O19" s="163" t="e">
        <f>+'Working Capital Schedule'!#REF!+'Expense Assumptions'!#REF!</f>
        <v>#REF!</v>
      </c>
      <c r="P19" s="163" t="e">
        <f>+'Working Capital Schedule'!#REF!+'Expense Assumptions'!#REF!</f>
        <v>#REF!</v>
      </c>
      <c r="Q19" s="163" t="e">
        <f>+'Working Capital Schedule'!#REF!+'Expense Assumptions'!#REF!</f>
        <v>#REF!</v>
      </c>
      <c r="R19" s="163" t="e">
        <f>+'Working Capital Schedule'!#REF!+'Expense Assumptions'!#REF!</f>
        <v>#REF!</v>
      </c>
      <c r="S19" s="163" t="e">
        <f>+'Working Capital Schedule'!#REF!+'Expense Assumptions'!#REF!</f>
        <v>#REF!</v>
      </c>
      <c r="T19" s="163" t="e">
        <f>+'Working Capital Schedule'!#REF!+'Expense Assumptions'!#REF!</f>
        <v>#REF!</v>
      </c>
      <c r="U19" s="163" t="e">
        <f>+'Working Capital Schedule'!#REF!+'Expense Assumptions'!#REF!</f>
        <v>#REF!</v>
      </c>
      <c r="V19" s="163" t="e">
        <f>+'Working Capital Schedule'!#REF!+'Expense Assumptions'!#REF!</f>
        <v>#REF!</v>
      </c>
      <c r="W19" s="163" t="e">
        <f>+'Working Capital Schedule'!#REF!+'Expense Assumptions'!#REF!</f>
        <v>#REF!</v>
      </c>
      <c r="X19" s="163" t="e">
        <f>+'Working Capital Schedule'!#REF!+'Expense Assumptions'!#REF!</f>
        <v>#REF!</v>
      </c>
      <c r="Y19" s="163" t="e">
        <f>+'Working Capital Schedule'!#REF!+'Expense Assumptions'!#REF!</f>
        <v>#REF!</v>
      </c>
      <c r="Z19" s="163" t="e">
        <f>+'Working Capital Schedule'!#REF!+'Expense Assumptions'!#REF!</f>
        <v>#REF!</v>
      </c>
      <c r="AA19" s="163" t="e">
        <f>+'Working Capital Schedule'!#REF!+'Expense Assumptions'!#REF!</f>
        <v>#REF!</v>
      </c>
      <c r="AB19" s="163" t="e">
        <f>+'Working Capital Schedule'!#REF!+'Expense Assumptions'!#REF!</f>
        <v>#REF!</v>
      </c>
      <c r="AC19" s="163" t="e">
        <f>+'Working Capital Schedule'!#REF!+'Expense Assumptions'!#REF!</f>
        <v>#REF!</v>
      </c>
      <c r="AD19" s="163" t="e">
        <f>+'Working Capital Schedule'!#REF!+'Expense Assumptions'!#REF!</f>
        <v>#REF!</v>
      </c>
      <c r="AE19" s="163" t="e">
        <f>+'Working Capital Schedule'!#REF!+'Expense Assumptions'!#REF!</f>
        <v>#REF!</v>
      </c>
      <c r="AF19" s="163" t="e">
        <f>+'Working Capital Schedule'!#REF!+'Expense Assumptions'!#REF!</f>
        <v>#REF!</v>
      </c>
      <c r="AG19" s="163" t="e">
        <f>+'Working Capital Schedule'!#REF!+'Expense Assumptions'!#REF!</f>
        <v>#REF!</v>
      </c>
      <c r="AH19" s="163" t="e">
        <f>+'Working Capital Schedule'!#REF!+'Expense Assumptions'!#REF!</f>
        <v>#REF!</v>
      </c>
      <c r="AI19" s="163" t="e">
        <f>+'Working Capital Schedule'!#REF!+'Expense Assumptions'!#REF!</f>
        <v>#REF!</v>
      </c>
      <c r="AJ19" s="163" t="e">
        <f>+'Working Capital Schedule'!#REF!+'Expense Assumptions'!#REF!</f>
        <v>#REF!</v>
      </c>
      <c r="AK19" s="163" t="e">
        <f>+'Working Capital Schedule'!#REF!+'Expense Assumptions'!#REF!</f>
        <v>#REF!</v>
      </c>
      <c r="AL19" s="163" t="e">
        <f>+'Working Capital Schedule'!#REF!+'Expense Assumptions'!#REF!</f>
        <v>#REF!</v>
      </c>
      <c r="AM19" s="163" t="e">
        <f>+'Working Capital Schedule'!#REF!+'Expense Assumptions'!#REF!</f>
        <v>#REF!</v>
      </c>
      <c r="AN19" s="163" t="e">
        <f>+'Working Capital Schedule'!#REF!+'Expense Assumptions'!#REF!</f>
        <v>#REF!</v>
      </c>
      <c r="AO19" s="163" t="e">
        <f>+'Working Capital Schedule'!#REF!+'Expense Assumptions'!#REF!</f>
        <v>#REF!</v>
      </c>
      <c r="AP19" s="163" t="e">
        <f>+'Working Capital Schedule'!#REF!+'Expense Assumptions'!#REF!</f>
        <v>#REF!</v>
      </c>
      <c r="AQ19" s="163" t="e">
        <f>+'Working Capital Schedule'!#REF!+'Expense Assumptions'!#REF!</f>
        <v>#REF!</v>
      </c>
      <c r="AR19" s="163" t="e">
        <f>+'Working Capital Schedule'!#REF!+'Expense Assumptions'!#REF!</f>
        <v>#REF!</v>
      </c>
      <c r="AS19" s="163" t="e">
        <f>+'Working Capital Schedule'!#REF!+'Expense Assumptions'!#REF!</f>
        <v>#REF!</v>
      </c>
      <c r="AT19" s="163" t="e">
        <f>+'Working Capital Schedule'!#REF!+'Expense Assumptions'!#REF!</f>
        <v>#REF!</v>
      </c>
      <c r="AU19" s="163" t="e">
        <f>+'Working Capital Schedule'!#REF!+'Expense Assumptions'!#REF!</f>
        <v>#REF!</v>
      </c>
      <c r="AV19" s="163" t="e">
        <f>+'Working Capital Schedule'!#REF!+'Expense Assumptions'!#REF!</f>
        <v>#REF!</v>
      </c>
      <c r="AW19" s="163" t="e">
        <f>+'Working Capital Schedule'!#REF!+'Expense Assumptions'!#REF!</f>
        <v>#REF!</v>
      </c>
      <c r="AX19" s="163" t="e">
        <f>+'Working Capital Schedule'!#REF!+'Expense Assumptions'!#REF!</f>
        <v>#REF!</v>
      </c>
      <c r="AY19" s="163" t="e">
        <f>+'Working Capital Schedule'!#REF!+'Expense Assumptions'!#REF!</f>
        <v>#REF!</v>
      </c>
      <c r="AZ19" s="163" t="e">
        <f>+'Working Capital Schedule'!#REF!+'Expense Assumptions'!#REF!</f>
        <v>#REF!</v>
      </c>
      <c r="BA19" s="163" t="e">
        <f>+'Working Capital Schedule'!#REF!+'Expense Assumptions'!#REF!</f>
        <v>#REF!</v>
      </c>
      <c r="BB19" s="163" t="e">
        <f>+'Working Capital Schedule'!#REF!+'Expense Assumptions'!#REF!</f>
        <v>#REF!</v>
      </c>
      <c r="BC19" s="163" t="e">
        <f>+'Working Capital Schedule'!#REF!+'Expense Assumptions'!#REF!</f>
        <v>#REF!</v>
      </c>
      <c r="BD19" s="163" t="e">
        <f>+'Working Capital Schedule'!#REF!+'Expense Assumptions'!#REF!</f>
        <v>#REF!</v>
      </c>
      <c r="BE19" s="163" t="e">
        <f>+'Working Capital Schedule'!#REF!+'Expense Assumptions'!#REF!</f>
        <v>#REF!</v>
      </c>
      <c r="BF19" s="163" t="e">
        <f>+'Working Capital Schedule'!#REF!+'Expense Assumptions'!#REF!</f>
        <v>#REF!</v>
      </c>
      <c r="BG19" s="163" t="e">
        <f>+'Working Capital Schedule'!#REF!+'Expense Assumptions'!#REF!</f>
        <v>#REF!</v>
      </c>
      <c r="BH19" s="163" t="e">
        <f>+'Working Capital Schedule'!#REF!+'Expense Assumptions'!#REF!</f>
        <v>#REF!</v>
      </c>
      <c r="BI19" s="163" t="e">
        <f>+'Working Capital Schedule'!#REF!+'Expense Assumptions'!#REF!</f>
        <v>#REF!</v>
      </c>
      <c r="BJ19" s="163" t="e">
        <f>+'Working Capital Schedule'!#REF!+'Expense Assumptions'!#REF!</f>
        <v>#REF!</v>
      </c>
      <c r="BK19" s="163" t="e">
        <f>+'Working Capital Schedule'!#REF!+'Expense Assumptions'!#REF!</f>
        <v>#REF!</v>
      </c>
    </row>
    <row r="20" spans="1:63" s="93" customFormat="1" x14ac:dyDescent="0.15">
      <c r="A20" s="7"/>
      <c r="B20" s="4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</row>
    <row r="21" spans="1:63" s="93" customFormat="1" x14ac:dyDescent="0.15">
      <c r="A21" s="7" t="s">
        <v>314</v>
      </c>
      <c r="B21" s="81"/>
      <c r="C21" s="173">
        <f>+SUM(C22:C23)</f>
        <v>0</v>
      </c>
      <c r="D21" s="173" t="e">
        <f>+SUM(D22:D23)</f>
        <v>#N/A</v>
      </c>
      <c r="E21" s="173" t="e">
        <f t="shared" ref="E21:BK21" si="8">+SUM(E22:E23)</f>
        <v>#N/A</v>
      </c>
      <c r="F21" s="173" t="e">
        <f t="shared" si="8"/>
        <v>#N/A</v>
      </c>
      <c r="G21" s="173" t="e">
        <f t="shared" si="8"/>
        <v>#N/A</v>
      </c>
      <c r="H21" s="173" t="e">
        <f t="shared" si="8"/>
        <v>#N/A</v>
      </c>
      <c r="I21" s="173" t="e">
        <f t="shared" si="8"/>
        <v>#N/A</v>
      </c>
      <c r="J21" s="173" t="e">
        <f t="shared" si="8"/>
        <v>#N/A</v>
      </c>
      <c r="K21" s="173" t="e">
        <f t="shared" si="8"/>
        <v>#N/A</v>
      </c>
      <c r="L21" s="173" t="e">
        <f t="shared" si="8"/>
        <v>#N/A</v>
      </c>
      <c r="M21" s="173" t="e">
        <f t="shared" si="8"/>
        <v>#N/A</v>
      </c>
      <c r="N21" s="173" t="e">
        <f t="shared" si="8"/>
        <v>#N/A</v>
      </c>
      <c r="O21" s="173" t="e">
        <f t="shared" si="8"/>
        <v>#N/A</v>
      </c>
      <c r="P21" s="173" t="e">
        <f t="shared" si="8"/>
        <v>#N/A</v>
      </c>
      <c r="Q21" s="173" t="e">
        <f t="shared" si="8"/>
        <v>#N/A</v>
      </c>
      <c r="R21" s="173" t="e">
        <f t="shared" si="8"/>
        <v>#N/A</v>
      </c>
      <c r="S21" s="173" t="e">
        <f t="shared" si="8"/>
        <v>#N/A</v>
      </c>
      <c r="T21" s="173" t="e">
        <f t="shared" si="8"/>
        <v>#N/A</v>
      </c>
      <c r="U21" s="173" t="e">
        <f t="shared" si="8"/>
        <v>#N/A</v>
      </c>
      <c r="V21" s="173" t="e">
        <f t="shared" si="8"/>
        <v>#N/A</v>
      </c>
      <c r="W21" s="173" t="e">
        <f t="shared" si="8"/>
        <v>#N/A</v>
      </c>
      <c r="X21" s="173" t="e">
        <f t="shared" si="8"/>
        <v>#N/A</v>
      </c>
      <c r="Y21" s="173" t="e">
        <f t="shared" si="8"/>
        <v>#N/A</v>
      </c>
      <c r="Z21" s="173" t="e">
        <f t="shared" si="8"/>
        <v>#N/A</v>
      </c>
      <c r="AA21" s="173" t="e">
        <f t="shared" si="8"/>
        <v>#N/A</v>
      </c>
      <c r="AB21" s="173" t="e">
        <f t="shared" si="8"/>
        <v>#N/A</v>
      </c>
      <c r="AC21" s="173" t="e">
        <f t="shared" si="8"/>
        <v>#N/A</v>
      </c>
      <c r="AD21" s="173" t="e">
        <f t="shared" si="8"/>
        <v>#N/A</v>
      </c>
      <c r="AE21" s="173" t="e">
        <f t="shared" si="8"/>
        <v>#N/A</v>
      </c>
      <c r="AF21" s="173" t="e">
        <f t="shared" si="8"/>
        <v>#N/A</v>
      </c>
      <c r="AG21" s="173" t="e">
        <f t="shared" si="8"/>
        <v>#N/A</v>
      </c>
      <c r="AH21" s="173" t="e">
        <f t="shared" si="8"/>
        <v>#N/A</v>
      </c>
      <c r="AI21" s="173" t="e">
        <f t="shared" si="8"/>
        <v>#N/A</v>
      </c>
      <c r="AJ21" s="173" t="e">
        <f t="shared" si="8"/>
        <v>#N/A</v>
      </c>
      <c r="AK21" s="173" t="e">
        <f t="shared" si="8"/>
        <v>#N/A</v>
      </c>
      <c r="AL21" s="173" t="e">
        <f t="shared" si="8"/>
        <v>#N/A</v>
      </c>
      <c r="AM21" s="173" t="e">
        <f t="shared" si="8"/>
        <v>#N/A</v>
      </c>
      <c r="AN21" s="173" t="e">
        <f t="shared" si="8"/>
        <v>#N/A</v>
      </c>
      <c r="AO21" s="173" t="e">
        <f t="shared" si="8"/>
        <v>#N/A</v>
      </c>
      <c r="AP21" s="173" t="e">
        <f t="shared" si="8"/>
        <v>#N/A</v>
      </c>
      <c r="AQ21" s="173" t="e">
        <f t="shared" si="8"/>
        <v>#N/A</v>
      </c>
      <c r="AR21" s="173" t="e">
        <f t="shared" si="8"/>
        <v>#N/A</v>
      </c>
      <c r="AS21" s="173" t="e">
        <f t="shared" si="8"/>
        <v>#N/A</v>
      </c>
      <c r="AT21" s="173" t="e">
        <f t="shared" si="8"/>
        <v>#N/A</v>
      </c>
      <c r="AU21" s="173" t="e">
        <f t="shared" si="8"/>
        <v>#N/A</v>
      </c>
      <c r="AV21" s="173" t="e">
        <f t="shared" si="8"/>
        <v>#N/A</v>
      </c>
      <c r="AW21" s="173" t="e">
        <f t="shared" si="8"/>
        <v>#N/A</v>
      </c>
      <c r="AX21" s="173" t="e">
        <f t="shared" si="8"/>
        <v>#N/A</v>
      </c>
      <c r="AY21" s="173" t="e">
        <f t="shared" si="8"/>
        <v>#N/A</v>
      </c>
      <c r="AZ21" s="173" t="e">
        <f t="shared" si="8"/>
        <v>#N/A</v>
      </c>
      <c r="BA21" s="173" t="e">
        <f t="shared" si="8"/>
        <v>#N/A</v>
      </c>
      <c r="BB21" s="173" t="e">
        <f t="shared" si="8"/>
        <v>#N/A</v>
      </c>
      <c r="BC21" s="173" t="e">
        <f t="shared" si="8"/>
        <v>#N/A</v>
      </c>
      <c r="BD21" s="173" t="e">
        <f t="shared" si="8"/>
        <v>#N/A</v>
      </c>
      <c r="BE21" s="173" t="e">
        <f t="shared" si="8"/>
        <v>#N/A</v>
      </c>
      <c r="BF21" s="173" t="e">
        <f t="shared" si="8"/>
        <v>#N/A</v>
      </c>
      <c r="BG21" s="173" t="e">
        <f t="shared" si="8"/>
        <v>#N/A</v>
      </c>
      <c r="BH21" s="173" t="e">
        <f t="shared" si="8"/>
        <v>#N/A</v>
      </c>
      <c r="BI21" s="173" t="e">
        <f t="shared" si="8"/>
        <v>#N/A</v>
      </c>
      <c r="BJ21" s="173" t="e">
        <f t="shared" si="8"/>
        <v>#N/A</v>
      </c>
      <c r="BK21" s="173" t="e">
        <f t="shared" si="8"/>
        <v>#N/A</v>
      </c>
    </row>
    <row r="22" spans="1:63" s="169" customFormat="1" x14ac:dyDescent="0.15">
      <c r="A22" s="78" t="s">
        <v>315</v>
      </c>
      <c r="B22" s="43"/>
      <c r="C22" s="172">
        <v>0</v>
      </c>
      <c r="D22" s="174">
        <f>B22+'Monthly CFS'!B24</f>
        <v>2000000</v>
      </c>
      <c r="E22" s="174">
        <f>D22+'Monthly CFS'!C24</f>
        <v>2000000</v>
      </c>
      <c r="F22" s="174">
        <f>E22+'Monthly CFS'!D24</f>
        <v>2000000</v>
      </c>
      <c r="G22" s="174">
        <f>F22+'Monthly CFS'!E24</f>
        <v>2000000</v>
      </c>
      <c r="H22" s="174">
        <f>G22+'Monthly CFS'!F24</f>
        <v>2000000</v>
      </c>
      <c r="I22" s="174">
        <f>H22+'Monthly CFS'!G24</f>
        <v>2000000</v>
      </c>
      <c r="J22" s="174">
        <f>I22+'Monthly CFS'!H24</f>
        <v>2000000</v>
      </c>
      <c r="K22" s="174">
        <f>J22+'Monthly CFS'!I24</f>
        <v>2000000</v>
      </c>
      <c r="L22" s="174">
        <f>K22+'Monthly CFS'!J24</f>
        <v>2000000</v>
      </c>
      <c r="M22" s="174">
        <f>L22+'Monthly CFS'!K24</f>
        <v>2000000</v>
      </c>
      <c r="N22" s="174">
        <f>M22+'Monthly CFS'!L24</f>
        <v>2000000</v>
      </c>
      <c r="O22" s="174">
        <f>N22+'Monthly CFS'!M24</f>
        <v>2000000</v>
      </c>
      <c r="P22" s="174">
        <f>O22+'Monthly CFS'!N24</f>
        <v>2000000</v>
      </c>
      <c r="Q22" s="174">
        <f>P22+'Monthly CFS'!O24</f>
        <v>2000000</v>
      </c>
      <c r="R22" s="174">
        <f>Q22+'Monthly CFS'!P24</f>
        <v>2000000</v>
      </c>
      <c r="S22" s="174">
        <f>R22+'Monthly CFS'!Q24</f>
        <v>2000000</v>
      </c>
      <c r="T22" s="174">
        <f>S22+'Monthly CFS'!R24</f>
        <v>2000000</v>
      </c>
      <c r="U22" s="174">
        <f>T22+'Monthly CFS'!S24</f>
        <v>2000000</v>
      </c>
      <c r="V22" s="174">
        <f>U22+'Monthly CFS'!T24</f>
        <v>2000000</v>
      </c>
      <c r="W22" s="174">
        <f>V22+'Monthly CFS'!U24</f>
        <v>2000000</v>
      </c>
      <c r="X22" s="174">
        <f>W22+'Monthly CFS'!V24</f>
        <v>2000000</v>
      </c>
      <c r="Y22" s="174">
        <f>X22+'Monthly CFS'!W24</f>
        <v>2000000</v>
      </c>
      <c r="Z22" s="174">
        <f>Y22+'Monthly CFS'!X24</f>
        <v>2000000</v>
      </c>
      <c r="AA22" s="174">
        <f>Z22+'Monthly CFS'!Y24</f>
        <v>2000000</v>
      </c>
      <c r="AB22" s="174">
        <f>AA22+'Monthly CFS'!Z24</f>
        <v>2000000</v>
      </c>
      <c r="AC22" s="174">
        <f>AB22+'Monthly CFS'!AA24</f>
        <v>2000000</v>
      </c>
      <c r="AD22" s="174">
        <f>AC22+'Monthly CFS'!AB24</f>
        <v>2000000</v>
      </c>
      <c r="AE22" s="174">
        <f>AD22+'Monthly CFS'!AC24</f>
        <v>2000000</v>
      </c>
      <c r="AF22" s="174">
        <f>AE22+'Monthly CFS'!AD24</f>
        <v>2000000</v>
      </c>
      <c r="AG22" s="174">
        <f>AF22+'Monthly CFS'!AE24</f>
        <v>2000000</v>
      </c>
      <c r="AH22" s="174">
        <f>AG22+'Monthly CFS'!AF24</f>
        <v>2000000</v>
      </c>
      <c r="AI22" s="174">
        <f>AH22+'Monthly CFS'!AG24</f>
        <v>2000000</v>
      </c>
      <c r="AJ22" s="174">
        <f>AI22+'Monthly CFS'!AH24</f>
        <v>2000000</v>
      </c>
      <c r="AK22" s="174">
        <f>AJ22+'Monthly CFS'!AI24</f>
        <v>2000000</v>
      </c>
      <c r="AL22" s="174">
        <f>AK22+'Monthly CFS'!AJ24</f>
        <v>2000000</v>
      </c>
      <c r="AM22" s="174">
        <f>AL22+'Monthly CFS'!AK24</f>
        <v>2000000</v>
      </c>
      <c r="AN22" s="174">
        <f>AM22+'Monthly CFS'!AL24</f>
        <v>2000000</v>
      </c>
      <c r="AO22" s="174">
        <f>AN22+'Monthly CFS'!AM24</f>
        <v>2000000</v>
      </c>
      <c r="AP22" s="174">
        <f>AO22+'Monthly CFS'!AN24</f>
        <v>2000000</v>
      </c>
      <c r="AQ22" s="174">
        <f>AP22+'Monthly CFS'!AO24</f>
        <v>2000000</v>
      </c>
      <c r="AR22" s="174">
        <f>AQ22+'Monthly CFS'!AP24</f>
        <v>2000000</v>
      </c>
      <c r="AS22" s="174">
        <f>AR22+'Monthly CFS'!AQ24</f>
        <v>2000000</v>
      </c>
      <c r="AT22" s="174">
        <f>AS22+'Monthly CFS'!AR24</f>
        <v>2000000</v>
      </c>
      <c r="AU22" s="174">
        <f>AT22+'Monthly CFS'!AS24</f>
        <v>2000000</v>
      </c>
      <c r="AV22" s="174">
        <f>AU22+'Monthly CFS'!AT24</f>
        <v>2000000</v>
      </c>
      <c r="AW22" s="174">
        <f>AV22+'Monthly CFS'!AU24</f>
        <v>2000000</v>
      </c>
      <c r="AX22" s="174">
        <f>AW22+'Monthly CFS'!AV24</f>
        <v>2000000</v>
      </c>
      <c r="AY22" s="174">
        <f>AX22+'Monthly CFS'!AW24</f>
        <v>2000000</v>
      </c>
      <c r="AZ22" s="174">
        <f>AY22+'Monthly CFS'!AX24</f>
        <v>2000000</v>
      </c>
      <c r="BA22" s="174">
        <f>AZ22+'Monthly CFS'!AY24</f>
        <v>2000000</v>
      </c>
      <c r="BB22" s="174">
        <f>BA22+'Monthly CFS'!AZ24</f>
        <v>2000000</v>
      </c>
      <c r="BC22" s="174">
        <f>BB22+'Monthly CFS'!BA24</f>
        <v>2000000</v>
      </c>
      <c r="BD22" s="174">
        <f>BC22+'Monthly CFS'!BB24</f>
        <v>2000000</v>
      </c>
      <c r="BE22" s="174">
        <f>BD22+'Monthly CFS'!BC24</f>
        <v>2000000</v>
      </c>
      <c r="BF22" s="174">
        <f>BE22+'Monthly CFS'!BD24</f>
        <v>2000000</v>
      </c>
      <c r="BG22" s="174">
        <f>BF22+'Monthly CFS'!BE24</f>
        <v>2000000</v>
      </c>
      <c r="BH22" s="174">
        <f>BG22+'Monthly CFS'!BF24</f>
        <v>2000000</v>
      </c>
      <c r="BI22" s="174">
        <f>BH22+'Monthly CFS'!BG24</f>
        <v>2000000</v>
      </c>
      <c r="BJ22" s="174">
        <f>BI22+'Monthly CFS'!BH24</f>
        <v>2000000</v>
      </c>
      <c r="BK22" s="174">
        <f>BJ22+'Monthly CFS'!BI24</f>
        <v>2000000</v>
      </c>
    </row>
    <row r="23" spans="1:63" s="169" customFormat="1" x14ac:dyDescent="0.15">
      <c r="A23" s="88" t="s">
        <v>316</v>
      </c>
      <c r="B23" s="43"/>
      <c r="C23" s="172">
        <v>0</v>
      </c>
      <c r="D23" s="174" t="e">
        <f>C23+'Monthly P&amp;L'!B67</f>
        <v>#N/A</v>
      </c>
      <c r="E23" s="174" t="e">
        <f>+D23+'Monthly P&amp;L'!C67</f>
        <v>#N/A</v>
      </c>
      <c r="F23" s="174" t="e">
        <f>+E23+'Monthly P&amp;L'!D67</f>
        <v>#N/A</v>
      </c>
      <c r="G23" s="174" t="e">
        <f>+F23+'Monthly P&amp;L'!E67</f>
        <v>#N/A</v>
      </c>
      <c r="H23" s="174" t="e">
        <f>+G23+'Monthly P&amp;L'!F67</f>
        <v>#N/A</v>
      </c>
      <c r="I23" s="174" t="e">
        <f>+H23+'Monthly P&amp;L'!G67</f>
        <v>#N/A</v>
      </c>
      <c r="J23" s="174" t="e">
        <f>+I23+'Monthly P&amp;L'!H67</f>
        <v>#N/A</v>
      </c>
      <c r="K23" s="174" t="e">
        <f>+J23+'Monthly P&amp;L'!I67</f>
        <v>#N/A</v>
      </c>
      <c r="L23" s="174" t="e">
        <f>+K23+'Monthly P&amp;L'!J67</f>
        <v>#N/A</v>
      </c>
      <c r="M23" s="174" t="e">
        <f>+L23+'Monthly P&amp;L'!K67</f>
        <v>#N/A</v>
      </c>
      <c r="N23" s="174" t="e">
        <f>+M23+'Monthly P&amp;L'!L67</f>
        <v>#N/A</v>
      </c>
      <c r="O23" s="174" t="e">
        <f>+N23+'Monthly P&amp;L'!M67</f>
        <v>#N/A</v>
      </c>
      <c r="P23" s="174" t="e">
        <f>+O23+'Monthly P&amp;L'!N67</f>
        <v>#N/A</v>
      </c>
      <c r="Q23" s="174" t="e">
        <f>+P23+'Monthly P&amp;L'!O67</f>
        <v>#N/A</v>
      </c>
      <c r="R23" s="174" t="e">
        <f>+Q23+'Monthly P&amp;L'!P67</f>
        <v>#N/A</v>
      </c>
      <c r="S23" s="174" t="e">
        <f>+R23+'Monthly P&amp;L'!Q67</f>
        <v>#N/A</v>
      </c>
      <c r="T23" s="174" t="e">
        <f>+S23+'Monthly P&amp;L'!R67</f>
        <v>#N/A</v>
      </c>
      <c r="U23" s="174" t="e">
        <f>+T23+'Monthly P&amp;L'!S67</f>
        <v>#N/A</v>
      </c>
      <c r="V23" s="174" t="e">
        <f>+U23+'Monthly P&amp;L'!T67</f>
        <v>#N/A</v>
      </c>
      <c r="W23" s="174" t="e">
        <f>+V23+'Monthly P&amp;L'!U67</f>
        <v>#N/A</v>
      </c>
      <c r="X23" s="174" t="e">
        <f>+W23+'Monthly P&amp;L'!V67</f>
        <v>#N/A</v>
      </c>
      <c r="Y23" s="174" t="e">
        <f>+X23+'Monthly P&amp;L'!W67</f>
        <v>#N/A</v>
      </c>
      <c r="Z23" s="174" t="e">
        <f>+Y23+'Monthly P&amp;L'!X67</f>
        <v>#N/A</v>
      </c>
      <c r="AA23" s="174" t="e">
        <f>+Z23+'Monthly P&amp;L'!Y67</f>
        <v>#N/A</v>
      </c>
      <c r="AB23" s="174" t="e">
        <f>+AA23+'Monthly P&amp;L'!Z67</f>
        <v>#N/A</v>
      </c>
      <c r="AC23" s="174" t="e">
        <f>+AB23+'Monthly P&amp;L'!AA67</f>
        <v>#N/A</v>
      </c>
      <c r="AD23" s="174" t="e">
        <f>+AC23+'Monthly P&amp;L'!AB67</f>
        <v>#N/A</v>
      </c>
      <c r="AE23" s="174" t="e">
        <f>+AD23+'Monthly P&amp;L'!AC67</f>
        <v>#N/A</v>
      </c>
      <c r="AF23" s="174" t="e">
        <f>+AE23+'Monthly P&amp;L'!AD67</f>
        <v>#N/A</v>
      </c>
      <c r="AG23" s="174" t="e">
        <f>+AF23+'Monthly P&amp;L'!AE67</f>
        <v>#N/A</v>
      </c>
      <c r="AH23" s="174" t="e">
        <f>+AG23+'Monthly P&amp;L'!AF67</f>
        <v>#N/A</v>
      </c>
      <c r="AI23" s="174" t="e">
        <f>+AH23+'Monthly P&amp;L'!AG67</f>
        <v>#N/A</v>
      </c>
      <c r="AJ23" s="174" t="e">
        <f>+AI23+'Monthly P&amp;L'!AH67</f>
        <v>#N/A</v>
      </c>
      <c r="AK23" s="174" t="e">
        <f>+AJ23+'Monthly P&amp;L'!AI67</f>
        <v>#N/A</v>
      </c>
      <c r="AL23" s="174" t="e">
        <f>+AK23+'Monthly P&amp;L'!AJ67</f>
        <v>#N/A</v>
      </c>
      <c r="AM23" s="174" t="e">
        <f>+AL23+'Monthly P&amp;L'!AK67</f>
        <v>#N/A</v>
      </c>
      <c r="AN23" s="174" t="e">
        <f>+AM23+'Monthly P&amp;L'!AL67</f>
        <v>#N/A</v>
      </c>
      <c r="AO23" s="174" t="e">
        <f>+AN23+'Monthly P&amp;L'!AM67</f>
        <v>#N/A</v>
      </c>
      <c r="AP23" s="174" t="e">
        <f>+AO23+'Monthly P&amp;L'!AN67</f>
        <v>#N/A</v>
      </c>
      <c r="AQ23" s="174" t="e">
        <f>+AP23+'Monthly P&amp;L'!AO67</f>
        <v>#N/A</v>
      </c>
      <c r="AR23" s="174" t="e">
        <f>+AQ23+'Monthly P&amp;L'!AP67</f>
        <v>#N/A</v>
      </c>
      <c r="AS23" s="174" t="e">
        <f>+AR23+'Monthly P&amp;L'!AQ67</f>
        <v>#N/A</v>
      </c>
      <c r="AT23" s="174" t="e">
        <f>+AS23+'Monthly P&amp;L'!AR67</f>
        <v>#N/A</v>
      </c>
      <c r="AU23" s="174" t="e">
        <f>+AT23+'Monthly P&amp;L'!AS67</f>
        <v>#N/A</v>
      </c>
      <c r="AV23" s="174" t="e">
        <f>+AU23+'Monthly P&amp;L'!AT67</f>
        <v>#N/A</v>
      </c>
      <c r="AW23" s="174" t="e">
        <f>+AV23+'Monthly P&amp;L'!AU67</f>
        <v>#N/A</v>
      </c>
      <c r="AX23" s="174" t="e">
        <f>+AW23+'Monthly P&amp;L'!AV67</f>
        <v>#N/A</v>
      </c>
      <c r="AY23" s="174" t="e">
        <f>+AX23+'Monthly P&amp;L'!AW67</f>
        <v>#N/A</v>
      </c>
      <c r="AZ23" s="174" t="e">
        <f>+AY23+'Monthly P&amp;L'!AX67</f>
        <v>#N/A</v>
      </c>
      <c r="BA23" s="174" t="e">
        <f>+AZ23+'Monthly P&amp;L'!AY67</f>
        <v>#N/A</v>
      </c>
      <c r="BB23" s="174" t="e">
        <f>+BA23+'Monthly P&amp;L'!AZ67</f>
        <v>#N/A</v>
      </c>
      <c r="BC23" s="174" t="e">
        <f>+BB23+'Monthly P&amp;L'!BA67</f>
        <v>#N/A</v>
      </c>
      <c r="BD23" s="174" t="e">
        <f>+BC23+'Monthly P&amp;L'!BB67</f>
        <v>#N/A</v>
      </c>
      <c r="BE23" s="174" t="e">
        <f>+BD23+'Monthly P&amp;L'!BC67</f>
        <v>#N/A</v>
      </c>
      <c r="BF23" s="174" t="e">
        <f>+BE23+'Monthly P&amp;L'!BD67</f>
        <v>#N/A</v>
      </c>
      <c r="BG23" s="174" t="e">
        <f>+BF23+'Monthly P&amp;L'!BE67</f>
        <v>#N/A</v>
      </c>
      <c r="BH23" s="174" t="e">
        <f>+BG23+'Monthly P&amp;L'!BF67</f>
        <v>#N/A</v>
      </c>
      <c r="BI23" s="174" t="e">
        <f>+BH23+'Monthly P&amp;L'!BG67</f>
        <v>#N/A</v>
      </c>
      <c r="BJ23" s="174" t="e">
        <f>+BI23+'Monthly P&amp;L'!BH67</f>
        <v>#N/A</v>
      </c>
      <c r="BK23" s="174" t="e">
        <f>+BJ23+'Monthly P&amp;L'!BI67</f>
        <v>#N/A</v>
      </c>
    </row>
    <row r="24" spans="1:63" s="168" customFormat="1" ht="14" thickBot="1" x14ac:dyDescent="0.2">
      <c r="A24" s="134" t="s">
        <v>317</v>
      </c>
      <c r="B24" s="167"/>
      <c r="C24" s="158">
        <f t="shared" ref="C24:AH24" si="9">+C17+C21</f>
        <v>0</v>
      </c>
      <c r="D24" s="158" t="e">
        <f t="shared" si="9"/>
        <v>#REF!</v>
      </c>
      <c r="E24" s="158" t="e">
        <f t="shared" si="9"/>
        <v>#REF!</v>
      </c>
      <c r="F24" s="158" t="e">
        <f t="shared" si="9"/>
        <v>#REF!</v>
      </c>
      <c r="G24" s="158" t="e">
        <f t="shared" si="9"/>
        <v>#REF!</v>
      </c>
      <c r="H24" s="158" t="e">
        <f t="shared" si="9"/>
        <v>#REF!</v>
      </c>
      <c r="I24" s="158" t="e">
        <f t="shared" si="9"/>
        <v>#REF!</v>
      </c>
      <c r="J24" s="158" t="e">
        <f t="shared" si="9"/>
        <v>#REF!</v>
      </c>
      <c r="K24" s="158" t="e">
        <f t="shared" si="9"/>
        <v>#REF!</v>
      </c>
      <c r="L24" s="158" t="e">
        <f t="shared" si="9"/>
        <v>#REF!</v>
      </c>
      <c r="M24" s="158" t="e">
        <f t="shared" si="9"/>
        <v>#REF!</v>
      </c>
      <c r="N24" s="158" t="e">
        <f t="shared" si="9"/>
        <v>#REF!</v>
      </c>
      <c r="O24" s="158" t="e">
        <f t="shared" si="9"/>
        <v>#REF!</v>
      </c>
      <c r="P24" s="158" t="e">
        <f t="shared" si="9"/>
        <v>#REF!</v>
      </c>
      <c r="Q24" s="158" t="e">
        <f t="shared" si="9"/>
        <v>#REF!</v>
      </c>
      <c r="R24" s="158" t="e">
        <f t="shared" si="9"/>
        <v>#REF!</v>
      </c>
      <c r="S24" s="158" t="e">
        <f t="shared" si="9"/>
        <v>#REF!</v>
      </c>
      <c r="T24" s="158" t="e">
        <f t="shared" si="9"/>
        <v>#REF!</v>
      </c>
      <c r="U24" s="158" t="e">
        <f t="shared" si="9"/>
        <v>#REF!</v>
      </c>
      <c r="V24" s="158" t="e">
        <f t="shared" si="9"/>
        <v>#REF!</v>
      </c>
      <c r="W24" s="158" t="e">
        <f t="shared" si="9"/>
        <v>#REF!</v>
      </c>
      <c r="X24" s="158" t="e">
        <f t="shared" si="9"/>
        <v>#REF!</v>
      </c>
      <c r="Y24" s="158" t="e">
        <f t="shared" si="9"/>
        <v>#REF!</v>
      </c>
      <c r="Z24" s="158" t="e">
        <f t="shared" si="9"/>
        <v>#REF!</v>
      </c>
      <c r="AA24" s="158" t="e">
        <f t="shared" si="9"/>
        <v>#REF!</v>
      </c>
      <c r="AB24" s="158" t="e">
        <f t="shared" si="9"/>
        <v>#REF!</v>
      </c>
      <c r="AC24" s="158" t="e">
        <f t="shared" si="9"/>
        <v>#REF!</v>
      </c>
      <c r="AD24" s="158" t="e">
        <f t="shared" si="9"/>
        <v>#REF!</v>
      </c>
      <c r="AE24" s="158" t="e">
        <f t="shared" si="9"/>
        <v>#REF!</v>
      </c>
      <c r="AF24" s="158" t="e">
        <f t="shared" si="9"/>
        <v>#REF!</v>
      </c>
      <c r="AG24" s="158" t="e">
        <f t="shared" si="9"/>
        <v>#REF!</v>
      </c>
      <c r="AH24" s="158" t="e">
        <f t="shared" si="9"/>
        <v>#REF!</v>
      </c>
      <c r="AI24" s="158" t="e">
        <f t="shared" ref="AI24:BK24" si="10">+AI17+AI21</f>
        <v>#REF!</v>
      </c>
      <c r="AJ24" s="158" t="e">
        <f t="shared" si="10"/>
        <v>#REF!</v>
      </c>
      <c r="AK24" s="158" t="e">
        <f t="shared" si="10"/>
        <v>#REF!</v>
      </c>
      <c r="AL24" s="158" t="e">
        <f t="shared" si="10"/>
        <v>#REF!</v>
      </c>
      <c r="AM24" s="158" t="e">
        <f t="shared" si="10"/>
        <v>#REF!</v>
      </c>
      <c r="AN24" s="158" t="e">
        <f t="shared" si="10"/>
        <v>#REF!</v>
      </c>
      <c r="AO24" s="158" t="e">
        <f t="shared" si="10"/>
        <v>#REF!</v>
      </c>
      <c r="AP24" s="158" t="e">
        <f t="shared" si="10"/>
        <v>#REF!</v>
      </c>
      <c r="AQ24" s="158" t="e">
        <f t="shared" si="10"/>
        <v>#REF!</v>
      </c>
      <c r="AR24" s="158" t="e">
        <f t="shared" si="10"/>
        <v>#REF!</v>
      </c>
      <c r="AS24" s="158" t="e">
        <f t="shared" si="10"/>
        <v>#REF!</v>
      </c>
      <c r="AT24" s="158" t="e">
        <f t="shared" si="10"/>
        <v>#REF!</v>
      </c>
      <c r="AU24" s="158" t="e">
        <f t="shared" si="10"/>
        <v>#REF!</v>
      </c>
      <c r="AV24" s="158" t="e">
        <f t="shared" si="10"/>
        <v>#REF!</v>
      </c>
      <c r="AW24" s="158" t="e">
        <f t="shared" si="10"/>
        <v>#REF!</v>
      </c>
      <c r="AX24" s="158" t="e">
        <f t="shared" si="10"/>
        <v>#REF!</v>
      </c>
      <c r="AY24" s="158" t="e">
        <f t="shared" si="10"/>
        <v>#REF!</v>
      </c>
      <c r="AZ24" s="158" t="e">
        <f t="shared" si="10"/>
        <v>#REF!</v>
      </c>
      <c r="BA24" s="158" t="e">
        <f t="shared" si="10"/>
        <v>#REF!</v>
      </c>
      <c r="BB24" s="158" t="e">
        <f t="shared" si="10"/>
        <v>#REF!</v>
      </c>
      <c r="BC24" s="158" t="e">
        <f t="shared" si="10"/>
        <v>#REF!</v>
      </c>
      <c r="BD24" s="158" t="e">
        <f t="shared" si="10"/>
        <v>#REF!</v>
      </c>
      <c r="BE24" s="158" t="e">
        <f t="shared" si="10"/>
        <v>#REF!</v>
      </c>
      <c r="BF24" s="158" t="e">
        <f t="shared" si="10"/>
        <v>#REF!</v>
      </c>
      <c r="BG24" s="158" t="e">
        <f t="shared" si="10"/>
        <v>#REF!</v>
      </c>
      <c r="BH24" s="158" t="e">
        <f t="shared" si="10"/>
        <v>#REF!</v>
      </c>
      <c r="BI24" s="158" t="e">
        <f t="shared" si="10"/>
        <v>#REF!</v>
      </c>
      <c r="BJ24" s="158" t="e">
        <f t="shared" si="10"/>
        <v>#REF!</v>
      </c>
      <c r="BK24" s="158" t="e">
        <f t="shared" si="10"/>
        <v>#REF!</v>
      </c>
    </row>
    <row r="25" spans="1:63" ht="14" thickTop="1" x14ac:dyDescent="0.15">
      <c r="A25" s="1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</row>
    <row r="26" spans="1:63" s="170" customFormat="1" x14ac:dyDescent="0.15">
      <c r="A26" s="51" t="s">
        <v>318</v>
      </c>
      <c r="B26" s="52"/>
      <c r="C26" s="175">
        <f t="shared" ref="C26:AH26" si="11">+C15-C24</f>
        <v>0</v>
      </c>
      <c r="D26" s="175" t="e">
        <f t="shared" si="11"/>
        <v>#N/A</v>
      </c>
      <c r="E26" s="175" t="e">
        <f t="shared" si="11"/>
        <v>#N/A</v>
      </c>
      <c r="F26" s="175" t="e">
        <f t="shared" si="11"/>
        <v>#N/A</v>
      </c>
      <c r="G26" s="175" t="e">
        <f t="shared" si="11"/>
        <v>#N/A</v>
      </c>
      <c r="H26" s="175" t="e">
        <f t="shared" si="11"/>
        <v>#N/A</v>
      </c>
      <c r="I26" s="175" t="e">
        <f t="shared" si="11"/>
        <v>#N/A</v>
      </c>
      <c r="J26" s="175" t="e">
        <f t="shared" si="11"/>
        <v>#N/A</v>
      </c>
      <c r="K26" s="175" t="e">
        <f t="shared" si="11"/>
        <v>#N/A</v>
      </c>
      <c r="L26" s="175" t="e">
        <f t="shared" si="11"/>
        <v>#N/A</v>
      </c>
      <c r="M26" s="175" t="e">
        <f t="shared" si="11"/>
        <v>#N/A</v>
      </c>
      <c r="N26" s="175" t="e">
        <f t="shared" si="11"/>
        <v>#N/A</v>
      </c>
      <c r="O26" s="175" t="e">
        <f t="shared" si="11"/>
        <v>#N/A</v>
      </c>
      <c r="P26" s="175" t="e">
        <f t="shared" si="11"/>
        <v>#N/A</v>
      </c>
      <c r="Q26" s="175" t="e">
        <f t="shared" si="11"/>
        <v>#N/A</v>
      </c>
      <c r="R26" s="175" t="e">
        <f t="shared" si="11"/>
        <v>#N/A</v>
      </c>
      <c r="S26" s="175" t="e">
        <f t="shared" si="11"/>
        <v>#N/A</v>
      </c>
      <c r="T26" s="175" t="e">
        <f t="shared" si="11"/>
        <v>#N/A</v>
      </c>
      <c r="U26" s="175" t="e">
        <f t="shared" si="11"/>
        <v>#N/A</v>
      </c>
      <c r="V26" s="175" t="e">
        <f t="shared" si="11"/>
        <v>#N/A</v>
      </c>
      <c r="W26" s="175" t="e">
        <f t="shared" si="11"/>
        <v>#N/A</v>
      </c>
      <c r="X26" s="175" t="e">
        <f t="shared" si="11"/>
        <v>#N/A</v>
      </c>
      <c r="Y26" s="175" t="e">
        <f t="shared" si="11"/>
        <v>#N/A</v>
      </c>
      <c r="Z26" s="175" t="e">
        <f t="shared" si="11"/>
        <v>#N/A</v>
      </c>
      <c r="AA26" s="175" t="e">
        <f t="shared" si="11"/>
        <v>#N/A</v>
      </c>
      <c r="AB26" s="175" t="e">
        <f t="shared" si="11"/>
        <v>#N/A</v>
      </c>
      <c r="AC26" s="175" t="e">
        <f t="shared" si="11"/>
        <v>#N/A</v>
      </c>
      <c r="AD26" s="175" t="e">
        <f t="shared" si="11"/>
        <v>#N/A</v>
      </c>
      <c r="AE26" s="175" t="e">
        <f t="shared" si="11"/>
        <v>#N/A</v>
      </c>
      <c r="AF26" s="175" t="e">
        <f t="shared" si="11"/>
        <v>#N/A</v>
      </c>
      <c r="AG26" s="175" t="e">
        <f t="shared" si="11"/>
        <v>#N/A</v>
      </c>
      <c r="AH26" s="175" t="e">
        <f t="shared" si="11"/>
        <v>#N/A</v>
      </c>
      <c r="AI26" s="175" t="e">
        <f t="shared" ref="AI26:BK26" si="12">+AI15-AI24</f>
        <v>#N/A</v>
      </c>
      <c r="AJ26" s="175" t="e">
        <f t="shared" si="12"/>
        <v>#N/A</v>
      </c>
      <c r="AK26" s="175" t="e">
        <f t="shared" si="12"/>
        <v>#N/A</v>
      </c>
      <c r="AL26" s="175" t="e">
        <f t="shared" si="12"/>
        <v>#N/A</v>
      </c>
      <c r="AM26" s="175" t="e">
        <f t="shared" si="12"/>
        <v>#N/A</v>
      </c>
      <c r="AN26" s="175" t="e">
        <f t="shared" si="12"/>
        <v>#N/A</v>
      </c>
      <c r="AO26" s="175" t="e">
        <f t="shared" si="12"/>
        <v>#N/A</v>
      </c>
      <c r="AP26" s="175" t="e">
        <f t="shared" si="12"/>
        <v>#N/A</v>
      </c>
      <c r="AQ26" s="175" t="e">
        <f t="shared" si="12"/>
        <v>#N/A</v>
      </c>
      <c r="AR26" s="175" t="e">
        <f t="shared" si="12"/>
        <v>#N/A</v>
      </c>
      <c r="AS26" s="175" t="e">
        <f t="shared" si="12"/>
        <v>#N/A</v>
      </c>
      <c r="AT26" s="175" t="e">
        <f t="shared" si="12"/>
        <v>#N/A</v>
      </c>
      <c r="AU26" s="175" t="e">
        <f t="shared" si="12"/>
        <v>#N/A</v>
      </c>
      <c r="AV26" s="175" t="e">
        <f t="shared" si="12"/>
        <v>#N/A</v>
      </c>
      <c r="AW26" s="175" t="e">
        <f t="shared" si="12"/>
        <v>#N/A</v>
      </c>
      <c r="AX26" s="175" t="e">
        <f t="shared" si="12"/>
        <v>#N/A</v>
      </c>
      <c r="AY26" s="175" t="e">
        <f t="shared" si="12"/>
        <v>#N/A</v>
      </c>
      <c r="AZ26" s="175" t="e">
        <f t="shared" si="12"/>
        <v>#N/A</v>
      </c>
      <c r="BA26" s="175" t="e">
        <f t="shared" si="12"/>
        <v>#N/A</v>
      </c>
      <c r="BB26" s="175" t="e">
        <f t="shared" si="12"/>
        <v>#N/A</v>
      </c>
      <c r="BC26" s="175" t="e">
        <f t="shared" si="12"/>
        <v>#N/A</v>
      </c>
      <c r="BD26" s="175" t="e">
        <f t="shared" si="12"/>
        <v>#N/A</v>
      </c>
      <c r="BE26" s="175" t="e">
        <f t="shared" si="12"/>
        <v>#N/A</v>
      </c>
      <c r="BF26" s="175" t="e">
        <f t="shared" si="12"/>
        <v>#N/A</v>
      </c>
      <c r="BG26" s="175" t="e">
        <f t="shared" si="12"/>
        <v>#N/A</v>
      </c>
      <c r="BH26" s="175" t="e">
        <f t="shared" si="12"/>
        <v>#N/A</v>
      </c>
      <c r="BI26" s="175" t="e">
        <f t="shared" si="12"/>
        <v>#N/A</v>
      </c>
      <c r="BJ26" s="175" t="e">
        <f t="shared" si="12"/>
        <v>#N/A</v>
      </c>
      <c r="BK26" s="175" t="e">
        <f t="shared" si="12"/>
        <v>#N/A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DB0A-42A2-634D-AFBD-D4C38C81B559}">
  <dimension ref="A1:BI71"/>
  <sheetViews>
    <sheetView zoomScale="205" zoomScaleNormal="205" workbookViewId="0">
      <selection activeCell="A38" sqref="A38:A52"/>
    </sheetView>
  </sheetViews>
  <sheetFormatPr baseColWidth="10" defaultColWidth="11.5" defaultRowHeight="13" x14ac:dyDescent="0.15"/>
  <cols>
    <col min="1" max="1" width="37.83203125" customWidth="1"/>
    <col min="2" max="6" width="16.5" customWidth="1"/>
    <col min="7" max="8" width="14.6640625" bestFit="1" customWidth="1"/>
  </cols>
  <sheetData>
    <row r="1" spans="1:61" s="309" customFormat="1" ht="28" x14ac:dyDescent="0.3">
      <c r="A1" s="304" t="s">
        <v>40</v>
      </c>
      <c r="B1" s="305"/>
      <c r="C1" s="305"/>
      <c r="D1" s="305"/>
      <c r="E1" s="305"/>
      <c r="F1" s="305"/>
      <c r="G1" s="306"/>
      <c r="H1" s="306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07"/>
      <c r="AR1" s="307"/>
      <c r="AS1" s="307"/>
      <c r="AT1" s="307"/>
      <c r="AU1" s="307"/>
      <c r="AV1" s="307"/>
      <c r="AW1" s="307"/>
      <c r="AX1" s="307"/>
      <c r="AY1" s="307"/>
      <c r="AZ1" s="307"/>
      <c r="BA1" s="307"/>
      <c r="BB1" s="307"/>
      <c r="BC1" s="307"/>
      <c r="BD1" s="307"/>
      <c r="BE1" s="307"/>
      <c r="BF1" s="308"/>
      <c r="BG1" s="308"/>
      <c r="BH1" s="308"/>
      <c r="BI1" s="308"/>
    </row>
    <row r="2" spans="1:61" s="309" customFormat="1" x14ac:dyDescent="0.15">
      <c r="A2" s="310" t="s">
        <v>28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1"/>
      <c r="AL2" s="311"/>
      <c r="AM2" s="311"/>
      <c r="AN2" s="311"/>
      <c r="AO2" s="311"/>
      <c r="AP2" s="311"/>
      <c r="AQ2" s="311"/>
      <c r="AR2" s="311"/>
      <c r="AS2" s="311"/>
      <c r="AT2" s="311"/>
      <c r="AU2" s="311"/>
      <c r="AV2" s="311"/>
      <c r="AW2" s="311"/>
      <c r="AX2" s="311"/>
      <c r="AY2" s="311"/>
      <c r="AZ2" s="311"/>
      <c r="BA2" s="311"/>
      <c r="BB2" s="311"/>
      <c r="BC2" s="311"/>
      <c r="BD2" s="311"/>
      <c r="BE2" s="311"/>
      <c r="BF2" s="311"/>
      <c r="BG2" s="311"/>
      <c r="BH2" s="311"/>
      <c r="BI2" s="311"/>
    </row>
    <row r="3" spans="1:61" s="309" customFormat="1" x14ac:dyDescent="0.15">
      <c r="A3" s="312" t="s">
        <v>319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1"/>
      <c r="AP3" s="311"/>
      <c r="AQ3" s="311"/>
      <c r="AR3" s="311"/>
      <c r="AS3" s="311"/>
      <c r="AT3" s="311"/>
      <c r="AU3" s="311"/>
      <c r="AV3" s="311"/>
      <c r="AW3" s="311"/>
      <c r="AX3" s="311"/>
      <c r="AY3" s="311"/>
      <c r="AZ3" s="311"/>
      <c r="BA3" s="311"/>
      <c r="BB3" s="311"/>
      <c r="BC3" s="311"/>
      <c r="BD3" s="311"/>
      <c r="BE3" s="311"/>
      <c r="BF3" s="311"/>
      <c r="BG3" s="311"/>
      <c r="BH3" s="311"/>
      <c r="BI3" s="311"/>
    </row>
    <row r="5" spans="1:61" s="309" customFormat="1" x14ac:dyDescent="0.15">
      <c r="A5" s="313" t="s">
        <v>320</v>
      </c>
      <c r="B5" s="313" t="s">
        <v>28</v>
      </c>
      <c r="C5" s="313" t="s">
        <v>321</v>
      </c>
      <c r="D5" s="314" t="s">
        <v>322</v>
      </c>
      <c r="E5" s="314"/>
      <c r="F5" s="314"/>
    </row>
    <row r="6" spans="1:61" x14ac:dyDescent="0.15">
      <c r="A6" s="315"/>
      <c r="B6" s="315"/>
      <c r="C6" s="315"/>
      <c r="D6" s="316" t="str">
        <f>A1&amp;" can be valued between EUR "&amp;ROUND(B13/10^6,2)&amp;" Million and EUR "&amp;ROUND(B14/10^6,2)&amp;" Million"</f>
        <v>Brevo Motors can be valued between EUR 5,72 Million and EUR 6,36 Million</v>
      </c>
      <c r="E6" s="316"/>
      <c r="F6" s="316"/>
    </row>
    <row r="7" spans="1:61" x14ac:dyDescent="0.15">
      <c r="A7" s="317" t="s">
        <v>323</v>
      </c>
      <c r="B7" s="318">
        <f>B34</f>
        <v>5717526.3876515077</v>
      </c>
      <c r="C7" s="315"/>
      <c r="D7" s="316"/>
      <c r="E7" s="316"/>
      <c r="F7" s="316"/>
    </row>
    <row r="8" spans="1:61" x14ac:dyDescent="0.15">
      <c r="A8" s="317" t="s">
        <v>324</v>
      </c>
      <c r="B8" s="318">
        <f>B71</f>
        <v>6358168.7477466837</v>
      </c>
      <c r="C8" s="315"/>
      <c r="D8" s="192" t="s">
        <v>206</v>
      </c>
      <c r="E8" s="316"/>
      <c r="F8" s="316"/>
    </row>
    <row r="9" spans="1:61" x14ac:dyDescent="0.15">
      <c r="A9" s="317" t="s">
        <v>325</v>
      </c>
      <c r="B9" s="318"/>
      <c r="C9" s="315"/>
      <c r="D9" s="316"/>
      <c r="E9" s="316"/>
      <c r="F9" s="316"/>
    </row>
    <row r="10" spans="1:61" x14ac:dyDescent="0.15">
      <c r="A10" s="317" t="s">
        <v>326</v>
      </c>
      <c r="B10" s="318"/>
      <c r="C10" s="315"/>
      <c r="D10" s="316"/>
      <c r="E10" s="316"/>
      <c r="F10" s="316"/>
    </row>
    <row r="11" spans="1:61" x14ac:dyDescent="0.15">
      <c r="A11" s="315"/>
      <c r="B11" s="318"/>
      <c r="C11" s="315"/>
      <c r="D11" s="316"/>
      <c r="E11" s="316"/>
      <c r="F11" s="316"/>
    </row>
    <row r="12" spans="1:61" x14ac:dyDescent="0.15">
      <c r="A12" s="319" t="s">
        <v>327</v>
      </c>
      <c r="B12" s="320">
        <f>AVERAGE(B7:B8)</f>
        <v>6037847.5676990952</v>
      </c>
      <c r="C12" s="321"/>
      <c r="D12" s="322"/>
      <c r="E12" s="322"/>
      <c r="F12" s="322"/>
    </row>
    <row r="13" spans="1:61" x14ac:dyDescent="0.15">
      <c r="A13" s="319" t="s">
        <v>328</v>
      </c>
      <c r="B13" s="320">
        <f>MIN(B7:B8)</f>
        <v>5717526.3876515077</v>
      </c>
      <c r="C13" s="321"/>
      <c r="D13" s="322"/>
      <c r="E13" s="322"/>
      <c r="F13" s="322"/>
    </row>
    <row r="14" spans="1:61" x14ac:dyDescent="0.15">
      <c r="A14" s="323" t="s">
        <v>329</v>
      </c>
      <c r="B14" s="324">
        <f>MAX(B7:B8)</f>
        <v>6358168.7477466837</v>
      </c>
      <c r="C14" s="325"/>
      <c r="D14" s="322"/>
      <c r="E14" s="322"/>
      <c r="F14" s="322"/>
    </row>
    <row r="16" spans="1:61" s="327" customFormat="1" x14ac:dyDescent="0.15">
      <c r="A16" s="326" t="s">
        <v>330</v>
      </c>
    </row>
    <row r="18" spans="1:7" x14ac:dyDescent="0.15">
      <c r="A18" s="18" t="s">
        <v>331</v>
      </c>
    </row>
    <row r="19" spans="1:7" x14ac:dyDescent="0.15">
      <c r="A19" s="328" t="s">
        <v>332</v>
      </c>
      <c r="B19" s="361">
        <v>3.5000000000000003E-2</v>
      </c>
      <c r="C19" s="329"/>
      <c r="D19" s="329"/>
      <c r="E19" s="329"/>
      <c r="F19" s="329"/>
    </row>
    <row r="20" spans="1:7" x14ac:dyDescent="0.15">
      <c r="A20" s="328" t="s">
        <v>333</v>
      </c>
      <c r="B20" s="362">
        <v>0.15</v>
      </c>
      <c r="C20" s="329"/>
      <c r="D20" s="329"/>
      <c r="E20" s="329"/>
      <c r="F20" s="329"/>
    </row>
    <row r="22" spans="1:7" x14ac:dyDescent="0.15">
      <c r="B22" s="330" t="s">
        <v>43</v>
      </c>
      <c r="C22" s="330" t="s">
        <v>44</v>
      </c>
      <c r="D22" s="330" t="s">
        <v>45</v>
      </c>
      <c r="E22" s="330" t="s">
        <v>46</v>
      </c>
      <c r="F22" s="330" t="s">
        <v>47</v>
      </c>
    </row>
    <row r="23" spans="1:7" x14ac:dyDescent="0.15">
      <c r="A23" s="331" t="s">
        <v>334</v>
      </c>
      <c r="B23" s="332">
        <f>'[2]10 Annual P&amp;L'!B62</f>
        <v>-175154.1507711086</v>
      </c>
      <c r="C23" s="332">
        <f>'[2]10 Annual P&amp;L'!C62</f>
        <v>-52124.014343193317</v>
      </c>
      <c r="D23" s="332">
        <f>'[2]10 Annual P&amp;L'!D62</f>
        <v>459612.76162280422</v>
      </c>
      <c r="E23" s="332">
        <f>'[2]10 Annual P&amp;L'!E62</f>
        <v>2048229.7640318533</v>
      </c>
      <c r="F23" s="332">
        <f>'[2]10 Annual P&amp;L'!F62</f>
        <v>3295232.2092506499</v>
      </c>
      <c r="G23" s="333"/>
    </row>
    <row r="24" spans="1:7" x14ac:dyDescent="0.15">
      <c r="A24" s="331" t="s">
        <v>335</v>
      </c>
      <c r="B24" s="332">
        <f>-'[2]10 Annual P&amp;L'!B63</f>
        <v>0</v>
      </c>
      <c r="C24" s="332">
        <f>-'[2]10 Annual P&amp;L'!C63</f>
        <v>0</v>
      </c>
      <c r="D24" s="332">
        <f>-'[2]10 Annual P&amp;L'!D63</f>
        <v>-68941.91424342063</v>
      </c>
      <c r="E24" s="332">
        <f>-'[2]10 Annual P&amp;L'!E63</f>
        <v>-307234.46460477798</v>
      </c>
      <c r="F24" s="332">
        <f>-'[2]10 Annual P&amp;L'!F63</f>
        <v>-494284.83138759749</v>
      </c>
      <c r="G24" s="333"/>
    </row>
    <row r="25" spans="1:7" x14ac:dyDescent="0.15">
      <c r="A25" s="331" t="s">
        <v>336</v>
      </c>
      <c r="B25" s="332">
        <f>'[2]10 Annual P&amp;L'!B59</f>
        <v>11208.427260077844</v>
      </c>
      <c r="C25" s="332">
        <f>'[2]10 Annual P&amp;L'!C59</f>
        <v>29252.814444658376</v>
      </c>
      <c r="D25" s="332">
        <f>'[2]10 Annual P&amp;L'!D59</f>
        <v>70688.574653030766</v>
      </c>
      <c r="E25" s="332">
        <f>'[2]10 Annual P&amp;L'!E59</f>
        <v>256932.20486542955</v>
      </c>
      <c r="F25" s="332">
        <f>'[2]10 Annual P&amp;L'!F59</f>
        <v>304997.83520344354</v>
      </c>
      <c r="G25" s="333"/>
    </row>
    <row r="26" spans="1:7" x14ac:dyDescent="0.15">
      <c r="A26" s="331" t="s">
        <v>337</v>
      </c>
      <c r="B26" s="332">
        <f>'[2]12 Annual CFS'!B19</f>
        <v>-387500</v>
      </c>
      <c r="C26" s="332">
        <f>'[2]12 Annual CFS'!C19</f>
        <v>-215000</v>
      </c>
      <c r="D26" s="332">
        <f>'[2]12 Annual CFS'!D19</f>
        <v>-425000</v>
      </c>
      <c r="E26" s="334">
        <f>'[2]12 Annual CFS'!E19</f>
        <v>-1750000</v>
      </c>
      <c r="F26" s="332">
        <f>'[2]12 Annual CFS'!F19</f>
        <v>-850000</v>
      </c>
      <c r="G26" s="335" t="s">
        <v>338</v>
      </c>
    </row>
    <row r="27" spans="1:7" x14ac:dyDescent="0.15">
      <c r="A27" s="331" t="s">
        <v>339</v>
      </c>
      <c r="B27" s="332">
        <f>SUM('[2]12 Annual CFS'!B11:B12)</f>
        <v>-177788.068</v>
      </c>
      <c r="C27" s="332">
        <f>SUM('[2]12 Annual CFS'!C11:C12)</f>
        <v>-201512.22102000003</v>
      </c>
      <c r="D27" s="332">
        <f>SUM('[2]12 Annual CFS'!D11:D12)</f>
        <v>-614878.80284999998</v>
      </c>
      <c r="E27" s="332">
        <f>SUM('[2]12 Annual CFS'!E11:E12)</f>
        <v>-479574.0779902502</v>
      </c>
      <c r="F27" s="332">
        <f>SUM('[2]12 Annual CFS'!F11:F12)</f>
        <v>-808429.71759040595</v>
      </c>
      <c r="G27" s="333"/>
    </row>
    <row r="28" spans="1:7" x14ac:dyDescent="0.15">
      <c r="A28" s="336" t="s">
        <v>340</v>
      </c>
      <c r="B28" s="180">
        <f>SUM(B23:B27)</f>
        <v>-729233.79151103075</v>
      </c>
      <c r="C28" s="180">
        <f t="shared" ref="C28:D28" si="0">SUM(C23:C27)</f>
        <v>-439383.42091853498</v>
      </c>
      <c r="D28" s="180">
        <f t="shared" si="0"/>
        <v>-578519.38081758562</v>
      </c>
      <c r="E28" s="180">
        <f>SUM(E23:E27)</f>
        <v>-231646.57369774533</v>
      </c>
      <c r="F28" s="180">
        <f>SUM(F23:F27)</f>
        <v>1447515.4954760899</v>
      </c>
      <c r="G28" s="333"/>
    </row>
    <row r="29" spans="1:7" x14ac:dyDescent="0.15">
      <c r="B29" s="333"/>
      <c r="C29" s="333"/>
      <c r="D29" s="333"/>
      <c r="E29" s="333"/>
      <c r="F29" s="333"/>
      <c r="G29" s="333"/>
    </row>
    <row r="30" spans="1:7" x14ac:dyDescent="0.15">
      <c r="A30" s="337" t="s">
        <v>341</v>
      </c>
      <c r="B30" s="332">
        <f>F28*(1+B19)/(B20-B19)</f>
        <v>13027639.459284808</v>
      </c>
      <c r="C30" s="137"/>
      <c r="D30" s="137"/>
      <c r="E30" s="137"/>
      <c r="F30" s="137"/>
      <c r="G30" s="333"/>
    </row>
    <row r="31" spans="1:7" x14ac:dyDescent="0.15">
      <c r="B31" s="137"/>
      <c r="C31" s="137"/>
      <c r="D31" s="137"/>
      <c r="E31" s="137"/>
      <c r="F31" s="137"/>
      <c r="G31" s="333"/>
    </row>
    <row r="32" spans="1:7" x14ac:dyDescent="0.15">
      <c r="A32" s="338" t="s">
        <v>342</v>
      </c>
      <c r="B32" s="339">
        <f>B28</f>
        <v>-729233.79151103075</v>
      </c>
      <c r="C32" s="339">
        <f t="shared" ref="C32:E32" si="1">C28</f>
        <v>-439383.42091853498</v>
      </c>
      <c r="D32" s="339">
        <f t="shared" si="1"/>
        <v>-578519.38081758562</v>
      </c>
      <c r="E32" s="339">
        <f t="shared" si="1"/>
        <v>-231646.57369774533</v>
      </c>
      <c r="F32" s="339">
        <f>F28+B30</f>
        <v>14475154.954760898</v>
      </c>
      <c r="G32" s="333"/>
    </row>
    <row r="33" spans="1:8" x14ac:dyDescent="0.15">
      <c r="B33" s="137"/>
      <c r="C33" s="137"/>
      <c r="D33" s="137"/>
      <c r="E33" s="137"/>
      <c r="F33" s="137"/>
    </row>
    <row r="34" spans="1:8" x14ac:dyDescent="0.15">
      <c r="A34" s="340" t="s">
        <v>343</v>
      </c>
      <c r="B34" s="341">
        <f>NPV(B20,B32:F32)</f>
        <v>5717526.3876515077</v>
      </c>
      <c r="C34" s="137"/>
      <c r="D34" s="137"/>
      <c r="E34" s="137"/>
      <c r="F34" s="137"/>
    </row>
    <row r="35" spans="1:8" x14ac:dyDescent="0.15">
      <c r="A35" s="342"/>
      <c r="B35" s="343"/>
    </row>
    <row r="36" spans="1:8" x14ac:dyDescent="0.15">
      <c r="C36" s="496" t="s">
        <v>333</v>
      </c>
      <c r="D36" s="497"/>
      <c r="E36" s="497"/>
      <c r="F36" s="497"/>
      <c r="G36" s="497"/>
      <c r="H36" s="497"/>
    </row>
    <row r="37" spans="1:8" x14ac:dyDescent="0.15">
      <c r="A37" s="367" t="s">
        <v>344</v>
      </c>
      <c r="B37" s="365">
        <f>B34</f>
        <v>5717526.3876515077</v>
      </c>
      <c r="C37" s="344">
        <v>0.05</v>
      </c>
      <c r="D37" s="344">
        <v>0.1</v>
      </c>
      <c r="E37" s="363">
        <v>0.15</v>
      </c>
      <c r="F37" s="344">
        <v>0.2</v>
      </c>
      <c r="G37" s="344">
        <v>0.25</v>
      </c>
      <c r="H37" s="344">
        <v>0.3</v>
      </c>
    </row>
    <row r="38" spans="1:8" x14ac:dyDescent="0.15">
      <c r="A38" s="498" t="s">
        <v>345</v>
      </c>
      <c r="B38" s="345">
        <v>5.0000000000000001E-3</v>
      </c>
      <c r="C38" s="137">
        <v>24680514.474987615</v>
      </c>
      <c r="D38" s="137">
        <v>8788145.076926494</v>
      </c>
      <c r="E38" s="137">
        <v>4228551.8462698068</v>
      </c>
      <c r="F38" s="137">
        <v>2220514.293269807</v>
      </c>
      <c r="G38" s="137">
        <v>1164332.7972136489</v>
      </c>
      <c r="H38" s="137">
        <v>552650.74681974552</v>
      </c>
    </row>
    <row r="39" spans="1:8" x14ac:dyDescent="0.15">
      <c r="A39" s="498"/>
      <c r="B39" s="345">
        <v>0.01</v>
      </c>
      <c r="C39" s="137">
        <v>27988499.420620326</v>
      </c>
      <c r="D39" s="137">
        <v>9366316.1647976078</v>
      </c>
      <c r="E39" s="137">
        <v>4432399.5513399206</v>
      </c>
      <c r="F39" s="137">
        <v>2314720.6111286138</v>
      </c>
      <c r="G39" s="137">
        <v>1214749.6634506392</v>
      </c>
      <c r="H39" s="137">
        <v>582271.7527251608</v>
      </c>
    </row>
    <row r="40" spans="1:8" x14ac:dyDescent="0.15">
      <c r="A40" s="498"/>
      <c r="B40" s="345">
        <v>1.4999999999999999E-2</v>
      </c>
      <c r="C40" s="137">
        <v>32241622.922148094</v>
      </c>
      <c r="D40" s="137">
        <v>10012507.38065356</v>
      </c>
      <c r="E40" s="137">
        <v>4651347.0864152284</v>
      </c>
      <c r="F40" s="137">
        <v>2414019.1623851955</v>
      </c>
      <c r="G40" s="137">
        <v>1267311.9282509056</v>
      </c>
      <c r="H40" s="137">
        <v>612932.09217111755</v>
      </c>
    </row>
    <row r="41" spans="1:8" x14ac:dyDescent="0.15">
      <c r="A41" s="498"/>
      <c r="B41" s="345">
        <v>0.02</v>
      </c>
      <c r="C41" s="137">
        <v>37912454.257518455</v>
      </c>
      <c r="D41" s="137">
        <v>10739472.498491507</v>
      </c>
      <c r="E41" s="137">
        <v>4887136.7395732524</v>
      </c>
      <c r="F41" s="137">
        <v>2518834.2998226965</v>
      </c>
      <c r="G41" s="137">
        <v>1322159.5089120537</v>
      </c>
      <c r="H41" s="137">
        <v>644687.44374014402</v>
      </c>
    </row>
    <row r="42" spans="1:8" x14ac:dyDescent="0.15">
      <c r="A42" s="498"/>
      <c r="B42" s="345">
        <v>2.5000000000000001E-2</v>
      </c>
      <c r="C42" s="137">
        <v>45851618.127036959</v>
      </c>
      <c r="D42" s="366">
        <v>11563366.298707841</v>
      </c>
      <c r="E42" s="366">
        <v>5141789.5649839165</v>
      </c>
      <c r="F42" s="366">
        <v>2629638.8736851979</v>
      </c>
      <c r="G42" s="137">
        <v>1379444.7598248075</v>
      </c>
      <c r="H42" s="137">
        <v>677597.53536622575</v>
      </c>
    </row>
    <row r="43" spans="1:8" x14ac:dyDescent="0.15">
      <c r="A43" s="498"/>
      <c r="B43" s="345">
        <v>0.03</v>
      </c>
      <c r="C43" s="137">
        <v>57760363.931314722</v>
      </c>
      <c r="D43" s="366">
        <v>12504959.2132408</v>
      </c>
      <c r="E43" s="366">
        <v>5417663.4591788044</v>
      </c>
      <c r="F43" s="366">
        <v>2746961.3636572589</v>
      </c>
      <c r="G43" s="137">
        <v>1439333.8857790506</v>
      </c>
      <c r="H43" s="137">
        <v>711726.51927475492</v>
      </c>
    </row>
    <row r="44" spans="1:8" x14ac:dyDescent="0.15">
      <c r="A44" s="498"/>
      <c r="B44" s="364">
        <v>3.5000000000000003E-2</v>
      </c>
      <c r="C44" s="137">
        <v>77608273.605111003</v>
      </c>
      <c r="D44" s="366">
        <v>13591412.576163445</v>
      </c>
      <c r="E44" s="365">
        <v>5717526.3876515077</v>
      </c>
      <c r="F44" s="366">
        <v>2871394.3075670209</v>
      </c>
      <c r="G44" s="137">
        <v>1502008.5524753514</v>
      </c>
      <c r="H44" s="137">
        <v>747143.38936851174</v>
      </c>
    </row>
    <row r="45" spans="1:8" x14ac:dyDescent="0.15">
      <c r="A45" s="498"/>
      <c r="B45" s="345">
        <v>0.04</v>
      </c>
      <c r="C45" s="137">
        <v>117304092.95270354</v>
      </c>
      <c r="D45" s="366">
        <v>14858941.499573197</v>
      </c>
      <c r="E45" s="366">
        <v>6044649.5823490042</v>
      </c>
      <c r="F45" s="366">
        <v>3003604.3104711431</v>
      </c>
      <c r="G45" s="137">
        <v>1567667.7271095719</v>
      </c>
      <c r="H45" s="137">
        <v>783922.44677356724</v>
      </c>
    </row>
    <row r="46" spans="1:8" x14ac:dyDescent="0.15">
      <c r="A46" s="498"/>
      <c r="B46" s="345">
        <v>4.4999999999999998E-2</v>
      </c>
      <c r="C46" s="137">
        <v>236391550.9954809</v>
      </c>
      <c r="D46" s="366">
        <v>16356930.227239262</v>
      </c>
      <c r="E46" s="366">
        <v>6402927.3670176873</v>
      </c>
      <c r="F46" s="366">
        <v>3144343.9909819816</v>
      </c>
      <c r="G46" s="137">
        <v>1636529.7883113138</v>
      </c>
      <c r="H46" s="137">
        <v>822143.82015529159</v>
      </c>
    </row>
    <row r="47" spans="1:8" x14ac:dyDescent="0.15">
      <c r="A47" s="498"/>
      <c r="B47" s="345">
        <v>0.05</v>
      </c>
      <c r="C47" s="137">
        <v>236391550.9954809</v>
      </c>
      <c r="D47" s="137">
        <v>18154516.700438552</v>
      </c>
      <c r="E47" s="137">
        <v>6797032.9301532414</v>
      </c>
      <c r="F47" s="137">
        <v>3294466.3168602106</v>
      </c>
      <c r="G47" s="137">
        <v>1708834.9525731443</v>
      </c>
      <c r="H47" s="137">
        <v>861894.04847228434</v>
      </c>
    </row>
    <row r="48" spans="1:8" x14ac:dyDescent="0.15">
      <c r="A48" s="498"/>
      <c r="B48" s="345">
        <v>5.5E-2</v>
      </c>
      <c r="C48" s="137">
        <v>-239958281.17562944</v>
      </c>
      <c r="D48" s="137">
        <v>20351566.834348783</v>
      </c>
      <c r="E48" s="137">
        <v>7232623.2894083261</v>
      </c>
      <c r="F48" s="137">
        <v>3454941.9065921097</v>
      </c>
      <c r="G48" s="137">
        <v>1784848.0739766068</v>
      </c>
      <c r="H48" s="137">
        <v>903266.73508793046</v>
      </c>
    </row>
    <row r="49" spans="1:8" x14ac:dyDescent="0.15">
      <c r="A49" s="498"/>
      <c r="B49" s="345">
        <v>0.06</v>
      </c>
      <c r="C49" s="137">
        <v>-120870823.13285175</v>
      </c>
      <c r="D49" s="137">
        <v>23097879.501736581</v>
      </c>
      <c r="E49" s="137">
        <v>7716612.5774695342</v>
      </c>
      <c r="F49" s="137">
        <v>3626880.0384477163</v>
      </c>
      <c r="G49" s="137">
        <v>1864861.8859802517</v>
      </c>
      <c r="H49" s="137">
        <v>946363.28364589531</v>
      </c>
    </row>
    <row r="50" spans="1:8" x14ac:dyDescent="0.15">
      <c r="A50" s="498"/>
      <c r="B50" s="345">
        <v>6.5000000000000002E-2</v>
      </c>
      <c r="C50" s="137">
        <v>-81175003.785259143</v>
      </c>
      <c r="D50" s="137">
        <v>26628852.931235168</v>
      </c>
      <c r="E50" s="137">
        <v>8257541.7817732329</v>
      </c>
      <c r="F50" s="137">
        <v>3811554.3282185527</v>
      </c>
      <c r="G50" s="137">
        <v>1949200.7689030119</v>
      </c>
      <c r="H50" s="137">
        <v>991293.72788717679</v>
      </c>
    </row>
    <row r="51" spans="1:8" x14ac:dyDescent="0.15">
      <c r="A51" s="498"/>
      <c r="B51" s="345">
        <v>7.0000000000000007E-2</v>
      </c>
      <c r="C51" s="137">
        <v>-61327094.111462861</v>
      </c>
      <c r="D51" s="137">
        <v>31336817.503899969</v>
      </c>
      <c r="E51" s="137">
        <v>8866087.1366149001</v>
      </c>
      <c r="F51" s="137">
        <v>4010434.3325871462</v>
      </c>
      <c r="G51" s="137">
        <v>2038225.1453214816</v>
      </c>
      <c r="H51" s="137">
        <v>1038177.6697041671</v>
      </c>
    </row>
    <row r="52" spans="1:8" x14ac:dyDescent="0.15">
      <c r="A52" s="498"/>
      <c r="B52" s="345">
        <v>7.4999999999999997E-2</v>
      </c>
      <c r="C52" s="137">
        <v>-49418348.307185128</v>
      </c>
      <c r="D52" s="137">
        <v>37927967.905630663</v>
      </c>
      <c r="E52" s="137">
        <v>9555771.8721021172</v>
      </c>
      <c r="F52" s="137">
        <v>4225224.7373052277</v>
      </c>
      <c r="G52" s="137">
        <v>2132336.6289638635</v>
      </c>
      <c r="H52" s="137">
        <v>1087145.3422685787</v>
      </c>
    </row>
    <row r="55" spans="1:8" s="327" customFormat="1" x14ac:dyDescent="0.15">
      <c r="A55" s="326" t="s">
        <v>346</v>
      </c>
    </row>
    <row r="57" spans="1:8" x14ac:dyDescent="0.15">
      <c r="A57" s="346" t="s">
        <v>347</v>
      </c>
      <c r="B57" s="288" t="s">
        <v>325</v>
      </c>
      <c r="C57" s="347" t="s">
        <v>326</v>
      </c>
      <c r="D57" s="347" t="s">
        <v>348</v>
      </c>
    </row>
    <row r="58" spans="1:8" x14ac:dyDescent="0.15">
      <c r="A58" s="348" t="s">
        <v>349</v>
      </c>
      <c r="B58" s="349">
        <v>0.87</v>
      </c>
      <c r="C58" s="350">
        <v>6.24</v>
      </c>
      <c r="D58" s="348" t="s">
        <v>350</v>
      </c>
      <c r="E58" s="351" t="s">
        <v>39</v>
      </c>
    </row>
    <row r="59" spans="1:8" x14ac:dyDescent="0.15">
      <c r="A59" s="317" t="s">
        <v>351</v>
      </c>
      <c r="B59" s="349">
        <v>0.64</v>
      </c>
      <c r="C59" s="350">
        <v>4.6399999999999997</v>
      </c>
      <c r="D59" s="317" t="s">
        <v>352</v>
      </c>
      <c r="E59" s="351" t="s">
        <v>39</v>
      </c>
    </row>
    <row r="60" spans="1:8" x14ac:dyDescent="0.15">
      <c r="A60" s="317" t="s">
        <v>353</v>
      </c>
      <c r="B60" s="349">
        <v>2.02</v>
      </c>
      <c r="C60" s="350">
        <v>1.54</v>
      </c>
      <c r="D60" s="317" t="s">
        <v>354</v>
      </c>
      <c r="E60" s="351" t="s">
        <v>39</v>
      </c>
      <c r="F60" s="352" t="s">
        <v>355</v>
      </c>
    </row>
    <row r="61" spans="1:8" x14ac:dyDescent="0.15">
      <c r="A61" s="317" t="s">
        <v>356</v>
      </c>
      <c r="B61" s="349">
        <v>0.74</v>
      </c>
      <c r="C61" s="350">
        <v>0.78</v>
      </c>
      <c r="D61" s="317" t="s">
        <v>352</v>
      </c>
      <c r="E61" s="353" t="s">
        <v>39</v>
      </c>
    </row>
    <row r="62" spans="1:8" x14ac:dyDescent="0.15">
      <c r="A62" s="317" t="s">
        <v>357</v>
      </c>
      <c r="B62" s="349">
        <v>1.89</v>
      </c>
      <c r="C62" s="350">
        <v>9.74</v>
      </c>
      <c r="D62" s="317" t="s">
        <v>354</v>
      </c>
      <c r="E62" s="353" t="s">
        <v>39</v>
      </c>
      <c r="F62" s="352" t="s">
        <v>358</v>
      </c>
    </row>
    <row r="63" spans="1:8" x14ac:dyDescent="0.15">
      <c r="A63" s="354" t="s">
        <v>359</v>
      </c>
      <c r="B63" s="355">
        <v>1.34</v>
      </c>
      <c r="C63" s="356">
        <v>10.19</v>
      </c>
      <c r="D63" s="354" t="s">
        <v>360</v>
      </c>
      <c r="E63" s="351" t="s">
        <v>39</v>
      </c>
    </row>
    <row r="65" spans="1:3" x14ac:dyDescent="0.15">
      <c r="A65" s="89" t="s">
        <v>361</v>
      </c>
      <c r="B65" s="357">
        <f>MEDIAN(B58:B63)</f>
        <v>1.105</v>
      </c>
      <c r="C65" s="357">
        <f>MEDIAN(C58:C63)</f>
        <v>5.4399999999999995</v>
      </c>
    </row>
    <row r="67" spans="1:3" x14ac:dyDescent="0.15">
      <c r="A67" s="89" t="s">
        <v>362</v>
      </c>
      <c r="B67" s="137">
        <f>'[2]10 Annual P&amp;L'!F13</f>
        <v>11573346.9774825</v>
      </c>
      <c r="C67" s="137"/>
    </row>
    <row r="68" spans="1:3" x14ac:dyDescent="0.15">
      <c r="A68" s="266" t="s">
        <v>363</v>
      </c>
      <c r="B68" s="333"/>
      <c r="C68" s="137">
        <f>'[2]10 Annual P&amp;L'!F56</f>
        <v>3614121.8461921411</v>
      </c>
    </row>
    <row r="69" spans="1:3" x14ac:dyDescent="0.15">
      <c r="A69" s="266"/>
      <c r="B69" s="333"/>
      <c r="C69" s="137"/>
    </row>
    <row r="70" spans="1:3" x14ac:dyDescent="0.15">
      <c r="A70" s="358" t="s">
        <v>364</v>
      </c>
      <c r="B70" s="359">
        <f>B65*B67</f>
        <v>12788548.410118163</v>
      </c>
      <c r="C70" s="359">
        <f>C65*C68</f>
        <v>19660822.843285244</v>
      </c>
    </row>
    <row r="71" spans="1:3" x14ac:dyDescent="0.15">
      <c r="A71" s="90" t="s">
        <v>365</v>
      </c>
      <c r="B71" s="360">
        <f>B70/(1+$B$20)^5</f>
        <v>6358168.7477466837</v>
      </c>
      <c r="C71" s="360">
        <f t="shared" ref="C71" si="2">C70/(1+$B$20)^5</f>
        <v>9774903.7145025991</v>
      </c>
    </row>
  </sheetData>
  <mergeCells count="2">
    <mergeCell ref="C36:H36"/>
    <mergeCell ref="A38:A52"/>
  </mergeCells>
  <hyperlinks>
    <hyperlink ref="E58" r:id="rId1" xr:uid="{83920B54-BEDD-CC4A-A8A2-83ABF971DB34}"/>
    <hyperlink ref="E59" r:id="rId2" xr:uid="{6E1B031E-9453-FD48-A4D5-09654109CDF7}"/>
    <hyperlink ref="E60" r:id="rId3" xr:uid="{7166819A-5C41-4941-B529-7404668CF4A5}"/>
    <hyperlink ref="E61" r:id="rId4" xr:uid="{5F28C57C-EE59-FF4D-B073-CC990984D673}"/>
    <hyperlink ref="E62" r:id="rId5" xr:uid="{73768445-98C2-B140-B8CD-498F19E1598B}"/>
    <hyperlink ref="E63" r:id="rId6" xr:uid="{0C4FAF86-44A8-3042-87D5-956913518E3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DATA Raw</vt:lpstr>
      <vt:lpstr>Competitors</vt:lpstr>
      <vt:lpstr>Controls</vt:lpstr>
      <vt:lpstr>Revenue Asumptions</vt:lpstr>
      <vt:lpstr>Expense Assumptions</vt:lpstr>
      <vt:lpstr>RH TIMELINE</vt:lpstr>
      <vt:lpstr>Payroll Assumptions</vt:lpstr>
      <vt:lpstr>Debt Schedule</vt:lpstr>
      <vt:lpstr>Fixed Asset Schedules</vt:lpstr>
      <vt:lpstr>Working Capital Schedule</vt:lpstr>
      <vt:lpstr>Monthly P&amp;L</vt:lpstr>
      <vt:lpstr>Annual P&amp;L</vt:lpstr>
      <vt:lpstr>Monthly CFS</vt:lpstr>
      <vt:lpstr>Annual CFS</vt:lpstr>
      <vt:lpstr> Balance Sheet</vt:lpstr>
      <vt:lpstr>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Payal</dc:creator>
  <cp:keywords/>
  <dc:description/>
  <cp:lastModifiedBy>Jean Claude havaux</cp:lastModifiedBy>
  <cp:revision/>
  <cp:lastPrinted>2025-10-13T09:02:22Z</cp:lastPrinted>
  <dcterms:created xsi:type="dcterms:W3CDTF">2020-12-14T04:31:14Z</dcterms:created>
  <dcterms:modified xsi:type="dcterms:W3CDTF">2026-07-02T21:21:16Z</dcterms:modified>
  <cp:category/>
  <cp:contentStatus/>
</cp:coreProperties>
</file>