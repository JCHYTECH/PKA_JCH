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Notes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</font>
    <font>
      <b val="1"/>
      <color rgb="00FFFFFF"/>
    </font>
    <font>
      <b val="1"/>
      <color rgb="001F4E5F"/>
      <sz val="13"/>
    </font>
    <font>
      <b val="1"/>
    </font>
    <font>
      <b val="1"/>
      <color rgb="00FFFFFF"/>
      <sz val="16"/>
    </font>
    <font>
      <b val="1"/>
      <color rgb="001F4E5F"/>
      <sz val="14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3F6F44"/>
      </patternFill>
    </fill>
    <fill>
      <patternFill patternType="solid">
        <fgColor rgb="00E8F3EA"/>
      </patternFill>
    </fill>
    <fill>
      <patternFill patternType="solid">
        <fgColor rgb="00EAF2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2" fontId="3" fillId="2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Autonomy by battery profile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'Scenarios'!F13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'Scenarios'!$A$14:$A$19</f>
            </numRef>
          </cat>
          <val>
            <numRef>
              <f>'Scenarios'!$F$14:$F$19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Battery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energy by event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'Events'!R4</f>
            </strRef>
          </tx>
          <spPr>
            <a:ln xmlns:a="http://schemas.openxmlformats.org/drawingml/2006/main">
              <a:prstDash val="solid"/>
            </a:ln>
          </spPr>
          <cat>
            <numRef>
              <f>'Events'!$A$5:$A$9</f>
            </numRef>
          </cat>
          <val>
            <numRef>
              <f>'Events'!$R$5:$R$9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Wh/day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tteryProfiles" displayName="BatteryProfiles" ref="A12:H18" headerRowCount="1">
  <autoFilter ref="A12:H18"/>
  <tableColumns count="8">
    <tableColumn id="1" name="Profile"/>
    <tableColumn id="2" name="Cells series"/>
    <tableColumn id="3" name="Cells parallel"/>
    <tableColumn id="4" name="Cell nominal V"/>
    <tableColumn id="5" name="Cell mAh"/>
    <tableColumn id="6" name="Total cells"/>
    <tableColumn id="7" name="Theoretical Wh"/>
    <tableColumn id="8" name="Usable Wh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aseLoads" displayName="BaseLoads" ref="A22:F26" headerRowCount="1">
  <autoFilter ref="A22:F26"/>
  <tableColumns count="6">
    <tableColumn id="1" name="Load"/>
    <tableColumn id="2" name="Current mA"/>
    <tableColumn id="3" name="Voltage V"/>
    <tableColumn id="4" name="Hours/day"/>
    <tableColumn id="5" name="Wh/day"/>
    <tableColumn id="6" name="Notes"/>
  </tableColumns>
  <tableStyleInfo name="TableStyleMedium2" showRowStripes="1"/>
</table>
</file>

<file path=xl/tables/table3.xml><?xml version="1.0" encoding="utf-8"?>
<table xmlns="http://schemas.openxmlformats.org/spreadsheetml/2006/main" id="3" name="EventModel" displayName="EventModel" ref="A4:S9" headerRowCount="1">
  <autoFilter ref="A4:S9"/>
  <tableColumns count="19">
    <tableColumn id="1" name="Event type"/>
    <tableColumn id="2" name="Events/day"/>
    <tableColumn id="3" name="ESP mA"/>
    <tableColumn id="4" name="ESP sec"/>
    <tableColumn id="5" name="Camera mA"/>
    <tableColumn id="6" name="Camera sec"/>
    <tableColumn id="7" name="IR mA"/>
    <tableColumn id="8" name="IR sec"/>
    <tableColumn id="9" name="SD mA"/>
    <tableColumn id="10" name="SD sec"/>
    <tableColumn id="11" name="Audio mA"/>
    <tableColumn id="12" name="Audio sec"/>
    <tableColumn id="13" name="LoRa mA"/>
    <tableColumn id="14" name="LoRa sec"/>
    <tableColumn id="15" name="Sensors mA"/>
    <tableColumn id="16" name="Sensors sec"/>
    <tableColumn id="17" name="Wh/event"/>
    <tableColumn id="18" name="Wh/day"/>
    <tableColumn id="19" name="Notes"/>
  </tableColumns>
  <tableStyleInfo name="TableStyleMedium7" showRowStripes="1"/>
</table>
</file>

<file path=xl/tables/table4.xml><?xml version="1.0" encoding="utf-8"?>
<table xmlns="http://schemas.openxmlformats.org/spreadsheetml/2006/main" id="4" name="ScenarioTable" displayName="ScenarioTable" ref="A13:I19" headerRowCount="1">
  <autoFilter ref="A13:I19"/>
  <tableColumns count="9">
    <tableColumn id="1" name="Battery profile"/>
    <tableColumn id="2" name="Cells"/>
    <tableColumn id="3" name="Nominal V"/>
    <tableColumn id="4" name="Cell mAh"/>
    <tableColumn id="5" name="Usable Wh"/>
    <tableColumn id="6" name="Autonomy days"/>
    <tableColumn id="7" name="Pass target?"/>
    <tableColumn id="8" name="Margin days"/>
    <tableColumn id="9" name="Daily Wh use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4" max="4"/>
    <col width="14" customWidth="1" min="5" max="5"/>
    <col width="16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WildNexus P0 - Autonomy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Satellite Lite energy model - editable hypotheses for 4 AA vs 8 AA, photo/audio/video events and 60-day target.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5" t="inlineStr">
        <is>
          <t>Target days</t>
        </is>
      </c>
      <c r="B4" s="6">
        <f>Inputs!B4</f>
        <v/>
      </c>
      <c r="C4" s="2" t="n"/>
      <c r="D4" s="7" t="inlineStr">
        <is>
          <t>Battery comparison</t>
        </is>
      </c>
      <c r="E4" s="2" t="n"/>
      <c r="F4" s="2" t="n"/>
      <c r="G4" s="2" t="n"/>
      <c r="H4" s="2" t="n"/>
    </row>
    <row r="5">
      <c r="A5" s="5" t="inlineStr">
        <is>
          <t>Total daily Wh</t>
        </is>
      </c>
      <c r="B5" s="6">
        <f>Scenarios!B9</f>
        <v/>
      </c>
      <c r="C5" s="2" t="n"/>
      <c r="D5" s="8" t="inlineStr">
        <is>
          <t>Battery profile</t>
        </is>
      </c>
      <c r="E5" s="8" t="inlineStr">
        <is>
          <t>Usable Wh</t>
        </is>
      </c>
      <c r="F5" s="8" t="inlineStr">
        <is>
          <t>Autonomy days</t>
        </is>
      </c>
      <c r="G5" s="8" t="inlineStr">
        <is>
          <t>Pass 60d?</t>
        </is>
      </c>
      <c r="H5" s="8" t="inlineStr">
        <is>
          <t>Margin days</t>
        </is>
      </c>
    </row>
    <row r="6">
      <c r="A6" s="5" t="inlineStr">
        <is>
          <t>Best battery</t>
        </is>
      </c>
      <c r="B6" s="6">
        <f>INDEX(Scenarios!A14:A19,MATCH(MAX(Scenarios!F14:F19),Scenarios!F14:F19,0))</f>
        <v/>
      </c>
      <c r="C6" s="2" t="n"/>
      <c r="D6" s="9">
        <f>Scenarios!A14</f>
        <v/>
      </c>
      <c r="E6" s="9">
        <f>Scenarios!E14</f>
        <v/>
      </c>
      <c r="F6" s="9">
        <f>Scenarios!F14</f>
        <v/>
      </c>
      <c r="G6" s="10">
        <f>Scenarios!G14</f>
        <v/>
      </c>
      <c r="H6" s="9">
        <f>Scenarios!H14</f>
        <v/>
      </c>
    </row>
    <row r="7">
      <c r="A7" s="5" t="inlineStr">
        <is>
          <t>Best autonomy days</t>
        </is>
      </c>
      <c r="B7" s="6">
        <f>MAX(Scenarios!F14:F19)</f>
        <v/>
      </c>
      <c r="C7" s="2" t="n"/>
      <c r="D7" s="11">
        <f>Scenarios!A15</f>
        <v/>
      </c>
      <c r="E7" s="11">
        <f>Scenarios!E15</f>
        <v/>
      </c>
      <c r="F7" s="11">
        <f>Scenarios!F15</f>
        <v/>
      </c>
      <c r="G7" s="12">
        <f>Scenarios!G15</f>
        <v/>
      </c>
      <c r="H7" s="11">
        <f>Scenarios!H15</f>
        <v/>
      </c>
    </row>
    <row r="8">
      <c r="A8" s="5" t="inlineStr">
        <is>
          <t>Smallest PASS battery</t>
        </is>
      </c>
      <c r="B8" s="6">
        <f>IFERROR(INDEX(Scenarios!A14:A19,MATCH(TRUE,Scenarios!G14:G19,0)),"None")</f>
        <v/>
      </c>
      <c r="C8" s="2" t="n"/>
      <c r="D8" s="9">
        <f>Scenarios!A16</f>
        <v/>
      </c>
      <c r="E8" s="9">
        <f>Scenarios!E16</f>
        <v/>
      </c>
      <c r="F8" s="9">
        <f>Scenarios!F16</f>
        <v/>
      </c>
      <c r="G8" s="10">
        <f>Scenarios!G16</f>
        <v/>
      </c>
      <c r="H8" s="9">
        <f>Scenarios!H16</f>
        <v/>
      </c>
    </row>
    <row r="9">
      <c r="A9" s="5" t="inlineStr">
        <is>
          <t>Decision hint</t>
        </is>
      </c>
      <c r="B9" s="6">
        <f>IF(COUNTIF(Scenarios!G14:G19,TRUE)=0,"No battery passes 60d",IF(INDEX(Scenarios!F14:F19,1)&gt;=Inputs!B4,"4 AA may pass - verify M-02","8 AA likely safer"))</f>
        <v/>
      </c>
      <c r="C9" s="2" t="n"/>
      <c r="D9" s="11">
        <f>Scenarios!A17</f>
        <v/>
      </c>
      <c r="E9" s="11">
        <f>Scenarios!E17</f>
        <v/>
      </c>
      <c r="F9" s="11">
        <f>Scenarios!F17</f>
        <v/>
      </c>
      <c r="G9" s="12">
        <f>Scenarios!G17</f>
        <v/>
      </c>
      <c r="H9" s="11">
        <f>Scenarios!H17</f>
        <v/>
      </c>
    </row>
    <row r="10">
      <c r="A10" s="4" t="n"/>
      <c r="B10" s="2" t="n"/>
      <c r="C10" s="2" t="n"/>
      <c r="D10" s="9">
        <f>Scenarios!A18</f>
        <v/>
      </c>
      <c r="E10" s="9">
        <f>Scenarios!E18</f>
        <v/>
      </c>
      <c r="F10" s="9">
        <f>Scenarios!F18</f>
        <v/>
      </c>
      <c r="G10" s="10">
        <f>Scenarios!G18</f>
        <v/>
      </c>
      <c r="H10" s="9">
        <f>Scenarios!H18</f>
        <v/>
      </c>
    </row>
    <row r="11">
      <c r="A11" s="4" t="n"/>
      <c r="B11" s="2" t="n"/>
      <c r="C11" s="2" t="n"/>
      <c r="D11" s="11">
        <f>Scenarios!A19</f>
        <v/>
      </c>
      <c r="E11" s="11">
        <f>Scenarios!E19</f>
        <v/>
      </c>
      <c r="F11" s="11">
        <f>Scenarios!F19</f>
        <v/>
      </c>
      <c r="G11" s="12">
        <f>Scenarios!G19</f>
        <v/>
      </c>
      <c r="H11" s="11">
        <f>Scenarios!H19</f>
        <v/>
      </c>
    </row>
    <row r="12">
      <c r="A12" s="13" t="inlineStr">
        <is>
          <t>Main editable inputs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14" t="inlineStr">
        <is>
          <t>Days target</t>
        </is>
      </c>
      <c r="B13" s="6">
        <f>Inputs!B4</f>
        <v/>
      </c>
      <c r="C13" s="2" t="n"/>
      <c r="D13" s="2" t="n"/>
      <c r="E13" s="2" t="n"/>
      <c r="F13" s="2" t="n"/>
      <c r="G13" s="2" t="n"/>
      <c r="H13" s="2" t="n"/>
    </row>
    <row r="14">
      <c r="A14" s="14" t="inlineStr">
        <is>
          <t>System rail voltage</t>
        </is>
      </c>
      <c r="B14" s="6">
        <f>Inputs!B5</f>
        <v/>
      </c>
      <c r="C14" s="2" t="n"/>
      <c r="D14" s="7" t="inlineStr">
        <is>
          <t>Event mix Wh/day</t>
        </is>
      </c>
      <c r="E14" s="2" t="n"/>
      <c r="F14" s="2" t="n"/>
      <c r="G14" s="2" t="n"/>
      <c r="H14" s="2" t="n"/>
    </row>
    <row r="15">
      <c r="A15" s="14" t="inlineStr">
        <is>
          <t>Buck efficiency</t>
        </is>
      </c>
      <c r="B15" s="6">
        <f>Inputs!B6</f>
        <v/>
      </c>
      <c r="C15" s="2" t="n"/>
      <c r="D15" s="8" t="inlineStr">
        <is>
          <t>Event type</t>
        </is>
      </c>
      <c r="E15" s="8" t="inlineStr">
        <is>
          <t>Events/day</t>
        </is>
      </c>
      <c r="F15" s="8" t="inlineStr">
        <is>
          <t>Wh/event</t>
        </is>
      </c>
      <c r="G15" s="8" t="inlineStr">
        <is>
          <t>Wh/day</t>
        </is>
      </c>
      <c r="H15" s="2" t="n"/>
    </row>
    <row r="16">
      <c r="A16" s="14" t="inlineStr">
        <is>
          <t>Safety margin</t>
        </is>
      </c>
      <c r="B16" s="6">
        <f>Inputs!B7</f>
        <v/>
      </c>
      <c r="C16" s="2" t="n"/>
      <c r="D16" s="15">
        <f>Events!A5</f>
        <v/>
      </c>
      <c r="E16" s="15">
        <f>Events!B5</f>
        <v/>
      </c>
      <c r="F16" s="15">
        <f>Events!Q5</f>
        <v/>
      </c>
      <c r="G16" s="15">
        <f>Events!R5</f>
        <v/>
      </c>
      <c r="H16" s="2" t="n"/>
    </row>
    <row r="17">
      <c r="A17" s="14" t="inlineStr">
        <is>
          <t>Base load Wh/day</t>
        </is>
      </c>
      <c r="B17" s="6">
        <f>Scenarios!B5</f>
        <v/>
      </c>
      <c r="C17" s="2" t="n"/>
      <c r="D17" s="15">
        <f>Events!A6</f>
        <v/>
      </c>
      <c r="E17" s="15">
        <f>Events!B6</f>
        <v/>
      </c>
      <c r="F17" s="15">
        <f>Events!Q6</f>
        <v/>
      </c>
      <c r="G17" s="15">
        <f>Events!R6</f>
        <v/>
      </c>
      <c r="H17" s="2" t="n"/>
    </row>
    <row r="18">
      <c r="A18" s="14" t="inlineStr">
        <is>
          <t>Events Wh/day before margin</t>
        </is>
      </c>
      <c r="B18" s="6">
        <f>Scenarios!B6</f>
        <v/>
      </c>
      <c r="C18" s="2" t="n"/>
      <c r="D18" s="15">
        <f>Events!A7</f>
        <v/>
      </c>
      <c r="E18" s="15">
        <f>Events!B7</f>
        <v/>
      </c>
      <c r="F18" s="15">
        <f>Events!Q7</f>
        <v/>
      </c>
      <c r="G18" s="15">
        <f>Events!R7</f>
        <v/>
      </c>
      <c r="H18" s="2" t="n"/>
    </row>
    <row r="19">
      <c r="A19" s="14" t="inlineStr">
        <is>
          <t>Daily Wh after margin</t>
        </is>
      </c>
      <c r="B19" s="6">
        <f>Scenarios!B9</f>
        <v/>
      </c>
      <c r="C19" s="2" t="n"/>
      <c r="D19" s="15">
        <f>Events!A8</f>
        <v/>
      </c>
      <c r="E19" s="15">
        <f>Events!B8</f>
        <v/>
      </c>
      <c r="F19" s="15">
        <f>Events!Q8</f>
        <v/>
      </c>
      <c r="G19" s="15">
        <f>Events!R8</f>
        <v/>
      </c>
      <c r="H19" s="2" t="n"/>
    </row>
    <row r="20">
      <c r="A20" s="4" t="n"/>
      <c r="B20" s="2" t="n"/>
      <c r="C20" s="2" t="n"/>
      <c r="D20" s="15">
        <f>Events!A9</f>
        <v/>
      </c>
      <c r="E20" s="15">
        <f>Events!B9</f>
        <v/>
      </c>
      <c r="F20" s="15">
        <f>Events!Q9</f>
        <v/>
      </c>
      <c r="G20" s="15">
        <f>Events!R9</f>
        <v/>
      </c>
      <c r="H20" s="2" t="n"/>
    </row>
  </sheetData>
  <mergeCells count="2">
    <mergeCell ref="A2:H2"/>
    <mergeCell ref="A1:H1"/>
  </mergeCells>
  <conditionalFormatting sqref="G6:G1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4" customWidth="1" min="5" max="5"/>
    <col width="44" customWidth="1" min="6" max="6"/>
    <col width="14" customWidth="1" min="7" max="7"/>
    <col width="14" customWidth="1" min="8" max="8"/>
  </cols>
  <sheetData>
    <row r="1">
      <c r="A1" s="16" t="inlineStr">
        <is>
          <t>General 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</row>
    <row r="3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7" t="inlineStr">
        <is>
          <t>Target autonomy days</t>
        </is>
      </c>
      <c r="B4" s="6" t="n">
        <v>60</v>
      </c>
      <c r="C4" s="15" t="inlineStr">
        <is>
          <t>days</t>
        </is>
      </c>
      <c r="D4" s="2" t="n"/>
      <c r="E4" s="2" t="n"/>
      <c r="F4" s="2" t="n"/>
      <c r="G4" s="2" t="n"/>
      <c r="H4" s="2" t="n"/>
    </row>
    <row r="5">
      <c r="A5" s="17" t="inlineStr">
        <is>
          <t>System rail voltage</t>
        </is>
      </c>
      <c r="B5" s="6" t="n">
        <v>3.3</v>
      </c>
      <c r="C5" s="15" t="inlineStr">
        <is>
          <t>V</t>
        </is>
      </c>
      <c r="D5" s="2" t="n"/>
      <c r="E5" s="2" t="n"/>
      <c r="F5" s="2" t="n"/>
      <c r="G5" s="2" t="n"/>
      <c r="H5" s="2" t="n"/>
    </row>
    <row r="6">
      <c r="A6" s="17" t="inlineStr">
        <is>
          <t>Buck efficiency</t>
        </is>
      </c>
      <c r="B6" s="6" t="n">
        <v>0.9</v>
      </c>
      <c r="C6" s="15" t="inlineStr">
        <is>
          <t>0-1</t>
        </is>
      </c>
      <c r="D6" s="2" t="n"/>
      <c r="E6" s="2" t="n"/>
      <c r="F6" s="2" t="n"/>
      <c r="G6" s="2" t="n"/>
      <c r="H6" s="2" t="n"/>
    </row>
    <row r="7">
      <c r="A7" s="17" t="inlineStr">
        <is>
          <t>Safety margin on daily energy</t>
        </is>
      </c>
      <c r="B7" s="6" t="n">
        <v>0.3</v>
      </c>
      <c r="C7" s="15" t="inlineStr">
        <is>
          <t>0-1</t>
        </is>
      </c>
      <c r="D7" s="2" t="n"/>
      <c r="E7" s="2" t="n"/>
      <c r="F7" s="2" t="n"/>
      <c r="G7" s="2" t="n"/>
      <c r="H7" s="2" t="n"/>
    </row>
    <row r="8">
      <c r="A8" s="17" t="inlineStr">
        <is>
          <t>Usable capacity factor</t>
        </is>
      </c>
      <c r="B8" s="6" t="n">
        <v>0.85</v>
      </c>
      <c r="C8" s="15" t="inlineStr">
        <is>
          <t>0-1</t>
        </is>
      </c>
      <c r="D8" s="2" t="n"/>
      <c r="E8" s="2" t="n"/>
      <c r="F8" s="2" t="n"/>
      <c r="G8" s="2" t="n"/>
      <c r="H8" s="2" t="n"/>
    </row>
    <row r="9">
      <c r="A9" s="4" t="n"/>
      <c r="B9" s="2" t="n"/>
      <c r="C9" s="2" t="n"/>
      <c r="D9" s="2" t="n"/>
      <c r="E9" s="2" t="n"/>
      <c r="F9" s="2" t="n"/>
      <c r="G9" s="2" t="n"/>
      <c r="H9" s="2" t="n"/>
    </row>
    <row r="10">
      <c r="A10" s="4" t="n"/>
      <c r="B10" s="2" t="n"/>
      <c r="C10" s="2" t="n"/>
      <c r="D10" s="2" t="n"/>
      <c r="E10" s="2" t="n"/>
      <c r="F10" s="2" t="n"/>
      <c r="G10" s="2" t="n"/>
      <c r="H10" s="2" t="n"/>
    </row>
    <row r="11">
      <c r="A11" s="18" t="inlineStr">
        <is>
          <t>Battery profiles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19" t="inlineStr">
        <is>
          <t>Profile</t>
        </is>
      </c>
      <c r="B12" s="8" t="inlineStr">
        <is>
          <t>Cells series</t>
        </is>
      </c>
      <c r="C12" s="8" t="inlineStr">
        <is>
          <t>Cells parallel</t>
        </is>
      </c>
      <c r="D12" s="8" t="inlineStr">
        <is>
          <t>Cell nominal V</t>
        </is>
      </c>
      <c r="E12" s="8" t="inlineStr">
        <is>
          <t>Cell mAh</t>
        </is>
      </c>
      <c r="F12" s="8" t="inlineStr">
        <is>
          <t>Total cells</t>
        </is>
      </c>
      <c r="G12" s="8" t="inlineStr">
        <is>
          <t>Theoretical Wh</t>
        </is>
      </c>
      <c r="H12" s="8" t="inlineStr">
        <is>
          <t>Usable Wh</t>
        </is>
      </c>
    </row>
    <row r="13">
      <c r="A13" s="20" t="inlineStr">
        <is>
          <t>4 AA NiMH Eneloop Pro</t>
        </is>
      </c>
      <c r="B13" s="6" t="n">
        <v>4</v>
      </c>
      <c r="C13" s="6" t="n">
        <v>1</v>
      </c>
      <c r="D13" s="6" t="n">
        <v>1.2</v>
      </c>
      <c r="E13" s="6" t="n">
        <v>2500</v>
      </c>
      <c r="F13" s="15">
        <f>B13*C13</f>
        <v/>
      </c>
      <c r="G13" s="15">
        <f>F13*D13*E13/1000</f>
        <v/>
      </c>
      <c r="H13" s="15">
        <f>G13*$B$8</f>
        <v/>
      </c>
    </row>
    <row r="14">
      <c r="A14" s="20" t="inlineStr">
        <is>
          <t>8 AA NiMH Eneloop Pro</t>
        </is>
      </c>
      <c r="B14" s="6" t="n">
        <v>4</v>
      </c>
      <c r="C14" s="6" t="n">
        <v>2</v>
      </c>
      <c r="D14" s="6" t="n">
        <v>1.2</v>
      </c>
      <c r="E14" s="6" t="n">
        <v>2500</v>
      </c>
      <c r="F14" s="15">
        <f>B14*C14</f>
        <v/>
      </c>
      <c r="G14" s="15">
        <f>F14*D14*E14/1000</f>
        <v/>
      </c>
      <c r="H14" s="15">
        <f>G14*$B$8</f>
        <v/>
      </c>
    </row>
    <row r="15">
      <c r="A15" s="20" t="inlineStr">
        <is>
          <t>4 AA Lithium L91</t>
        </is>
      </c>
      <c r="B15" s="6" t="n">
        <v>4</v>
      </c>
      <c r="C15" s="6" t="n">
        <v>1</v>
      </c>
      <c r="D15" s="6" t="n">
        <v>1.5</v>
      </c>
      <c r="E15" s="6" t="n">
        <v>3000</v>
      </c>
      <c r="F15" s="15">
        <f>B15*C15</f>
        <v/>
      </c>
      <c r="G15" s="15">
        <f>F15*D15*E15/1000</f>
        <v/>
      </c>
      <c r="H15" s="15">
        <f>G15*$B$8</f>
        <v/>
      </c>
    </row>
    <row r="16">
      <c r="A16" s="20" t="inlineStr">
        <is>
          <t>8 AA Lithium L91</t>
        </is>
      </c>
      <c r="B16" s="6" t="n">
        <v>4</v>
      </c>
      <c r="C16" s="6" t="n">
        <v>2</v>
      </c>
      <c r="D16" s="6" t="n">
        <v>1.5</v>
      </c>
      <c r="E16" s="6" t="n">
        <v>3000</v>
      </c>
      <c r="F16" s="15">
        <f>B16*C16</f>
        <v/>
      </c>
      <c r="G16" s="15">
        <f>F16*D16*E16/1000</f>
        <v/>
      </c>
      <c r="H16" s="15">
        <f>G16*$B$8</f>
        <v/>
      </c>
    </row>
    <row r="17">
      <c r="A17" s="20" t="inlineStr">
        <is>
          <t>4 AA Alkaline conservative</t>
        </is>
      </c>
      <c r="B17" s="6" t="n">
        <v>4</v>
      </c>
      <c r="C17" s="6" t="n">
        <v>1</v>
      </c>
      <c r="D17" s="6" t="n">
        <v>1.5</v>
      </c>
      <c r="E17" s="6" t="n">
        <v>1800</v>
      </c>
      <c r="F17" s="15">
        <f>B17*C17</f>
        <v/>
      </c>
      <c r="G17" s="15">
        <f>F17*D17*E17/1000</f>
        <v/>
      </c>
      <c r="H17" s="15">
        <f>G17*$B$8</f>
        <v/>
      </c>
    </row>
    <row r="18">
      <c r="A18" s="20" t="inlineStr">
        <is>
          <t>8 AA Alkaline conservative</t>
        </is>
      </c>
      <c r="B18" s="6" t="n">
        <v>4</v>
      </c>
      <c r="C18" s="6" t="n">
        <v>2</v>
      </c>
      <c r="D18" s="6" t="n">
        <v>1.5</v>
      </c>
      <c r="E18" s="6" t="n">
        <v>1800</v>
      </c>
      <c r="F18" s="15">
        <f>B18*C18</f>
        <v/>
      </c>
      <c r="G18" s="15">
        <f>F18*D18*E18/1000</f>
        <v/>
      </c>
      <c r="H18" s="15">
        <f>G18*$B$8</f>
        <v/>
      </c>
    </row>
    <row r="19">
      <c r="A19" s="4" t="n"/>
      <c r="B19" s="2" t="n"/>
      <c r="C19" s="2" t="n"/>
      <c r="D19" s="2" t="n"/>
      <c r="E19" s="2" t="n"/>
      <c r="F19" s="2" t="n"/>
      <c r="G19" s="2" t="n"/>
      <c r="H19" s="2" t="n"/>
    </row>
    <row r="20">
      <c r="A20" s="4" t="n"/>
      <c r="B20" s="2" t="n"/>
      <c r="C20" s="2" t="n"/>
      <c r="D20" s="2" t="n"/>
      <c r="E20" s="2" t="n"/>
      <c r="F20" s="2" t="n"/>
      <c r="G20" s="2" t="n"/>
      <c r="H20" s="2" t="n"/>
    </row>
    <row r="21">
      <c r="A21" s="18" t="inlineStr">
        <is>
          <t>Base / standby loads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19" t="inlineStr">
        <is>
          <t>Load</t>
        </is>
      </c>
      <c r="B22" s="8" t="inlineStr">
        <is>
          <t>Current mA</t>
        </is>
      </c>
      <c r="C22" s="8" t="inlineStr">
        <is>
          <t>Voltage V</t>
        </is>
      </c>
      <c r="D22" s="8" t="inlineStr">
        <is>
          <t>Hours/day</t>
        </is>
      </c>
      <c r="E22" s="8" t="inlineStr">
        <is>
          <t>Wh/day</t>
        </is>
      </c>
      <c r="F22" s="8" t="inlineStr">
        <is>
          <t>Notes</t>
        </is>
      </c>
      <c r="G22" s="2" t="n"/>
      <c r="H22" s="2" t="n"/>
    </row>
    <row r="23">
      <c r="A23" s="20" t="inlineStr">
        <is>
          <t>Deep sleep board complete</t>
        </is>
      </c>
      <c r="B23" s="6" t="n">
        <v>0.1</v>
      </c>
      <c r="C23" s="6" t="n">
        <v>3.3</v>
      </c>
      <c r="D23" s="6" t="n">
        <v>24</v>
      </c>
      <c r="E23" s="15">
        <f>B23*C23*D23/1000</f>
        <v/>
      </c>
      <c r="F23" s="15" t="inlineStr">
        <is>
          <t>Target &lt;100 uA complete board</t>
        </is>
      </c>
      <c r="G23" s="2" t="n"/>
      <c r="H23" s="2" t="n"/>
    </row>
    <row r="24">
      <c r="A24" s="20" t="inlineStr">
        <is>
          <t>Always-on PIR standby</t>
        </is>
      </c>
      <c r="B24" s="6" t="n">
        <v>0.005</v>
      </c>
      <c r="C24" s="6" t="n">
        <v>3.3</v>
      </c>
      <c r="D24" s="6" t="n">
        <v>24</v>
      </c>
      <c r="E24" s="15">
        <f>B24*C24*D24/1000</f>
        <v/>
      </c>
      <c r="F24" s="15" t="inlineStr">
        <is>
          <t>Panasonic low-power class</t>
        </is>
      </c>
      <c r="G24" s="2" t="n"/>
      <c r="H24" s="2" t="n"/>
    </row>
    <row r="25">
      <c r="A25" s="20" t="inlineStr">
        <is>
          <t>Sensor standby / RTC margin</t>
        </is>
      </c>
      <c r="B25" s="6" t="n">
        <v>0.02</v>
      </c>
      <c r="C25" s="6" t="n">
        <v>3.3</v>
      </c>
      <c r="D25" s="6" t="n">
        <v>24</v>
      </c>
      <c r="E25" s="15">
        <f>B25*C25*D25/1000</f>
        <v/>
      </c>
      <c r="F25" s="15" t="inlineStr">
        <is>
          <t>Reserve for sensor block</t>
        </is>
      </c>
      <c r="G25" s="2" t="n"/>
      <c r="H25" s="2" t="n"/>
    </row>
    <row r="26">
      <c r="A26" s="20" t="inlineStr">
        <is>
          <t>Daily health heartbeat LoRa</t>
        </is>
      </c>
      <c r="B26" s="6" t="n">
        <v>120</v>
      </c>
      <c r="C26" s="6" t="n">
        <v>3.3</v>
      </c>
      <c r="D26" s="6" t="n">
        <v>0.0005555555555555556</v>
      </c>
      <c r="E26" s="15">
        <f>B26*C26*D26/1000</f>
        <v/>
      </c>
      <c r="F26" s="15" t="inlineStr">
        <is>
          <t>2 seconds/day equivalent</t>
        </is>
      </c>
      <c r="G26" s="2" t="n"/>
      <c r="H26" s="2" t="n"/>
    </row>
  </sheetData>
  <mergeCells count="1">
    <mergeCell ref="A1:D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  <col width="36" customWidth="1" min="19" max="19"/>
  </cols>
  <sheetData>
    <row r="1">
      <c r="A1" s="16" t="inlineStr">
        <is>
          <t>Event model - edit counts, durations and currents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4" t="n"/>
      <c r="K1" s="4" t="n"/>
      <c r="L1" s="4" t="n"/>
      <c r="M1" s="4" t="n"/>
      <c r="N1" s="4" t="n"/>
      <c r="O1" s="4" t="n"/>
      <c r="P1" s="4" t="n"/>
      <c r="Q1" s="2" t="n"/>
      <c r="R1" s="2" t="n"/>
      <c r="S1" s="4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4" t="n"/>
      <c r="K2" s="4" t="n"/>
      <c r="L2" s="4" t="n"/>
      <c r="M2" s="4" t="n"/>
      <c r="N2" s="4" t="n"/>
      <c r="O2" s="4" t="n"/>
      <c r="P2" s="4" t="n"/>
      <c r="Q2" s="2" t="n"/>
      <c r="R2" s="2" t="n"/>
      <c r="S2" s="4" t="n"/>
    </row>
    <row r="3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4" t="n"/>
      <c r="K3" s="4" t="n"/>
      <c r="L3" s="4" t="n"/>
      <c r="M3" s="4" t="n"/>
      <c r="N3" s="4" t="n"/>
      <c r="O3" s="4" t="n"/>
      <c r="P3" s="4" t="n"/>
      <c r="Q3" s="2" t="n"/>
      <c r="R3" s="2" t="n"/>
      <c r="S3" s="4" t="n"/>
    </row>
    <row r="4">
      <c r="A4" s="19" t="inlineStr">
        <is>
          <t>Event type</t>
        </is>
      </c>
      <c r="B4" s="8" t="inlineStr">
        <is>
          <t>Events/day</t>
        </is>
      </c>
      <c r="C4" s="8" t="inlineStr">
        <is>
          <t>ESP mA</t>
        </is>
      </c>
      <c r="D4" s="8" t="inlineStr">
        <is>
          <t>ESP sec</t>
        </is>
      </c>
      <c r="E4" s="8" t="inlineStr">
        <is>
          <t>Camera mA</t>
        </is>
      </c>
      <c r="F4" s="8" t="inlineStr">
        <is>
          <t>Camera sec</t>
        </is>
      </c>
      <c r="G4" s="8" t="inlineStr">
        <is>
          <t>IR mA</t>
        </is>
      </c>
      <c r="H4" s="8" t="inlineStr">
        <is>
          <t>IR sec</t>
        </is>
      </c>
      <c r="I4" s="8" t="inlineStr">
        <is>
          <t>SD mA</t>
        </is>
      </c>
      <c r="J4" s="8" t="inlineStr">
        <is>
          <t>SD sec</t>
        </is>
      </c>
      <c r="K4" s="8" t="inlineStr">
        <is>
          <t>Audio mA</t>
        </is>
      </c>
      <c r="L4" s="8" t="inlineStr">
        <is>
          <t>Audio sec</t>
        </is>
      </c>
      <c r="M4" s="8" t="inlineStr">
        <is>
          <t>LoRa mA</t>
        </is>
      </c>
      <c r="N4" s="8" t="inlineStr">
        <is>
          <t>LoRa sec</t>
        </is>
      </c>
      <c r="O4" s="8" t="inlineStr">
        <is>
          <t>Sensors mA</t>
        </is>
      </c>
      <c r="P4" s="8" t="inlineStr">
        <is>
          <t>Sensors sec</t>
        </is>
      </c>
      <c r="Q4" s="8" t="inlineStr">
        <is>
          <t>Wh/event</t>
        </is>
      </c>
      <c r="R4" s="8" t="inlineStr">
        <is>
          <t>Wh/day</t>
        </is>
      </c>
      <c r="S4" s="8" t="inlineStr">
        <is>
          <t>Notes</t>
        </is>
      </c>
    </row>
    <row r="5">
      <c r="A5" s="20" t="inlineStr">
        <is>
          <t>Photo standard</t>
        </is>
      </c>
      <c r="B5" s="6" t="n">
        <v>24</v>
      </c>
      <c r="C5" s="6" t="n">
        <v>220</v>
      </c>
      <c r="D5" s="6" t="n">
        <v>8</v>
      </c>
      <c r="E5" s="6" t="n">
        <v>80</v>
      </c>
      <c r="F5" s="6" t="n">
        <v>5</v>
      </c>
      <c r="G5" s="6" t="n">
        <v>400</v>
      </c>
      <c r="H5" s="6" t="n">
        <v>2</v>
      </c>
      <c r="I5" s="6" t="n">
        <v>80</v>
      </c>
      <c r="J5" s="6" t="n">
        <v>2</v>
      </c>
      <c r="K5" s="6" t="n">
        <v>8</v>
      </c>
      <c r="L5" s="6" t="n">
        <v>0</v>
      </c>
      <c r="M5" s="6" t="n">
        <v>120</v>
      </c>
      <c r="N5" s="6" t="n">
        <v>2</v>
      </c>
      <c r="O5" s="6" t="n">
        <v>5</v>
      </c>
      <c r="P5" s="6" t="n">
        <v>2</v>
      </c>
      <c r="Q5" s="15">
        <f>($C5*$D5+$E5*$F5+$G5*$H5+$I5*$J5+$K5*$L5+$M5*$N5+$O5*$P5)*Inputs!$B$5/3600000/Inputs!$B$6</f>
        <v/>
      </c>
      <c r="R5" s="15">
        <f>B5*Q5</f>
        <v/>
      </c>
      <c r="S5" s="15" t="inlineStr">
        <is>
          <t>PIR event with still image</t>
        </is>
      </c>
    </row>
    <row r="6">
      <c r="A6" s="20" t="inlineStr">
        <is>
          <t>Video standard</t>
        </is>
      </c>
      <c r="B6" s="6" t="n">
        <v>6</v>
      </c>
      <c r="C6" s="6" t="n">
        <v>240</v>
      </c>
      <c r="D6" s="6" t="n">
        <v>25</v>
      </c>
      <c r="E6" s="6" t="n">
        <v>100</v>
      </c>
      <c r="F6" s="6" t="n">
        <v>20</v>
      </c>
      <c r="G6" s="6" t="n">
        <v>400</v>
      </c>
      <c r="H6" s="6" t="n">
        <v>5</v>
      </c>
      <c r="I6" s="6" t="n">
        <v>90</v>
      </c>
      <c r="J6" s="6" t="n">
        <v>20</v>
      </c>
      <c r="K6" s="6" t="n">
        <v>10</v>
      </c>
      <c r="L6" s="6" t="n">
        <v>20</v>
      </c>
      <c r="M6" s="6" t="n">
        <v>120</v>
      </c>
      <c r="N6" s="6" t="n">
        <v>2</v>
      </c>
      <c r="O6" s="6" t="n">
        <v>5</v>
      </c>
      <c r="P6" s="6" t="n">
        <v>5</v>
      </c>
      <c r="Q6" s="15">
        <f>($C6*$D6+$E6*$F6+$G6*$H6+$I6*$J6+$K6*$L6+$M6*$N6+$O6*$P6)*Inputs!$B$5/3600000/Inputs!$B$6</f>
        <v/>
      </c>
      <c r="R6" s="15">
        <f>B6*Q6</f>
        <v/>
      </c>
      <c r="S6" s="15" t="inlineStr">
        <is>
          <t>Short video clip</t>
        </is>
      </c>
    </row>
    <row r="7">
      <c r="A7" s="20" t="inlineStr">
        <is>
          <t>Video long event X</t>
        </is>
      </c>
      <c r="B7" s="6" t="n">
        <v>1</v>
      </c>
      <c r="C7" s="6" t="n">
        <v>240</v>
      </c>
      <c r="D7" s="6" t="n">
        <v>70</v>
      </c>
      <c r="E7" s="6" t="n">
        <v>100</v>
      </c>
      <c r="F7" s="6" t="n">
        <v>60</v>
      </c>
      <c r="G7" s="6" t="n">
        <v>400</v>
      </c>
      <c r="H7" s="6" t="n">
        <v>10</v>
      </c>
      <c r="I7" s="6" t="n">
        <v>90</v>
      </c>
      <c r="J7" s="6" t="n">
        <v>60</v>
      </c>
      <c r="K7" s="6" t="n">
        <v>10</v>
      </c>
      <c r="L7" s="6" t="n">
        <v>60</v>
      </c>
      <c r="M7" s="6" t="n">
        <v>120</v>
      </c>
      <c r="N7" s="6" t="n">
        <v>2</v>
      </c>
      <c r="O7" s="6" t="n">
        <v>5</v>
      </c>
      <c r="P7" s="6" t="n">
        <v>10</v>
      </c>
      <c r="Q7" s="15">
        <f>($C7*$D7+$E7*$F7+$G7*$H7+$I7*$J7+$K7*$L7+$M7*$N7+$O7*$P7)*Inputs!$B$5/3600000/Inputs!$B$6</f>
        <v/>
      </c>
      <c r="R7" s="15">
        <f>B7*Q7</f>
        <v/>
      </c>
      <c r="S7" s="15" t="inlineStr">
        <is>
          <t>Longer recording for selected event X</t>
        </is>
      </c>
    </row>
    <row r="8">
      <c r="A8" s="20" t="inlineStr">
        <is>
          <t>Audio-only event</t>
        </is>
      </c>
      <c r="B8" s="6" t="n">
        <v>12</v>
      </c>
      <c r="C8" s="6" t="n">
        <v>120</v>
      </c>
      <c r="D8" s="6" t="n">
        <v>12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60</v>
      </c>
      <c r="J8" s="6" t="n">
        <v>10</v>
      </c>
      <c r="K8" s="6" t="n">
        <v>10</v>
      </c>
      <c r="L8" s="6" t="n">
        <v>10</v>
      </c>
      <c r="M8" s="6" t="n">
        <v>120</v>
      </c>
      <c r="N8" s="6" t="n">
        <v>1</v>
      </c>
      <c r="O8" s="6" t="n">
        <v>5</v>
      </c>
      <c r="P8" s="6" t="n">
        <v>5</v>
      </c>
      <c r="Q8" s="15">
        <f>($C8*$D8+$E8*$F8+$G8*$H8+$I8*$J8+$K8*$L8+$M8*$N8+$O8*$P8)*Inputs!$B$5/3600000/Inputs!$B$6</f>
        <v/>
      </c>
      <c r="R8" s="15">
        <f>B8*Q8</f>
        <v/>
      </c>
      <c r="S8" s="15" t="inlineStr">
        <is>
          <t>Audio clip without image/video</t>
        </is>
      </c>
    </row>
    <row r="9">
      <c r="A9" s="20" t="inlineStr">
        <is>
          <t>Status / maintenance</t>
        </is>
      </c>
      <c r="B9" s="6" t="n">
        <v>1</v>
      </c>
      <c r="C9" s="6" t="n">
        <v>80</v>
      </c>
      <c r="D9" s="6" t="n">
        <v>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20</v>
      </c>
      <c r="J9" s="6" t="n">
        <v>1</v>
      </c>
      <c r="K9" s="6" t="n">
        <v>0</v>
      </c>
      <c r="L9" s="6" t="n">
        <v>0</v>
      </c>
      <c r="M9" s="6" t="n">
        <v>120</v>
      </c>
      <c r="N9" s="6" t="n">
        <v>2</v>
      </c>
      <c r="O9" s="6" t="n">
        <v>5</v>
      </c>
      <c r="P9" s="6" t="n">
        <v>1</v>
      </c>
      <c r="Q9" s="15">
        <f>($C9*$D9+$E9*$F9+$G9*$H9+$I9*$J9+$K9*$L9+$M9*$N9+$O9*$P9)*Inputs!$B$5/3600000/Inputs!$B$6</f>
        <v/>
      </c>
      <c r="R9" s="15">
        <f>B9*Q9</f>
        <v/>
      </c>
      <c r="S9" s="15" t="inlineStr">
        <is>
          <t>Non-detection telemetry</t>
        </is>
      </c>
    </row>
  </sheetData>
  <mergeCells count="1"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</cols>
  <sheetData>
    <row r="1">
      <c r="A1" s="16" t="inlineStr">
        <is>
          <t>Scenario calculations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8" t="inlineStr">
        <is>
          <t>Energy summary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14" t="inlineStr">
        <is>
          <t>Base load Wh/day</t>
        </is>
      </c>
      <c r="B5" s="6">
        <f>SUM(Inputs!E23:E26)</f>
        <v/>
      </c>
      <c r="C5" s="2" t="n"/>
      <c r="D5" s="2" t="n"/>
      <c r="E5" s="2" t="n"/>
      <c r="F5" s="2" t="n"/>
      <c r="G5" s="2" t="n"/>
      <c r="H5" s="2" t="n"/>
      <c r="I5" s="2" t="n"/>
    </row>
    <row r="6">
      <c r="A6" s="14" t="inlineStr">
        <is>
          <t>Events Wh/day before margin</t>
        </is>
      </c>
      <c r="B6" s="6">
        <f>SUM(Events!R5:R9)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14" t="inlineStr">
        <is>
          <t>Subtotal Wh/day</t>
        </is>
      </c>
      <c r="B7" s="6">
        <f>B5+B6</f>
        <v/>
      </c>
      <c r="C7" s="2" t="n"/>
      <c r="D7" s="2" t="n"/>
      <c r="E7" s="2" t="n"/>
      <c r="F7" s="2" t="n"/>
      <c r="G7" s="2" t="n"/>
      <c r="H7" s="2" t="n"/>
      <c r="I7" s="2" t="n"/>
    </row>
    <row r="8">
      <c r="A8" s="14" t="inlineStr">
        <is>
          <t>Safety margin</t>
        </is>
      </c>
      <c r="B8" s="6">
        <f>Inputs!B7</f>
        <v/>
      </c>
      <c r="C8" s="2" t="n"/>
      <c r="D8" s="2" t="n"/>
      <c r="E8" s="2" t="n"/>
      <c r="F8" s="2" t="n"/>
      <c r="G8" s="2" t="n"/>
      <c r="H8" s="2" t="n"/>
      <c r="I8" s="2" t="n"/>
    </row>
    <row r="9">
      <c r="A9" s="14" t="inlineStr">
        <is>
          <t>Total daily Wh after margin</t>
        </is>
      </c>
      <c r="B9" s="6">
        <f>B7*(1+B8)</f>
        <v/>
      </c>
      <c r="C9" s="2" t="n"/>
      <c r="D9" s="2" t="n"/>
      <c r="E9" s="2" t="n"/>
      <c r="F9" s="2" t="n"/>
      <c r="G9" s="2" t="n"/>
      <c r="H9" s="2" t="n"/>
      <c r="I9" s="2" t="n"/>
    </row>
    <row r="10">
      <c r="A10" s="14" t="inlineStr">
        <is>
          <t>Target days</t>
        </is>
      </c>
      <c r="B10" s="6">
        <f>Inputs!B4</f>
        <v/>
      </c>
      <c r="C10" s="2" t="n"/>
      <c r="D10" s="2" t="n"/>
      <c r="E10" s="2" t="n"/>
      <c r="F10" s="2" t="n"/>
      <c r="G10" s="2" t="n"/>
      <c r="H10" s="2" t="n"/>
      <c r="I10" s="2" t="n"/>
    </row>
    <row r="11">
      <c r="A11" s="4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18" t="inlineStr">
        <is>
          <t>Battery scenario table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19" t="inlineStr">
        <is>
          <t>Battery profile</t>
        </is>
      </c>
      <c r="B13" s="8" t="inlineStr">
        <is>
          <t>Cells</t>
        </is>
      </c>
      <c r="C13" s="8" t="inlineStr">
        <is>
          <t>Nominal V</t>
        </is>
      </c>
      <c r="D13" s="8" t="inlineStr">
        <is>
          <t>Cell mAh</t>
        </is>
      </c>
      <c r="E13" s="8" t="inlineStr">
        <is>
          <t>Usable Wh</t>
        </is>
      </c>
      <c r="F13" s="8" t="inlineStr">
        <is>
          <t>Autonomy days</t>
        </is>
      </c>
      <c r="G13" s="8" t="inlineStr">
        <is>
          <t>Pass target?</t>
        </is>
      </c>
      <c r="H13" s="8" t="inlineStr">
        <is>
          <t>Margin days</t>
        </is>
      </c>
      <c r="I13" s="8" t="inlineStr">
        <is>
          <t>Daily Wh used</t>
        </is>
      </c>
    </row>
    <row r="14">
      <c r="A14" s="20">
        <f>Inputs!A13</f>
        <v/>
      </c>
      <c r="B14" s="15">
        <f>Inputs!F13</f>
        <v/>
      </c>
      <c r="C14" s="15">
        <f>Inputs!D13</f>
        <v/>
      </c>
      <c r="D14" s="15">
        <f>Inputs!E13</f>
        <v/>
      </c>
      <c r="E14" s="15">
        <f>Inputs!H13</f>
        <v/>
      </c>
      <c r="F14" s="15">
        <f>E14/$B$9</f>
        <v/>
      </c>
      <c r="G14" s="20">
        <f>F14&gt;=$B$10</f>
        <v/>
      </c>
      <c r="H14" s="15">
        <f>F14-$B$10</f>
        <v/>
      </c>
      <c r="I14" s="15">
        <f>$B$9</f>
        <v/>
      </c>
    </row>
    <row r="15">
      <c r="A15" s="20">
        <f>Inputs!A14</f>
        <v/>
      </c>
      <c r="B15" s="15">
        <f>Inputs!F14</f>
        <v/>
      </c>
      <c r="C15" s="15">
        <f>Inputs!D14</f>
        <v/>
      </c>
      <c r="D15" s="15">
        <f>Inputs!E14</f>
        <v/>
      </c>
      <c r="E15" s="15">
        <f>Inputs!H14</f>
        <v/>
      </c>
      <c r="F15" s="15">
        <f>E15/$B$9</f>
        <v/>
      </c>
      <c r="G15" s="20">
        <f>F15&gt;=$B$10</f>
        <v/>
      </c>
      <c r="H15" s="15">
        <f>F15-$B$10</f>
        <v/>
      </c>
      <c r="I15" s="15">
        <f>$B$9</f>
        <v/>
      </c>
    </row>
    <row r="16">
      <c r="A16" s="20">
        <f>Inputs!A15</f>
        <v/>
      </c>
      <c r="B16" s="15">
        <f>Inputs!F15</f>
        <v/>
      </c>
      <c r="C16" s="15">
        <f>Inputs!D15</f>
        <v/>
      </c>
      <c r="D16" s="15">
        <f>Inputs!E15</f>
        <v/>
      </c>
      <c r="E16" s="15">
        <f>Inputs!H15</f>
        <v/>
      </c>
      <c r="F16" s="15">
        <f>E16/$B$9</f>
        <v/>
      </c>
      <c r="G16" s="20">
        <f>F16&gt;=$B$10</f>
        <v/>
      </c>
      <c r="H16" s="15">
        <f>F16-$B$10</f>
        <v/>
      </c>
      <c r="I16" s="15">
        <f>$B$9</f>
        <v/>
      </c>
    </row>
    <row r="17">
      <c r="A17" s="20">
        <f>Inputs!A16</f>
        <v/>
      </c>
      <c r="B17" s="15">
        <f>Inputs!F16</f>
        <v/>
      </c>
      <c r="C17" s="15">
        <f>Inputs!D16</f>
        <v/>
      </c>
      <c r="D17" s="15">
        <f>Inputs!E16</f>
        <v/>
      </c>
      <c r="E17" s="15">
        <f>Inputs!H16</f>
        <v/>
      </c>
      <c r="F17" s="15">
        <f>E17/$B$9</f>
        <v/>
      </c>
      <c r="G17" s="20">
        <f>F17&gt;=$B$10</f>
        <v/>
      </c>
      <c r="H17" s="15">
        <f>F17-$B$10</f>
        <v/>
      </c>
      <c r="I17" s="15">
        <f>$B$9</f>
        <v/>
      </c>
    </row>
    <row r="18">
      <c r="A18" s="20">
        <f>Inputs!A17</f>
        <v/>
      </c>
      <c r="B18" s="15">
        <f>Inputs!F17</f>
        <v/>
      </c>
      <c r="C18" s="15">
        <f>Inputs!D17</f>
        <v/>
      </c>
      <c r="D18" s="15">
        <f>Inputs!E17</f>
        <v/>
      </c>
      <c r="E18" s="15">
        <f>Inputs!H17</f>
        <v/>
      </c>
      <c r="F18" s="15">
        <f>E18/$B$9</f>
        <v/>
      </c>
      <c r="G18" s="20">
        <f>F18&gt;=$B$10</f>
        <v/>
      </c>
      <c r="H18" s="15">
        <f>F18-$B$10</f>
        <v/>
      </c>
      <c r="I18" s="15">
        <f>$B$9</f>
        <v/>
      </c>
    </row>
    <row r="19">
      <c r="A19" s="20">
        <f>Inputs!A18</f>
        <v/>
      </c>
      <c r="B19" s="15">
        <f>Inputs!F18</f>
        <v/>
      </c>
      <c r="C19" s="15">
        <f>Inputs!D18</f>
        <v/>
      </c>
      <c r="D19" s="15">
        <f>Inputs!E18</f>
        <v/>
      </c>
      <c r="E19" s="15">
        <f>Inputs!H18</f>
        <v/>
      </c>
      <c r="F19" s="15">
        <f>E19/$B$9</f>
        <v/>
      </c>
      <c r="G19" s="20">
        <f>F19&gt;=$B$10</f>
        <v/>
      </c>
      <c r="H19" s="15">
        <f>F19-$B$10</f>
        <v/>
      </c>
      <c r="I19" s="15">
        <f>$B$9</f>
        <v/>
      </c>
    </row>
  </sheetData>
  <mergeCells count="1">
    <mergeCell ref="A1:H1"/>
  </mergeCells>
  <conditionalFormatting sqref="G14:G1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6" t="inlineStr">
        <is>
          <t>How to use this workbook</t>
        </is>
      </c>
      <c r="B1" s="4" t="n"/>
      <c r="C1" s="4" t="n"/>
      <c r="D1" s="4" t="n"/>
    </row>
    <row r="2">
      <c r="A2" s="4" t="n"/>
      <c r="B2" s="4" t="n"/>
      <c r="C2" s="4" t="n"/>
      <c r="D2" s="4" t="n"/>
    </row>
    <row r="3">
      <c r="A3" s="17" t="inlineStr">
        <is>
          <t>1</t>
        </is>
      </c>
      <c r="B3" s="20" t="inlineStr">
        <is>
          <t>Edit green cells in Inputs and Events.</t>
        </is>
      </c>
      <c r="C3" s="4" t="n"/>
      <c r="D3" s="4" t="n"/>
    </row>
    <row r="4">
      <c r="A4" s="17" t="inlineStr">
        <is>
          <t>2</t>
        </is>
      </c>
      <c r="B4" s="15" t="inlineStr">
        <is>
          <t>Use Events/day to model calm, average or dense sites.</t>
        </is>
      </c>
      <c r="C4" s="2" t="n"/>
      <c r="D4" s="2" t="n"/>
    </row>
    <row r="5">
      <c r="A5" s="17" t="inlineStr">
        <is>
          <t>3</t>
        </is>
      </c>
      <c r="B5" s="15" t="inlineStr">
        <is>
          <t>Video standard and Video long event X can represent different triggers.</t>
        </is>
      </c>
      <c r="C5" s="2" t="n"/>
      <c r="D5" s="2" t="n"/>
    </row>
    <row r="6">
      <c r="A6" s="17" t="inlineStr">
        <is>
          <t>4</t>
        </is>
      </c>
      <c r="B6" s="15" t="inlineStr">
        <is>
          <t>Wh/event formula assumes all event currents are converted to equivalent 3.3 V rail energy and divided by buck efficiency.</t>
        </is>
      </c>
      <c r="C6" s="2" t="n"/>
      <c r="D6" s="2" t="n"/>
    </row>
    <row r="7">
      <c r="A7" s="17" t="inlineStr">
        <is>
          <t>5</t>
        </is>
      </c>
      <c r="B7" s="15" t="inlineStr">
        <is>
          <t>Battery comparison uses usable Wh, not raw mAh, so 4 AA and 8 AA can be compared cleanly.</t>
        </is>
      </c>
      <c r="C7" s="2" t="n"/>
      <c r="D7" s="2" t="n"/>
    </row>
    <row r="8">
      <c r="A8" s="17" t="inlineStr">
        <is>
          <t>6</t>
        </is>
      </c>
      <c r="B8" s="15" t="inlineStr">
        <is>
          <t>Decision rule: theoretical PASS must still be confirmed in M-02 with measured current and PPK2.</t>
        </is>
      </c>
      <c r="C8" s="2" t="n"/>
      <c r="D8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2026-05-23T18:34:55Z</dcterms:created>
  <dcterms:modified xmlns:dcterms="http://purl.org/dc/terms/" xmlns:xsi="http://www.w3.org/2001/XMLSchema-instance" xsi:type="dcterms:W3CDTF">2026-05-23T18:34:55Z</dcterms:modified>
</cp:coreProperties>
</file>