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3.xml" ContentType="application/vnd.openxmlformats-officedocument.drawing+xml"/>
  <Override PartName="/xl/charts/chart17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8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4.xml" ContentType="application/vnd.openxmlformats-officedocument.drawing+xml"/>
  <Override PartName="/xl/charts/chart19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ch/Dropbox/B - DIM3/BAXTER MEETING/"/>
    </mc:Choice>
  </mc:AlternateContent>
  <xr:revisionPtr revIDLastSave="0" documentId="13_ncr:1_{036ABEBB-B7C9-7A4D-8A4F-C3E6658AFA98}" xr6:coauthVersionLast="47" xr6:coauthVersionMax="47" xr10:uidLastSave="{00000000-0000-0000-0000-000000000000}"/>
  <bookViews>
    <workbookView xWindow="0" yWindow="740" windowWidth="30240" windowHeight="18900" activeTab="5" xr2:uid="{53217FFB-7485-444D-BEA3-F9D18C7FE133}"/>
  </bookViews>
  <sheets>
    <sheet name="Hospital " sheetId="1" r:id="rId1"/>
    <sheet name="Homecare" sheetId="2" r:id="rId2"/>
    <sheet name="OEM-B2B " sheetId="3" r:id="rId3"/>
    <sheet name="Summary" sheetId="4" r:id="rId4"/>
    <sheet name="Changes 8.2 -&gt; 8.3" sheetId="6" r:id="rId5"/>
    <sheet name="For BP 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72" i="1" l="1"/>
  <c r="I72" i="1" s="1"/>
  <c r="G72" i="1"/>
  <c r="H12" i="6" l="1"/>
  <c r="G12" i="6"/>
  <c r="F12" i="6"/>
  <c r="H11" i="6"/>
  <c r="G11" i="6"/>
  <c r="F11" i="6"/>
  <c r="H10" i="6"/>
  <c r="G10" i="6"/>
  <c r="F10" i="6"/>
  <c r="G37" i="1"/>
  <c r="E37" i="1"/>
  <c r="H24" i="2" l="1"/>
  <c r="H25" i="2"/>
  <c r="AR14" i="2" s="1"/>
  <c r="AN14" i="2" s="1"/>
  <c r="H26" i="2"/>
  <c r="AM15" i="2" s="1"/>
  <c r="H27" i="2"/>
  <c r="AR16" i="2" s="1"/>
  <c r="AP16" i="2" s="1"/>
  <c r="Z30" i="2"/>
  <c r="Z28" i="2"/>
  <c r="Z29" i="2"/>
  <c r="Z27" i="2"/>
  <c r="Z14" i="2"/>
  <c r="Z15" i="2"/>
  <c r="Z16" i="2"/>
  <c r="Z13" i="2"/>
  <c r="AD152" i="1"/>
  <c r="AE152" i="1"/>
  <c r="AF152" i="1"/>
  <c r="AG152" i="1"/>
  <c r="AH152" i="1"/>
  <c r="W121" i="1"/>
  <c r="W122" i="1"/>
  <c r="W123" i="1"/>
  <c r="W124" i="1"/>
  <c r="V121" i="1"/>
  <c r="V122" i="1"/>
  <c r="V123" i="1"/>
  <c r="V124" i="1"/>
  <c r="U121" i="1"/>
  <c r="U122" i="1"/>
  <c r="U123" i="1"/>
  <c r="U124" i="1"/>
  <c r="T121" i="1"/>
  <c r="T122" i="1"/>
  <c r="T123" i="1"/>
  <c r="T124" i="1"/>
  <c r="U67" i="1"/>
  <c r="U135" i="1" s="1"/>
  <c r="T68" i="1"/>
  <c r="T136" i="1" s="1"/>
  <c r="AF54" i="1"/>
  <c r="AB54" i="1"/>
  <c r="U82" i="1"/>
  <c r="V82" i="1"/>
  <c r="W82" i="1"/>
  <c r="T82" i="1"/>
  <c r="AL53" i="1"/>
  <c r="AH13" i="1"/>
  <c r="AH26" i="1" s="1"/>
  <c r="AH14" i="1"/>
  <c r="AH27" i="1" s="1"/>
  <c r="AH15" i="1"/>
  <c r="AC13" i="1"/>
  <c r="AC40" i="1" s="1"/>
  <c r="AC14" i="1"/>
  <c r="AC15" i="1"/>
  <c r="AC28" i="1" s="1"/>
  <c r="F37" i="1"/>
  <c r="AH12" i="1" s="1"/>
  <c r="AH123" i="1"/>
  <c r="AD123" i="1" s="1"/>
  <c r="AH40" i="1"/>
  <c r="AE40" i="1" s="1"/>
  <c r="AH42" i="1"/>
  <c r="AG42" i="1" s="1"/>
  <c r="AC41" i="1"/>
  <c r="Z41" i="1" s="1"/>
  <c r="AH28" i="1"/>
  <c r="AH110" i="1" s="1"/>
  <c r="AE110" i="1" s="1"/>
  <c r="AC27" i="1"/>
  <c r="Y27" i="1" s="1"/>
  <c r="P79" i="1"/>
  <c r="P80" i="1"/>
  <c r="P81" i="1"/>
  <c r="P78" i="1"/>
  <c r="P66" i="1"/>
  <c r="P67" i="1"/>
  <c r="P68" i="1"/>
  <c r="P65" i="1"/>
  <c r="P53" i="1"/>
  <c r="P54" i="1"/>
  <c r="P55" i="1"/>
  <c r="P52" i="1"/>
  <c r="P40" i="1"/>
  <c r="P41" i="1"/>
  <c r="P42" i="1"/>
  <c r="P39" i="1"/>
  <c r="P26" i="1"/>
  <c r="P27" i="1"/>
  <c r="P28" i="1"/>
  <c r="P25" i="1"/>
  <c r="AH53" i="1"/>
  <c r="AH54" i="1"/>
  <c r="AG54" i="1" s="1"/>
  <c r="AH55" i="1"/>
  <c r="AH124" i="1" s="1"/>
  <c r="AH52" i="1"/>
  <c r="AC53" i="1"/>
  <c r="AC54" i="1"/>
  <c r="Y54" i="1" s="1"/>
  <c r="AC55" i="1"/>
  <c r="AC124" i="1" s="1"/>
  <c r="AC52" i="1"/>
  <c r="AC121" i="1" s="1"/>
  <c r="AB121" i="1" s="1"/>
  <c r="X52" i="1"/>
  <c r="X53" i="1"/>
  <c r="T66" i="1" s="1"/>
  <c r="T134" i="1" s="1"/>
  <c r="X54" i="1"/>
  <c r="AL54" i="1" s="1"/>
  <c r="X55" i="1"/>
  <c r="U68" i="1" s="1"/>
  <c r="U136" i="1" s="1"/>
  <c r="U43" i="1"/>
  <c r="V43" i="1"/>
  <c r="W43" i="1"/>
  <c r="T43" i="1"/>
  <c r="P13" i="1"/>
  <c r="P14" i="1"/>
  <c r="P15" i="1"/>
  <c r="P12" i="1"/>
  <c r="G42" i="1"/>
  <c r="I42" i="1"/>
  <c r="E42" i="1"/>
  <c r="AH16" i="2" l="1"/>
  <c r="AG16" i="2" s="1"/>
  <c r="AH15" i="2"/>
  <c r="AG15" i="2" s="1"/>
  <c r="AM14" i="2"/>
  <c r="AH14" i="2"/>
  <c r="AF14" i="2" s="1"/>
  <c r="AR15" i="2"/>
  <c r="AP15" i="2" s="1"/>
  <c r="AD15" i="2"/>
  <c r="AD14" i="2"/>
  <c r="AF15" i="2"/>
  <c r="AM16" i="2"/>
  <c r="AL16" i="2" s="1"/>
  <c r="AL14" i="2"/>
  <c r="AM13" i="2"/>
  <c r="AK13" i="2" s="1"/>
  <c r="AJ15" i="2"/>
  <c r="AK15" i="2"/>
  <c r="AI15" i="2"/>
  <c r="AL15" i="2"/>
  <c r="AP14" i="2"/>
  <c r="AE15" i="2"/>
  <c r="AR13" i="2"/>
  <c r="AE14" i="2"/>
  <c r="AG14" i="2"/>
  <c r="AO16" i="2"/>
  <c r="AQ16" i="2"/>
  <c r="AH13" i="2"/>
  <c r="AN16" i="2"/>
  <c r="AO15" i="2"/>
  <c r="AQ15" i="2"/>
  <c r="AI14" i="2"/>
  <c r="AO14" i="2"/>
  <c r="AQ14" i="2"/>
  <c r="AE124" i="1"/>
  <c r="AD124" i="1"/>
  <c r="AG124" i="1"/>
  <c r="AF124" i="1"/>
  <c r="AD27" i="1"/>
  <c r="AE27" i="1"/>
  <c r="AG27" i="1"/>
  <c r="AF27" i="1"/>
  <c r="AN55" i="1"/>
  <c r="AE54" i="1"/>
  <c r="U66" i="1"/>
  <c r="U134" i="1" s="1"/>
  <c r="AH41" i="1"/>
  <c r="AE41" i="1" s="1"/>
  <c r="AG28" i="1"/>
  <c r="AN54" i="1"/>
  <c r="AG55" i="1"/>
  <c r="AF110" i="1"/>
  <c r="AF123" i="1"/>
  <c r="X124" i="1"/>
  <c r="AE55" i="1"/>
  <c r="W68" i="1"/>
  <c r="W136" i="1" s="1"/>
  <c r="AE123" i="1"/>
  <c r="X123" i="1"/>
  <c r="AF55" i="1"/>
  <c r="W67" i="1"/>
  <c r="W135" i="1" s="1"/>
  <c r="AD110" i="1"/>
  <c r="AA121" i="1"/>
  <c r="AG123" i="1"/>
  <c r="AC109" i="1"/>
  <c r="AD28" i="1"/>
  <c r="X122" i="1"/>
  <c r="AD54" i="1"/>
  <c r="W66" i="1"/>
  <c r="W134" i="1" s="1"/>
  <c r="AG110" i="1"/>
  <c r="AC123" i="1"/>
  <c r="AA123" i="1" s="1"/>
  <c r="AL55" i="1"/>
  <c r="AD55" i="1"/>
  <c r="T67" i="1"/>
  <c r="T135" i="1" s="1"/>
  <c r="AE28" i="1"/>
  <c r="AA124" i="1"/>
  <c r="Y124" i="1"/>
  <c r="Z124" i="1"/>
  <c r="AB124" i="1"/>
  <c r="AA54" i="1"/>
  <c r="Z54" i="1"/>
  <c r="Y55" i="1"/>
  <c r="AB55" i="1"/>
  <c r="AA55" i="1"/>
  <c r="Z121" i="1"/>
  <c r="AM55" i="1"/>
  <c r="Z55" i="1"/>
  <c r="AM54" i="1"/>
  <c r="AL52" i="1"/>
  <c r="AB52" i="1"/>
  <c r="AE52" i="1"/>
  <c r="AA52" i="1"/>
  <c r="U65" i="1"/>
  <c r="U133" i="1" s="1"/>
  <c r="AC12" i="1"/>
  <c r="H37" i="1"/>
  <c r="Z52" i="1"/>
  <c r="AG52" i="1"/>
  <c r="AF52" i="1"/>
  <c r="Y121" i="1"/>
  <c r="T65" i="1"/>
  <c r="W65" i="1"/>
  <c r="W133" i="1" s="1"/>
  <c r="AM52" i="1"/>
  <c r="Y52" i="1"/>
  <c r="AD52" i="1"/>
  <c r="AF53" i="1"/>
  <c r="AN53" i="1"/>
  <c r="AD53" i="1"/>
  <c r="AE53" i="1"/>
  <c r="AH122" i="1"/>
  <c r="AG53" i="1"/>
  <c r="Y53" i="1"/>
  <c r="AM53" i="1"/>
  <c r="AA53" i="1"/>
  <c r="AB53" i="1"/>
  <c r="Z53" i="1"/>
  <c r="AC122" i="1"/>
  <c r="AN52" i="1"/>
  <c r="AD26" i="1"/>
  <c r="AH108" i="1"/>
  <c r="AF26" i="1"/>
  <c r="AG26" i="1"/>
  <c r="AE26" i="1"/>
  <c r="AD42" i="1"/>
  <c r="AF42" i="1"/>
  <c r="AG40" i="1"/>
  <c r="AF28" i="1"/>
  <c r="AD40" i="1"/>
  <c r="AE42" i="1"/>
  <c r="AF40" i="1"/>
  <c r="AB40" i="1"/>
  <c r="Y40" i="1"/>
  <c r="Z40" i="1"/>
  <c r="AA40" i="1"/>
  <c r="AB28" i="1"/>
  <c r="Y28" i="1"/>
  <c r="AA28" i="1"/>
  <c r="Z28" i="1"/>
  <c r="AA41" i="1"/>
  <c r="Z27" i="1"/>
  <c r="AC26" i="1"/>
  <c r="AB27" i="1"/>
  <c r="Y41" i="1"/>
  <c r="AC42" i="1"/>
  <c r="AB41" i="1"/>
  <c r="AA27" i="1"/>
  <c r="AH39" i="1"/>
  <c r="AH25" i="1"/>
  <c r="X121" i="1"/>
  <c r="AH121" i="1"/>
  <c r="F9" i="6"/>
  <c r="H9" i="6" s="1"/>
  <c r="F8" i="6"/>
  <c r="H8" i="6" s="1"/>
  <c r="G7" i="6"/>
  <c r="F7" i="6"/>
  <c r="H7" i="6" s="1"/>
  <c r="F6" i="6"/>
  <c r="H6" i="6" s="1"/>
  <c r="F5" i="6"/>
  <c r="H5" i="6" s="1"/>
  <c r="F4" i="6"/>
  <c r="F69" i="1"/>
  <c r="R7" i="1"/>
  <c r="AY38" i="3"/>
  <c r="AX38" i="3"/>
  <c r="AH8" i="3"/>
  <c r="AI8" i="3"/>
  <c r="AJ8" i="3"/>
  <c r="AG8" i="3"/>
  <c r="AC8" i="3"/>
  <c r="AD8" i="3"/>
  <c r="AE8" i="3"/>
  <c r="AB8" i="3"/>
  <c r="Z8" i="3"/>
  <c r="AA8" i="3"/>
  <c r="AL13" i="2" l="1"/>
  <c r="AJ13" i="2"/>
  <c r="AI13" i="2"/>
  <c r="AE16" i="2"/>
  <c r="AD16" i="2"/>
  <c r="AK16" i="2"/>
  <c r="AF16" i="2"/>
  <c r="AJ16" i="2"/>
  <c r="AI16" i="2"/>
  <c r="AN15" i="2"/>
  <c r="AK14" i="2"/>
  <c r="AJ14" i="2"/>
  <c r="AN13" i="2"/>
  <c r="AQ13" i="2"/>
  <c r="AO13" i="2"/>
  <c r="AP13" i="2"/>
  <c r="AD13" i="2"/>
  <c r="AG13" i="2"/>
  <c r="AE13" i="2"/>
  <c r="AF13" i="2"/>
  <c r="AG108" i="1"/>
  <c r="AD108" i="1"/>
  <c r="AF108" i="1"/>
  <c r="AE108" i="1"/>
  <c r="AA109" i="1"/>
  <c r="Z109" i="1"/>
  <c r="AB109" i="1"/>
  <c r="Y109" i="1"/>
  <c r="AH109" i="1"/>
  <c r="AD41" i="1"/>
  <c r="AB123" i="1"/>
  <c r="Y123" i="1"/>
  <c r="AG41" i="1"/>
  <c r="Z123" i="1"/>
  <c r="AF41" i="1"/>
  <c r="AC25" i="1"/>
  <c r="AB25" i="1" s="1"/>
  <c r="AC39" i="1"/>
  <c r="AA39" i="1" s="1"/>
  <c r="T133" i="1"/>
  <c r="AE121" i="1"/>
  <c r="AG121" i="1"/>
  <c r="AD121" i="1"/>
  <c r="AF121" i="1"/>
  <c r="AG122" i="1"/>
  <c r="AE122" i="1"/>
  <c r="AF122" i="1"/>
  <c r="AD122" i="1"/>
  <c r="AB122" i="1"/>
  <c r="AA122" i="1"/>
  <c r="Y122" i="1"/>
  <c r="Z122" i="1"/>
  <c r="Z42" i="1"/>
  <c r="AB42" i="1"/>
  <c r="Y42" i="1"/>
  <c r="AA42" i="1"/>
  <c r="AC110" i="1"/>
  <c r="AA26" i="1"/>
  <c r="Z26" i="1"/>
  <c r="AB26" i="1"/>
  <c r="Y26" i="1"/>
  <c r="AC108" i="1"/>
  <c r="AD39" i="1"/>
  <c r="AG39" i="1"/>
  <c r="AF39" i="1"/>
  <c r="AE39" i="1"/>
  <c r="AH107" i="1"/>
  <c r="AE25" i="1"/>
  <c r="AD25" i="1"/>
  <c r="AG25" i="1"/>
  <c r="AF25" i="1"/>
  <c r="G8" i="6"/>
  <c r="G5" i="6"/>
  <c r="G6" i="6"/>
  <c r="G9" i="6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C16" i="4"/>
  <c r="Y25" i="1" l="1"/>
  <c r="AA25" i="1"/>
  <c r="Z25" i="1"/>
  <c r="AE109" i="1"/>
  <c r="AG109" i="1"/>
  <c r="AD109" i="1"/>
  <c r="AF109" i="1"/>
  <c r="Z108" i="1"/>
  <c r="AA108" i="1"/>
  <c r="AB108" i="1"/>
  <c r="Y108" i="1"/>
  <c r="AA110" i="1"/>
  <c r="Y110" i="1"/>
  <c r="Z110" i="1"/>
  <c r="AB110" i="1"/>
  <c r="Z39" i="1"/>
  <c r="Y39" i="1"/>
  <c r="AC107" i="1"/>
  <c r="Y107" i="1" s="1"/>
  <c r="AB39" i="1"/>
  <c r="AG107" i="1"/>
  <c r="AE107" i="1"/>
  <c r="AF107" i="1"/>
  <c r="AD107" i="1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B11" i="5"/>
  <c r="B12" i="5"/>
  <c r="B13" i="5"/>
  <c r="B14" i="5"/>
  <c r="B15" i="5"/>
  <c r="B10" i="5"/>
  <c r="AA107" i="1" l="1"/>
  <c r="Z107" i="1"/>
  <c r="AB107" i="1"/>
  <c r="U51" i="1"/>
  <c r="U120" i="1" s="1"/>
  <c r="V51" i="1"/>
  <c r="V120" i="1" s="1"/>
  <c r="W51" i="1"/>
  <c r="W120" i="1" s="1"/>
  <c r="T51" i="1"/>
  <c r="T120" i="1" s="1"/>
  <c r="X51" i="1"/>
  <c r="AH51" i="1"/>
  <c r="AC51" i="1"/>
  <c r="AC120" i="1" s="1"/>
  <c r="D71" i="1"/>
  <c r="D72" i="1" s="1"/>
  <c r="D73" i="1" s="1"/>
  <c r="D74" i="1" s="1"/>
  <c r="M42" i="1"/>
  <c r="J36" i="1"/>
  <c r="K36" i="1" s="1"/>
  <c r="L36" i="1"/>
  <c r="F36" i="1"/>
  <c r="L30" i="3"/>
  <c r="Y24" i="3"/>
  <c r="X24" i="3"/>
  <c r="W24" i="3"/>
  <c r="AN36" i="3"/>
  <c r="AI36" i="3"/>
  <c r="AD36" i="3"/>
  <c r="J30" i="3"/>
  <c r="I30" i="3"/>
  <c r="H30" i="3"/>
  <c r="D30" i="3"/>
  <c r="F30" i="3" s="1"/>
  <c r="AM14" i="1" l="1"/>
  <c r="AM15" i="1"/>
  <c r="AN12" i="1"/>
  <c r="AM13" i="1"/>
  <c r="AN15" i="1"/>
  <c r="AN14" i="1"/>
  <c r="AN13" i="1"/>
  <c r="AM12" i="1"/>
  <c r="Y120" i="1"/>
  <c r="AB120" i="1"/>
  <c r="AA120" i="1"/>
  <c r="Z120" i="1"/>
  <c r="AN51" i="1"/>
  <c r="AD51" i="1"/>
  <c r="AE51" i="1"/>
  <c r="AF51" i="1"/>
  <c r="AG51" i="1"/>
  <c r="AL51" i="1"/>
  <c r="V64" i="1"/>
  <c r="V65" i="1"/>
  <c r="V133" i="1" s="1"/>
  <c r="T64" i="1"/>
  <c r="T132" i="1" s="1"/>
  <c r="V66" i="1"/>
  <c r="V134" i="1" s="1"/>
  <c r="V67" i="1"/>
  <c r="V135" i="1" s="1"/>
  <c r="W64" i="1"/>
  <c r="V68" i="1"/>
  <c r="V136" i="1" s="1"/>
  <c r="AI51" i="1"/>
  <c r="U64" i="1"/>
  <c r="H36" i="1"/>
  <c r="X14" i="1"/>
  <c r="AH11" i="1"/>
  <c r="X15" i="1"/>
  <c r="X12" i="1"/>
  <c r="AC11" i="1"/>
  <c r="X13" i="1"/>
  <c r="V132" i="1"/>
  <c r="U132" i="1"/>
  <c r="W132" i="1"/>
  <c r="AB51" i="1"/>
  <c r="X11" i="1"/>
  <c r="AH120" i="1"/>
  <c r="AM51" i="1"/>
  <c r="W63" i="1"/>
  <c r="X120" i="1"/>
  <c r="AI35" i="3"/>
  <c r="AI38" i="3" s="1"/>
  <c r="AI40" i="3" s="1"/>
  <c r="AD35" i="3"/>
  <c r="AD38" i="3" s="1"/>
  <c r="AD40" i="3" s="1"/>
  <c r="AN35" i="3"/>
  <c r="AN37" i="3" s="1"/>
  <c r="AN46" i="3" s="1"/>
  <c r="R47" i="1"/>
  <c r="S47" i="1"/>
  <c r="S7" i="1"/>
  <c r="AN11" i="1" l="1"/>
  <c r="AE11" i="1"/>
  <c r="X26" i="1"/>
  <c r="AL13" i="1"/>
  <c r="AL14" i="1"/>
  <c r="X27" i="1"/>
  <c r="AM11" i="1"/>
  <c r="AL15" i="1"/>
  <c r="X28" i="1"/>
  <c r="X24" i="1"/>
  <c r="AL12" i="1"/>
  <c r="X25" i="1"/>
  <c r="AG11" i="1"/>
  <c r="AH24" i="1"/>
  <c r="AH38" i="1"/>
  <c r="AL11" i="1"/>
  <c r="W11" i="1"/>
  <c r="V11" i="1"/>
  <c r="U11" i="1"/>
  <c r="AD11" i="1"/>
  <c r="Y11" i="1"/>
  <c r="AC24" i="1"/>
  <c r="AC38" i="1"/>
  <c r="AF11" i="1"/>
  <c r="AE120" i="1"/>
  <c r="AF120" i="1"/>
  <c r="AD120" i="1"/>
  <c r="AG120" i="1"/>
  <c r="AI37" i="3"/>
  <c r="AI46" i="3" s="1"/>
  <c r="AG46" i="3" s="1"/>
  <c r="AK46" i="3"/>
  <c r="AY40" i="3"/>
  <c r="AN38" i="3"/>
  <c r="AN40" i="3" s="1"/>
  <c r="AL46" i="3"/>
  <c r="AM46" i="3"/>
  <c r="AJ46" i="3"/>
  <c r="AW41" i="3"/>
  <c r="W24" i="1" l="1"/>
  <c r="V24" i="1"/>
  <c r="U24" i="1"/>
  <c r="T24" i="1"/>
  <c r="W25" i="1"/>
  <c r="W26" i="1"/>
  <c r="W28" i="1"/>
  <c r="W27" i="1"/>
  <c r="V28" i="1"/>
  <c r="T28" i="1"/>
  <c r="U28" i="1"/>
  <c r="X110" i="1"/>
  <c r="X108" i="1"/>
  <c r="T26" i="1"/>
  <c r="U26" i="1"/>
  <c r="V26" i="1"/>
  <c r="X109" i="1"/>
  <c r="T27" i="1"/>
  <c r="V27" i="1"/>
  <c r="U27" i="1"/>
  <c r="U25" i="1"/>
  <c r="X107" i="1"/>
  <c r="T25" i="1"/>
  <c r="V25" i="1"/>
  <c r="AE38" i="1"/>
  <c r="AF38" i="1"/>
  <c r="AD38" i="1"/>
  <c r="AG38" i="1"/>
  <c r="AG24" i="1"/>
  <c r="AF24" i="1"/>
  <c r="AD24" i="1"/>
  <c r="AE24" i="1"/>
  <c r="AB38" i="1"/>
  <c r="Y24" i="1"/>
  <c r="Y38" i="1"/>
  <c r="AC106" i="1"/>
  <c r="AH46" i="3"/>
  <c r="Z38" i="1"/>
  <c r="AH106" i="1"/>
  <c r="AA38" i="1"/>
  <c r="AX40" i="3"/>
  <c r="AE46" i="3"/>
  <c r="AF46" i="3"/>
  <c r="AA24" i="1"/>
  <c r="AB24" i="1"/>
  <c r="Z24" i="1"/>
  <c r="Q12" i="4"/>
  <c r="E82" i="1"/>
  <c r="F82" i="1" s="1"/>
  <c r="AE106" i="1" l="1"/>
  <c r="Z106" i="1"/>
  <c r="AA106" i="1"/>
  <c r="Y106" i="1"/>
  <c r="AB106" i="1"/>
  <c r="AG106" i="1"/>
  <c r="AD106" i="1"/>
  <c r="AF106" i="1"/>
  <c r="AA48" i="3"/>
  <c r="D6" i="4" s="1"/>
  <c r="AB48" i="3"/>
  <c r="E6" i="4" s="1"/>
  <c r="Z48" i="3"/>
  <c r="C6" i="4" s="1"/>
  <c r="AC44" i="3"/>
  <c r="AC48" i="3" s="1"/>
  <c r="F6" i="4" s="1"/>
  <c r="X20" i="3"/>
  <c r="Y20" i="3"/>
  <c r="W20" i="3"/>
  <c r="AF18" i="3"/>
  <c r="AG18" i="3"/>
  <c r="AH18" i="3"/>
  <c r="AI18" i="3"/>
  <c r="AJ18" i="3"/>
  <c r="AB18" i="3"/>
  <c r="AC18" i="3"/>
  <c r="AD18" i="3"/>
  <c r="AE18" i="3"/>
  <c r="W18" i="3"/>
  <c r="X18" i="3"/>
  <c r="Y18" i="3"/>
  <c r="Z18" i="3"/>
  <c r="AA18" i="3"/>
  <c r="AL7" i="3"/>
  <c r="AH9" i="3"/>
  <c r="AH20" i="3" s="1"/>
  <c r="AI9" i="3"/>
  <c r="AI20" i="3" s="1"/>
  <c r="AJ9" i="3"/>
  <c r="AJ20" i="3" s="1"/>
  <c r="AG9" i="3"/>
  <c r="AG20" i="3" s="1"/>
  <c r="AL8" i="3"/>
  <c r="AC9" i="3"/>
  <c r="AC20" i="3" s="1"/>
  <c r="AD9" i="3"/>
  <c r="AD20" i="3" s="1"/>
  <c r="AE9" i="3"/>
  <c r="AE20" i="3" s="1"/>
  <c r="AB9" i="3"/>
  <c r="AB20" i="3" s="1"/>
  <c r="Z9" i="3"/>
  <c r="Z20" i="3" s="1"/>
  <c r="R17" i="3" l="1"/>
  <c r="O17" i="3" s="1"/>
  <c r="F37" i="2"/>
  <c r="H37" i="2" s="1"/>
  <c r="H36" i="2"/>
  <c r="X35" i="2"/>
  <c r="V36" i="2"/>
  <c r="X36" i="2" s="1"/>
  <c r="R37" i="2"/>
  <c r="R35" i="2"/>
  <c r="P36" i="2"/>
  <c r="R36" i="2" s="1"/>
  <c r="W9" i="2"/>
  <c r="X9" i="2"/>
  <c r="V9" i="2"/>
  <c r="W8" i="2"/>
  <c r="X8" i="2"/>
  <c r="V8" i="2"/>
  <c r="AJ143" i="1"/>
  <c r="X50" i="1"/>
  <c r="AI50" i="1" s="1"/>
  <c r="AC50" i="1"/>
  <c r="AJ50" i="1" s="1"/>
  <c r="X47" i="1"/>
  <c r="AM97" i="1"/>
  <c r="AH50" i="1"/>
  <c r="AK50" i="1" s="1"/>
  <c r="F72" i="1"/>
  <c r="E72" i="1"/>
  <c r="F33" i="1"/>
  <c r="F34" i="1"/>
  <c r="F35" i="1"/>
  <c r="AH10" i="1" s="1"/>
  <c r="AH37" i="1" s="1"/>
  <c r="F32" i="1"/>
  <c r="F42" i="1" l="1"/>
  <c r="F45" i="1" s="1"/>
  <c r="W47" i="1"/>
  <c r="AC98" i="1"/>
  <c r="AC97" i="1"/>
  <c r="AH98" i="1"/>
  <c r="AH96" i="1"/>
  <c r="AH97" i="1"/>
  <c r="AH95" i="1"/>
  <c r="AC96" i="1"/>
  <c r="X97" i="1"/>
  <c r="X96" i="1"/>
  <c r="X95" i="1"/>
  <c r="X98" i="1"/>
  <c r="Z51" i="1"/>
  <c r="AA51" i="1"/>
  <c r="Y51" i="1"/>
  <c r="AD37" i="1"/>
  <c r="AE37" i="1"/>
  <c r="AF37" i="1"/>
  <c r="AG37" i="1"/>
  <c r="X94" i="1"/>
  <c r="AC94" i="1"/>
  <c r="Z50" i="1"/>
  <c r="Y50" i="1"/>
  <c r="AB50" i="1"/>
  <c r="AA50" i="1"/>
  <c r="P17" i="3"/>
  <c r="Q17" i="3"/>
  <c r="T50" i="1"/>
  <c r="V50" i="1"/>
  <c r="U50" i="1"/>
  <c r="W50" i="1"/>
  <c r="U63" i="1"/>
  <c r="V10" i="2"/>
  <c r="X10" i="2"/>
  <c r="W10" i="2"/>
  <c r="T63" i="1"/>
  <c r="AM143" i="1"/>
  <c r="V63" i="1"/>
  <c r="AE50" i="1"/>
  <c r="AG50" i="1"/>
  <c r="AF50" i="1"/>
  <c r="AD50" i="1"/>
  <c r="U47" i="1"/>
  <c r="V47" i="1"/>
  <c r="T47" i="1"/>
  <c r="AH23" i="1"/>
  <c r="AD10" i="1"/>
  <c r="AG96" i="1" l="1"/>
  <c r="AD96" i="1"/>
  <c r="AF96" i="1"/>
  <c r="AE96" i="1"/>
  <c r="AA97" i="1"/>
  <c r="Z97" i="1"/>
  <c r="AB97" i="1"/>
  <c r="Y97" i="1"/>
  <c r="AG97" i="1"/>
  <c r="AD97" i="1"/>
  <c r="AE97" i="1"/>
  <c r="AF97" i="1"/>
  <c r="Y94" i="1"/>
  <c r="AA96" i="1"/>
  <c r="Z96" i="1"/>
  <c r="AB96" i="1"/>
  <c r="Y96" i="1"/>
  <c r="AE98" i="1"/>
  <c r="AG98" i="1"/>
  <c r="AD98" i="1"/>
  <c r="AF98" i="1"/>
  <c r="AA98" i="1"/>
  <c r="Z98" i="1"/>
  <c r="Y98" i="1"/>
  <c r="AB98" i="1"/>
  <c r="AE95" i="1"/>
  <c r="AF95" i="1"/>
  <c r="AD95" i="1"/>
  <c r="AG95" i="1"/>
  <c r="Z94" i="1"/>
  <c r="AA94" i="1"/>
  <c r="AB94" i="1"/>
  <c r="AE23" i="1"/>
  <c r="AD23" i="1"/>
  <c r="AF23" i="1"/>
  <c r="AG23" i="1"/>
  <c r="AD46" i="3"/>
  <c r="AW40" i="3" s="1"/>
  <c r="AF9" i="3"/>
  <c r="AF20" i="3" s="1"/>
  <c r="X26" i="3" s="1"/>
  <c r="AK9" i="3"/>
  <c r="AK20" i="3" s="1"/>
  <c r="Y26" i="3" s="1"/>
  <c r="AA9" i="3"/>
  <c r="AK18" i="3"/>
  <c r="F27" i="1"/>
  <c r="F26" i="1"/>
  <c r="F25" i="1"/>
  <c r="AH68" i="1" l="1"/>
  <c r="AH80" i="1"/>
  <c r="AC80" i="1"/>
  <c r="AC78" i="1"/>
  <c r="X67" i="1"/>
  <c r="X135" i="1" s="1"/>
  <c r="AH66" i="1"/>
  <c r="AC68" i="1"/>
  <c r="AC66" i="1"/>
  <c r="AC65" i="1"/>
  <c r="AC79" i="1"/>
  <c r="AH78" i="1"/>
  <c r="X68" i="1"/>
  <c r="X136" i="1" s="1"/>
  <c r="X66" i="1"/>
  <c r="X134" i="1" s="1"/>
  <c r="AC81" i="1"/>
  <c r="X65" i="1"/>
  <c r="X133" i="1" s="1"/>
  <c r="AH81" i="1"/>
  <c r="AC67" i="1"/>
  <c r="AH67" i="1"/>
  <c r="AH79" i="1"/>
  <c r="AH65" i="1"/>
  <c r="X64" i="1"/>
  <c r="X132" i="1" s="1"/>
  <c r="AC95" i="1"/>
  <c r="AH94" i="1"/>
  <c r="AH64" i="1"/>
  <c r="AC77" i="1"/>
  <c r="AH77" i="1"/>
  <c r="AC64" i="1"/>
  <c r="X63" i="1"/>
  <c r="AI45" i="3"/>
  <c r="AN45" i="3"/>
  <c r="AH93" i="1"/>
  <c r="AL9" i="3"/>
  <c r="AA20" i="3"/>
  <c r="W26" i="3" s="1"/>
  <c r="F73" i="1"/>
  <c r="F74" i="1" s="1"/>
  <c r="E73" i="1"/>
  <c r="E74" i="1" s="1"/>
  <c r="AN10" i="1"/>
  <c r="Q10" i="2"/>
  <c r="G23" i="2"/>
  <c r="F22" i="2"/>
  <c r="F28" i="2" s="1"/>
  <c r="G90" i="1"/>
  <c r="Z78" i="1" l="1"/>
  <c r="AA78" i="1"/>
  <c r="Y78" i="1"/>
  <c r="AB78" i="1"/>
  <c r="Y77" i="1"/>
  <c r="Z77" i="1"/>
  <c r="AB77" i="1"/>
  <c r="AA77" i="1"/>
  <c r="AC151" i="1"/>
  <c r="AC148" i="1"/>
  <c r="AC150" i="1"/>
  <c r="AC149" i="1"/>
  <c r="X149" i="1"/>
  <c r="AK123" i="1" s="1"/>
  <c r="X148" i="1"/>
  <c r="AK122" i="1" s="1"/>
  <c r="X151" i="1"/>
  <c r="AK125" i="1" s="1"/>
  <c r="X150" i="1"/>
  <c r="AK124" i="1" s="1"/>
  <c r="AE64" i="1"/>
  <c r="AH132" i="1"/>
  <c r="AG64" i="1"/>
  <c r="AD64" i="1"/>
  <c r="AF64" i="1"/>
  <c r="AG67" i="1"/>
  <c r="AD67" i="1"/>
  <c r="AH135" i="1"/>
  <c r="AE67" i="1"/>
  <c r="AF67" i="1"/>
  <c r="AB79" i="1"/>
  <c r="AA79" i="1"/>
  <c r="Y79" i="1"/>
  <c r="Z79" i="1"/>
  <c r="AG80" i="1"/>
  <c r="AD80" i="1"/>
  <c r="AF80" i="1"/>
  <c r="AE80" i="1"/>
  <c r="Y67" i="1"/>
  <c r="AA67" i="1"/>
  <c r="Z67" i="1"/>
  <c r="AC135" i="1"/>
  <c r="AB67" i="1"/>
  <c r="AC133" i="1"/>
  <c r="AB65" i="1"/>
  <c r="AA65" i="1"/>
  <c r="Z65" i="1"/>
  <c r="Y65" i="1"/>
  <c r="AE68" i="1"/>
  <c r="AH136" i="1"/>
  <c r="AG68" i="1"/>
  <c r="AD68" i="1"/>
  <c r="AF68" i="1"/>
  <c r="AE77" i="1"/>
  <c r="AG77" i="1"/>
  <c r="AD77" i="1"/>
  <c r="AF77" i="1"/>
  <c r="AF79" i="1"/>
  <c r="AD79" i="1"/>
  <c r="AG79" i="1"/>
  <c r="AE79" i="1"/>
  <c r="AE81" i="1"/>
  <c r="AG81" i="1"/>
  <c r="AD81" i="1"/>
  <c r="AF81" i="1"/>
  <c r="Y66" i="1"/>
  <c r="AB66" i="1"/>
  <c r="AC134" i="1"/>
  <c r="Z66" i="1"/>
  <c r="AA66" i="1"/>
  <c r="Z64" i="1"/>
  <c r="Y64" i="1"/>
  <c r="AC132" i="1"/>
  <c r="AB64" i="1"/>
  <c r="AA64" i="1"/>
  <c r="AG78" i="1"/>
  <c r="AE78" i="1"/>
  <c r="AF78" i="1"/>
  <c r="AD78" i="1"/>
  <c r="AA80" i="1"/>
  <c r="AB80" i="1"/>
  <c r="Y80" i="1"/>
  <c r="Z80" i="1"/>
  <c r="AB95" i="1"/>
  <c r="Z95" i="1"/>
  <c r="AA95" i="1"/>
  <c r="Y95" i="1"/>
  <c r="AB68" i="1"/>
  <c r="Z68" i="1"/>
  <c r="Y68" i="1"/>
  <c r="AA68" i="1"/>
  <c r="AC136" i="1"/>
  <c r="AH133" i="1"/>
  <c r="AG65" i="1"/>
  <c r="AE65" i="1"/>
  <c r="AF65" i="1"/>
  <c r="AD65" i="1"/>
  <c r="Z81" i="1"/>
  <c r="AB81" i="1"/>
  <c r="Y81" i="1"/>
  <c r="AA81" i="1"/>
  <c r="AH134" i="1"/>
  <c r="AG66" i="1"/>
  <c r="AF66" i="1"/>
  <c r="AD66" i="1"/>
  <c r="AE66" i="1"/>
  <c r="AE94" i="1"/>
  <c r="AG94" i="1"/>
  <c r="AD94" i="1"/>
  <c r="AF94" i="1"/>
  <c r="X147" i="1"/>
  <c r="AD47" i="3"/>
  <c r="AD48" i="3" s="1"/>
  <c r="AW39" i="3" s="1"/>
  <c r="AI47" i="3"/>
  <c r="AC147" i="1"/>
  <c r="AN47" i="3"/>
  <c r="AD93" i="1"/>
  <c r="AF93" i="1"/>
  <c r="AG93" i="1"/>
  <c r="AE93" i="1"/>
  <c r="AH45" i="3"/>
  <c r="AG45" i="3"/>
  <c r="AX39" i="3"/>
  <c r="AE45" i="3"/>
  <c r="AF45" i="3"/>
  <c r="AM45" i="3"/>
  <c r="AY39" i="3"/>
  <c r="AL45" i="3"/>
  <c r="AK45" i="3"/>
  <c r="AJ45" i="3"/>
  <c r="O12" i="3"/>
  <c r="F39" i="2"/>
  <c r="H35" i="2"/>
  <c r="H39" i="2" s="1"/>
  <c r="E35" i="2"/>
  <c r="H23" i="2"/>
  <c r="E23" i="2"/>
  <c r="H21" i="2"/>
  <c r="H20" i="2"/>
  <c r="E20" i="2"/>
  <c r="R10" i="2"/>
  <c r="P10" i="2"/>
  <c r="J32" i="1"/>
  <c r="L32" i="1"/>
  <c r="J33" i="1"/>
  <c r="L33" i="1"/>
  <c r="J34" i="1"/>
  <c r="L34" i="1"/>
  <c r="J35" i="1"/>
  <c r="L35" i="1"/>
  <c r="AH47" i="1"/>
  <c r="AH48" i="1"/>
  <c r="X48" i="1"/>
  <c r="X56" i="1" s="1"/>
  <c r="AC49" i="1"/>
  <c r="X49" i="1"/>
  <c r="AL122" i="1" l="1"/>
  <c r="AP29" i="2"/>
  <c r="AF28" i="2"/>
  <c r="AG29" i="2"/>
  <c r="AN28" i="2"/>
  <c r="AJ28" i="2"/>
  <c r="AP30" i="2"/>
  <c r="AK28" i="2"/>
  <c r="AH28" i="2"/>
  <c r="AH29" i="2"/>
  <c r="AH30" i="2"/>
  <c r="AD28" i="2"/>
  <c r="AD29" i="2"/>
  <c r="AI30" i="2"/>
  <c r="AQ28" i="2"/>
  <c r="AN30" i="2"/>
  <c r="AH27" i="2"/>
  <c r="AI29" i="2"/>
  <c r="AI27" i="2"/>
  <c r="AQ30" i="2"/>
  <c r="AO28" i="2"/>
  <c r="AG30" i="2"/>
  <c r="AF29" i="2"/>
  <c r="AQ29" i="2"/>
  <c r="AL29" i="2"/>
  <c r="AE29" i="2"/>
  <c r="AJ30" i="2"/>
  <c r="AO29" i="2"/>
  <c r="AE28" i="2"/>
  <c r="AJ29" i="2"/>
  <c r="AD30" i="2"/>
  <c r="AG28" i="2"/>
  <c r="AK29" i="2"/>
  <c r="AK30" i="2"/>
  <c r="AL27" i="2"/>
  <c r="AI28" i="2"/>
  <c r="AJ27" i="2"/>
  <c r="AN29" i="2"/>
  <c r="AO30" i="2"/>
  <c r="AE30" i="2"/>
  <c r="AL30" i="2"/>
  <c r="AK27" i="2"/>
  <c r="AP28" i="2"/>
  <c r="AL28" i="2"/>
  <c r="AE27" i="2"/>
  <c r="AO27" i="2"/>
  <c r="AP27" i="2"/>
  <c r="AN27" i="2"/>
  <c r="AG27" i="2"/>
  <c r="AQ27" i="2"/>
  <c r="AF27" i="2"/>
  <c r="AD27" i="2"/>
  <c r="AF136" i="1"/>
  <c r="AE136" i="1"/>
  <c r="AD136" i="1"/>
  <c r="AG136" i="1"/>
  <c r="AM125" i="1"/>
  <c r="Z149" i="1"/>
  <c r="AB149" i="1"/>
  <c r="Y149" i="1"/>
  <c r="AA149" i="1"/>
  <c r="AB147" i="1"/>
  <c r="AA147" i="1"/>
  <c r="Z147" i="1"/>
  <c r="Y147" i="1"/>
  <c r="AE133" i="1"/>
  <c r="AF133" i="1"/>
  <c r="AG133" i="1"/>
  <c r="AD133" i="1"/>
  <c r="AM122" i="1"/>
  <c r="AB150" i="1"/>
  <c r="Z150" i="1"/>
  <c r="Y150" i="1"/>
  <c r="AA150" i="1"/>
  <c r="L42" i="1"/>
  <c r="J42" i="1"/>
  <c r="AF134" i="1"/>
  <c r="AD134" i="1"/>
  <c r="AE134" i="1"/>
  <c r="AG134" i="1"/>
  <c r="AM123" i="1"/>
  <c r="AB136" i="1"/>
  <c r="Y136" i="1"/>
  <c r="AA136" i="1"/>
  <c r="Z136" i="1"/>
  <c r="AL125" i="1"/>
  <c r="AB148" i="1"/>
  <c r="Y148" i="1"/>
  <c r="Z148" i="1"/>
  <c r="AA148" i="1"/>
  <c r="Z133" i="1"/>
  <c r="AB133" i="1"/>
  <c r="Y133" i="1"/>
  <c r="AA133" i="1"/>
  <c r="Y151" i="1"/>
  <c r="AB151" i="1"/>
  <c r="AA151" i="1"/>
  <c r="Z151" i="1"/>
  <c r="AL123" i="1"/>
  <c r="AA134" i="1"/>
  <c r="Y134" i="1"/>
  <c r="AB134" i="1"/>
  <c r="Z134" i="1"/>
  <c r="AF135" i="1"/>
  <c r="AE135" i="1"/>
  <c r="AD135" i="1"/>
  <c r="AG135" i="1"/>
  <c r="AM124" i="1"/>
  <c r="AB135" i="1"/>
  <c r="AA135" i="1"/>
  <c r="Z135" i="1"/>
  <c r="Y135" i="1"/>
  <c r="AL124" i="1"/>
  <c r="AH56" i="1"/>
  <c r="G6" i="4"/>
  <c r="AN9" i="4" s="1"/>
  <c r="AY41" i="3"/>
  <c r="AL47" i="3"/>
  <c r="AK47" i="3"/>
  <c r="AJ47" i="3"/>
  <c r="AM47" i="3"/>
  <c r="AX41" i="3"/>
  <c r="AG47" i="3"/>
  <c r="AE47" i="3"/>
  <c r="AH47" i="3"/>
  <c r="AF47" i="3"/>
  <c r="AK19" i="3"/>
  <c r="Y25" i="3" s="1"/>
  <c r="Y27" i="3" s="1"/>
  <c r="Z19" i="3"/>
  <c r="Z21" i="3" s="1"/>
  <c r="F8" i="4" s="1"/>
  <c r="AB19" i="3"/>
  <c r="AB21" i="3" s="1"/>
  <c r="H8" i="4" s="1"/>
  <c r="AF19" i="3"/>
  <c r="X25" i="3" s="1"/>
  <c r="X27" i="3" s="1"/>
  <c r="AA19" i="3"/>
  <c r="AC19" i="3"/>
  <c r="AC21" i="3" s="1"/>
  <c r="I8" i="4" s="1"/>
  <c r="AD19" i="3"/>
  <c r="AD21" i="3" s="1"/>
  <c r="J8" i="4" s="1"/>
  <c r="AG19" i="3"/>
  <c r="AG21" i="3" s="1"/>
  <c r="M8" i="4" s="1"/>
  <c r="AE19" i="3"/>
  <c r="AE21" i="3" s="1"/>
  <c r="K8" i="4" s="1"/>
  <c r="AH19" i="3"/>
  <c r="AH21" i="3" s="1"/>
  <c r="N8" i="4" s="1"/>
  <c r="W19" i="3"/>
  <c r="W21" i="3" s="1"/>
  <c r="C8" i="4" s="1"/>
  <c r="AJ19" i="3"/>
  <c r="AJ21" i="3" s="1"/>
  <c r="P8" i="4" s="1"/>
  <c r="AI19" i="3"/>
  <c r="AI21" i="3" s="1"/>
  <c r="O8" i="4" s="1"/>
  <c r="X19" i="3"/>
  <c r="X21" i="3" s="1"/>
  <c r="D8" i="4" s="1"/>
  <c r="Y19" i="3"/>
  <c r="Y21" i="3" s="1"/>
  <c r="E8" i="4" s="1"/>
  <c r="AK21" i="3"/>
  <c r="Q8" i="4" s="1"/>
  <c r="AP6" i="4" s="1"/>
  <c r="P12" i="3"/>
  <c r="AM55" i="2"/>
  <c r="AR55" i="2"/>
  <c r="AH55" i="2"/>
  <c r="AR57" i="2"/>
  <c r="AH57" i="2"/>
  <c r="AM57" i="2"/>
  <c r="AR54" i="2"/>
  <c r="AH54" i="2"/>
  <c r="AM54" i="2"/>
  <c r="AI54" i="2" s="1"/>
  <c r="AI63" i="2" s="1"/>
  <c r="AM12" i="2"/>
  <c r="AH12" i="2"/>
  <c r="AH26" i="2" s="1"/>
  <c r="BB6" i="2" s="1"/>
  <c r="AR12" i="2"/>
  <c r="AM10" i="2"/>
  <c r="AR10" i="2"/>
  <c r="AH10" i="2"/>
  <c r="AH24" i="2" s="1"/>
  <c r="BB4" i="2" s="1"/>
  <c r="AR9" i="2"/>
  <c r="AM9" i="2"/>
  <c r="AH9" i="2"/>
  <c r="T130" i="1"/>
  <c r="U130" i="1"/>
  <c r="W129" i="1"/>
  <c r="V129" i="1"/>
  <c r="U129" i="1"/>
  <c r="T129" i="1"/>
  <c r="AG47" i="1"/>
  <c r="AD47" i="1"/>
  <c r="AE47" i="1"/>
  <c r="AF47" i="1"/>
  <c r="T49" i="1"/>
  <c r="U49" i="1"/>
  <c r="W49" i="1"/>
  <c r="U62" i="1"/>
  <c r="V49" i="1"/>
  <c r="T62" i="1"/>
  <c r="Y49" i="1"/>
  <c r="Z49" i="1"/>
  <c r="AB49" i="1"/>
  <c r="AA49" i="1"/>
  <c r="AE48" i="1"/>
  <c r="AD48" i="1"/>
  <c r="AG48" i="1"/>
  <c r="AF48" i="1"/>
  <c r="W61" i="1"/>
  <c r="T48" i="1"/>
  <c r="T56" i="1" s="1"/>
  <c r="T61" i="1"/>
  <c r="U61" i="1"/>
  <c r="W48" i="1"/>
  <c r="W56" i="1" s="1"/>
  <c r="U48" i="1"/>
  <c r="U56" i="1" s="1"/>
  <c r="V61" i="1"/>
  <c r="V48" i="1"/>
  <c r="V56" i="1" s="1"/>
  <c r="AH73" i="1"/>
  <c r="AH60" i="1"/>
  <c r="X118" i="1"/>
  <c r="X62" i="1"/>
  <c r="AC118" i="1"/>
  <c r="AC62" i="1"/>
  <c r="AC75" i="1"/>
  <c r="X117" i="1"/>
  <c r="X61" i="1"/>
  <c r="AH74" i="1"/>
  <c r="AH117" i="1"/>
  <c r="AH61" i="1"/>
  <c r="X116" i="1"/>
  <c r="X60" i="1"/>
  <c r="AK48" i="1"/>
  <c r="AH116" i="1"/>
  <c r="G45" i="1"/>
  <c r="AL47" i="1"/>
  <c r="K34" i="1"/>
  <c r="K35" i="1"/>
  <c r="X10" i="1"/>
  <c r="V10" i="1" s="1"/>
  <c r="G44" i="1"/>
  <c r="AH9" i="1"/>
  <c r="AN9" i="1" s="1"/>
  <c r="AI49" i="1"/>
  <c r="AH49" i="1"/>
  <c r="AC48" i="1"/>
  <c r="H33" i="1"/>
  <c r="X8" i="1"/>
  <c r="AC8" i="1"/>
  <c r="AI47" i="1"/>
  <c r="K32" i="1"/>
  <c r="K33" i="1"/>
  <c r="AI48" i="1"/>
  <c r="AH8" i="1"/>
  <c r="E22" i="2"/>
  <c r="H22" i="2"/>
  <c r="H28" i="2" s="1"/>
  <c r="AM49" i="1"/>
  <c r="AJ49" i="1"/>
  <c r="AN47" i="1"/>
  <c r="AK47" i="1"/>
  <c r="AL49" i="1"/>
  <c r="AN48" i="1"/>
  <c r="AL48" i="1"/>
  <c r="AC47" i="1"/>
  <c r="AR30" i="2" l="1"/>
  <c r="AR27" i="2"/>
  <c r="AR29" i="2"/>
  <c r="AM29" i="2"/>
  <c r="AM30" i="2"/>
  <c r="AR28" i="2"/>
  <c r="AM28" i="2"/>
  <c r="AM27" i="2"/>
  <c r="AQ12" i="2"/>
  <c r="AQ26" i="2" s="1"/>
  <c r="AN12" i="2"/>
  <c r="AN26" i="2" s="1"/>
  <c r="AP12" i="2"/>
  <c r="AO12" i="2"/>
  <c r="AO26" i="2" s="1"/>
  <c r="AH23" i="2"/>
  <c r="K42" i="1"/>
  <c r="AC56" i="1"/>
  <c r="AK10" i="1"/>
  <c r="AK15" i="1"/>
  <c r="AK13" i="1"/>
  <c r="AJ15" i="1"/>
  <c r="AK14" i="1"/>
  <c r="AJ14" i="1"/>
  <c r="AJ13" i="1"/>
  <c r="AK12" i="1"/>
  <c r="AJ12" i="1"/>
  <c r="AI12" i="1"/>
  <c r="AI15" i="1"/>
  <c r="AJ11" i="1"/>
  <c r="AK11" i="1"/>
  <c r="AI11" i="1"/>
  <c r="AI14" i="1"/>
  <c r="AI13" i="1"/>
  <c r="X130" i="1"/>
  <c r="V62" i="1"/>
  <c r="X69" i="1"/>
  <c r="AF21" i="3"/>
  <c r="L8" i="4" s="1"/>
  <c r="AO6" i="4" s="1"/>
  <c r="AA21" i="3"/>
  <c r="G8" i="4" s="1"/>
  <c r="AN6" i="4" s="1"/>
  <c r="W25" i="3"/>
  <c r="W27" i="3" s="1"/>
  <c r="AB75" i="1"/>
  <c r="Z75" i="1"/>
  <c r="Y75" i="1"/>
  <c r="AA75" i="1"/>
  <c r="AA48" i="1"/>
  <c r="Z48" i="1"/>
  <c r="AB48" i="1"/>
  <c r="Y48" i="1"/>
  <c r="AB8" i="1"/>
  <c r="AA8" i="1"/>
  <c r="Z8" i="1"/>
  <c r="Y8" i="1"/>
  <c r="AI57" i="2"/>
  <c r="AL57" i="2"/>
  <c r="AK57" i="2"/>
  <c r="AJ57" i="2"/>
  <c r="AE57" i="2"/>
  <c r="AD57" i="2"/>
  <c r="AF57" i="2"/>
  <c r="AG57" i="2"/>
  <c r="AH64" i="2"/>
  <c r="AG55" i="2"/>
  <c r="AG64" i="2" s="1"/>
  <c r="AD55" i="2"/>
  <c r="AD64" i="2" s="1"/>
  <c r="AE55" i="2"/>
  <c r="AE64" i="2" s="1"/>
  <c r="AF55" i="2"/>
  <c r="AF64" i="2" s="1"/>
  <c r="AH63" i="2"/>
  <c r="AD54" i="2"/>
  <c r="AD63" i="2" s="1"/>
  <c r="AG54" i="2"/>
  <c r="AG63" i="2" s="1"/>
  <c r="AF54" i="2"/>
  <c r="AF63" i="2" s="1"/>
  <c r="AE54" i="2"/>
  <c r="AE63" i="2" s="1"/>
  <c r="AR56" i="2"/>
  <c r="AR58" i="2" s="1"/>
  <c r="AH56" i="2"/>
  <c r="AM56" i="2"/>
  <c r="AM58" i="2" s="1"/>
  <c r="AO54" i="2"/>
  <c r="AO63" i="2" s="1"/>
  <c r="AQ54" i="2"/>
  <c r="AQ63" i="2" s="1"/>
  <c r="AP54" i="2"/>
  <c r="AP63" i="2" s="1"/>
  <c r="AN54" i="2"/>
  <c r="AQ57" i="2"/>
  <c r="AP57" i="2"/>
  <c r="AO57" i="2"/>
  <c r="AN57" i="2"/>
  <c r="AL54" i="2"/>
  <c r="AL63" i="2" s="1"/>
  <c r="AK54" i="2"/>
  <c r="AK63" i="2" s="1"/>
  <c r="AJ54" i="2"/>
  <c r="AQ55" i="2"/>
  <c r="AQ64" i="2" s="1"/>
  <c r="AN55" i="2"/>
  <c r="AN64" i="2" s="1"/>
  <c r="AP55" i="2"/>
  <c r="AP64" i="2" s="1"/>
  <c r="AO55" i="2"/>
  <c r="AO64" i="2" s="1"/>
  <c r="AI55" i="2"/>
  <c r="AI64" i="2" s="1"/>
  <c r="AL55" i="2"/>
  <c r="AL64" i="2" s="1"/>
  <c r="AK55" i="2"/>
  <c r="AK64" i="2" s="1"/>
  <c r="AJ55" i="2"/>
  <c r="AJ64" i="2" s="1"/>
  <c r="AM66" i="2"/>
  <c r="AQ9" i="2"/>
  <c r="AP9" i="2"/>
  <c r="AN9" i="2"/>
  <c r="AO9" i="2"/>
  <c r="AQ10" i="2"/>
  <c r="AQ24" i="2" s="1"/>
  <c r="AN10" i="2"/>
  <c r="AN24" i="2" s="1"/>
  <c r="AP10" i="2"/>
  <c r="AP24" i="2" s="1"/>
  <c r="AO10" i="2"/>
  <c r="AO24" i="2" s="1"/>
  <c r="AI10" i="2"/>
  <c r="AI24" i="2" s="1"/>
  <c r="AJ10" i="2"/>
  <c r="AJ24" i="2" s="1"/>
  <c r="AK10" i="2"/>
  <c r="AK24" i="2" s="1"/>
  <c r="AL10" i="2"/>
  <c r="AL24" i="2" s="1"/>
  <c r="AI9" i="2"/>
  <c r="AJ9" i="2"/>
  <c r="AK9" i="2"/>
  <c r="AL9" i="2"/>
  <c r="AP26" i="2"/>
  <c r="AG10" i="2"/>
  <c r="AG24" i="2" s="1"/>
  <c r="AF10" i="2"/>
  <c r="AF24" i="2" s="1"/>
  <c r="AE10" i="2"/>
  <c r="AE24" i="2" s="1"/>
  <c r="AD10" i="2"/>
  <c r="AD24" i="2" s="1"/>
  <c r="AH11" i="2"/>
  <c r="AH17" i="2" s="1"/>
  <c r="AH18" i="2" s="1"/>
  <c r="G15" i="4" s="1"/>
  <c r="AM11" i="2"/>
  <c r="AM17" i="2" s="1"/>
  <c r="AM18" i="2" s="1"/>
  <c r="L15" i="4" s="1"/>
  <c r="AR11" i="2"/>
  <c r="AR17" i="2" s="1"/>
  <c r="AR18" i="2" s="1"/>
  <c r="Q15" i="4" s="1"/>
  <c r="AE12" i="2"/>
  <c r="AE26" i="2" s="1"/>
  <c r="AD12" i="2"/>
  <c r="AD26" i="2" s="1"/>
  <c r="AG12" i="2"/>
  <c r="AG26" i="2" s="1"/>
  <c r="AF12" i="2"/>
  <c r="AF26" i="2" s="1"/>
  <c r="AG9" i="2"/>
  <c r="AF9" i="2"/>
  <c r="AD9" i="2"/>
  <c r="AE9" i="2"/>
  <c r="AJ12" i="2"/>
  <c r="AJ26" i="2" s="1"/>
  <c r="AK12" i="2"/>
  <c r="AK26" i="2" s="1"/>
  <c r="AL12" i="2"/>
  <c r="AL26" i="2" s="1"/>
  <c r="AI12" i="2"/>
  <c r="AI26" i="2" s="1"/>
  <c r="T116" i="1"/>
  <c r="W116" i="1"/>
  <c r="U116" i="1"/>
  <c r="V116" i="1"/>
  <c r="AG116" i="1"/>
  <c r="AF116" i="1"/>
  <c r="AE116" i="1"/>
  <c r="AD116" i="1"/>
  <c r="V117" i="1"/>
  <c r="T117" i="1"/>
  <c r="U117" i="1"/>
  <c r="W117" i="1"/>
  <c r="AD117" i="1"/>
  <c r="AE117" i="1"/>
  <c r="AG117" i="1"/>
  <c r="AF117" i="1"/>
  <c r="AE74" i="1"/>
  <c r="AF74" i="1"/>
  <c r="AG74" i="1"/>
  <c r="AD74" i="1"/>
  <c r="AG73" i="1"/>
  <c r="AD73" i="1"/>
  <c r="AF73" i="1"/>
  <c r="AE73" i="1"/>
  <c r="Y118" i="1"/>
  <c r="Z118" i="1"/>
  <c r="AB118" i="1"/>
  <c r="AA118" i="1"/>
  <c r="W130" i="1"/>
  <c r="V130" i="1"/>
  <c r="V118" i="1"/>
  <c r="U118" i="1"/>
  <c r="T118" i="1"/>
  <c r="W118" i="1"/>
  <c r="AE49" i="1"/>
  <c r="AE56" i="1" s="1"/>
  <c r="AF49" i="1"/>
  <c r="AF56" i="1" s="1"/>
  <c r="AG49" i="1"/>
  <c r="AG56" i="1" s="1"/>
  <c r="AD49" i="1"/>
  <c r="AD56" i="1" s="1"/>
  <c r="X128" i="1"/>
  <c r="W60" i="1"/>
  <c r="T60" i="1"/>
  <c r="T69" i="1" s="1"/>
  <c r="V60" i="1"/>
  <c r="U60" i="1"/>
  <c r="U69" i="1" s="1"/>
  <c r="AB62" i="1"/>
  <c r="Z62" i="1"/>
  <c r="AA62" i="1"/>
  <c r="Y62" i="1"/>
  <c r="W62" i="1" s="1"/>
  <c r="AE61" i="1"/>
  <c r="AG61" i="1"/>
  <c r="AD61" i="1"/>
  <c r="AF61" i="1"/>
  <c r="Y47" i="1"/>
  <c r="Y56" i="1" s="1"/>
  <c r="Z47" i="1"/>
  <c r="Z56" i="1" s="1"/>
  <c r="AA47" i="1"/>
  <c r="AA56" i="1" s="1"/>
  <c r="AB47" i="1"/>
  <c r="AB56" i="1" s="1"/>
  <c r="AE60" i="1"/>
  <c r="AF60" i="1"/>
  <c r="AG60" i="1"/>
  <c r="AD60" i="1"/>
  <c r="AH92" i="1"/>
  <c r="AF9" i="1"/>
  <c r="AD9" i="1"/>
  <c r="AE9" i="1"/>
  <c r="AG9" i="1"/>
  <c r="X93" i="1"/>
  <c r="U10" i="1"/>
  <c r="W10" i="1"/>
  <c r="T10" i="1"/>
  <c r="AC91" i="1"/>
  <c r="AH91" i="1"/>
  <c r="AE8" i="1"/>
  <c r="AF8" i="1"/>
  <c r="AG8" i="1"/>
  <c r="AD8" i="1"/>
  <c r="X91" i="1"/>
  <c r="V8" i="1"/>
  <c r="T8" i="1"/>
  <c r="U8" i="1"/>
  <c r="W8" i="1"/>
  <c r="AL50" i="1"/>
  <c r="AL56" i="1" s="1"/>
  <c r="AH128" i="1"/>
  <c r="AH129" i="1"/>
  <c r="AC60" i="1"/>
  <c r="AC73" i="1"/>
  <c r="AH36" i="1"/>
  <c r="AH22" i="1"/>
  <c r="AC130" i="1"/>
  <c r="AC21" i="1"/>
  <c r="AC35" i="1"/>
  <c r="AH35" i="1"/>
  <c r="AH21" i="1"/>
  <c r="X35" i="1"/>
  <c r="X43" i="1" s="1"/>
  <c r="X21" i="1"/>
  <c r="X23" i="1"/>
  <c r="AJ48" i="1"/>
  <c r="AC117" i="1"/>
  <c r="AC61" i="1"/>
  <c r="AC74" i="1"/>
  <c r="AH63" i="1"/>
  <c r="AH76" i="1"/>
  <c r="AH119" i="1"/>
  <c r="AC119" i="1"/>
  <c r="AC63" i="1"/>
  <c r="AA63" i="1" s="1"/>
  <c r="AC76" i="1"/>
  <c r="AH75" i="1"/>
  <c r="AH82" i="1" s="1"/>
  <c r="AH118" i="1"/>
  <c r="AH125" i="1" s="1"/>
  <c r="AH62" i="1"/>
  <c r="AH69" i="1" s="1"/>
  <c r="X131" i="1"/>
  <c r="X119" i="1"/>
  <c r="X125" i="1" s="1"/>
  <c r="X74" i="1"/>
  <c r="X82" i="1" s="1"/>
  <c r="AN50" i="1"/>
  <c r="AM50" i="1"/>
  <c r="AC116" i="1"/>
  <c r="AC125" i="1" s="1"/>
  <c r="AN49" i="1"/>
  <c r="AM48" i="1"/>
  <c r="AC10" i="1"/>
  <c r="H35" i="1"/>
  <c r="AL10" i="1"/>
  <c r="AI10" i="1"/>
  <c r="AK49" i="1"/>
  <c r="AM8" i="1"/>
  <c r="AL8" i="1"/>
  <c r="X144" i="1" s="1"/>
  <c r="AK8" i="1"/>
  <c r="H34" i="1"/>
  <c r="AC9" i="1"/>
  <c r="X9" i="1"/>
  <c r="AK9" i="1"/>
  <c r="AI8" i="1"/>
  <c r="AN8" i="1"/>
  <c r="AJ8" i="1"/>
  <c r="H32" i="1"/>
  <c r="X7" i="1"/>
  <c r="AC7" i="1"/>
  <c r="AH7" i="1"/>
  <c r="AM47" i="1"/>
  <c r="AJ47" i="1"/>
  <c r="AE23" i="2" l="1"/>
  <c r="AD23" i="2"/>
  <c r="AP23" i="2"/>
  <c r="AF23" i="2"/>
  <c r="AQ23" i="2"/>
  <c r="AG23" i="2"/>
  <c r="AL23" i="2"/>
  <c r="BB3" i="2"/>
  <c r="AK23" i="2"/>
  <c r="AJ23" i="2"/>
  <c r="AN23" i="2"/>
  <c r="AI23" i="2"/>
  <c r="AO23" i="2"/>
  <c r="W69" i="1"/>
  <c r="AC82" i="1"/>
  <c r="H42" i="1"/>
  <c r="H45" i="1" s="1"/>
  <c r="AC69" i="1"/>
  <c r="V69" i="1"/>
  <c r="AN56" i="1"/>
  <c r="Z132" i="1"/>
  <c r="AA132" i="1"/>
  <c r="Y132" i="1"/>
  <c r="AB132" i="1"/>
  <c r="AL121" i="1"/>
  <c r="X106" i="1"/>
  <c r="AK121" i="1" s="1"/>
  <c r="AB11" i="1"/>
  <c r="AC37" i="1"/>
  <c r="AA11" i="1"/>
  <c r="Z11" i="1"/>
  <c r="AD76" i="1"/>
  <c r="AM56" i="1"/>
  <c r="X129" i="1"/>
  <c r="X137" i="1" s="1"/>
  <c r="AE35" i="1"/>
  <c r="AF35" i="1"/>
  <c r="AG35" i="1"/>
  <c r="AD35" i="1"/>
  <c r="AE36" i="1"/>
  <c r="AG36" i="1"/>
  <c r="AF36" i="1"/>
  <c r="AD36" i="1"/>
  <c r="AB73" i="1"/>
  <c r="AA73" i="1"/>
  <c r="Z73" i="1"/>
  <c r="AA74" i="1"/>
  <c r="Z74" i="1"/>
  <c r="Y74" i="1"/>
  <c r="AB74" i="1"/>
  <c r="AB61" i="1"/>
  <c r="AA61" i="1"/>
  <c r="Z61" i="1"/>
  <c r="Y61" i="1"/>
  <c r="Z63" i="1"/>
  <c r="AB63" i="1"/>
  <c r="Y63" i="1"/>
  <c r="AA76" i="1"/>
  <c r="Z76" i="1"/>
  <c r="Y76" i="1"/>
  <c r="AB76" i="1"/>
  <c r="AA10" i="1"/>
  <c r="AB10" i="1"/>
  <c r="Z10" i="1"/>
  <c r="Y10" i="1"/>
  <c r="AB21" i="1"/>
  <c r="Y21" i="1"/>
  <c r="AA21" i="1"/>
  <c r="Z21" i="1"/>
  <c r="Z117" i="1"/>
  <c r="Y117" i="1"/>
  <c r="AA117" i="1"/>
  <c r="AB117" i="1"/>
  <c r="AB119" i="1"/>
  <c r="AA119" i="1"/>
  <c r="Z119" i="1"/>
  <c r="Y119" i="1"/>
  <c r="AB91" i="1"/>
  <c r="AA91" i="1"/>
  <c r="Y91" i="1"/>
  <c r="Z91" i="1"/>
  <c r="AM26" i="2"/>
  <c r="BC6" i="2" s="1"/>
  <c r="AJ56" i="2"/>
  <c r="AJ65" i="2" s="1"/>
  <c r="AK56" i="2"/>
  <c r="AK65" i="2" s="1"/>
  <c r="AI56" i="2"/>
  <c r="AI65" i="2" s="1"/>
  <c r="AL56" i="2"/>
  <c r="AL65" i="2" s="1"/>
  <c r="AH65" i="2"/>
  <c r="AH67" i="2" s="1"/>
  <c r="AD56" i="2"/>
  <c r="AD65" i="2" s="1"/>
  <c r="AE56" i="2"/>
  <c r="AE65" i="2" s="1"/>
  <c r="AF56" i="2"/>
  <c r="AF65" i="2" s="1"/>
  <c r="AG56" i="2"/>
  <c r="AG65" i="2" s="1"/>
  <c r="AJ63" i="2"/>
  <c r="AM63" i="2" s="1"/>
  <c r="AN63" i="2"/>
  <c r="AR63" i="2" s="1"/>
  <c r="AH58" i="2"/>
  <c r="AR64" i="2"/>
  <c r="AN56" i="2"/>
  <c r="AN65" i="2" s="1"/>
  <c r="AQ56" i="2"/>
  <c r="AQ65" i="2" s="1"/>
  <c r="AP56" i="2"/>
  <c r="AP65" i="2" s="1"/>
  <c r="AO56" i="2"/>
  <c r="AO65" i="2" s="1"/>
  <c r="AM64" i="2"/>
  <c r="AR66" i="2"/>
  <c r="AR26" i="2"/>
  <c r="BD6" i="2" s="1"/>
  <c r="AM24" i="2"/>
  <c r="BC4" i="2" s="1"/>
  <c r="AR24" i="2"/>
  <c r="BD4" i="2" s="1"/>
  <c r="AN11" i="2"/>
  <c r="AN25" i="2" s="1"/>
  <c r="AQ11" i="2"/>
  <c r="AQ25" i="2" s="1"/>
  <c r="AP11" i="2"/>
  <c r="AP25" i="2" s="1"/>
  <c r="AO11" i="2"/>
  <c r="AO25" i="2" s="1"/>
  <c r="AK11" i="2"/>
  <c r="AK17" i="2" s="1"/>
  <c r="AJ11" i="2"/>
  <c r="AJ17" i="2" s="1"/>
  <c r="AL11" i="2"/>
  <c r="AL17" i="2" s="1"/>
  <c r="AI11" i="2"/>
  <c r="AI17" i="2" s="1"/>
  <c r="AF11" i="2"/>
  <c r="AF25" i="2" s="1"/>
  <c r="AG11" i="2"/>
  <c r="AG25" i="2" s="1"/>
  <c r="AE11" i="2"/>
  <c r="AE25" i="2" s="1"/>
  <c r="AD11" i="2"/>
  <c r="AD25" i="2" s="1"/>
  <c r="AH25" i="2"/>
  <c r="AH31" i="2" s="1"/>
  <c r="AG128" i="1"/>
  <c r="AF128" i="1"/>
  <c r="AE128" i="1"/>
  <c r="AD128" i="1"/>
  <c r="Y130" i="1"/>
  <c r="Z130" i="1"/>
  <c r="AB130" i="1"/>
  <c r="AA130" i="1"/>
  <c r="AE92" i="1"/>
  <c r="AF92" i="1"/>
  <c r="AG92" i="1"/>
  <c r="AD92" i="1"/>
  <c r="U128" i="1"/>
  <c r="U137" i="1" s="1"/>
  <c r="T128" i="1"/>
  <c r="T137" i="1" s="1"/>
  <c r="W128" i="1"/>
  <c r="V128" i="1"/>
  <c r="U119" i="1"/>
  <c r="U125" i="1" s="1"/>
  <c r="V119" i="1"/>
  <c r="V125" i="1" s="1"/>
  <c r="W119" i="1"/>
  <c r="W125" i="1" s="1"/>
  <c r="T119" i="1"/>
  <c r="T125" i="1" s="1"/>
  <c r="AD119" i="1"/>
  <c r="AG119" i="1"/>
  <c r="AE119" i="1"/>
  <c r="AF119" i="1"/>
  <c r="AE91" i="1"/>
  <c r="AF91" i="1"/>
  <c r="AG91" i="1"/>
  <c r="AD91" i="1"/>
  <c r="V131" i="1"/>
  <c r="W131" i="1"/>
  <c r="U131" i="1"/>
  <c r="T131" i="1"/>
  <c r="T93" i="1"/>
  <c r="U93" i="1"/>
  <c r="V93" i="1"/>
  <c r="W93" i="1"/>
  <c r="AG76" i="1"/>
  <c r="AF76" i="1"/>
  <c r="AE76" i="1"/>
  <c r="AG118" i="1"/>
  <c r="AF118" i="1"/>
  <c r="AF125" i="1" s="1"/>
  <c r="AE118" i="1"/>
  <c r="AE125" i="1" s="1"/>
  <c r="AD118" i="1"/>
  <c r="W91" i="1"/>
  <c r="T91" i="1"/>
  <c r="V91" i="1"/>
  <c r="U91" i="1"/>
  <c r="AB116" i="1"/>
  <c r="Y116" i="1"/>
  <c r="Y125" i="1" s="1"/>
  <c r="Z116" i="1"/>
  <c r="AA116" i="1"/>
  <c r="AG75" i="1"/>
  <c r="AD75" i="1"/>
  <c r="AD82" i="1" s="1"/>
  <c r="AE75" i="1"/>
  <c r="AE82" i="1" s="1"/>
  <c r="AF75" i="1"/>
  <c r="AD129" i="1"/>
  <c r="AG129" i="1"/>
  <c r="AF129" i="1"/>
  <c r="AE129" i="1"/>
  <c r="Y73" i="1"/>
  <c r="Z60" i="1"/>
  <c r="Z69" i="1" s="1"/>
  <c r="AA60" i="1"/>
  <c r="AA69" i="1" s="1"/>
  <c r="Y60" i="1"/>
  <c r="Y69" i="1" s="1"/>
  <c r="AB60" i="1"/>
  <c r="AE62" i="1"/>
  <c r="AF62" i="1"/>
  <c r="AF69" i="1" s="1"/>
  <c r="AG62" i="1"/>
  <c r="AG69" i="1" s="1"/>
  <c r="AD62" i="1"/>
  <c r="AD63" i="1"/>
  <c r="AE63" i="1"/>
  <c r="AG63" i="1"/>
  <c r="AF63" i="1"/>
  <c r="AH90" i="1"/>
  <c r="AE7" i="1"/>
  <c r="AF7" i="1"/>
  <c r="AG7" i="1"/>
  <c r="AD7" i="1"/>
  <c r="AC93" i="1"/>
  <c r="AG10" i="1"/>
  <c r="AE10" i="1"/>
  <c r="AF10" i="1"/>
  <c r="AE21" i="1"/>
  <c r="AD21" i="1"/>
  <c r="AF21" i="1"/>
  <c r="AG21" i="1"/>
  <c r="AE22" i="1"/>
  <c r="AD22" i="1"/>
  <c r="AF22" i="1"/>
  <c r="AG22" i="1"/>
  <c r="T9" i="1"/>
  <c r="U9" i="1"/>
  <c r="W9" i="1"/>
  <c r="X90" i="1"/>
  <c r="V9" i="1"/>
  <c r="T7" i="1"/>
  <c r="V7" i="1"/>
  <c r="W7" i="1"/>
  <c r="U7" i="1"/>
  <c r="AC92" i="1"/>
  <c r="AA9" i="1"/>
  <c r="Z9" i="1"/>
  <c r="AB9" i="1"/>
  <c r="Y9" i="1"/>
  <c r="Y35" i="1"/>
  <c r="Z35" i="1"/>
  <c r="AA35" i="1"/>
  <c r="AB35" i="1"/>
  <c r="AC90" i="1"/>
  <c r="AA7" i="1"/>
  <c r="Y7" i="1"/>
  <c r="Z7" i="1"/>
  <c r="AB7" i="1"/>
  <c r="AC144" i="1"/>
  <c r="X105" i="1"/>
  <c r="W23" i="1"/>
  <c r="V23" i="1"/>
  <c r="U23" i="1"/>
  <c r="T23" i="1"/>
  <c r="W21" i="1"/>
  <c r="V21" i="1"/>
  <c r="U21" i="1"/>
  <c r="T21" i="1"/>
  <c r="X22" i="1"/>
  <c r="X92" i="1"/>
  <c r="X146" i="1"/>
  <c r="AC129" i="1"/>
  <c r="AH130" i="1"/>
  <c r="AH103" i="1"/>
  <c r="AC131" i="1"/>
  <c r="AH104" i="1"/>
  <c r="AC34" i="1"/>
  <c r="AC20" i="1"/>
  <c r="AC29" i="1" s="1"/>
  <c r="AH34" i="1"/>
  <c r="AH43" i="1" s="1"/>
  <c r="AH20" i="1"/>
  <c r="AH29" i="1" s="1"/>
  <c r="AC103" i="1"/>
  <c r="AC128" i="1"/>
  <c r="X20" i="1"/>
  <c r="X29" i="1" s="1"/>
  <c r="AC36" i="1"/>
  <c r="AC22" i="1"/>
  <c r="AH131" i="1"/>
  <c r="AM10" i="1"/>
  <c r="AC146" i="1" s="1"/>
  <c r="AC23" i="1"/>
  <c r="X103" i="1"/>
  <c r="AJ10" i="1"/>
  <c r="AI9" i="1"/>
  <c r="AL9" i="1"/>
  <c r="AM9" i="1"/>
  <c r="AJ9" i="1"/>
  <c r="AI7" i="1"/>
  <c r="AL7" i="1"/>
  <c r="AL16" i="1" s="1"/>
  <c r="AN7" i="1"/>
  <c r="AN16" i="1" s="1"/>
  <c r="AK7" i="1"/>
  <c r="AJ7" i="1"/>
  <c r="AM7" i="1"/>
  <c r="AD69" i="1" l="1"/>
  <c r="AD125" i="1"/>
  <c r="AE69" i="1"/>
  <c r="AG125" i="1"/>
  <c r="AG82" i="1"/>
  <c r="AH137" i="1"/>
  <c r="AF82" i="1"/>
  <c r="Y82" i="1"/>
  <c r="AC137" i="1"/>
  <c r="AB125" i="1"/>
  <c r="AA82" i="1"/>
  <c r="AB82" i="1"/>
  <c r="AC99" i="1"/>
  <c r="AL95" i="1" s="1"/>
  <c r="AM23" i="2"/>
  <c r="AR23" i="2"/>
  <c r="BD3" i="2" s="1"/>
  <c r="AF17" i="2"/>
  <c r="AF18" i="2" s="1"/>
  <c r="E15" i="4" s="1"/>
  <c r="AF31" i="2"/>
  <c r="E7" i="4" s="1"/>
  <c r="AN17" i="2"/>
  <c r="AN18" i="2" s="1"/>
  <c r="M15" i="4" s="1"/>
  <c r="AP17" i="2"/>
  <c r="AP18" i="2" s="1"/>
  <c r="O15" i="4" s="1"/>
  <c r="AN31" i="2"/>
  <c r="M7" i="4" s="1"/>
  <c r="AP31" i="2"/>
  <c r="O7" i="4" s="1"/>
  <c r="BC3" i="2"/>
  <c r="AG17" i="2"/>
  <c r="AG18" i="2" s="1"/>
  <c r="F15" i="4" s="1"/>
  <c r="AD17" i="2"/>
  <c r="AD18" i="2" s="1"/>
  <c r="C15" i="4" s="1"/>
  <c r="AG31" i="2"/>
  <c r="F7" i="4" s="1"/>
  <c r="AD31" i="2"/>
  <c r="C7" i="4" s="1"/>
  <c r="AO17" i="2"/>
  <c r="AO18" i="2" s="1"/>
  <c r="N15" i="4" s="1"/>
  <c r="AQ17" i="2"/>
  <c r="AQ18" i="2" s="1"/>
  <c r="P15" i="4" s="1"/>
  <c r="AE17" i="2"/>
  <c r="AE18" i="2" s="1"/>
  <c r="D15" i="4" s="1"/>
  <c r="G7" i="4"/>
  <c r="AN8" i="4" s="1"/>
  <c r="BB5" i="2"/>
  <c r="AO31" i="2"/>
  <c r="N7" i="4" s="1"/>
  <c r="AQ31" i="2"/>
  <c r="P7" i="4" s="1"/>
  <c r="AE31" i="2"/>
  <c r="D7" i="4" s="1"/>
  <c r="X99" i="1"/>
  <c r="AK95" i="1" s="1"/>
  <c r="AC43" i="1"/>
  <c r="AA125" i="1"/>
  <c r="AM16" i="1"/>
  <c r="Z125" i="1"/>
  <c r="AH99" i="1"/>
  <c r="AM95" i="1" s="1"/>
  <c r="AB69" i="1"/>
  <c r="V137" i="1"/>
  <c r="W137" i="1"/>
  <c r="W138" i="1" s="1"/>
  <c r="Z82" i="1"/>
  <c r="V138" i="1"/>
  <c r="AH84" i="1"/>
  <c r="Q14" i="4" s="1"/>
  <c r="Q18" i="4" s="1"/>
  <c r="T138" i="1"/>
  <c r="U138" i="1"/>
  <c r="Y146" i="1"/>
  <c r="AA146" i="1"/>
  <c r="AL57" i="1"/>
  <c r="X84" i="1"/>
  <c r="G14" i="4" s="1"/>
  <c r="G18" i="4" s="1"/>
  <c r="AE132" i="1"/>
  <c r="AD132" i="1"/>
  <c r="AG132" i="1"/>
  <c r="AF132" i="1"/>
  <c r="AM121" i="1"/>
  <c r="AI25" i="2"/>
  <c r="AI31" i="2" s="1"/>
  <c r="AI18" i="2"/>
  <c r="H15" i="4" s="1"/>
  <c r="AL25" i="2"/>
  <c r="AL18" i="2"/>
  <c r="K15" i="4" s="1"/>
  <c r="AJ25" i="2"/>
  <c r="AJ18" i="2"/>
  <c r="I15" i="4" s="1"/>
  <c r="AK25" i="2"/>
  <c r="AK31" i="2" s="1"/>
  <c r="AK18" i="2"/>
  <c r="J15" i="4" s="1"/>
  <c r="Y129" i="1"/>
  <c r="AA129" i="1"/>
  <c r="Z129" i="1"/>
  <c r="AB129" i="1"/>
  <c r="AB131" i="1"/>
  <c r="Y131" i="1"/>
  <c r="AA131" i="1"/>
  <c r="Z131" i="1"/>
  <c r="U103" i="1"/>
  <c r="W103" i="1"/>
  <c r="V103" i="1"/>
  <c r="AB103" i="1"/>
  <c r="AA103" i="1"/>
  <c r="Y103" i="1"/>
  <c r="Z103" i="1"/>
  <c r="AB146" i="1"/>
  <c r="Z146" i="1"/>
  <c r="AB144" i="1"/>
  <c r="AA144" i="1"/>
  <c r="Z144" i="1"/>
  <c r="Y144" i="1"/>
  <c r="X145" i="1"/>
  <c r="AC145" i="1"/>
  <c r="AB145" i="1" s="1"/>
  <c r="AA23" i="1"/>
  <c r="Y23" i="1"/>
  <c r="Z23" i="1"/>
  <c r="AB23" i="1"/>
  <c r="AC143" i="1"/>
  <c r="AB93" i="1"/>
  <c r="AA93" i="1"/>
  <c r="Z93" i="1"/>
  <c r="Y93" i="1"/>
  <c r="AM65" i="2"/>
  <c r="AM67" i="2" s="1"/>
  <c r="AR65" i="2"/>
  <c r="AR67" i="2" s="1"/>
  <c r="AR25" i="2"/>
  <c r="AM118" i="1"/>
  <c r="AD103" i="1"/>
  <c r="AG103" i="1"/>
  <c r="AE103" i="1"/>
  <c r="AF103" i="1"/>
  <c r="U105" i="1"/>
  <c r="V105" i="1"/>
  <c r="W105" i="1"/>
  <c r="T105" i="1"/>
  <c r="AD131" i="1"/>
  <c r="AG131" i="1"/>
  <c r="AE131" i="1"/>
  <c r="AF131" i="1"/>
  <c r="AF137" i="1" s="1"/>
  <c r="V90" i="1"/>
  <c r="U90" i="1"/>
  <c r="T90" i="1"/>
  <c r="W90" i="1"/>
  <c r="AE90" i="1"/>
  <c r="AE99" i="1" s="1"/>
  <c r="AF90" i="1"/>
  <c r="AF99" i="1" s="1"/>
  <c r="AG90" i="1"/>
  <c r="AG99" i="1" s="1"/>
  <c r="AD90" i="1"/>
  <c r="AD99" i="1" s="1"/>
  <c r="AG130" i="1"/>
  <c r="AG137" i="1" s="1"/>
  <c r="AF130" i="1"/>
  <c r="AE130" i="1"/>
  <c r="AE137" i="1" s="1"/>
  <c r="AD130" i="1"/>
  <c r="Z90" i="1"/>
  <c r="AA90" i="1"/>
  <c r="AB90" i="1"/>
  <c r="Y90" i="1"/>
  <c r="AA92" i="1"/>
  <c r="Z92" i="1"/>
  <c r="Y92" i="1"/>
  <c r="AB92" i="1"/>
  <c r="AG104" i="1"/>
  <c r="AF104" i="1"/>
  <c r="AE104" i="1"/>
  <c r="AD104" i="1"/>
  <c r="AK118" i="1"/>
  <c r="T103" i="1"/>
  <c r="Z128" i="1"/>
  <c r="Z137" i="1" s="1"/>
  <c r="AA128" i="1"/>
  <c r="AB128" i="1"/>
  <c r="AB137" i="1" s="1"/>
  <c r="Y128" i="1"/>
  <c r="Y137" i="1" s="1"/>
  <c r="V92" i="1"/>
  <c r="W92" i="1"/>
  <c r="U92" i="1"/>
  <c r="T92" i="1"/>
  <c r="AA37" i="1"/>
  <c r="Y37" i="1"/>
  <c r="AB37" i="1"/>
  <c r="Z37" i="1"/>
  <c r="AG20" i="1"/>
  <c r="AG29" i="1" s="1"/>
  <c r="AE20" i="1"/>
  <c r="AE29" i="1" s="1"/>
  <c r="AD20" i="1"/>
  <c r="AD29" i="1" s="1"/>
  <c r="AF20" i="1"/>
  <c r="AF29" i="1" s="1"/>
  <c r="AB36" i="1"/>
  <c r="Z36" i="1"/>
  <c r="AA36" i="1"/>
  <c r="Y36" i="1"/>
  <c r="X102" i="1"/>
  <c r="V20" i="1"/>
  <c r="U20" i="1"/>
  <c r="T20" i="1"/>
  <c r="W20" i="1"/>
  <c r="AE34" i="1"/>
  <c r="AE43" i="1" s="1"/>
  <c r="AF34" i="1"/>
  <c r="AF43" i="1" s="1"/>
  <c r="AG34" i="1"/>
  <c r="AG43" i="1" s="1"/>
  <c r="AD34" i="1"/>
  <c r="AD43" i="1" s="1"/>
  <c r="Z34" i="1"/>
  <c r="Y34" i="1"/>
  <c r="AB34" i="1"/>
  <c r="AA34" i="1"/>
  <c r="Z20" i="1"/>
  <c r="AA20" i="1"/>
  <c r="AB20" i="1"/>
  <c r="Y20" i="1"/>
  <c r="Y29" i="1" s="1"/>
  <c r="Z22" i="1"/>
  <c r="AB22" i="1"/>
  <c r="AA22" i="1"/>
  <c r="Y22" i="1"/>
  <c r="AK120" i="1"/>
  <c r="X104" i="1"/>
  <c r="W22" i="1"/>
  <c r="V22" i="1"/>
  <c r="U22" i="1"/>
  <c r="T22" i="1"/>
  <c r="AC104" i="1"/>
  <c r="AL118" i="1"/>
  <c r="AH102" i="1"/>
  <c r="AM119" i="1"/>
  <c r="AC105" i="1"/>
  <c r="AC102" i="1"/>
  <c r="X143" i="1"/>
  <c r="X152" i="1" s="1"/>
  <c r="AH105" i="1"/>
  <c r="V99" i="1" l="1"/>
  <c r="Y99" i="1"/>
  <c r="AB99" i="1"/>
  <c r="AD137" i="1"/>
  <c r="AC111" i="1"/>
  <c r="AL96" i="1" s="1"/>
  <c r="AA29" i="1"/>
  <c r="AJ31" i="2"/>
  <c r="I7" i="4" s="1"/>
  <c r="H7" i="4"/>
  <c r="BD5" i="2"/>
  <c r="AL31" i="2"/>
  <c r="K7" i="4" s="1"/>
  <c r="J7" i="4"/>
  <c r="AR31" i="2"/>
  <c r="Q7" i="4" s="1"/>
  <c r="AP8" i="4" s="1"/>
  <c r="X111" i="1"/>
  <c r="AB29" i="1"/>
  <c r="AA99" i="1"/>
  <c r="AA43" i="1"/>
  <c r="Z99" i="1"/>
  <c r="AH111" i="1"/>
  <c r="AM96" i="1" s="1"/>
  <c r="Z29" i="1"/>
  <c r="Z43" i="1"/>
  <c r="AA137" i="1"/>
  <c r="AA138" i="1" s="1"/>
  <c r="W99" i="1"/>
  <c r="T99" i="1"/>
  <c r="AC152" i="1"/>
  <c r="U99" i="1"/>
  <c r="AB43" i="1"/>
  <c r="Y43" i="1"/>
  <c r="Y138" i="1"/>
  <c r="AF138" i="1"/>
  <c r="AB138" i="1"/>
  <c r="AD138" i="1"/>
  <c r="AC84" i="1"/>
  <c r="L14" i="4" s="1"/>
  <c r="L18" i="4" s="1"/>
  <c r="AK117" i="1"/>
  <c r="Z138" i="1"/>
  <c r="AE138" i="1"/>
  <c r="AG138" i="1"/>
  <c r="AK96" i="1"/>
  <c r="AG84" i="1"/>
  <c r="P14" i="4" s="1"/>
  <c r="P18" i="4" s="1"/>
  <c r="AF84" i="1"/>
  <c r="O14" i="4" s="1"/>
  <c r="O18" i="4" s="1"/>
  <c r="AE84" i="1"/>
  <c r="N14" i="4" s="1"/>
  <c r="N18" i="4" s="1"/>
  <c r="AD84" i="1"/>
  <c r="M14" i="4" s="1"/>
  <c r="M18" i="4" s="1"/>
  <c r="U145" i="1"/>
  <c r="W145" i="1"/>
  <c r="T145" i="1"/>
  <c r="V145" i="1"/>
  <c r="V29" i="1"/>
  <c r="V84" i="1" s="1"/>
  <c r="E14" i="4" s="1"/>
  <c r="E18" i="4" s="1"/>
  <c r="U29" i="1"/>
  <c r="U84" i="1" s="1"/>
  <c r="D14" i="4" s="1"/>
  <c r="D18" i="4" s="1"/>
  <c r="W29" i="1"/>
  <c r="W84" i="1" s="1"/>
  <c r="F14" i="4" s="1"/>
  <c r="F18" i="4" s="1"/>
  <c r="AM25" i="2"/>
  <c r="Z145" i="1"/>
  <c r="Y145" i="1"/>
  <c r="AM57" i="1"/>
  <c r="L12" i="4" s="1"/>
  <c r="G12" i="4"/>
  <c r="AB105" i="1"/>
  <c r="AA105" i="1"/>
  <c r="Z105" i="1"/>
  <c r="Y105" i="1"/>
  <c r="AA145" i="1"/>
  <c r="AH48" i="3"/>
  <c r="K6" i="4" s="1"/>
  <c r="AF48" i="3"/>
  <c r="I6" i="4" s="1"/>
  <c r="AL120" i="1"/>
  <c r="AM120" i="1"/>
  <c r="AD105" i="1"/>
  <c r="AE105" i="1"/>
  <c r="AG105" i="1"/>
  <c r="AF105" i="1"/>
  <c r="V143" i="1"/>
  <c r="V152" i="1" s="1"/>
  <c r="T143" i="1"/>
  <c r="T152" i="1" s="1"/>
  <c r="U104" i="1"/>
  <c r="W104" i="1"/>
  <c r="V104" i="1"/>
  <c r="T104" i="1"/>
  <c r="W102" i="1"/>
  <c r="W111" i="1" s="1"/>
  <c r="V102" i="1"/>
  <c r="U102" i="1"/>
  <c r="T102" i="1"/>
  <c r="AM117" i="1"/>
  <c r="AG102" i="1"/>
  <c r="AF102" i="1"/>
  <c r="AF111" i="1" s="1"/>
  <c r="AE102" i="1"/>
  <c r="AE111" i="1" s="1"/>
  <c r="AD102" i="1"/>
  <c r="Y143" i="1"/>
  <c r="Y152" i="1" s="1"/>
  <c r="Z143" i="1"/>
  <c r="Z152" i="1" s="1"/>
  <c r="AA143" i="1"/>
  <c r="AA152" i="1" s="1"/>
  <c r="AB143" i="1"/>
  <c r="AB152" i="1" s="1"/>
  <c r="AL119" i="1"/>
  <c r="AB104" i="1"/>
  <c r="AA104" i="1"/>
  <c r="Z104" i="1"/>
  <c r="Y104" i="1"/>
  <c r="AB102" i="1"/>
  <c r="AA102" i="1"/>
  <c r="Z102" i="1"/>
  <c r="Y102" i="1"/>
  <c r="AK119" i="1"/>
  <c r="AL117" i="1"/>
  <c r="AD111" i="1" l="1"/>
  <c r="AD112" i="1" s="1"/>
  <c r="M5" i="4" s="1"/>
  <c r="BC5" i="2"/>
  <c r="AM31" i="2"/>
  <c r="L7" i="4" s="1"/>
  <c r="AO8" i="4" s="1"/>
  <c r="AG111" i="1"/>
  <c r="AG112" i="1" s="1"/>
  <c r="P5" i="4" s="1"/>
  <c r="Z111" i="1"/>
  <c r="U152" i="1"/>
  <c r="D9" i="4" s="1"/>
  <c r="Y111" i="1"/>
  <c r="Y112" i="1" s="1"/>
  <c r="H5" i="4" s="1"/>
  <c r="AA111" i="1"/>
  <c r="AA112" i="1" s="1"/>
  <c r="J5" i="4" s="1"/>
  <c r="T111" i="1"/>
  <c r="AB111" i="1"/>
  <c r="AB112" i="1" s="1"/>
  <c r="K5" i="4" s="1"/>
  <c r="U111" i="1"/>
  <c r="V111" i="1"/>
  <c r="W152" i="1"/>
  <c r="F9" i="4" s="1"/>
  <c r="AK126" i="1"/>
  <c r="AA84" i="1"/>
  <c r="J14" i="4" s="1"/>
  <c r="J18" i="4" s="1"/>
  <c r="AB84" i="1"/>
  <c r="K14" i="4" s="1"/>
  <c r="K18" i="4" s="1"/>
  <c r="AE112" i="1"/>
  <c r="N5" i="4" s="1"/>
  <c r="Z84" i="1"/>
  <c r="I14" i="4" s="1"/>
  <c r="I18" i="4" s="1"/>
  <c r="AM126" i="1"/>
  <c r="C9" i="4"/>
  <c r="AF112" i="1"/>
  <c r="O5" i="4" s="1"/>
  <c r="E9" i="4"/>
  <c r="Y84" i="1"/>
  <c r="H14" i="4" s="1"/>
  <c r="H18" i="4" s="1"/>
  <c r="Z112" i="1"/>
  <c r="I5" i="4" s="1"/>
  <c r="I9" i="4"/>
  <c r="AL126" i="1"/>
  <c r="K9" i="4"/>
  <c r="G5" i="4"/>
  <c r="AN7" i="4" s="1"/>
  <c r="Q5" i="4"/>
  <c r="AP7" i="4" s="1"/>
  <c r="AM98" i="1"/>
  <c r="L5" i="4"/>
  <c r="AO7" i="4" s="1"/>
  <c r="V112" i="1"/>
  <c r="E5" i="4" s="1"/>
  <c r="G9" i="4"/>
  <c r="AN10" i="4" s="1"/>
  <c r="AN57" i="1"/>
  <c r="L9" i="4"/>
  <c r="AO10" i="4" s="1"/>
  <c r="U112" i="1"/>
  <c r="D5" i="4" s="1"/>
  <c r="W112" i="1"/>
  <c r="F5" i="4" s="1"/>
  <c r="AK97" i="1"/>
  <c r="AK98" i="1" s="1"/>
  <c r="AK143" i="1"/>
  <c r="T112" i="1"/>
  <c r="C5" i="4" s="1"/>
  <c r="AL97" i="1"/>
  <c r="AL98" i="1" s="1"/>
  <c r="AL143" i="1"/>
  <c r="AC112" i="1"/>
  <c r="AL141" i="1" s="1"/>
  <c r="AH112" i="1"/>
  <c r="AM141" i="1" s="1"/>
  <c r="I71" i="1"/>
  <c r="I69" i="1"/>
  <c r="I73" i="1"/>
  <c r="I74" i="1" s="1"/>
  <c r="G73" i="1"/>
  <c r="G74" i="1" s="1"/>
  <c r="G69" i="1"/>
  <c r="G71" i="1"/>
  <c r="H73" i="1"/>
  <c r="H74" i="1" s="1"/>
  <c r="H69" i="1"/>
  <c r="H71" i="1"/>
  <c r="F44" i="1"/>
  <c r="H44" i="1" s="1"/>
  <c r="X138" i="1"/>
  <c r="AK142" i="1" s="1"/>
  <c r="AH138" i="1"/>
  <c r="AM142" i="1" s="1"/>
  <c r="AC138" i="1"/>
  <c r="AL142" i="1" s="1"/>
  <c r="X112" i="1"/>
  <c r="AK141" i="1" s="1"/>
  <c r="D10" i="4" l="1"/>
  <c r="F10" i="4"/>
  <c r="E10" i="4"/>
  <c r="K10" i="4"/>
  <c r="AN11" i="4"/>
  <c r="I10" i="4"/>
  <c r="AL144" i="1"/>
  <c r="C10" i="4"/>
  <c r="AI48" i="3"/>
  <c r="L6" i="4" s="1"/>
  <c r="AO9" i="4" s="1"/>
  <c r="AO11" i="4" s="1"/>
  <c r="Q9" i="4"/>
  <c r="AN48" i="3"/>
  <c r="Q6" i="4" s="1"/>
  <c r="AP9" i="4" s="1"/>
  <c r="AK144" i="1"/>
  <c r="AM144" i="1"/>
  <c r="AP10" i="4" l="1"/>
  <c r="AP11" i="4" s="1"/>
  <c r="AG48" i="3"/>
  <c r="J6" i="4" s="1"/>
  <c r="J9" i="4"/>
  <c r="H9" i="4"/>
  <c r="AE48" i="3"/>
  <c r="H6" i="4" s="1"/>
  <c r="O9" i="4"/>
  <c r="AL48" i="3"/>
  <c r="O6" i="4" s="1"/>
  <c r="N9" i="4"/>
  <c r="AK48" i="3"/>
  <c r="N6" i="4" s="1"/>
  <c r="AM48" i="3"/>
  <c r="P6" i="4" s="1"/>
  <c r="P9" i="4"/>
  <c r="M9" i="4"/>
  <c r="AJ48" i="3"/>
  <c r="M6" i="4" s="1"/>
  <c r="G10" i="4"/>
  <c r="Q10" i="4"/>
  <c r="L10" i="4"/>
  <c r="H10" i="4" l="1"/>
  <c r="N10" i="4"/>
  <c r="J10" i="4"/>
  <c r="M10" i="4"/>
  <c r="P10" i="4"/>
  <c r="O10" i="4"/>
  <c r="T29" i="1"/>
  <c r="T84" i="1"/>
  <c r="C14" i="4"/>
  <c r="C1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tc={A310C3D6-AA21-4DCF-BAFE-032720C9B1CA}</author>
    <author>tc={4208B2B7-C689-447A-BDC4-832FF0CEF941}</author>
    <author>tc={EACD717B-A4B9-4B84-895F-7D39D8CD268A}</author>
  </authors>
  <commentList>
    <comment ref="F21" authorId="0" shapeId="0" xr:uid="{A310C3D6-AA21-4DCF-BAFE-032720C9B1CA}">
      <text>
        <t>[Threaded comment]
Your version of Excel allows you to read this threaded comment; however, any edits to it will get removed if the file is opened in a newer version of Excel. Learn more: https://go.microsoft.com/fwlink/?linkid=870924
Comment:
    Prévalence 65,9/100,000 habitants en 2016, 66,99M d'habitants en 2020. Données hors HAD</t>
      </text>
    </comment>
    <comment ref="F22" authorId="1" shapeId="0" xr:uid="{4208B2B7-C689-447A-BDC4-832FF0CEF941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prevalence has increased by 20-30% each year, the latest full count dates from 2012</t>
      </text>
    </comment>
    <comment ref="F36" authorId="2" shapeId="0" xr:uid="{EACD717B-A4B9-4B84-895F-7D39D8CD268A}">
      <text>
        <t>[Threaded comment]
Your version of Excel allows you to read this threaded comment; however, any edits to it will get removed if the file is opened in a newer version of Excel. Learn more: https://go.microsoft.com/fwlink/?linkid=870924
Comment:
    Prévalence 24,4/100,000 habitants en 2016, 66,99M d'habitants en 2020.</t>
      </text>
    </comment>
  </commentList>
</comments>
</file>

<file path=xl/sharedStrings.xml><?xml version="1.0" encoding="utf-8"?>
<sst xmlns="http://schemas.openxmlformats.org/spreadsheetml/2006/main" count="1006" uniqueCount="288">
  <si>
    <t>Total</t>
  </si>
  <si>
    <t xml:space="preserve">Germany </t>
  </si>
  <si>
    <t xml:space="preserve">Italy </t>
  </si>
  <si>
    <t xml:space="preserve">France </t>
  </si>
  <si>
    <t>Belgium</t>
  </si>
  <si>
    <t>Y3</t>
  </si>
  <si>
    <t xml:space="preserve">Y2 </t>
  </si>
  <si>
    <t>Y1</t>
  </si>
  <si>
    <t xml:space="preserve">HEN </t>
  </si>
  <si>
    <t xml:space="preserve">Total therapy days </t>
  </si>
  <si>
    <t>Therapy duration (average)</t>
  </si>
  <si>
    <t xml:space="preserve">Annual PN Patients </t>
  </si>
  <si>
    <t>HPN Prevalence</t>
  </si>
  <si>
    <t>Inhabitants 
(Millions)</t>
  </si>
  <si>
    <t>HPN</t>
  </si>
  <si>
    <t>Days - Y3</t>
  </si>
  <si>
    <t xml:space="preserve">Market Penetration - Homecare </t>
  </si>
  <si>
    <t xml:space="preserve">Annual EN Patients </t>
  </si>
  <si>
    <t>HEN Prevalence</t>
  </si>
  <si>
    <t>HEN</t>
  </si>
  <si>
    <t>Total cost per day (EUR)</t>
  </si>
  <si>
    <t>Cost per day - Feedim</t>
  </si>
  <si>
    <t xml:space="preserve">Geographic criteria </t>
  </si>
  <si>
    <t>Cost per day - Nutrow</t>
  </si>
  <si>
    <t>Follow-up HEN Days Purchased</t>
  </si>
  <si>
    <t xml:space="preserve">Telemonitoring of HPN patients </t>
  </si>
  <si>
    <t xml:space="preserve">Telemonitoring of HEN patients </t>
  </si>
  <si>
    <t xml:space="preserve">Unmet clinical needs: </t>
  </si>
  <si>
    <t xml:space="preserve">Business Model - Homecare </t>
  </si>
  <si>
    <t>Total Adressable Market - Homecare</t>
  </si>
  <si>
    <t>Total Hospital Revenues</t>
  </si>
  <si>
    <t>Feedim devices</t>
  </si>
  <si>
    <t xml:space="preserve">Expected Revenues - Hospital </t>
  </si>
  <si>
    <t>https://etablissements.fhf.fr/annuaire/</t>
  </si>
  <si>
    <t>Hospitals - Y3</t>
  </si>
  <si>
    <t>Hospitals - Y2</t>
  </si>
  <si>
    <t>Hospitals - Y1</t>
  </si>
  <si>
    <t>ICU Beds - Y3</t>
  </si>
  <si>
    <t>ICU Beds - Y2</t>
  </si>
  <si>
    <t>ICU Beds - Y1</t>
  </si>
  <si>
    <t xml:space="preserve">References : </t>
  </si>
  <si>
    <t>Based on ICU beds = 20</t>
  </si>
  <si>
    <t>Based on average size without targeting</t>
  </si>
  <si>
    <t>ICU beds (A)</t>
  </si>
  <si>
    <t>Beds - Y3</t>
  </si>
  <si>
    <t>Beds - Y2</t>
  </si>
  <si>
    <t>Beds - Y1</t>
  </si>
  <si>
    <t>Based on hospital size = 750 beds</t>
  </si>
  <si>
    <t>Scenario B - ICu size = 20 beds</t>
  </si>
  <si>
    <t>Scenario A - hospital size = 750 beds</t>
  </si>
  <si>
    <t>Average ICU  Beds per hospital</t>
  </si>
  <si>
    <t>Average At-risk beds w/o ICU  per hospital</t>
  </si>
  <si>
    <t>Average hospital size</t>
  </si>
  <si>
    <t>TAM (A+B)</t>
  </si>
  <si>
    <t>At-risk beds w/o ICU (A)</t>
  </si>
  <si>
    <t xml:space="preserve">Hospital projection </t>
  </si>
  <si>
    <t xml:space="preserve">Market Penetration - Hospital </t>
  </si>
  <si>
    <t xml:space="preserve">Feedim device (EUR) </t>
  </si>
  <si>
    <t xml:space="preserve">Feedim pricing </t>
  </si>
  <si>
    <t>Feedim</t>
  </si>
  <si>
    <t>Total transfer price (EUR)</t>
  </si>
  <si>
    <t>Minimum Beds</t>
  </si>
  <si>
    <t xml:space="preserve">ICU pricing </t>
  </si>
  <si>
    <t>ICU Beds</t>
  </si>
  <si>
    <t xml:space="preserve">Hospital Beds </t>
  </si>
  <si>
    <t>Feedim software (EUR)</t>
  </si>
  <si>
    <t>Metric:</t>
  </si>
  <si>
    <t>Nutrow software (EUR)</t>
  </si>
  <si>
    <t>Median</t>
  </si>
  <si>
    <t>ASP</t>
  </si>
  <si>
    <t>Max</t>
  </si>
  <si>
    <t>Min</t>
  </si>
  <si>
    <t xml:space="preserve">All -ICU patients </t>
  </si>
  <si>
    <t xml:space="preserve">Volume-based pricing </t>
  </si>
  <si>
    <t>All patients at-risk of malnutrition that need nutritionnal support during their stay</t>
  </si>
  <si>
    <t xml:space="preserve">Annual Software Licences per bed </t>
  </si>
  <si>
    <t xml:space="preserve">Business Model - Hospital </t>
  </si>
  <si>
    <t xml:space="preserve">Total Adressable Market - Hospital </t>
  </si>
  <si>
    <t>Expert tool to follow clinical nutrition in ICU</t>
  </si>
  <si>
    <t xml:space="preserve">Pumps connectivity </t>
  </si>
  <si>
    <t>Services</t>
  </si>
  <si>
    <t>market share general infusion pumps</t>
  </si>
  <si>
    <t xml:space="preserve">General infusion pumps and devices market </t>
  </si>
  <si>
    <t>Business Model - OEM</t>
  </si>
  <si>
    <t>MOQ</t>
  </si>
  <si>
    <t xml:space="preserve">Setup </t>
  </si>
  <si>
    <t xml:space="preserve">Min </t>
  </si>
  <si>
    <t xml:space="preserve">ASP </t>
  </si>
  <si>
    <t>Software</t>
  </si>
  <si>
    <t>Devices</t>
  </si>
  <si>
    <t>Follow-up HPN Days Purchased</t>
  </si>
  <si>
    <t xml:space="preserve">OEM Feedim Transfer price w/o UI </t>
  </si>
  <si>
    <t>Q1</t>
  </si>
  <si>
    <t>Q2</t>
  </si>
  <si>
    <t>Q3</t>
  </si>
  <si>
    <t>Q4</t>
  </si>
  <si>
    <t xml:space="preserve">Days - Y2 </t>
  </si>
  <si>
    <t>Days Sold - Y1</t>
  </si>
  <si>
    <t>Total Y1</t>
  </si>
  <si>
    <t>Total Y2</t>
  </si>
  <si>
    <t>Total Y3</t>
  </si>
  <si>
    <t xml:space="preserve">Total </t>
  </si>
  <si>
    <t>Netherlands</t>
  </si>
  <si>
    <t xml:space="preserve">"At-risk" </t>
  </si>
  <si>
    <t>Prevalence in general hospital patient population:</t>
  </si>
  <si>
    <t xml:space="preserve">Feedim Wi-Fi device (EUR) </t>
  </si>
  <si>
    <t xml:space="preserve">Total + 30% distributor margin </t>
  </si>
  <si>
    <t>Feedim direct purchase</t>
  </si>
  <si>
    <t xml:space="preserve">EN prevalence in hospital </t>
  </si>
  <si>
    <t>EN prevalence in at-risk patient</t>
  </si>
  <si>
    <t>EN prevalence in ICU</t>
  </si>
  <si>
    <t>EN pumps per hospital beds</t>
  </si>
  <si>
    <t xml:space="preserve">PN prevalence in ICU </t>
  </si>
  <si>
    <t>Integration projects</t>
  </si>
  <si>
    <t>Feedim OEM sold</t>
  </si>
  <si>
    <t>Medical device connectivity - Hospital and Homecare</t>
  </si>
  <si>
    <t>Sell OEM Feedim devices w/o UI</t>
  </si>
  <si>
    <t>Integration service</t>
  </si>
  <si>
    <t xml:space="preserve">OEM Feedim Integration with device </t>
  </si>
  <si>
    <t>Expected Revenues - OEM Feedim</t>
  </si>
  <si>
    <t xml:space="preserve">OEM Nutrow - one per Feedim - Pricing </t>
  </si>
  <si>
    <t>Nutrow OEM (20% of devices)</t>
  </si>
  <si>
    <t>Market Penetration - OEM Feedim</t>
  </si>
  <si>
    <t>General Beds</t>
  </si>
  <si>
    <t>Baxter Partnership</t>
  </si>
  <si>
    <t xml:space="preserve">Achievements </t>
  </si>
  <si>
    <t>Expected Revenues</t>
  </si>
  <si>
    <t xml:space="preserve">Lump Sum </t>
  </si>
  <si>
    <t xml:space="preserve">No sales in Y1 because Study ongoing,commercial effort to start in Y1Q3, first sales in Y2 = Y1 Dim3 </t>
  </si>
  <si>
    <t>Total Homecare Revenues</t>
  </si>
  <si>
    <t>Total OEM Feedim</t>
  </si>
  <si>
    <t xml:space="preserve">Grand Total </t>
  </si>
  <si>
    <t>Assumption = 1 FTE for OEM Sales only</t>
  </si>
  <si>
    <t xml:space="preserve">Belgium + top European western countries </t>
  </si>
  <si>
    <t>Feedim EN devices</t>
  </si>
  <si>
    <t>Feedim PN devices</t>
  </si>
  <si>
    <t xml:space="preserve">Belgium and Top European western countries </t>
  </si>
  <si>
    <t xml:space="preserve">Countries with favorable reimbursment scheme for EN/PN therapies </t>
  </si>
  <si>
    <t>Operations</t>
  </si>
  <si>
    <t xml:space="preserve">Executive Summary </t>
  </si>
  <si>
    <t>https://www.statista.com/statistics/578444/number-of-hospitals-germany/</t>
  </si>
  <si>
    <t>of all stays</t>
  </si>
  <si>
    <t>Minimum quantities</t>
  </si>
  <si>
    <t>PN prevalence in at-risk patients</t>
  </si>
  <si>
    <t xml:space="preserve"> https://ec.europa.eu/eurostat/statistics-explained/images/9/98/Hospital_beds_by_type_of_care%2C_2017_Health2019.png</t>
  </si>
  <si>
    <t>Hospital Beds:</t>
  </si>
  <si>
    <t>Belgian hospitals:</t>
  </si>
  <si>
    <t>https://www.lespecialiste.be/fr/actualites/hopitaux-generaux-10-chiffres-a-retenir-rapport-sante-publique.html</t>
  </si>
  <si>
    <t xml:space="preserve">French Hospitals </t>
  </si>
  <si>
    <t xml:space="preserve">Italian Hospitals </t>
  </si>
  <si>
    <t xml:space="preserve">German Hospitals </t>
  </si>
  <si>
    <t>https://www.statista.com/statistics/557042/hospitals-in-italy/</t>
  </si>
  <si>
    <t>EN/PN prevalence</t>
  </si>
  <si>
    <t>Malnutrition prevalence</t>
  </si>
  <si>
    <t>https://www.ncbi.nlm.nih.gov/pmc/articles/PMC4596423/#b6-medscimonit-21-2969</t>
  </si>
  <si>
    <t>KCE report : https://kce.fgov.be/en/organization-and-reimbursement-of-enteral-and-parenteral-nutrition-in-and-outside-the-hospital-in</t>
  </si>
  <si>
    <t>Rhodes 2012 : https://link.springer.com/article/10.1007/s00134-012-2627-8</t>
  </si>
  <si>
    <t>1.</t>
  </si>
  <si>
    <t>7.</t>
  </si>
  <si>
    <t>2.</t>
  </si>
  <si>
    <t>3.</t>
  </si>
  <si>
    <t>4.</t>
  </si>
  <si>
    <t>5.</t>
  </si>
  <si>
    <t>6.</t>
  </si>
  <si>
    <t>8.</t>
  </si>
  <si>
    <r>
      <t xml:space="preserve">
Hospitals </t>
    </r>
    <r>
      <rPr>
        <vertAlign val="subscript"/>
        <sz val="11"/>
        <color theme="0"/>
        <rFont val="Calibri"/>
        <family val="2"/>
        <scheme val="minor"/>
      </rPr>
      <t>4,5,6,7</t>
    </r>
    <r>
      <rPr>
        <sz val="11"/>
        <color theme="0"/>
        <rFont val="Calibri"/>
        <family val="2"/>
        <scheme val="minor"/>
      </rPr>
      <t xml:space="preserve">
</t>
    </r>
  </si>
  <si>
    <r>
      <t>ICU beds (B)</t>
    </r>
    <r>
      <rPr>
        <vertAlign val="superscript"/>
        <sz val="11"/>
        <color theme="0"/>
        <rFont val="Calibri"/>
        <family val="2"/>
        <scheme val="minor"/>
      </rPr>
      <t>7</t>
    </r>
  </si>
  <si>
    <r>
      <t>All Beds</t>
    </r>
    <r>
      <rPr>
        <vertAlign val="superscript"/>
        <sz val="11"/>
        <color theme="0"/>
        <rFont val="Calibri"/>
        <family val="2"/>
        <scheme val="minor"/>
      </rPr>
      <t>2</t>
    </r>
  </si>
  <si>
    <t>Feedim PN available EOY1</t>
  </si>
  <si>
    <t xml:space="preserve">ICU beds - Expected Revenues </t>
  </si>
  <si>
    <t>General beds pricing (B)</t>
  </si>
  <si>
    <t xml:space="preserve">Operations </t>
  </si>
  <si>
    <t>Total installation</t>
  </si>
  <si>
    <t>Devices - Y1</t>
  </si>
  <si>
    <t>Devices - Y2</t>
  </si>
  <si>
    <t>Devices - Y3</t>
  </si>
  <si>
    <t xml:space="preserve">Distributor channel - All beds are sold to distributor </t>
  </si>
  <si>
    <t xml:space="preserve">All setups during Y1 and Y2, Y3 with distributor  </t>
  </si>
  <si>
    <t>Total ICU</t>
  </si>
  <si>
    <t>General beds - Expected Revenues</t>
  </si>
  <si>
    <t>Total general beds</t>
  </si>
  <si>
    <t>Improving individualized nutritionnal support to all hospital patients at risk of malnutrition</t>
  </si>
  <si>
    <t>Complete therapy journey in the hospital and smooth transition outside of hospital</t>
  </si>
  <si>
    <t xml:space="preserve">Value creation </t>
  </si>
  <si>
    <t>Positive ROI</t>
  </si>
  <si>
    <t>Slow start in Germany and France because Y1 is dedicated to finding the right partner and starting promotion</t>
  </si>
  <si>
    <t>All setup managed by Dim3 during Y1 and Y2, outsourced to distributor as of Y3</t>
  </si>
  <si>
    <t xml:space="preserve">Feedim direct purchase without data cable </t>
  </si>
  <si>
    <t>Distributor channel in all countries except Belgium, prices are transfer prices</t>
  </si>
  <si>
    <t xml:space="preserve">Commercial strategy &amp; Business Model </t>
  </si>
  <si>
    <t>Expected revenues per country</t>
  </si>
  <si>
    <t xml:space="preserve">Y1 </t>
  </si>
  <si>
    <t>Total - Y1</t>
  </si>
  <si>
    <t>Y2</t>
  </si>
  <si>
    <t>Total - Y2</t>
  </si>
  <si>
    <t>Total - Y3</t>
  </si>
  <si>
    <t xml:space="preserve">Volume-based pricing reflected in the model and applied to the distributor who resells the licenses how it desires - We assume one yearly purchase. </t>
  </si>
  <si>
    <t>Expected revenues per market</t>
  </si>
  <si>
    <t xml:space="preserve">We assume ICU wards are in hospital already using our solutions so installation are not cumulative between ICU and general beds. </t>
  </si>
  <si>
    <r>
      <t>Belgium</t>
    </r>
    <r>
      <rPr>
        <vertAlign val="superscript"/>
        <sz val="11"/>
        <color theme="1"/>
        <rFont val="Calibri"/>
        <family val="2"/>
        <scheme val="minor"/>
      </rPr>
      <t>1</t>
    </r>
  </si>
  <si>
    <r>
      <t>France</t>
    </r>
    <r>
      <rPr>
        <vertAlign val="superscript"/>
        <sz val="11"/>
        <color theme="1"/>
        <rFont val="Calibri"/>
        <family val="2"/>
        <scheme val="minor"/>
      </rPr>
      <t>2</t>
    </r>
  </si>
  <si>
    <r>
      <t>Italy</t>
    </r>
    <r>
      <rPr>
        <vertAlign val="superscript"/>
        <sz val="11"/>
        <color theme="1"/>
        <rFont val="Calibri"/>
        <family val="2"/>
        <scheme val="minor"/>
      </rPr>
      <t>3</t>
    </r>
  </si>
  <si>
    <r>
      <t>Germany</t>
    </r>
    <r>
      <rPr>
        <vertAlign val="superscript"/>
        <sz val="11"/>
        <color theme="1"/>
        <rFont val="Calibri"/>
        <family val="2"/>
        <scheme val="minor"/>
      </rPr>
      <t>4</t>
    </r>
  </si>
  <si>
    <t>Cost per day - Nutrow (EUR)</t>
  </si>
  <si>
    <t xml:space="preserve">Reimbursment HEN per day </t>
  </si>
  <si>
    <t>Reimbursed</t>
  </si>
  <si>
    <t xml:space="preserve">Patient-out-of pocket </t>
  </si>
  <si>
    <t>?</t>
  </si>
  <si>
    <t xml:space="preserve">? </t>
  </si>
  <si>
    <t>Price as % of reimbursment</t>
  </si>
  <si>
    <t>Dim3 Price per day</t>
  </si>
  <si>
    <t xml:space="preserve">Business Model 1 </t>
  </si>
  <si>
    <r>
      <t>Belgium (with polymeric solution)</t>
    </r>
    <r>
      <rPr>
        <vertAlign val="superscript"/>
        <sz val="11"/>
        <color theme="1"/>
        <rFont val="Calibri"/>
        <family val="2"/>
        <scheme val="minor"/>
      </rPr>
      <t>1</t>
    </r>
  </si>
  <si>
    <t>Business Model 2</t>
  </si>
  <si>
    <r>
      <t>France (without setup budget)</t>
    </r>
    <r>
      <rPr>
        <vertAlign val="superscript"/>
        <sz val="11"/>
        <color theme="1"/>
        <rFont val="Calibri"/>
        <family val="2"/>
        <scheme val="minor"/>
      </rPr>
      <t>5</t>
    </r>
  </si>
  <si>
    <t>Italy HEN prevalence :  https://bmcnutr.biomedcentral.com/articles/10.1186/s40795-016-0118-y</t>
  </si>
  <si>
    <t>France reimbursment : http://www.codage.ext.cnamts.fr/cgi/tips/cgi-fiche?p_code_tips=1176876&amp;p_date_jo_arrete=%25&amp;p_menu=FICHE&amp;p_site=AMELI</t>
  </si>
  <si>
    <t xml:space="preserve">Reimbursment HPN per day </t>
  </si>
  <si>
    <t>Product insights</t>
  </si>
  <si>
    <t>https://pubmed.ncbi.nlm.nih.gov/15818022/</t>
  </si>
  <si>
    <t xml:space="preserve">Presentation JDPN 2018 Liege - Prof Dominique Lescut - EPIDÉMIOLOGIE DE LA NUTRITION ARTIFICIELLE À DOMICILE (NAD) </t>
  </si>
  <si>
    <t>http://www.codage.ext.cnamts.fr/cgi/tips/cgi-fiche?p_code_tips=1185680&amp;p_date_jo_arrete=%25&amp;p_menu=FICHE&amp;p_site=AMELI</t>
  </si>
  <si>
    <r>
      <t>Nutrow Onco module available</t>
    </r>
    <r>
      <rPr>
        <sz val="11"/>
        <rFont val="Calibri"/>
        <family val="2"/>
        <scheme val="minor"/>
      </rPr>
      <t xml:space="preserve"> in EOY1 </t>
    </r>
    <r>
      <rPr>
        <sz val="11"/>
        <color theme="1"/>
        <rFont val="Calibri"/>
        <family val="2"/>
        <scheme val="minor"/>
      </rPr>
      <t xml:space="preserve">accelerate adoption </t>
    </r>
  </si>
  <si>
    <r>
      <t>Belgium (only materials)</t>
    </r>
    <r>
      <rPr>
        <vertAlign val="superscript"/>
        <sz val="11"/>
        <color theme="1"/>
        <rFont val="Calibri"/>
        <family val="2"/>
        <scheme val="minor"/>
      </rPr>
      <t>1</t>
    </r>
  </si>
  <si>
    <r>
      <t>France (without setup budget)</t>
    </r>
    <r>
      <rPr>
        <vertAlign val="superscript"/>
        <sz val="11"/>
        <color theme="1"/>
        <rFont val="Calibri"/>
        <family val="2"/>
        <scheme val="minor"/>
      </rPr>
      <t>6</t>
    </r>
  </si>
  <si>
    <t xml:space="preserve">Expected Revenues -  Home Enteral nutrition </t>
  </si>
  <si>
    <t>Market Penetration - Home Enteral Nutrition</t>
  </si>
  <si>
    <t xml:space="preserve">Expected Revenues -  Home Enteral Nutrition </t>
  </si>
  <si>
    <t>Market Penetration - Home Parenteral Nutrition</t>
  </si>
  <si>
    <t>Market Penetration - Other Medical devices and pathologies</t>
  </si>
  <si>
    <t xml:space="preserve">References </t>
  </si>
  <si>
    <t>France is more fragmented than Italy and Belgium (more companies acting as homecare providers)</t>
  </si>
  <si>
    <t>Few documented info on Germany</t>
  </si>
  <si>
    <t>We provide follow-up days, 1 Feedim device included every 1000 days (volume dependent), BM1 uses Vivisol prices - BM2 uses % of reimbursment (yellow cells)</t>
  </si>
  <si>
    <r>
      <t>17B$</t>
    </r>
    <r>
      <rPr>
        <vertAlign val="superscript"/>
        <sz val="11"/>
        <color theme="1"/>
        <rFont val="Calibri"/>
        <family val="2"/>
        <scheme val="minor"/>
      </rPr>
      <t>1</t>
    </r>
  </si>
  <si>
    <r>
      <t>BD</t>
    </r>
    <r>
      <rPr>
        <vertAlign val="superscript"/>
        <sz val="11"/>
        <color theme="1"/>
        <rFont val="Calibri"/>
        <family val="2"/>
        <scheme val="minor"/>
      </rPr>
      <t xml:space="preserve">1 </t>
    </r>
  </si>
  <si>
    <r>
      <t>Baxter</t>
    </r>
    <r>
      <rPr>
        <vertAlign val="superscript"/>
        <sz val="11"/>
        <color theme="1"/>
        <rFont val="Calibri"/>
        <family val="2"/>
        <scheme val="minor"/>
      </rPr>
      <t xml:space="preserve">1 </t>
    </r>
  </si>
  <si>
    <t>Maintenance Fee</t>
  </si>
  <si>
    <r>
      <t>ASP</t>
    </r>
    <r>
      <rPr>
        <vertAlign val="superscript"/>
        <sz val="11"/>
        <color theme="1"/>
        <rFont val="Calibri"/>
        <family val="2"/>
        <scheme val="minor"/>
      </rPr>
      <t>2</t>
    </r>
  </si>
  <si>
    <t>Expected revenues per products/services</t>
  </si>
  <si>
    <t>Baxter</t>
  </si>
  <si>
    <t>Targeting medical devices companies that benefits from connectivity</t>
  </si>
  <si>
    <t>OEM</t>
  </si>
  <si>
    <t xml:space="preserve">We also assume that Baxter will target entire hospital and not only ICU (not verified yet) </t>
  </si>
  <si>
    <t>Prices = same as distributor, see hospital tab</t>
  </si>
  <si>
    <t xml:space="preserve">Total operations projects </t>
  </si>
  <si>
    <t xml:space="preserve">As for distributors in hospital, we assume we would have to manage operations for the 2 first years </t>
  </si>
  <si>
    <t>BCC Research - HLC071C - Infusion Pumps and Devices: Technologies and Global Markets - November 2016</t>
  </si>
  <si>
    <t>SOW-BD2 (internal file)</t>
  </si>
  <si>
    <t>Each OEM project comes with a MOQ of 1000 Feedim devices</t>
  </si>
  <si>
    <t>Feedim 4G available EOY1 boosts sales in Y2</t>
  </si>
  <si>
    <t xml:space="preserve">9. </t>
  </si>
  <si>
    <t>https://pubmed.ncbi.nlm.nih.gov/16698132/</t>
  </si>
  <si>
    <t>Wards with manutrition</t>
  </si>
  <si>
    <t>j)</t>
  </si>
  <si>
    <t>Operationgs include setup services, it's non-reccurent, project based revenue.</t>
  </si>
  <si>
    <t xml:space="preserve">We go direct in the different countries without a distributor, apart from Italy, exclusivity cannot be accepted (it would reduce too much our adressable market) </t>
  </si>
  <si>
    <t xml:space="preserve">HPN market is not included in the revenues but it's a market with interesting potential that could be quickly adressed. </t>
  </si>
  <si>
    <t xml:space="preserve">Netherlands </t>
  </si>
  <si>
    <t xml:space="preserve">US </t>
  </si>
  <si>
    <t>Assumption Baxter sales = US sales</t>
  </si>
  <si>
    <r>
      <t>Tot</t>
    </r>
    <r>
      <rPr>
        <sz val="10"/>
        <color theme="0"/>
        <rFont val="Calibri"/>
        <family val="2"/>
        <scheme val="minor"/>
      </rPr>
      <t xml:space="preserve">al - </t>
    </r>
    <r>
      <rPr>
        <sz val="11"/>
        <color theme="0"/>
        <rFont val="Calibri"/>
        <family val="2"/>
        <scheme val="minor"/>
      </rPr>
      <t>Y3</t>
    </r>
  </si>
  <si>
    <t>Total Beds</t>
  </si>
  <si>
    <t xml:space="preserve">Hospital Revenues </t>
  </si>
  <si>
    <t>Total projects</t>
  </si>
  <si>
    <t>If target size is 750 beds, beds at risk =</t>
  </si>
  <si>
    <t xml:space="preserve">Beds pricing </t>
  </si>
  <si>
    <t>Total Feedim Hospital</t>
  </si>
  <si>
    <t>Total Feedim devices</t>
  </si>
  <si>
    <t>Feedim devices Wi-Fi</t>
  </si>
  <si>
    <t>Feedim 4G Wi-Fi</t>
  </si>
  <si>
    <t xml:space="preserve">Feedim OEM </t>
  </si>
  <si>
    <t>+Oem boost (devices X2)</t>
  </si>
  <si>
    <t xml:space="preserve">+Baxter boost </t>
  </si>
  <si>
    <t>Total over 3 years</t>
  </si>
  <si>
    <t>Change impact</t>
  </si>
  <si>
    <t>Delta with previous base</t>
  </si>
  <si>
    <t>Baseline V8.2</t>
  </si>
  <si>
    <t>+Boost total hospital (5-14-30)</t>
  </si>
  <si>
    <t>+Boost Pricing hospital</t>
  </si>
  <si>
    <t>+Mini Boost HC pricing (+1 cents over 500,000</t>
  </si>
  <si>
    <t>Changes</t>
  </si>
  <si>
    <t>Country 1</t>
  </si>
  <si>
    <t>Country 2</t>
  </si>
  <si>
    <t>Country 3</t>
  </si>
  <si>
    <t>Country 4</t>
  </si>
  <si>
    <t>Ramp-up</t>
  </si>
  <si>
    <t xml:space="preserve">Country 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</si>
</sst>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bscript"/>
      <sz val="11"/>
      <color theme="0"/>
      <name val="Calibri"/>
      <family val="2"/>
      <scheme val="minor"/>
    </font>
    <font>
      <vertAlign val="superscript"/>
      <sz val="11"/>
      <color theme="0"/>
      <name val="Calibri"/>
      <family val="2"/>
      <scheme val="minor"/>
    </font>
    <font>
      <sz val="11"/>
      <color rgb="FF333333"/>
      <name val="Arial"/>
      <family val="2"/>
    </font>
    <font>
      <sz val="10"/>
      <color theme="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</fills>
  <borders count="5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medium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3" fillId="0" borderId="0" applyNumberFormat="0" applyFill="0" applyBorder="0" applyAlignment="0" applyProtection="0"/>
    <xf numFmtId="0" fontId="1" fillId="3" borderId="0" applyNumberFormat="0" applyBorder="0" applyAlignment="0" applyProtection="0"/>
    <xf numFmtId="0" fontId="8" fillId="0" borderId="0" applyNumberFormat="0" applyFill="0" applyBorder="0" applyAlignment="0" applyProtection="0"/>
  </cellStyleXfs>
  <cellXfs count="303">
    <xf numFmtId="0" fontId="0" fillId="0" borderId="0" xfId="0"/>
    <xf numFmtId="0" fontId="0" fillId="4" borderId="0" xfId="0" applyFill="1"/>
    <xf numFmtId="0" fontId="0" fillId="0" borderId="2" xfId="0" applyBorder="1"/>
    <xf numFmtId="0" fontId="0" fillId="0" borderId="3" xfId="0" applyBorder="1"/>
    <xf numFmtId="0" fontId="0" fillId="0" borderId="6" xfId="0" applyBorder="1"/>
    <xf numFmtId="1" fontId="0" fillId="0" borderId="7" xfId="0" applyNumberFormat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6" borderId="7" xfId="0" applyFill="1" applyBorder="1" applyAlignment="1">
      <alignment horizontal="center"/>
    </xf>
    <xf numFmtId="0" fontId="0" fillId="7" borderId="8" xfId="0" applyFill="1" applyBorder="1" applyAlignment="1">
      <alignment horizontal="center" vertical="center" wrapText="1"/>
    </xf>
    <xf numFmtId="1" fontId="0" fillId="5" borderId="7" xfId="0" applyNumberFormat="1" applyFill="1" applyBorder="1" applyAlignment="1">
      <alignment horizontal="center"/>
    </xf>
    <xf numFmtId="1" fontId="0" fillId="5" borderId="7" xfId="0" applyNumberFormat="1" applyFill="1" applyBorder="1" applyAlignment="1">
      <alignment horizontal="left"/>
    </xf>
    <xf numFmtId="1" fontId="0" fillId="5" borderId="8" xfId="0" applyNumberFormat="1" applyFill="1" applyBorder="1" applyAlignment="1">
      <alignment horizontal="left"/>
    </xf>
    <xf numFmtId="0" fontId="0" fillId="0" borderId="7" xfId="0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/>
    </xf>
    <xf numFmtId="164" fontId="0" fillId="0" borderId="7" xfId="0" applyNumberFormat="1" applyBorder="1" applyAlignment="1">
      <alignment horizontal="center" vertical="center"/>
    </xf>
    <xf numFmtId="1" fontId="0" fillId="0" borderId="11" xfId="0" applyNumberFormat="1" applyBorder="1" applyAlignment="1">
      <alignment horizontal="center"/>
    </xf>
    <xf numFmtId="9" fontId="0" fillId="0" borderId="7" xfId="0" applyNumberFormat="1" applyBorder="1" applyAlignment="1">
      <alignment horizontal="center"/>
    </xf>
    <xf numFmtId="0" fontId="0" fillId="7" borderId="7" xfId="0" applyFill="1" applyBorder="1" applyAlignment="1">
      <alignment horizontal="center" vertical="center" wrapText="1"/>
    </xf>
    <xf numFmtId="1" fontId="0" fillId="0" borderId="13" xfId="0" applyNumberFormat="1" applyBorder="1" applyAlignment="1">
      <alignment horizontal="center"/>
    </xf>
    <xf numFmtId="0" fontId="0" fillId="0" borderId="14" xfId="0" applyBorder="1"/>
    <xf numFmtId="0" fontId="1" fillId="3" borderId="0" xfId="4" applyBorder="1" applyAlignment="1">
      <alignment horizontal="center"/>
    </xf>
    <xf numFmtId="0" fontId="1" fillId="3" borderId="0" xfId="4" applyBorder="1"/>
    <xf numFmtId="0" fontId="1" fillId="3" borderId="10" xfId="4" applyBorder="1"/>
    <xf numFmtId="0" fontId="0" fillId="0" borderId="7" xfId="0" applyBorder="1"/>
    <xf numFmtId="165" fontId="0" fillId="0" borderId="7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" fontId="0" fillId="0" borderId="20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4" fillId="0" borderId="10" xfId="0" applyFont="1" applyBorder="1"/>
    <xf numFmtId="1" fontId="0" fillId="0" borderId="12" xfId="0" applyNumberFormat="1" applyBorder="1" applyAlignment="1">
      <alignment horizontal="center"/>
    </xf>
    <xf numFmtId="1" fontId="0" fillId="0" borderId="22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0" fontId="5" fillId="9" borderId="6" xfId="0" applyFont="1" applyFill="1" applyBorder="1" applyAlignment="1">
      <alignment horizontal="center" vertical="center" wrapText="1"/>
    </xf>
    <xf numFmtId="0" fontId="5" fillId="9" borderId="27" xfId="0" applyFont="1" applyFill="1" applyBorder="1" applyAlignment="1">
      <alignment horizontal="center" vertical="center" wrapText="1"/>
    </xf>
    <xf numFmtId="0" fontId="5" fillId="9" borderId="7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left" wrapText="1"/>
    </xf>
    <xf numFmtId="164" fontId="0" fillId="0" borderId="7" xfId="0" applyNumberFormat="1" applyBorder="1" applyAlignment="1">
      <alignment horizontal="center"/>
    </xf>
    <xf numFmtId="9" fontId="0" fillId="10" borderId="0" xfId="1" applyFont="1" applyFill="1" applyBorder="1"/>
    <xf numFmtId="0" fontId="0" fillId="0" borderId="16" xfId="0" applyBorder="1"/>
    <xf numFmtId="0" fontId="0" fillId="0" borderId="17" xfId="0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10" borderId="0" xfId="0" applyFill="1" applyBorder="1"/>
    <xf numFmtId="0" fontId="0" fillId="6" borderId="24" xfId="0" applyFill="1" applyBorder="1" applyAlignment="1">
      <alignment horizontal="center"/>
    </xf>
    <xf numFmtId="0" fontId="0" fillId="0" borderId="7" xfId="0" applyFill="1" applyBorder="1"/>
    <xf numFmtId="0" fontId="0" fillId="0" borderId="7" xfId="0" applyBorder="1" applyAlignment="1">
      <alignment horizontal="left"/>
    </xf>
    <xf numFmtId="0" fontId="3" fillId="0" borderId="7" xfId="3" applyBorder="1" applyAlignment="1">
      <alignment horizontal="center"/>
    </xf>
    <xf numFmtId="0" fontId="0" fillId="0" borderId="18" xfId="0" applyBorder="1"/>
    <xf numFmtId="0" fontId="6" fillId="6" borderId="7" xfId="0" applyFont="1" applyFill="1" applyBorder="1"/>
    <xf numFmtId="0" fontId="0" fillId="6" borderId="23" xfId="0" applyFill="1" applyBorder="1" applyAlignment="1"/>
    <xf numFmtId="165" fontId="0" fillId="0" borderId="7" xfId="1" applyNumberFormat="1" applyFont="1" applyBorder="1" applyAlignment="1">
      <alignment horizontal="center"/>
    </xf>
    <xf numFmtId="1" fontId="0" fillId="0" borderId="0" xfId="0" applyNumberFormat="1" applyBorder="1"/>
    <xf numFmtId="0" fontId="0" fillId="6" borderId="20" xfId="0" applyFill="1" applyBorder="1" applyAlignment="1"/>
    <xf numFmtId="1" fontId="0" fillId="0" borderId="7" xfId="1" applyNumberFormat="1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0" fillId="6" borderId="6" xfId="0" applyFill="1" applyBorder="1" applyAlignment="1">
      <alignment horizontal="left"/>
    </xf>
    <xf numFmtId="9" fontId="0" fillId="0" borderId="0" xfId="0" applyNumberFormat="1" applyBorder="1"/>
    <xf numFmtId="0" fontId="5" fillId="9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/>
    </xf>
    <xf numFmtId="0" fontId="0" fillId="0" borderId="0" xfId="0" applyBorder="1" applyAlignment="1">
      <alignment horizontal="right"/>
    </xf>
    <xf numFmtId="10" fontId="0" fillId="0" borderId="0" xfId="0" applyNumberFormat="1" applyBorder="1"/>
    <xf numFmtId="0" fontId="0" fillId="0" borderId="7" xfId="0" applyFill="1" applyBorder="1" applyAlignment="1">
      <alignment horizontal="center"/>
    </xf>
    <xf numFmtId="0" fontId="0" fillId="0" borderId="5" xfId="0" applyBorder="1"/>
    <xf numFmtId="0" fontId="0" fillId="0" borderId="4" xfId="0" applyBorder="1"/>
    <xf numFmtId="9" fontId="0" fillId="10" borderId="0" xfId="0" applyNumberFormat="1" applyFill="1" applyBorder="1"/>
    <xf numFmtId="0" fontId="0" fillId="6" borderId="10" xfId="0" applyFill="1" applyBorder="1" applyAlignment="1">
      <alignment horizontal="left"/>
    </xf>
    <xf numFmtId="0" fontId="0" fillId="6" borderId="0" xfId="0" applyFill="1" applyBorder="1" applyAlignment="1">
      <alignment horizontal="left"/>
    </xf>
    <xf numFmtId="0" fontId="0" fillId="6" borderId="0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11" borderId="0" xfId="0" applyFill="1"/>
    <xf numFmtId="0" fontId="0" fillId="12" borderId="17" xfId="0" applyFill="1" applyBorder="1"/>
    <xf numFmtId="0" fontId="0" fillId="12" borderId="16" xfId="0" applyFill="1" applyBorder="1"/>
    <xf numFmtId="0" fontId="0" fillId="12" borderId="10" xfId="0" applyFill="1" applyBorder="1"/>
    <xf numFmtId="0" fontId="0" fillId="12" borderId="0" xfId="0" applyFill="1" applyBorder="1"/>
    <xf numFmtId="0" fontId="0" fillId="12" borderId="6" xfId="0" applyFill="1" applyBorder="1"/>
    <xf numFmtId="0" fontId="0" fillId="12" borderId="9" xfId="0" applyFill="1" applyBorder="1"/>
    <xf numFmtId="0" fontId="0" fillId="12" borderId="3" xfId="0" applyFill="1" applyBorder="1"/>
    <xf numFmtId="0" fontId="0" fillId="12" borderId="2" xfId="0" applyFill="1" applyBorder="1"/>
    <xf numFmtId="3" fontId="0" fillId="0" borderId="7" xfId="0" applyNumberFormat="1" applyBorder="1" applyAlignment="1">
      <alignment horizontal="center"/>
    </xf>
    <xf numFmtId="3" fontId="0" fillId="0" borderId="24" xfId="0" applyNumberFormat="1" applyBorder="1" applyAlignment="1">
      <alignment horizontal="center"/>
    </xf>
    <xf numFmtId="3" fontId="0" fillId="0" borderId="26" xfId="0" applyNumberFormat="1" applyBorder="1" applyAlignment="1">
      <alignment horizontal="center"/>
    </xf>
    <xf numFmtId="3" fontId="0" fillId="0" borderId="25" xfId="0" applyNumberFormat="1" applyBorder="1"/>
    <xf numFmtId="3" fontId="0" fillId="0" borderId="23" xfId="0" applyNumberFormat="1" applyBorder="1" applyAlignment="1">
      <alignment horizontal="center"/>
    </xf>
    <xf numFmtId="3" fontId="0" fillId="0" borderId="6" xfId="0" applyNumberFormat="1" applyBorder="1"/>
    <xf numFmtId="3" fontId="0" fillId="0" borderId="13" xfId="0" applyNumberFormat="1" applyBorder="1"/>
    <xf numFmtId="164" fontId="0" fillId="0" borderId="0" xfId="0" applyNumberFormat="1" applyBorder="1" applyAlignment="1">
      <alignment horizontal="center"/>
    </xf>
    <xf numFmtId="3" fontId="0" fillId="0" borderId="0" xfId="0" applyNumberFormat="1" applyBorder="1" applyAlignment="1">
      <alignment horizontal="center"/>
    </xf>
    <xf numFmtId="3" fontId="0" fillId="0" borderId="0" xfId="0" applyNumberFormat="1" applyBorder="1"/>
    <xf numFmtId="0" fontId="0" fillId="0" borderId="0" xfId="0" applyFill="1" applyBorder="1"/>
    <xf numFmtId="0" fontId="8" fillId="0" borderId="0" xfId="5" applyBorder="1"/>
    <xf numFmtId="0" fontId="9" fillId="0" borderId="0" xfId="0" applyFont="1" applyBorder="1" applyAlignment="1">
      <alignment horizontal="left"/>
    </xf>
    <xf numFmtId="0" fontId="0" fillId="0" borderId="12" xfId="0" applyBorder="1"/>
    <xf numFmtId="3" fontId="0" fillId="0" borderId="7" xfId="0" applyNumberFormat="1" applyFill="1" applyBorder="1" applyAlignment="1">
      <alignment horizontal="center"/>
    </xf>
    <xf numFmtId="0" fontId="0" fillId="0" borderId="3" xfId="0" applyFill="1" applyBorder="1"/>
    <xf numFmtId="0" fontId="4" fillId="0" borderId="0" xfId="0" applyFont="1" applyFill="1" applyBorder="1"/>
    <xf numFmtId="0" fontId="0" fillId="0" borderId="0" xfId="0" applyFill="1"/>
    <xf numFmtId="1" fontId="0" fillId="0" borderId="7" xfId="0" applyNumberFormat="1" applyFill="1" applyBorder="1" applyAlignment="1">
      <alignment horizontal="center"/>
    </xf>
    <xf numFmtId="165" fontId="0" fillId="10" borderId="0" xfId="0" applyNumberFormat="1" applyFill="1" applyBorder="1"/>
    <xf numFmtId="3" fontId="0" fillId="5" borderId="7" xfId="0" applyNumberFormat="1" applyFill="1" applyBorder="1" applyAlignment="1">
      <alignment horizontal="center"/>
    </xf>
    <xf numFmtId="0" fontId="0" fillId="0" borderId="11" xfId="0" applyBorder="1"/>
    <xf numFmtId="1" fontId="0" fillId="0" borderId="0" xfId="0" applyNumberFormat="1"/>
    <xf numFmtId="3" fontId="0" fillId="0" borderId="7" xfId="0" applyNumberFormat="1" applyBorder="1"/>
    <xf numFmtId="1" fontId="0" fillId="5" borderId="5" xfId="0" applyNumberFormat="1" applyFill="1" applyBorder="1" applyAlignment="1">
      <alignment horizontal="left"/>
    </xf>
    <xf numFmtId="0" fontId="0" fillId="6" borderId="34" xfId="0" applyFill="1" applyBorder="1" applyAlignment="1">
      <alignment horizontal="center"/>
    </xf>
    <xf numFmtId="3" fontId="0" fillId="0" borderId="4" xfId="0" applyNumberFormat="1" applyBorder="1"/>
    <xf numFmtId="3" fontId="0" fillId="0" borderId="4" xfId="0" applyNumberFormat="1" applyBorder="1" applyAlignment="1">
      <alignment horizontal="center"/>
    </xf>
    <xf numFmtId="4" fontId="0" fillId="0" borderId="0" xfId="0" applyNumberFormat="1" applyBorder="1"/>
    <xf numFmtId="0" fontId="4" fillId="12" borderId="18" xfId="0" applyFont="1" applyFill="1" applyBorder="1"/>
    <xf numFmtId="1" fontId="0" fillId="0" borderId="21" xfId="0" applyNumberFormat="1" applyBorder="1" applyAlignment="1">
      <alignment horizontal="center"/>
    </xf>
    <xf numFmtId="0" fontId="4" fillId="12" borderId="10" xfId="0" applyFont="1" applyFill="1" applyBorder="1"/>
    <xf numFmtId="0" fontId="0" fillId="0" borderId="35" xfId="0" applyBorder="1"/>
    <xf numFmtId="0" fontId="3" fillId="0" borderId="38" xfId="3" applyBorder="1" applyAlignment="1">
      <alignment horizontal="center"/>
    </xf>
    <xf numFmtId="0" fontId="0" fillId="0" borderId="38" xfId="0" applyBorder="1"/>
    <xf numFmtId="0" fontId="0" fillId="6" borderId="7" xfId="0" applyFill="1" applyBorder="1"/>
    <xf numFmtId="0" fontId="5" fillId="4" borderId="7" xfId="0" applyFont="1" applyFill="1" applyBorder="1" applyAlignment="1">
      <alignment horizontal="center"/>
    </xf>
    <xf numFmtId="0" fontId="0" fillId="0" borderId="0" xfId="0" applyBorder="1" applyAlignment="1">
      <alignment horizontal="left" wrapText="1"/>
    </xf>
    <xf numFmtId="3" fontId="0" fillId="0" borderId="0" xfId="0" applyNumberFormat="1" applyBorder="1" applyAlignment="1">
      <alignment horizontal="center" wrapText="1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wrapText="1"/>
    </xf>
    <xf numFmtId="0" fontId="0" fillId="0" borderId="39" xfId="0" applyBorder="1"/>
    <xf numFmtId="0" fontId="5" fillId="13" borderId="37" xfId="0" applyFont="1" applyFill="1" applyBorder="1"/>
    <xf numFmtId="0" fontId="0" fillId="0" borderId="36" xfId="0" applyBorder="1"/>
    <xf numFmtId="0" fontId="5" fillId="13" borderId="0" xfId="0" applyFont="1" applyFill="1" applyBorder="1"/>
    <xf numFmtId="164" fontId="1" fillId="3" borderId="0" xfId="4" applyNumberFormat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horizontal="center" vertical="center" wrapText="1"/>
    </xf>
    <xf numFmtId="9" fontId="0" fillId="10" borderId="0" xfId="1" applyFont="1" applyFill="1" applyBorder="1" applyAlignment="1">
      <alignment horizontal="center"/>
    </xf>
    <xf numFmtId="9" fontId="0" fillId="10" borderId="7" xfId="1" applyFont="1" applyFill="1" applyBorder="1" applyAlignment="1">
      <alignment horizontal="center"/>
    </xf>
    <xf numFmtId="0" fontId="5" fillId="13" borderId="10" xfId="0" applyFont="1" applyFill="1" applyBorder="1"/>
    <xf numFmtId="0" fontId="0" fillId="0" borderId="33" xfId="0" applyBorder="1"/>
    <xf numFmtId="0" fontId="4" fillId="0" borderId="0" xfId="0" applyFont="1" applyBorder="1"/>
    <xf numFmtId="0" fontId="8" fillId="0" borderId="3" xfId="5" applyBorder="1"/>
    <xf numFmtId="0" fontId="0" fillId="7" borderId="12" xfId="0" applyFill="1" applyBorder="1" applyAlignment="1">
      <alignment horizontal="center" vertical="center" wrapText="1"/>
    </xf>
    <xf numFmtId="0" fontId="0" fillId="6" borderId="0" xfId="0" applyFill="1" applyBorder="1" applyAlignment="1"/>
    <xf numFmtId="0" fontId="1" fillId="3" borderId="6" xfId="4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1" fillId="3" borderId="6" xfId="4" applyNumberFormat="1" applyBorder="1" applyAlignment="1">
      <alignment horizontal="center"/>
    </xf>
    <xf numFmtId="0" fontId="0" fillId="0" borderId="13" xfId="0" applyBorder="1" applyAlignment="1">
      <alignment horizontal="center" vertical="center" wrapText="1"/>
    </xf>
    <xf numFmtId="164" fontId="0" fillId="0" borderId="13" xfId="0" applyNumberFormat="1" applyBorder="1" applyAlignment="1">
      <alignment horizontal="center"/>
    </xf>
    <xf numFmtId="0" fontId="1" fillId="3" borderId="6" xfId="4" applyBorder="1"/>
    <xf numFmtId="0" fontId="0" fillId="6" borderId="10" xfId="0" applyFill="1" applyBorder="1" applyAlignment="1"/>
    <xf numFmtId="0" fontId="0" fillId="12" borderId="10" xfId="0" applyFont="1" applyFill="1" applyBorder="1"/>
    <xf numFmtId="0" fontId="0" fillId="0" borderId="42" xfId="0" applyBorder="1"/>
    <xf numFmtId="0" fontId="0" fillId="0" borderId="12" xfId="0" applyBorder="1" applyAlignment="1">
      <alignment horizontal="center"/>
    </xf>
    <xf numFmtId="0" fontId="0" fillId="0" borderId="12" xfId="0" applyFill="1" applyBorder="1" applyAlignment="1">
      <alignment horizontal="center"/>
    </xf>
    <xf numFmtId="4" fontId="0" fillId="0" borderId="0" xfId="0" applyNumberFormat="1"/>
    <xf numFmtId="4" fontId="5" fillId="4" borderId="7" xfId="0" applyNumberFormat="1" applyFont="1" applyFill="1" applyBorder="1" applyAlignment="1">
      <alignment horizontal="center"/>
    </xf>
    <xf numFmtId="4" fontId="0" fillId="6" borderId="7" xfId="0" applyNumberFormat="1" applyFill="1" applyBorder="1" applyAlignment="1">
      <alignment horizontal="center"/>
    </xf>
    <xf numFmtId="4" fontId="0" fillId="6" borderId="24" xfId="0" applyNumberFormat="1" applyFill="1" applyBorder="1" applyAlignment="1">
      <alignment horizontal="center"/>
    </xf>
    <xf numFmtId="4" fontId="0" fillId="5" borderId="21" xfId="0" applyNumberFormat="1" applyFill="1" applyBorder="1" applyAlignment="1">
      <alignment horizontal="left"/>
    </xf>
    <xf numFmtId="4" fontId="2" fillId="2" borderId="32" xfId="2" applyNumberFormat="1" applyBorder="1" applyAlignment="1">
      <alignment horizontal="left"/>
    </xf>
    <xf numFmtId="4" fontId="0" fillId="5" borderId="7" xfId="0" applyNumberFormat="1" applyFill="1" applyBorder="1" applyAlignment="1">
      <alignment horizontal="left"/>
    </xf>
    <xf numFmtId="4" fontId="0" fillId="0" borderId="7" xfId="0" applyNumberFormat="1" applyBorder="1" applyAlignment="1">
      <alignment horizontal="center"/>
    </xf>
    <xf numFmtId="1" fontId="0" fillId="0" borderId="42" xfId="0" applyNumberFormat="1" applyFill="1" applyBorder="1" applyAlignment="1">
      <alignment horizontal="right"/>
    </xf>
    <xf numFmtId="3" fontId="0" fillId="0" borderId="11" xfId="0" applyNumberForma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3" fontId="0" fillId="5" borderId="7" xfId="0" applyNumberFormat="1" applyFill="1" applyBorder="1" applyAlignment="1">
      <alignment horizontal="center" vertical="center"/>
    </xf>
    <xf numFmtId="3" fontId="5" fillId="4" borderId="7" xfId="0" applyNumberFormat="1" applyFont="1" applyFill="1" applyBorder="1" applyAlignment="1">
      <alignment horizontal="center" vertical="center"/>
    </xf>
    <xf numFmtId="3" fontId="0" fillId="6" borderId="7" xfId="0" applyNumberFormat="1" applyFill="1" applyBorder="1" applyAlignment="1">
      <alignment horizontal="center" vertical="center"/>
    </xf>
    <xf numFmtId="3" fontId="0" fillId="6" borderId="13" xfId="0" applyNumberFormat="1" applyFill="1" applyBorder="1" applyAlignment="1">
      <alignment horizontal="center" vertical="center"/>
    </xf>
    <xf numFmtId="3" fontId="0" fillId="0" borderId="13" xfId="0" applyNumberFormat="1" applyBorder="1" applyAlignment="1">
      <alignment horizontal="center" vertical="center"/>
    </xf>
    <xf numFmtId="3" fontId="0" fillId="5" borderId="19" xfId="0" applyNumberFormat="1" applyFill="1" applyBorder="1" applyAlignment="1">
      <alignment horizontal="center" vertical="center"/>
    </xf>
    <xf numFmtId="3" fontId="0" fillId="0" borderId="0" xfId="0" applyNumberFormat="1" applyBorder="1" applyAlignment="1">
      <alignment horizontal="center" vertical="center"/>
    </xf>
    <xf numFmtId="0" fontId="0" fillId="6" borderId="7" xfId="0" applyFill="1" applyBorder="1" applyAlignment="1">
      <alignment horizontal="center"/>
    </xf>
    <xf numFmtId="3" fontId="0" fillId="0" borderId="0" xfId="0" applyNumberFormat="1"/>
    <xf numFmtId="0" fontId="0" fillId="6" borderId="22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36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0" borderId="8" xfId="0" applyFill="1" applyBorder="1" applyAlignment="1">
      <alignment horizontal="left"/>
    </xf>
    <xf numFmtId="0" fontId="0" fillId="0" borderId="24" xfId="0" applyBorder="1"/>
    <xf numFmtId="165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3" fillId="0" borderId="13" xfId="3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9" xfId="0" applyBorder="1" applyAlignment="1">
      <alignment horizontal="center"/>
    </xf>
    <xf numFmtId="1" fontId="0" fillId="0" borderId="0" xfId="0" applyNumberFormat="1" applyBorder="1" applyAlignment="1">
      <alignment horizontal="center"/>
    </xf>
    <xf numFmtId="165" fontId="0" fillId="0" borderId="8" xfId="0" applyNumberFormat="1" applyBorder="1" applyAlignment="1">
      <alignment horizontal="left"/>
    </xf>
    <xf numFmtId="0" fontId="5" fillId="9" borderId="24" xfId="0" applyFont="1" applyFill="1" applyBorder="1" applyAlignment="1">
      <alignment horizontal="center" vertical="center" wrapText="1"/>
    </xf>
    <xf numFmtId="1" fontId="0" fillId="0" borderId="7" xfId="0" applyNumberFormat="1" applyBorder="1"/>
    <xf numFmtId="0" fontId="12" fillId="0" borderId="7" xfId="0" applyFont="1" applyBorder="1"/>
    <xf numFmtId="1" fontId="0" fillId="5" borderId="45" xfId="0" applyNumberFormat="1" applyFill="1" applyBorder="1" applyAlignment="1">
      <alignment horizontal="left"/>
    </xf>
    <xf numFmtId="0" fontId="0" fillId="0" borderId="46" xfId="0" applyBorder="1"/>
    <xf numFmtId="0" fontId="5" fillId="9" borderId="23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0" fontId="0" fillId="0" borderId="23" xfId="0" applyBorder="1"/>
    <xf numFmtId="10" fontId="0" fillId="10" borderId="12" xfId="0" applyNumberFormat="1" applyFill="1" applyBorder="1" applyAlignment="1">
      <alignment horizontal="center"/>
    </xf>
    <xf numFmtId="10" fontId="0" fillId="10" borderId="7" xfId="0" applyNumberFormat="1" applyFill="1" applyBorder="1" applyAlignment="1">
      <alignment horizontal="center"/>
    </xf>
    <xf numFmtId="10" fontId="0" fillId="10" borderId="43" xfId="0" applyNumberFormat="1" applyFill="1" applyBorder="1" applyAlignment="1">
      <alignment horizontal="center"/>
    </xf>
    <xf numFmtId="10" fontId="0" fillId="10" borderId="24" xfId="0" applyNumberFormat="1" applyFill="1" applyBorder="1" applyAlignment="1">
      <alignment horizontal="center"/>
    </xf>
    <xf numFmtId="165" fontId="0" fillId="10" borderId="7" xfId="0" applyNumberFormat="1" applyFill="1" applyBorder="1" applyAlignment="1">
      <alignment horizontal="center"/>
    </xf>
    <xf numFmtId="0" fontId="0" fillId="0" borderId="0" xfId="0" applyBorder="1" applyAlignment="1">
      <alignment horizontal="center" wrapText="1"/>
    </xf>
    <xf numFmtId="0" fontId="0" fillId="0" borderId="9" xfId="0" applyFill="1" applyBorder="1"/>
    <xf numFmtId="0" fontId="5" fillId="4" borderId="21" xfId="0" applyFont="1" applyFill="1" applyBorder="1" applyAlignment="1">
      <alignment horizontal="center"/>
    </xf>
    <xf numFmtId="0" fontId="3" fillId="0" borderId="47" xfId="3" applyBorder="1" applyAlignment="1">
      <alignment horizontal="center"/>
    </xf>
    <xf numFmtId="0" fontId="5" fillId="4" borderId="38" xfId="0" applyFont="1" applyFill="1" applyBorder="1" applyAlignment="1">
      <alignment horizontal="center"/>
    </xf>
    <xf numFmtId="3" fontId="0" fillId="10" borderId="0" xfId="0" applyNumberFormat="1" applyFill="1" applyBorder="1" applyAlignment="1">
      <alignment horizontal="center"/>
    </xf>
    <xf numFmtId="0" fontId="0" fillId="10" borderId="0" xfId="0" applyFill="1" applyBorder="1" applyAlignment="1">
      <alignment horizontal="center"/>
    </xf>
    <xf numFmtId="165" fontId="0" fillId="0" borderId="20" xfId="0" applyNumberFormat="1" applyBorder="1" applyAlignment="1">
      <alignment horizontal="center"/>
    </xf>
    <xf numFmtId="0" fontId="0" fillId="7" borderId="0" xfId="0" applyFill="1" applyBorder="1" applyAlignment="1">
      <alignment horizontal="center" vertical="center" wrapText="1"/>
    </xf>
    <xf numFmtId="0" fontId="0" fillId="8" borderId="17" xfId="0" applyFill="1" applyBorder="1" applyAlignment="1">
      <alignment horizontal="center"/>
    </xf>
    <xf numFmtId="0" fontId="0" fillId="8" borderId="16" xfId="0" applyFill="1" applyBorder="1" applyAlignment="1">
      <alignment horizontal="center"/>
    </xf>
    <xf numFmtId="0" fontId="0" fillId="8" borderId="18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3" fontId="0" fillId="0" borderId="7" xfId="0" quotePrefix="1" applyNumberFormat="1" applyFill="1" applyBorder="1"/>
    <xf numFmtId="0" fontId="0" fillId="0" borderId="7" xfId="0" quotePrefix="1" applyBorder="1"/>
    <xf numFmtId="3" fontId="0" fillId="14" borderId="7" xfId="0" applyNumberFormat="1" applyFill="1" applyBorder="1" applyAlignment="1">
      <alignment horizontal="center"/>
    </xf>
    <xf numFmtId="0" fontId="0" fillId="0" borderId="49" xfId="0" applyBorder="1" applyAlignment="1">
      <alignment horizontal="center"/>
    </xf>
    <xf numFmtId="165" fontId="0" fillId="6" borderId="7" xfId="0" applyNumberFormat="1" applyFill="1" applyBorder="1" applyAlignment="1">
      <alignment horizontal="center"/>
    </xf>
    <xf numFmtId="0" fontId="5" fillId="4" borderId="47" xfId="0" applyFont="1" applyFill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5" fillId="4" borderId="13" xfId="0" applyFont="1" applyFill="1" applyBorder="1" applyAlignment="1">
      <alignment horizontal="center"/>
    </xf>
    <xf numFmtId="165" fontId="0" fillId="6" borderId="4" xfId="0" applyNumberForma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19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10" borderId="7" xfId="0" applyFill="1" applyBorder="1"/>
    <xf numFmtId="0" fontId="0" fillId="0" borderId="51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10" borderId="7" xfId="0" applyFill="1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24" xfId="0" applyBorder="1" applyAlignment="1">
      <alignment horizontal="center"/>
    </xf>
    <xf numFmtId="1" fontId="0" fillId="0" borderId="24" xfId="0" applyNumberFormat="1" applyBorder="1" applyAlignment="1">
      <alignment horizontal="center"/>
    </xf>
    <xf numFmtId="1" fontId="0" fillId="0" borderId="34" xfId="0" applyNumberFormat="1" applyBorder="1" applyAlignment="1">
      <alignment horizontal="center"/>
    </xf>
    <xf numFmtId="0" fontId="2" fillId="2" borderId="53" xfId="2" applyBorder="1"/>
    <xf numFmtId="0" fontId="2" fillId="2" borderId="53" xfId="2" applyBorder="1" applyAlignment="1">
      <alignment horizontal="left"/>
    </xf>
    <xf numFmtId="0" fontId="2" fillId="2" borderId="54" xfId="2" applyBorder="1"/>
    <xf numFmtId="0" fontId="0" fillId="0" borderId="50" xfId="0" applyBorder="1" applyAlignment="1">
      <alignment horizontal="center"/>
    </xf>
    <xf numFmtId="9" fontId="0" fillId="0" borderId="0" xfId="0" applyNumberFormat="1"/>
    <xf numFmtId="165" fontId="0" fillId="10" borderId="7" xfId="1" applyNumberFormat="1" applyFont="1" applyFill="1" applyBorder="1" applyAlignment="1">
      <alignment horizontal="center"/>
    </xf>
    <xf numFmtId="9" fontId="0" fillId="10" borderId="7" xfId="0" applyNumberFormat="1" applyFill="1" applyBorder="1" applyAlignment="1">
      <alignment horizontal="center"/>
    </xf>
    <xf numFmtId="1" fontId="0" fillId="10" borderId="7" xfId="0" applyNumberFormat="1" applyFill="1" applyBorder="1" applyAlignment="1">
      <alignment horizontal="center" vertical="center"/>
    </xf>
    <xf numFmtId="165" fontId="0" fillId="0" borderId="0" xfId="1" applyNumberFormat="1" applyFont="1" applyBorder="1"/>
    <xf numFmtId="0" fontId="0" fillId="6" borderId="21" xfId="0" applyFill="1" applyBorder="1" applyAlignment="1">
      <alignment horizontal="center"/>
    </xf>
    <xf numFmtId="0" fontId="0" fillId="6" borderId="22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8" borderId="17" xfId="0" applyFill="1" applyBorder="1" applyAlignment="1">
      <alignment horizontal="center"/>
    </xf>
    <xf numFmtId="0" fontId="0" fillId="8" borderId="16" xfId="0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5" fillId="13" borderId="28" xfId="0" applyFont="1" applyFill="1" applyBorder="1" applyAlignment="1">
      <alignment horizontal="center"/>
    </xf>
    <xf numFmtId="0" fontId="5" fillId="13" borderId="29" xfId="0" applyFont="1" applyFill="1" applyBorder="1" applyAlignment="1">
      <alignment horizontal="center"/>
    </xf>
    <xf numFmtId="0" fontId="5" fillId="13" borderId="14" xfId="0" applyFont="1" applyFill="1" applyBorder="1" applyAlignment="1">
      <alignment horizontal="center"/>
    </xf>
    <xf numFmtId="0" fontId="5" fillId="13" borderId="36" xfId="0" applyFont="1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36" xfId="0" applyFill="1" applyBorder="1" applyAlignment="1">
      <alignment horizontal="center"/>
    </xf>
    <xf numFmtId="0" fontId="0" fillId="6" borderId="41" xfId="0" applyFill="1" applyBorder="1" applyAlignment="1">
      <alignment horizontal="center"/>
    </xf>
    <xf numFmtId="0" fontId="0" fillId="6" borderId="29" xfId="0" applyFill="1" applyBorder="1" applyAlignment="1">
      <alignment horizontal="center"/>
    </xf>
    <xf numFmtId="0" fontId="0" fillId="6" borderId="48" xfId="0" applyFill="1" applyBorder="1" applyAlignment="1">
      <alignment horizontal="center"/>
    </xf>
    <xf numFmtId="3" fontId="0" fillId="6" borderId="22" xfId="0" applyNumberFormat="1" applyFill="1" applyBorder="1" applyAlignment="1">
      <alignment horizontal="center" vertical="center"/>
    </xf>
    <xf numFmtId="3" fontId="0" fillId="6" borderId="12" xfId="0" applyNumberFormat="1" applyFill="1" applyBorder="1" applyAlignment="1">
      <alignment horizontal="center" vertical="center"/>
    </xf>
    <xf numFmtId="3" fontId="0" fillId="6" borderId="21" xfId="0" applyNumberFormat="1" applyFill="1" applyBorder="1" applyAlignment="1">
      <alignment horizontal="center" vertical="center"/>
    </xf>
    <xf numFmtId="0" fontId="5" fillId="13" borderId="0" xfId="0" applyFont="1" applyFill="1" applyBorder="1" applyAlignment="1">
      <alignment horizontal="left"/>
    </xf>
    <xf numFmtId="0" fontId="5" fillId="13" borderId="7" xfId="0" applyFont="1" applyFill="1" applyBorder="1" applyAlignment="1">
      <alignment horizontal="center"/>
    </xf>
    <xf numFmtId="0" fontId="0" fillId="8" borderId="30" xfId="0" applyFill="1" applyBorder="1" applyAlignment="1">
      <alignment horizontal="center"/>
    </xf>
    <xf numFmtId="0" fontId="0" fillId="8" borderId="31" xfId="0" applyFill="1" applyBorder="1" applyAlignment="1">
      <alignment horizontal="center"/>
    </xf>
    <xf numFmtId="0" fontId="0" fillId="8" borderId="15" xfId="0" applyFill="1" applyBorder="1" applyAlignment="1">
      <alignment horizontal="center"/>
    </xf>
    <xf numFmtId="0" fontId="0" fillId="8" borderId="30" xfId="0" applyFill="1" applyBorder="1" applyAlignment="1">
      <alignment horizontal="center" vertical="center" wrapText="1"/>
    </xf>
    <xf numFmtId="0" fontId="0" fillId="8" borderId="31" xfId="0" applyFill="1" applyBorder="1" applyAlignment="1">
      <alignment horizontal="center" vertical="center" wrapText="1"/>
    </xf>
    <xf numFmtId="0" fontId="0" fillId="8" borderId="15" xfId="0" applyFill="1" applyBorder="1" applyAlignment="1">
      <alignment horizontal="center" vertical="center" wrapText="1"/>
    </xf>
    <xf numFmtId="0" fontId="5" fillId="13" borderId="18" xfId="0" applyFont="1" applyFill="1" applyBorder="1" applyAlignment="1">
      <alignment horizontal="center"/>
    </xf>
    <xf numFmtId="0" fontId="5" fillId="13" borderId="17" xfId="0" applyFont="1" applyFill="1" applyBorder="1" applyAlignment="1">
      <alignment horizontal="center"/>
    </xf>
    <xf numFmtId="0" fontId="0" fillId="6" borderId="37" xfId="0" applyFill="1" applyBorder="1" applyAlignment="1">
      <alignment horizontal="center"/>
    </xf>
    <xf numFmtId="0" fontId="0" fillId="6" borderId="40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8" borderId="0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8" borderId="18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1" fillId="3" borderId="10" xfId="4" applyBorder="1" applyAlignment="1">
      <alignment horizontal="left"/>
    </xf>
    <xf numFmtId="0" fontId="1" fillId="3" borderId="0" xfId="4" applyBorder="1" applyAlignment="1">
      <alignment horizontal="left"/>
    </xf>
    <xf numFmtId="0" fontId="1" fillId="3" borderId="6" xfId="4" applyBorder="1" applyAlignment="1">
      <alignment horizontal="left"/>
    </xf>
    <xf numFmtId="4" fontId="0" fillId="6" borderId="21" xfId="0" applyNumberFormat="1" applyFill="1" applyBorder="1" applyAlignment="1">
      <alignment horizontal="center"/>
    </xf>
    <xf numFmtId="4" fontId="0" fillId="6" borderId="22" xfId="0" applyNumberFormat="1" applyFill="1" applyBorder="1" applyAlignment="1">
      <alignment horizontal="center"/>
    </xf>
    <xf numFmtId="4" fontId="0" fillId="6" borderId="12" xfId="0" applyNumberFormat="1" applyFill="1" applyBorder="1" applyAlignment="1">
      <alignment horizontal="center"/>
    </xf>
    <xf numFmtId="4" fontId="0" fillId="6" borderId="20" xfId="0" applyNumberFormat="1" applyFill="1" applyBorder="1" applyAlignment="1">
      <alignment horizontal="center"/>
    </xf>
    <xf numFmtId="4" fontId="0" fillId="6" borderId="36" xfId="0" applyNumberFormat="1" applyFill="1" applyBorder="1" applyAlignment="1">
      <alignment horizontal="center"/>
    </xf>
  </cellXfs>
  <cellStyles count="6">
    <cellStyle name="60% - Accent3" xfId="4" builtinId="40"/>
    <cellStyle name="Calculation" xfId="2" builtinId="22"/>
    <cellStyle name="Hyperlink" xfId="5" builtinId="8"/>
    <cellStyle name="Normal" xfId="0" builtinId="0"/>
    <cellStyle name="Percent" xfId="1" builtinId="5"/>
    <cellStyle name="Warning Text" xfId="3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General</a:t>
            </a:r>
            <a:r>
              <a:rPr lang="en-US" baseline="0"/>
              <a:t> Beds - </a:t>
            </a:r>
            <a:r>
              <a:rPr lang="en-US"/>
              <a:t>Volume-based pricing</a:t>
            </a:r>
          </a:p>
        </c:rich>
      </c:tx>
      <c:layout>
        <c:manualLayout>
          <c:xMode val="edge"/>
          <c:yMode val="edge"/>
          <c:x val="0.19524218563588641"/>
          <c:y val="3.99570293302103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Volume-based pricing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'Hospital '!$E$68:$I$68</c:f>
              <c:numCache>
                <c:formatCode>#,##0</c:formatCode>
                <c:ptCount val="5"/>
                <c:pt idx="0">
                  <c:v>40</c:v>
                </c:pt>
                <c:pt idx="1">
                  <c:v>100</c:v>
                </c:pt>
                <c:pt idx="2">
                  <c:v>200</c:v>
                </c:pt>
                <c:pt idx="3">
                  <c:v>500</c:v>
                </c:pt>
                <c:pt idx="4">
                  <c:v>1000</c:v>
                </c:pt>
              </c:numCache>
            </c:numRef>
          </c:cat>
          <c:val>
            <c:numRef>
              <c:f>'Hospital '!$E$72:$I$72</c:f>
              <c:numCache>
                <c:formatCode>#,##0</c:formatCode>
                <c:ptCount val="5"/>
                <c:pt idx="0">
                  <c:v>285</c:v>
                </c:pt>
                <c:pt idx="1">
                  <c:v>251</c:v>
                </c:pt>
                <c:pt idx="2">
                  <c:v>225.9</c:v>
                </c:pt>
                <c:pt idx="3">
                  <c:v>203.31</c:v>
                </c:pt>
                <c:pt idx="4">
                  <c:v>182.97900000000001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DB-4F4F-BE34-E30C5080F5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8941048"/>
        <c:axId val="868941704"/>
      </c:lineChart>
      <c:catAx>
        <c:axId val="868941048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868941704"/>
        <c:crosses val="autoZero"/>
        <c:auto val="1"/>
        <c:lblAlgn val="ctr"/>
        <c:lblOffset val="100"/>
        <c:noMultiLvlLbl val="0"/>
      </c:catAx>
      <c:valAx>
        <c:axId val="868941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868941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Expected revenues per products/services in hospital market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'Hospital '!$AJ$95</c:f>
              <c:strCache>
                <c:ptCount val="1"/>
                <c:pt idx="0">
                  <c:v>Software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'Hospital '!$X$115:$AH$115</c:f>
              <c:strCache>
                <c:ptCount val="11"/>
                <c:pt idx="0">
                  <c:v>Y1</c:v>
                </c:pt>
                <c:pt idx="1">
                  <c:v>Q1</c:v>
                </c:pt>
                <c:pt idx="2">
                  <c:v>Q2</c:v>
                </c:pt>
                <c:pt idx="3">
                  <c:v>Q3</c:v>
                </c:pt>
                <c:pt idx="4">
                  <c:v>Q4</c:v>
                </c:pt>
                <c:pt idx="5">
                  <c:v>Y2 </c:v>
                </c:pt>
                <c:pt idx="6">
                  <c:v>Q1</c:v>
                </c:pt>
                <c:pt idx="7">
                  <c:v>Q2</c:v>
                </c:pt>
                <c:pt idx="8">
                  <c:v>Q3</c:v>
                </c:pt>
                <c:pt idx="9">
                  <c:v>Q4</c:v>
                </c:pt>
                <c:pt idx="10">
                  <c:v>Y3</c:v>
                </c:pt>
              </c:strCache>
            </c:strRef>
          </c:cat>
          <c:val>
            <c:numRef>
              <c:f>'Hospital '!$AK$95:$AM$95</c:f>
              <c:numCache>
                <c:formatCode>#,##0</c:formatCode>
                <c:ptCount val="3"/>
                <c:pt idx="0">
                  <c:v>268569.53004699998</c:v>
                </c:pt>
                <c:pt idx="1">
                  <c:v>1124317.4783434998</c:v>
                </c:pt>
                <c:pt idx="2">
                  <c:v>2955720.2417700998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2A-4B3B-A8A6-566980948537}"/>
            </c:ext>
          </c:extLst>
        </c:ser>
        <c:ser>
          <c:idx val="1"/>
          <c:order val="1"/>
          <c:tx>
            <c:strRef>
              <c:f>'Hospital '!$AJ$96</c:f>
              <c:strCache>
                <c:ptCount val="1"/>
                <c:pt idx="0">
                  <c:v>Devices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'Hospital '!$X$115:$AH$115</c:f>
              <c:strCache>
                <c:ptCount val="11"/>
                <c:pt idx="0">
                  <c:v>Y1</c:v>
                </c:pt>
                <c:pt idx="1">
                  <c:v>Q1</c:v>
                </c:pt>
                <c:pt idx="2">
                  <c:v>Q2</c:v>
                </c:pt>
                <c:pt idx="3">
                  <c:v>Q3</c:v>
                </c:pt>
                <c:pt idx="4">
                  <c:v>Q4</c:v>
                </c:pt>
                <c:pt idx="5">
                  <c:v>Y2 </c:v>
                </c:pt>
                <c:pt idx="6">
                  <c:v>Q1</c:v>
                </c:pt>
                <c:pt idx="7">
                  <c:v>Q2</c:v>
                </c:pt>
                <c:pt idx="8">
                  <c:v>Q3</c:v>
                </c:pt>
                <c:pt idx="9">
                  <c:v>Q4</c:v>
                </c:pt>
                <c:pt idx="10">
                  <c:v>Y3</c:v>
                </c:pt>
              </c:strCache>
            </c:strRef>
          </c:cat>
          <c:val>
            <c:numRef>
              <c:f>'Hospital '!$AK$96:$AM$96</c:f>
              <c:numCache>
                <c:formatCode>#,##0</c:formatCode>
                <c:ptCount val="3"/>
                <c:pt idx="0">
                  <c:v>24803.48763</c:v>
                </c:pt>
                <c:pt idx="1">
                  <c:v>180843.20617125</c:v>
                </c:pt>
                <c:pt idx="2">
                  <c:v>514327.4321495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2A-4B3B-A8A6-566980948537}"/>
            </c:ext>
          </c:extLst>
        </c:ser>
        <c:ser>
          <c:idx val="2"/>
          <c:order val="2"/>
          <c:tx>
            <c:strRef>
              <c:f>'Hospital '!$AJ$97</c:f>
              <c:strCache>
                <c:ptCount val="1"/>
                <c:pt idx="0">
                  <c:v>Operations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'Hospital '!$AK$97:$AM$97</c:f>
              <c:numCache>
                <c:formatCode>#,##0</c:formatCode>
                <c:ptCount val="3"/>
                <c:pt idx="0">
                  <c:v>137500</c:v>
                </c:pt>
                <c:pt idx="1">
                  <c:v>495000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0B-42B7-8292-E7D3362701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60288072"/>
        <c:axId val="860290368"/>
      </c:barChart>
      <c:catAx>
        <c:axId val="860288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860290368"/>
        <c:crosses val="autoZero"/>
        <c:auto val="1"/>
        <c:lblAlgn val="ctr"/>
        <c:lblOffset val="100"/>
        <c:noMultiLvlLbl val="0"/>
      </c:catAx>
      <c:valAx>
        <c:axId val="86029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860288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ICU</a:t>
            </a:r>
            <a:r>
              <a:rPr lang="en-US" baseline="0"/>
              <a:t> Beds - </a:t>
            </a:r>
            <a:r>
              <a:rPr lang="en-US"/>
              <a:t>Volume-based pricing</a:t>
            </a:r>
          </a:p>
        </c:rich>
      </c:tx>
      <c:layout>
        <c:manualLayout>
          <c:xMode val="edge"/>
          <c:yMode val="edge"/>
          <c:x val="0.24946874942385261"/>
          <c:y val="4.99999781277436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title>
    <c:autoTitleDeleted val="0"/>
    <c:plotArea>
      <c:layout>
        <c:manualLayout>
          <c:layoutTarget val="inner"/>
          <c:xMode val="edge"/>
          <c:yMode val="edge"/>
          <c:x val="4.6684789401324832E-2"/>
          <c:y val="0.16645933693057427"/>
          <c:w val="0.92156917885264344"/>
          <c:h val="0.50717970588729355"/>
        </c:manualLayout>
      </c:layout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'Hospital '!$D$81:$F$81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'Hospital '!$D$82:$F$82</c:f>
              <c:numCache>
                <c:formatCode>General</c:formatCode>
                <c:ptCount val="3"/>
                <c:pt idx="0">
                  <c:v>700</c:v>
                </c:pt>
                <c:pt idx="1">
                  <c:v>560</c:v>
                </c:pt>
                <c:pt idx="2">
                  <c:v>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7E-492C-95B3-AD6673F20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8941048"/>
        <c:axId val="868941704"/>
      </c:lineChart>
      <c:catAx>
        <c:axId val="868941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868941704"/>
        <c:crosses val="autoZero"/>
        <c:auto val="1"/>
        <c:lblAlgn val="ctr"/>
        <c:lblOffset val="100"/>
        <c:noMultiLvlLbl val="0"/>
      </c:catAx>
      <c:valAx>
        <c:axId val="868941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868941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Expected revenues per countries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'Hospital '!$AJ$117</c:f>
              <c:strCache>
                <c:ptCount val="1"/>
                <c:pt idx="0">
                  <c:v>Belgium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'Hospital '!$X$115:$AH$115</c:f>
              <c:strCache>
                <c:ptCount val="11"/>
                <c:pt idx="0">
                  <c:v>Y1</c:v>
                </c:pt>
                <c:pt idx="1">
                  <c:v>Q1</c:v>
                </c:pt>
                <c:pt idx="2">
                  <c:v>Q2</c:v>
                </c:pt>
                <c:pt idx="3">
                  <c:v>Q3</c:v>
                </c:pt>
                <c:pt idx="4">
                  <c:v>Q4</c:v>
                </c:pt>
                <c:pt idx="5">
                  <c:v>Y2 </c:v>
                </c:pt>
                <c:pt idx="6">
                  <c:v>Q1</c:v>
                </c:pt>
                <c:pt idx="7">
                  <c:v>Q2</c:v>
                </c:pt>
                <c:pt idx="8">
                  <c:v>Q3</c:v>
                </c:pt>
                <c:pt idx="9">
                  <c:v>Q4</c:v>
                </c:pt>
                <c:pt idx="10">
                  <c:v>Y3</c:v>
                </c:pt>
              </c:strCache>
            </c:strRef>
          </c:cat>
          <c:val>
            <c:numRef>
              <c:f>'Hospital '!$AK$117:$AM$117</c:f>
              <c:numCache>
                <c:formatCode>#,##0</c:formatCode>
                <c:ptCount val="3"/>
                <c:pt idx="0">
                  <c:v>189660.65880000003</c:v>
                </c:pt>
                <c:pt idx="1">
                  <c:v>295054.45628000004</c:v>
                </c:pt>
                <c:pt idx="2">
                  <c:v>452103.80473600002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0C-4747-806F-28AC451B6048}"/>
            </c:ext>
          </c:extLst>
        </c:ser>
        <c:ser>
          <c:idx val="1"/>
          <c:order val="1"/>
          <c:tx>
            <c:strRef>
              <c:f>'Hospital '!$AJ$118</c:f>
              <c:strCache>
                <c:ptCount val="1"/>
                <c:pt idx="0">
                  <c:v>France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'Hospital '!$X$115:$AH$115</c:f>
              <c:strCache>
                <c:ptCount val="11"/>
                <c:pt idx="0">
                  <c:v>Y1</c:v>
                </c:pt>
                <c:pt idx="1">
                  <c:v>Q1</c:v>
                </c:pt>
                <c:pt idx="2">
                  <c:v>Q2</c:v>
                </c:pt>
                <c:pt idx="3">
                  <c:v>Q3</c:v>
                </c:pt>
                <c:pt idx="4">
                  <c:v>Q4</c:v>
                </c:pt>
                <c:pt idx="5">
                  <c:v>Y2 </c:v>
                </c:pt>
                <c:pt idx="6">
                  <c:v>Q1</c:v>
                </c:pt>
                <c:pt idx="7">
                  <c:v>Q2</c:v>
                </c:pt>
                <c:pt idx="8">
                  <c:v>Q3</c:v>
                </c:pt>
                <c:pt idx="9">
                  <c:v>Q4</c:v>
                </c:pt>
                <c:pt idx="10">
                  <c:v>Y3</c:v>
                </c:pt>
              </c:strCache>
            </c:strRef>
          </c:cat>
          <c:val>
            <c:numRef>
              <c:f>'Hospital '!$AK$118:$AM$118</c:f>
              <c:numCache>
                <c:formatCode>#,##0</c:formatCode>
                <c:ptCount val="3"/>
                <c:pt idx="0">
                  <c:v>0</c:v>
                </c:pt>
                <c:pt idx="1">
                  <c:v>273044.48446875002</c:v>
                </c:pt>
                <c:pt idx="2">
                  <c:v>652392.70989000006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0C-4747-806F-28AC451B6048}"/>
            </c:ext>
          </c:extLst>
        </c:ser>
        <c:ser>
          <c:idx val="2"/>
          <c:order val="2"/>
          <c:tx>
            <c:strRef>
              <c:f>'Hospital '!$AJ$120</c:f>
              <c:strCache>
                <c:ptCount val="1"/>
                <c:pt idx="0">
                  <c:v>Germany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'Hospital '!$AK$120:$AM$120</c:f>
              <c:numCache>
                <c:formatCode>#,##0</c:formatCode>
                <c:ptCount val="3"/>
                <c:pt idx="0">
                  <c:v>0</c:v>
                </c:pt>
                <c:pt idx="1">
                  <c:v>473008.35055099998</c:v>
                </c:pt>
                <c:pt idx="2">
                  <c:v>1092881.6773235998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0C-4747-806F-28AC451B6048}"/>
            </c:ext>
          </c:extLst>
        </c:ser>
        <c:ser>
          <c:idx val="3"/>
          <c:order val="3"/>
          <c:tx>
            <c:strRef>
              <c:f>'Hospital '!$AJ$119</c:f>
              <c:strCache>
                <c:ptCount val="1"/>
                <c:pt idx="0">
                  <c:v>Italy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'Hospital '!$AK$119:$AM$119</c:f>
              <c:numCache>
                <c:formatCode>#,##0</c:formatCode>
                <c:ptCount val="3"/>
                <c:pt idx="0">
                  <c:v>241212.35887699999</c:v>
                </c:pt>
                <c:pt idx="1">
                  <c:v>501655.59403000004</c:v>
                </c:pt>
                <c:pt idx="2">
                  <c:v>834764.43806000007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0C-4747-806F-28AC451B60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60288072"/>
        <c:axId val="860290368"/>
      </c:barChart>
      <c:catAx>
        <c:axId val="860288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860290368"/>
        <c:crosses val="autoZero"/>
        <c:auto val="1"/>
        <c:lblAlgn val="ctr"/>
        <c:lblOffset val="100"/>
        <c:noMultiLvlLbl val="0"/>
      </c:catAx>
      <c:valAx>
        <c:axId val="86029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860288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General</a:t>
            </a:r>
            <a:r>
              <a:rPr lang="nl-BE" baseline="0"/>
              <a:t> Beds </a:t>
            </a:r>
            <a:endParaRPr lang="nl-B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'Hospital '!$BE$5</c:f>
              <c:strCache>
                <c:ptCount val="1"/>
                <c:pt idx="0">
                  <c:v>Belgium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strRef>
              <c:f>'Hospital '!$BF$4:$BH$4</c:f>
              <c:strCache>
                <c:ptCount val="3"/>
                <c:pt idx="0">
                  <c:v>Beds - Y1</c:v>
                </c:pt>
                <c:pt idx="1">
                  <c:v>Beds - Y2</c:v>
                </c:pt>
                <c:pt idx="2">
                  <c:v>Beds - Y3</c:v>
                </c:pt>
              </c:strCache>
            </c:strRef>
          </c:cat>
          <c:val>
            <c:numRef>
              <c:f>'Hospital '!$BF$5:$BH$5</c:f>
              <c:numCache>
                <c:formatCode>0</c:formatCode>
                <c:ptCount val="3"/>
                <c:pt idx="0">
                  <c:v>558.99856</c:v>
                </c:pt>
                <c:pt idx="1">
                  <c:v>1117.99712</c:v>
                </c:pt>
                <c:pt idx="2">
                  <c:v>2794.9928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A2-4E27-A9E7-880C3B12750C}"/>
            </c:ext>
          </c:extLst>
        </c:ser>
        <c:ser>
          <c:idx val="1"/>
          <c:order val="1"/>
          <c:tx>
            <c:strRef>
              <c:f>'Hospital '!$BE$6</c:f>
              <c:strCache>
                <c:ptCount val="1"/>
                <c:pt idx="0">
                  <c:v>France 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strRef>
              <c:f>'Hospital '!$BF$4:$BH$4</c:f>
              <c:strCache>
                <c:ptCount val="3"/>
                <c:pt idx="0">
                  <c:v>Beds - Y1</c:v>
                </c:pt>
                <c:pt idx="1">
                  <c:v>Beds - Y2</c:v>
                </c:pt>
                <c:pt idx="2">
                  <c:v>Beds - Y3</c:v>
                </c:pt>
              </c:strCache>
            </c:strRef>
          </c:cat>
          <c:val>
            <c:numRef>
              <c:f>'Hospital '!$BF$6:$BH$6</c:f>
              <c:numCache>
                <c:formatCode>0</c:formatCode>
                <c:ptCount val="3"/>
                <c:pt idx="0">
                  <c:v>0</c:v>
                </c:pt>
                <c:pt idx="1">
                  <c:v>1749.7695000000001</c:v>
                </c:pt>
                <c:pt idx="2">
                  <c:v>5249.3085000000001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A2-4E27-A9E7-880C3B12750C}"/>
            </c:ext>
          </c:extLst>
        </c:ser>
        <c:ser>
          <c:idx val="2"/>
          <c:order val="2"/>
          <c:tx>
            <c:strRef>
              <c:f>'Hospital '!$BE$7</c:f>
              <c:strCache>
                <c:ptCount val="1"/>
                <c:pt idx="0">
                  <c:v>Italy 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strRef>
              <c:f>'Hospital '!$BF$4:$BH$4</c:f>
              <c:strCache>
                <c:ptCount val="3"/>
                <c:pt idx="0">
                  <c:v>Beds - Y1</c:v>
                </c:pt>
                <c:pt idx="1">
                  <c:v>Beds - Y2</c:v>
                </c:pt>
                <c:pt idx="2">
                  <c:v>Beds - Y3</c:v>
                </c:pt>
              </c:strCache>
            </c:strRef>
          </c:cat>
          <c:val>
            <c:numRef>
              <c:f>'Hospital '!$BF$7:$BH$7</c:f>
              <c:numCache>
                <c:formatCode>0</c:formatCode>
                <c:ptCount val="3"/>
                <c:pt idx="0">
                  <c:v>577.56375600000001</c:v>
                </c:pt>
                <c:pt idx="1">
                  <c:v>1237.63662</c:v>
                </c:pt>
                <c:pt idx="2">
                  <c:v>4125.4554000000007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A2-4E27-A9E7-880C3B12750C}"/>
            </c:ext>
          </c:extLst>
        </c:ser>
        <c:ser>
          <c:idx val="3"/>
          <c:order val="3"/>
          <c:tx>
            <c:strRef>
              <c:f>'Hospital '!$BE$8</c:f>
              <c:strCache>
                <c:ptCount val="1"/>
                <c:pt idx="0">
                  <c:v>Germany 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strRef>
              <c:f>'Hospital '!$BF$4:$BH$4</c:f>
              <c:strCache>
                <c:ptCount val="3"/>
                <c:pt idx="0">
                  <c:v>Beds - Y1</c:v>
                </c:pt>
                <c:pt idx="1">
                  <c:v>Beds - Y2</c:v>
                </c:pt>
                <c:pt idx="2">
                  <c:v>Beds - Y3</c:v>
                </c:pt>
              </c:strCache>
            </c:strRef>
          </c:cat>
          <c:val>
            <c:numRef>
              <c:f>'Hospital '!$BF$8:$BH$8</c:f>
              <c:numCache>
                <c:formatCode>0</c:formatCode>
                <c:ptCount val="3"/>
                <c:pt idx="0">
                  <c:v>0</c:v>
                </c:pt>
                <c:pt idx="1">
                  <c:v>2843.5086800000004</c:v>
                </c:pt>
                <c:pt idx="2">
                  <c:v>8530.5260400000006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4A2-4E27-A9E7-880C3B1275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2054600"/>
        <c:axId val="762049352"/>
      </c:areaChart>
      <c:catAx>
        <c:axId val="762054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762049352"/>
        <c:crosses val="autoZero"/>
        <c:auto val="1"/>
        <c:lblAlgn val="ctr"/>
        <c:lblOffset val="100"/>
        <c:noMultiLvlLbl val="0"/>
      </c:catAx>
      <c:valAx>
        <c:axId val="762049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7620546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Feedim EN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'Hospital '!$BE$18</c:f>
              <c:strCache>
                <c:ptCount val="1"/>
                <c:pt idx="0">
                  <c:v>Belgium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'Hospital '!$BF$17:$BH$17</c:f>
              <c:strCache>
                <c:ptCount val="3"/>
                <c:pt idx="0">
                  <c:v>Total - Y1</c:v>
                </c:pt>
                <c:pt idx="1">
                  <c:v>Total - Y2</c:v>
                </c:pt>
                <c:pt idx="2">
                  <c:v>Total - Y3</c:v>
                </c:pt>
              </c:strCache>
            </c:strRef>
          </c:cat>
          <c:val>
            <c:numRef>
              <c:f>'Hospital '!$BF$18:$BH$18</c:f>
              <c:numCache>
                <c:formatCode>0</c:formatCode>
                <c:ptCount val="3"/>
                <c:pt idx="0">
                  <c:v>55.899856</c:v>
                </c:pt>
                <c:pt idx="1">
                  <c:v>111.799712</c:v>
                </c:pt>
                <c:pt idx="2">
                  <c:v>279.49928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4C-4B14-ABA6-9364EC8BCBA4}"/>
            </c:ext>
          </c:extLst>
        </c:ser>
        <c:ser>
          <c:idx val="1"/>
          <c:order val="1"/>
          <c:tx>
            <c:strRef>
              <c:f>'Hospital '!$BE$19</c:f>
              <c:strCache>
                <c:ptCount val="1"/>
                <c:pt idx="0">
                  <c:v>France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'Hospital '!$BF$17:$BH$17</c:f>
              <c:strCache>
                <c:ptCount val="3"/>
                <c:pt idx="0">
                  <c:v>Total - Y1</c:v>
                </c:pt>
                <c:pt idx="1">
                  <c:v>Total - Y2</c:v>
                </c:pt>
                <c:pt idx="2">
                  <c:v>Total - Y3</c:v>
                </c:pt>
              </c:strCache>
            </c:strRef>
          </c:cat>
          <c:val>
            <c:numRef>
              <c:f>'Hospital '!$BF$19:$BH$19</c:f>
              <c:numCache>
                <c:formatCode>0</c:formatCode>
                <c:ptCount val="3"/>
                <c:pt idx="0">
                  <c:v>0</c:v>
                </c:pt>
                <c:pt idx="1">
                  <c:v>174.97695000000002</c:v>
                </c:pt>
                <c:pt idx="2">
                  <c:v>524.93085000000008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4C-4B14-ABA6-9364EC8BCBA4}"/>
            </c:ext>
          </c:extLst>
        </c:ser>
        <c:ser>
          <c:idx val="2"/>
          <c:order val="2"/>
          <c:tx>
            <c:strRef>
              <c:f>'Hospital '!$BE$20</c:f>
              <c:strCache>
                <c:ptCount val="1"/>
                <c:pt idx="0">
                  <c:v>Italy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'Hospital '!$BF$17:$BH$17</c:f>
              <c:strCache>
                <c:ptCount val="3"/>
                <c:pt idx="0">
                  <c:v>Total - Y1</c:v>
                </c:pt>
                <c:pt idx="1">
                  <c:v>Total - Y2</c:v>
                </c:pt>
                <c:pt idx="2">
                  <c:v>Total - Y3</c:v>
                </c:pt>
              </c:strCache>
            </c:strRef>
          </c:cat>
          <c:val>
            <c:numRef>
              <c:f>'Hospital '!$BF$20:$BH$20</c:f>
              <c:numCache>
                <c:formatCode>0</c:formatCode>
                <c:ptCount val="3"/>
                <c:pt idx="0">
                  <c:v>57.756375600000005</c:v>
                </c:pt>
                <c:pt idx="1">
                  <c:v>123.76366200000001</c:v>
                </c:pt>
                <c:pt idx="2">
                  <c:v>412.54554000000007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4C-4B14-ABA6-9364EC8BCBA4}"/>
            </c:ext>
          </c:extLst>
        </c:ser>
        <c:ser>
          <c:idx val="3"/>
          <c:order val="3"/>
          <c:tx>
            <c:strRef>
              <c:f>'Hospital '!$BE$21</c:f>
              <c:strCache>
                <c:ptCount val="1"/>
                <c:pt idx="0">
                  <c:v>Germany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'Hospital '!$BF$17:$BH$17</c:f>
              <c:strCache>
                <c:ptCount val="3"/>
                <c:pt idx="0">
                  <c:v>Total - Y1</c:v>
                </c:pt>
                <c:pt idx="1">
                  <c:v>Total - Y2</c:v>
                </c:pt>
                <c:pt idx="2">
                  <c:v>Total - Y3</c:v>
                </c:pt>
              </c:strCache>
            </c:strRef>
          </c:cat>
          <c:val>
            <c:numRef>
              <c:f>'Hospital '!$BF$21:$BH$21</c:f>
              <c:numCache>
                <c:formatCode>0</c:formatCode>
                <c:ptCount val="3"/>
                <c:pt idx="0">
                  <c:v>0</c:v>
                </c:pt>
                <c:pt idx="1">
                  <c:v>284.35086800000005</c:v>
                </c:pt>
                <c:pt idx="2">
                  <c:v>853.05260400000009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4C-4B14-ABA6-9364EC8BC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50864344"/>
        <c:axId val="1250860736"/>
      </c:barChart>
      <c:catAx>
        <c:axId val="1250864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250860736"/>
        <c:crosses val="autoZero"/>
        <c:auto val="1"/>
        <c:lblAlgn val="ctr"/>
        <c:lblOffset val="100"/>
        <c:noMultiLvlLbl val="0"/>
      </c:catAx>
      <c:valAx>
        <c:axId val="125086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250864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Feedim PN</a:t>
            </a:r>
          </a:p>
        </c:rich>
      </c:tx>
      <c:layout>
        <c:manualLayout>
          <c:xMode val="edge"/>
          <c:yMode val="edge"/>
          <c:x val="0.35300690058297168"/>
          <c:y val="1.95064191680682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'Hospital '!$BE$32</c:f>
              <c:strCache>
                <c:ptCount val="1"/>
                <c:pt idx="0">
                  <c:v>Belgium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'Hospital '!$BF$29:$BH$29</c:f>
              <c:strCache>
                <c:ptCount val="3"/>
                <c:pt idx="0">
                  <c:v>Total - Y1</c:v>
                </c:pt>
                <c:pt idx="1">
                  <c:v>Total - Y2</c:v>
                </c:pt>
                <c:pt idx="2">
                  <c:v>Total - Y3</c:v>
                </c:pt>
              </c:strCache>
            </c:strRef>
          </c:cat>
          <c:val>
            <c:numRef>
              <c:f>'Hospital '!$BF$32:$BH$32</c:f>
              <c:numCache>
                <c:formatCode>0</c:formatCode>
                <c:ptCount val="3"/>
                <c:pt idx="0">
                  <c:v>0</c:v>
                </c:pt>
                <c:pt idx="1">
                  <c:v>50.309870400000001</c:v>
                </c:pt>
                <c:pt idx="2">
                  <c:v>125.774676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6B-4E93-AE26-4C6DBC7591F1}"/>
            </c:ext>
          </c:extLst>
        </c:ser>
        <c:ser>
          <c:idx val="1"/>
          <c:order val="1"/>
          <c:tx>
            <c:strRef>
              <c:f>'Hospital '!$BE$33</c:f>
              <c:strCache>
                <c:ptCount val="1"/>
                <c:pt idx="0">
                  <c:v>France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'Hospital '!$BF$29:$BH$29</c:f>
              <c:strCache>
                <c:ptCount val="3"/>
                <c:pt idx="0">
                  <c:v>Total - Y1</c:v>
                </c:pt>
                <c:pt idx="1">
                  <c:v>Total - Y2</c:v>
                </c:pt>
                <c:pt idx="2">
                  <c:v>Total - Y3</c:v>
                </c:pt>
              </c:strCache>
            </c:strRef>
          </c:cat>
          <c:val>
            <c:numRef>
              <c:f>'Hospital '!$BF$33:$BH$33</c:f>
              <c:numCache>
                <c:formatCode>0</c:formatCode>
                <c:ptCount val="3"/>
                <c:pt idx="0">
                  <c:v>0</c:v>
                </c:pt>
                <c:pt idx="1">
                  <c:v>78.739627499999997</c:v>
                </c:pt>
                <c:pt idx="2">
                  <c:v>236.21888250000001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6B-4E93-AE26-4C6DBC7591F1}"/>
            </c:ext>
          </c:extLst>
        </c:ser>
        <c:ser>
          <c:idx val="2"/>
          <c:order val="2"/>
          <c:tx>
            <c:strRef>
              <c:f>'Hospital '!$BE$34</c:f>
              <c:strCache>
                <c:ptCount val="1"/>
                <c:pt idx="0">
                  <c:v>Italy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'Hospital '!$BF$29:$BH$29</c:f>
              <c:strCache>
                <c:ptCount val="3"/>
                <c:pt idx="0">
                  <c:v>Total - Y1</c:v>
                </c:pt>
                <c:pt idx="1">
                  <c:v>Total - Y2</c:v>
                </c:pt>
                <c:pt idx="2">
                  <c:v>Total - Y3</c:v>
                </c:pt>
              </c:strCache>
            </c:strRef>
          </c:cat>
          <c:val>
            <c:numRef>
              <c:f>'Hospital '!$BF$34:$BH$34</c:f>
              <c:numCache>
                <c:formatCode>0</c:formatCode>
                <c:ptCount val="3"/>
                <c:pt idx="0">
                  <c:v>0</c:v>
                </c:pt>
                <c:pt idx="1">
                  <c:v>55.693647899999995</c:v>
                </c:pt>
                <c:pt idx="2">
                  <c:v>185.64549300000002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6B-4E93-AE26-4C6DBC7591F1}"/>
            </c:ext>
          </c:extLst>
        </c:ser>
        <c:ser>
          <c:idx val="3"/>
          <c:order val="3"/>
          <c:tx>
            <c:strRef>
              <c:f>'Hospital '!$BE$35</c:f>
              <c:strCache>
                <c:ptCount val="1"/>
                <c:pt idx="0">
                  <c:v>Germany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'Hospital '!$BF$29:$BH$29</c:f>
              <c:strCache>
                <c:ptCount val="3"/>
                <c:pt idx="0">
                  <c:v>Total - Y1</c:v>
                </c:pt>
                <c:pt idx="1">
                  <c:v>Total - Y2</c:v>
                </c:pt>
                <c:pt idx="2">
                  <c:v>Total - Y3</c:v>
                </c:pt>
              </c:strCache>
            </c:strRef>
          </c:cat>
          <c:val>
            <c:numRef>
              <c:f>'Hospital '!$BF$35:$BH$35</c:f>
              <c:numCache>
                <c:formatCode>0</c:formatCode>
                <c:ptCount val="3"/>
                <c:pt idx="0">
                  <c:v>0</c:v>
                </c:pt>
                <c:pt idx="1">
                  <c:v>127.95789060000001</c:v>
                </c:pt>
                <c:pt idx="2">
                  <c:v>383.87367180000001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6B-4E93-AE26-4C6DBC759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38601400"/>
        <c:axId val="1238604680"/>
      </c:barChart>
      <c:catAx>
        <c:axId val="1238601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238604680"/>
        <c:crosses val="autoZero"/>
        <c:auto val="1"/>
        <c:lblAlgn val="ctr"/>
        <c:lblOffset val="100"/>
        <c:noMultiLvlLbl val="0"/>
      </c:catAx>
      <c:valAx>
        <c:axId val="1238604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238601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ICU Beds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'Hospital '!$BE$47</c:f>
              <c:strCache>
                <c:ptCount val="1"/>
                <c:pt idx="0">
                  <c:v>Belgium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'Hospital '!$BF$46:$BH$46</c:f>
              <c:strCache>
                <c:ptCount val="3"/>
                <c:pt idx="0">
                  <c:v>ICU Beds - Y1</c:v>
                </c:pt>
                <c:pt idx="1">
                  <c:v>ICU Beds - Y2</c:v>
                </c:pt>
                <c:pt idx="2">
                  <c:v>ICU Beds - Y3</c:v>
                </c:pt>
              </c:strCache>
            </c:strRef>
          </c:cat>
          <c:val>
            <c:numRef>
              <c:f>'Hospital '!$BF$47:$BH$47</c:f>
              <c:numCache>
                <c:formatCode>0</c:formatCode>
                <c:ptCount val="3"/>
                <c:pt idx="0">
                  <c:v>35.1</c:v>
                </c:pt>
                <c:pt idx="1">
                  <c:v>70.2</c:v>
                </c:pt>
                <c:pt idx="2">
                  <c:v>175.5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E1-45BA-8BFE-450B1B3EB3CF}"/>
            </c:ext>
          </c:extLst>
        </c:ser>
        <c:ser>
          <c:idx val="1"/>
          <c:order val="1"/>
          <c:tx>
            <c:strRef>
              <c:f>'Hospital '!$BE$48</c:f>
              <c:strCache>
                <c:ptCount val="1"/>
                <c:pt idx="0">
                  <c:v>France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'Hospital '!$BF$46:$BH$46</c:f>
              <c:strCache>
                <c:ptCount val="3"/>
                <c:pt idx="0">
                  <c:v>ICU Beds - Y1</c:v>
                </c:pt>
                <c:pt idx="1">
                  <c:v>ICU Beds - Y2</c:v>
                </c:pt>
                <c:pt idx="2">
                  <c:v>ICU Beds - Y3</c:v>
                </c:pt>
              </c:strCache>
            </c:strRef>
          </c:cat>
          <c:val>
            <c:numRef>
              <c:f>'Hospital '!$BF$48:$BH$48</c:f>
              <c:numCache>
                <c:formatCode>0</c:formatCode>
                <c:ptCount val="3"/>
                <c:pt idx="0">
                  <c:v>0</c:v>
                </c:pt>
                <c:pt idx="1">
                  <c:v>75.400000000000006</c:v>
                </c:pt>
                <c:pt idx="2">
                  <c:v>226.2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E1-45BA-8BFE-450B1B3EB3CF}"/>
            </c:ext>
          </c:extLst>
        </c:ser>
        <c:ser>
          <c:idx val="2"/>
          <c:order val="2"/>
          <c:tx>
            <c:strRef>
              <c:f>'Hospital '!$BE$50</c:f>
              <c:strCache>
                <c:ptCount val="1"/>
                <c:pt idx="0">
                  <c:v>Italy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'Hospital '!$BF$46:$BH$46</c:f>
              <c:strCache>
                <c:ptCount val="3"/>
                <c:pt idx="0">
                  <c:v>ICU Beds - Y1</c:v>
                </c:pt>
                <c:pt idx="1">
                  <c:v>ICU Beds - Y2</c:v>
                </c:pt>
                <c:pt idx="2">
                  <c:v>ICU Beds - Y3</c:v>
                </c:pt>
              </c:strCache>
            </c:strRef>
          </c:cat>
          <c:val>
            <c:numRef>
              <c:f>'Hospital '!$BF$50:$BH$50</c:f>
              <c:numCache>
                <c:formatCode>0</c:formatCode>
                <c:ptCount val="3"/>
                <c:pt idx="0">
                  <c:v>37.75</c:v>
                </c:pt>
                <c:pt idx="1">
                  <c:v>113.25</c:v>
                </c:pt>
                <c:pt idx="2">
                  <c:v>377.5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E1-45BA-8BFE-450B1B3EB3CF}"/>
            </c:ext>
          </c:extLst>
        </c:ser>
        <c:ser>
          <c:idx val="3"/>
          <c:order val="3"/>
          <c:tx>
            <c:strRef>
              <c:f>'Hospital '!$BE$51</c:f>
              <c:strCache>
                <c:ptCount val="1"/>
                <c:pt idx="0">
                  <c:v>Germany 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strRef>
              <c:f>'Hospital '!$BF$46:$BH$46</c:f>
              <c:strCache>
                <c:ptCount val="3"/>
                <c:pt idx="0">
                  <c:v>ICU Beds - Y1</c:v>
                </c:pt>
                <c:pt idx="1">
                  <c:v>ICU Beds - Y2</c:v>
                </c:pt>
                <c:pt idx="2">
                  <c:v>ICU Beds - Y3</c:v>
                </c:pt>
              </c:strCache>
            </c:strRef>
          </c:cat>
          <c:val>
            <c:numRef>
              <c:f>'Hospital '!$BF$51:$BH$51</c:f>
              <c:numCache>
                <c:formatCode>0</c:formatCode>
                <c:ptCount val="3"/>
                <c:pt idx="0">
                  <c:v>0</c:v>
                </c:pt>
                <c:pt idx="1">
                  <c:v>238.9</c:v>
                </c:pt>
                <c:pt idx="2">
                  <c:v>477.8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E1-45BA-8BFE-450B1B3EB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8626512"/>
        <c:axId val="1248623888"/>
      </c:areaChart>
      <c:catAx>
        <c:axId val="1248626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248623888"/>
        <c:crosses val="autoZero"/>
        <c:auto val="1"/>
        <c:lblAlgn val="ctr"/>
        <c:lblOffset val="100"/>
        <c:noMultiLvlLbl val="0"/>
      </c:catAx>
      <c:valAx>
        <c:axId val="124862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2486265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Feedim 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'Hospital '!$BE$58</c:f>
              <c:strCache>
                <c:ptCount val="1"/>
                <c:pt idx="0">
                  <c:v>Belgium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'Hospital '!$BF$57:$BH$57</c:f>
              <c:strCache>
                <c:ptCount val="3"/>
                <c:pt idx="0">
                  <c:v>Devices - Y1</c:v>
                </c:pt>
                <c:pt idx="1">
                  <c:v>Devices - Y2</c:v>
                </c:pt>
                <c:pt idx="2">
                  <c:v>Devices - Y3</c:v>
                </c:pt>
              </c:strCache>
            </c:strRef>
          </c:cat>
          <c:val>
            <c:numRef>
              <c:f>'Hospital '!$BF$58:$BH$58</c:f>
              <c:numCache>
                <c:formatCode>0</c:formatCode>
                <c:ptCount val="3"/>
                <c:pt idx="0">
                  <c:v>17.55</c:v>
                </c:pt>
                <c:pt idx="1">
                  <c:v>35.1</c:v>
                </c:pt>
                <c:pt idx="2">
                  <c:v>87.75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86-41B5-852E-165955494655}"/>
            </c:ext>
          </c:extLst>
        </c:ser>
        <c:ser>
          <c:idx val="1"/>
          <c:order val="1"/>
          <c:tx>
            <c:strRef>
              <c:f>'Hospital '!$BE$59</c:f>
              <c:strCache>
                <c:ptCount val="1"/>
                <c:pt idx="0">
                  <c:v>France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'Hospital '!$BF$57:$BH$57</c:f>
              <c:strCache>
                <c:ptCount val="3"/>
                <c:pt idx="0">
                  <c:v>Devices - Y1</c:v>
                </c:pt>
                <c:pt idx="1">
                  <c:v>Devices - Y2</c:v>
                </c:pt>
                <c:pt idx="2">
                  <c:v>Devices - Y3</c:v>
                </c:pt>
              </c:strCache>
            </c:strRef>
          </c:cat>
          <c:val>
            <c:numRef>
              <c:f>'Hospital '!$BF$59:$BH$59</c:f>
              <c:numCache>
                <c:formatCode>0</c:formatCode>
                <c:ptCount val="3"/>
                <c:pt idx="0">
                  <c:v>0</c:v>
                </c:pt>
                <c:pt idx="1">
                  <c:v>37.700000000000003</c:v>
                </c:pt>
                <c:pt idx="2">
                  <c:v>113.1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86-41B5-852E-165955494655}"/>
            </c:ext>
          </c:extLst>
        </c:ser>
        <c:ser>
          <c:idx val="2"/>
          <c:order val="2"/>
          <c:tx>
            <c:strRef>
              <c:f>'Hospital '!$BE$60</c:f>
              <c:strCache>
                <c:ptCount val="1"/>
                <c:pt idx="0">
                  <c:v>Italy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'Hospital '!$BF$57:$BH$57</c:f>
              <c:strCache>
                <c:ptCount val="3"/>
                <c:pt idx="0">
                  <c:v>Devices - Y1</c:v>
                </c:pt>
                <c:pt idx="1">
                  <c:v>Devices - Y2</c:v>
                </c:pt>
                <c:pt idx="2">
                  <c:v>Devices - Y3</c:v>
                </c:pt>
              </c:strCache>
            </c:strRef>
          </c:cat>
          <c:val>
            <c:numRef>
              <c:f>'Hospital '!$BF$60:$BH$60</c:f>
              <c:numCache>
                <c:formatCode>0</c:formatCode>
                <c:ptCount val="3"/>
                <c:pt idx="0">
                  <c:v>18.875</c:v>
                </c:pt>
                <c:pt idx="1">
                  <c:v>56.625</c:v>
                </c:pt>
                <c:pt idx="2">
                  <c:v>188.75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86-41B5-852E-165955494655}"/>
            </c:ext>
          </c:extLst>
        </c:ser>
        <c:ser>
          <c:idx val="3"/>
          <c:order val="3"/>
          <c:tx>
            <c:strRef>
              <c:f>'Hospital '!$BE$61</c:f>
              <c:strCache>
                <c:ptCount val="1"/>
                <c:pt idx="0">
                  <c:v>Germany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'Hospital '!$BF$57:$BH$57</c:f>
              <c:strCache>
                <c:ptCount val="3"/>
                <c:pt idx="0">
                  <c:v>Devices - Y1</c:v>
                </c:pt>
                <c:pt idx="1">
                  <c:v>Devices - Y2</c:v>
                </c:pt>
                <c:pt idx="2">
                  <c:v>Devices - Y3</c:v>
                </c:pt>
              </c:strCache>
            </c:strRef>
          </c:cat>
          <c:val>
            <c:numRef>
              <c:f>'Hospital '!$BF$61:$BH$61</c:f>
              <c:numCache>
                <c:formatCode>0</c:formatCode>
                <c:ptCount val="3"/>
                <c:pt idx="0">
                  <c:v>0</c:v>
                </c:pt>
                <c:pt idx="1">
                  <c:v>119.45</c:v>
                </c:pt>
                <c:pt idx="2">
                  <c:v>238.9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86-41B5-852E-165955494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30249688"/>
        <c:axId val="330251656"/>
      </c:barChart>
      <c:catAx>
        <c:axId val="330249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330251656"/>
        <c:crosses val="autoZero"/>
        <c:auto val="1"/>
        <c:lblAlgn val="ctr"/>
        <c:lblOffset val="100"/>
        <c:noMultiLvlLbl val="0"/>
      </c:catAx>
      <c:valAx>
        <c:axId val="330251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330249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Feedim PN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'Hospital '!$BE$69</c:f>
              <c:strCache>
                <c:ptCount val="1"/>
                <c:pt idx="0">
                  <c:v>Belgium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'Hospital '!$BF$63:$BH$63</c:f>
              <c:strCache>
                <c:ptCount val="3"/>
                <c:pt idx="0">
                  <c:v>Devices - Y1</c:v>
                </c:pt>
                <c:pt idx="1">
                  <c:v>Devices - Y2</c:v>
                </c:pt>
                <c:pt idx="2">
                  <c:v>Devices - Y3</c:v>
                </c:pt>
              </c:strCache>
            </c:strRef>
          </c:cat>
          <c:val>
            <c:numRef>
              <c:f>'Hospital '!$BF$69:$BH$69</c:f>
              <c:numCache>
                <c:formatCode>0</c:formatCode>
                <c:ptCount val="3"/>
                <c:pt idx="0">
                  <c:v>0</c:v>
                </c:pt>
                <c:pt idx="1">
                  <c:v>35.1</c:v>
                </c:pt>
                <c:pt idx="2">
                  <c:v>87.75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71-4D5F-BA36-937F64E046AC}"/>
            </c:ext>
          </c:extLst>
        </c:ser>
        <c:ser>
          <c:idx val="1"/>
          <c:order val="1"/>
          <c:tx>
            <c:strRef>
              <c:f>'Hospital '!$BE$71</c:f>
              <c:strCache>
                <c:ptCount val="1"/>
                <c:pt idx="0">
                  <c:v>France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'Hospital '!$BF$63:$BH$63</c:f>
              <c:strCache>
                <c:ptCount val="3"/>
                <c:pt idx="0">
                  <c:v>Devices - Y1</c:v>
                </c:pt>
                <c:pt idx="1">
                  <c:v>Devices - Y2</c:v>
                </c:pt>
                <c:pt idx="2">
                  <c:v>Devices - Y3</c:v>
                </c:pt>
              </c:strCache>
            </c:strRef>
          </c:cat>
          <c:val>
            <c:numRef>
              <c:f>'Hospital '!$BF$71:$BH$71</c:f>
              <c:numCache>
                <c:formatCode>0</c:formatCode>
                <c:ptCount val="3"/>
                <c:pt idx="0">
                  <c:v>0</c:v>
                </c:pt>
                <c:pt idx="1">
                  <c:v>37.700000000000003</c:v>
                </c:pt>
                <c:pt idx="2">
                  <c:v>113.1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71-4D5F-BA36-937F64E046AC}"/>
            </c:ext>
          </c:extLst>
        </c:ser>
        <c:ser>
          <c:idx val="2"/>
          <c:order val="2"/>
          <c:tx>
            <c:strRef>
              <c:f>'Hospital '!$BE$72</c:f>
              <c:strCache>
                <c:ptCount val="1"/>
                <c:pt idx="0">
                  <c:v>Italy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'Hospital '!$BF$63:$BH$63</c:f>
              <c:strCache>
                <c:ptCount val="3"/>
                <c:pt idx="0">
                  <c:v>Devices - Y1</c:v>
                </c:pt>
                <c:pt idx="1">
                  <c:v>Devices - Y2</c:v>
                </c:pt>
                <c:pt idx="2">
                  <c:v>Devices - Y3</c:v>
                </c:pt>
              </c:strCache>
            </c:strRef>
          </c:cat>
          <c:val>
            <c:numRef>
              <c:f>'Hospital '!$BF$72:$BH$72</c:f>
              <c:numCache>
                <c:formatCode>0</c:formatCode>
                <c:ptCount val="3"/>
                <c:pt idx="0">
                  <c:v>0</c:v>
                </c:pt>
                <c:pt idx="1">
                  <c:v>56.625</c:v>
                </c:pt>
                <c:pt idx="2">
                  <c:v>188.75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71-4D5F-BA36-937F64E046AC}"/>
            </c:ext>
          </c:extLst>
        </c:ser>
        <c:ser>
          <c:idx val="3"/>
          <c:order val="3"/>
          <c:tx>
            <c:strRef>
              <c:f>'Hospital '!$BE$73</c:f>
              <c:strCache>
                <c:ptCount val="1"/>
                <c:pt idx="0">
                  <c:v>Germany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'Hospital '!$BF$63:$BH$63</c:f>
              <c:strCache>
                <c:ptCount val="3"/>
                <c:pt idx="0">
                  <c:v>Devices - Y1</c:v>
                </c:pt>
                <c:pt idx="1">
                  <c:v>Devices - Y2</c:v>
                </c:pt>
                <c:pt idx="2">
                  <c:v>Devices - Y3</c:v>
                </c:pt>
              </c:strCache>
            </c:strRef>
          </c:cat>
          <c:val>
            <c:numRef>
              <c:f>'Hospital '!$BF$73:$BH$73</c:f>
              <c:numCache>
                <c:formatCode>0</c:formatCode>
                <c:ptCount val="3"/>
                <c:pt idx="0">
                  <c:v>0</c:v>
                </c:pt>
                <c:pt idx="1">
                  <c:v>119.45</c:v>
                </c:pt>
                <c:pt idx="2">
                  <c:v>238.9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C71-4D5F-BA36-937F64E04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4732152"/>
        <c:axId val="954734776"/>
      </c:barChart>
      <c:catAx>
        <c:axId val="954732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954734776"/>
        <c:crosses val="autoZero"/>
        <c:auto val="1"/>
        <c:lblAlgn val="ctr"/>
        <c:lblOffset val="100"/>
        <c:noMultiLvlLbl val="0"/>
      </c:catAx>
      <c:valAx>
        <c:axId val="954734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954732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Expected revenues in hospital market</a:t>
            </a:r>
            <a:r>
              <a:rPr lang="nl-BE" baseline="0"/>
              <a:t> </a:t>
            </a:r>
            <a:endParaRPr lang="nl-B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'Hospital '!$AJ$141</c:f>
              <c:strCache>
                <c:ptCount val="1"/>
                <c:pt idx="0">
                  <c:v>General Beds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'Hospital '!$AK$140:$AM$140</c:f>
              <c:strCache>
                <c:ptCount val="3"/>
                <c:pt idx="0">
                  <c:v>Y1</c:v>
                </c:pt>
                <c:pt idx="1">
                  <c:v>Y2 </c:v>
                </c:pt>
                <c:pt idx="2">
                  <c:v>Y3</c:v>
                </c:pt>
              </c:strCache>
            </c:strRef>
          </c:cat>
          <c:val>
            <c:numRef>
              <c:f>'Hospital '!$AK$141:$AM$141</c:f>
              <c:numCache>
                <c:formatCode>#,##0</c:formatCode>
                <c:ptCount val="3"/>
                <c:pt idx="0">
                  <c:v>235857.94267699998</c:v>
                </c:pt>
                <c:pt idx="1">
                  <c:v>1077241.0345147499</c:v>
                </c:pt>
                <c:pt idx="2">
                  <c:v>2742156.1839196002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AE-4D22-9E7A-11F1DAD32B63}"/>
            </c:ext>
          </c:extLst>
        </c:ser>
        <c:ser>
          <c:idx val="1"/>
          <c:order val="1"/>
          <c:tx>
            <c:strRef>
              <c:f>'Hospital '!$AJ$142</c:f>
              <c:strCache>
                <c:ptCount val="1"/>
                <c:pt idx="0">
                  <c:v>ICU Beds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'Hospital '!$AK$140:$AM$140</c:f>
              <c:strCache>
                <c:ptCount val="3"/>
                <c:pt idx="0">
                  <c:v>Y1</c:v>
                </c:pt>
                <c:pt idx="1">
                  <c:v>Y2 </c:v>
                </c:pt>
                <c:pt idx="2">
                  <c:v>Y3</c:v>
                </c:pt>
              </c:strCache>
            </c:strRef>
          </c:cat>
          <c:val>
            <c:numRef>
              <c:f>'Hospital '!$AK$142:$AM$142</c:f>
              <c:numCache>
                <c:formatCode>#,##0</c:formatCode>
                <c:ptCount val="3"/>
                <c:pt idx="0">
                  <c:v>57515.074999999997</c:v>
                </c:pt>
                <c:pt idx="1">
                  <c:v>227919.65</c:v>
                </c:pt>
                <c:pt idx="2">
                  <c:v>727891.49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AE-4D22-9E7A-11F1DAD32B63}"/>
            </c:ext>
          </c:extLst>
        </c:ser>
        <c:ser>
          <c:idx val="2"/>
          <c:order val="2"/>
          <c:tx>
            <c:strRef>
              <c:f>'Hospital '!$AJ$143</c:f>
              <c:strCache>
                <c:ptCount val="1"/>
                <c:pt idx="0">
                  <c:v>Operations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'Hospital '!$AK$140:$AM$140</c:f>
              <c:strCache>
                <c:ptCount val="3"/>
                <c:pt idx="0">
                  <c:v>Y1</c:v>
                </c:pt>
                <c:pt idx="1">
                  <c:v>Y2 </c:v>
                </c:pt>
                <c:pt idx="2">
                  <c:v>Y3</c:v>
                </c:pt>
              </c:strCache>
            </c:strRef>
          </c:cat>
          <c:val>
            <c:numRef>
              <c:f>'Hospital '!$AK$143:$AM$143</c:f>
              <c:numCache>
                <c:formatCode>#,##0</c:formatCode>
                <c:ptCount val="3"/>
                <c:pt idx="0">
                  <c:v>137500</c:v>
                </c:pt>
                <c:pt idx="1">
                  <c:v>495000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AE-4D22-9E7A-11F1DAD32B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10858616"/>
        <c:axId val="1310864520"/>
      </c:barChart>
      <c:catAx>
        <c:axId val="1310858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310864520"/>
        <c:crosses val="autoZero"/>
        <c:auto val="1"/>
        <c:lblAlgn val="ctr"/>
        <c:lblOffset val="100"/>
        <c:noMultiLvlLbl val="0"/>
      </c:catAx>
      <c:valAx>
        <c:axId val="1310864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310858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HEN - </a:t>
            </a:r>
            <a:r>
              <a:rPr lang="en-US"/>
              <a:t>Volume-based pricing</a:t>
            </a:r>
          </a:p>
        </c:rich>
      </c:tx>
      <c:layout>
        <c:manualLayout>
          <c:xMode val="edge"/>
          <c:yMode val="edge"/>
          <c:x val="0.22528926460520729"/>
          <c:y val="4.99998624626700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Volume-based pricing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Homecare!$P$7:$R$7</c:f>
              <c:numCache>
                <c:formatCode>General</c:formatCode>
                <c:ptCount val="3"/>
                <c:pt idx="0">
                  <c:v>100000</c:v>
                </c:pt>
                <c:pt idx="1">
                  <c:v>250000</c:v>
                </c:pt>
                <c:pt idx="2">
                  <c:v>500000</c:v>
                </c:pt>
              </c:numCache>
            </c:numRef>
          </c:cat>
          <c:val>
            <c:numRef>
              <c:f>Homecare!$P$10:$R$10</c:f>
              <c:numCache>
                <c:formatCode>General</c:formatCode>
                <c:ptCount val="3"/>
                <c:pt idx="0">
                  <c:v>0.37</c:v>
                </c:pt>
                <c:pt idx="1">
                  <c:v>0.34</c:v>
                </c:pt>
                <c:pt idx="2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C2-4C39-98A6-8158B61C5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8941048"/>
        <c:axId val="868941704"/>
      </c:lineChart>
      <c:catAx>
        <c:axId val="868941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868941704"/>
        <c:crosses val="autoZero"/>
        <c:auto val="1"/>
        <c:lblAlgn val="ctr"/>
        <c:lblOffset val="100"/>
        <c:noMultiLvlLbl val="0"/>
      </c:catAx>
      <c:valAx>
        <c:axId val="868941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868941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HEN Days per country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tx>
            <c:v>Days</c:v>
          </c:tx>
          <c:cat>
            <c:strRef>
              <c:f>Homecare!$C$20:$C$23</c:f>
              <c:strCache>
                <c:ptCount val="4"/>
                <c:pt idx="0">
                  <c:v>Belgium1</c:v>
                </c:pt>
                <c:pt idx="1">
                  <c:v>France2</c:v>
                </c:pt>
                <c:pt idx="2">
                  <c:v>Italy3</c:v>
                </c:pt>
                <c:pt idx="3">
                  <c:v>Germany4</c:v>
                </c:pt>
              </c:strCache>
            </c:strRef>
          </c:cat>
          <c:val>
            <c:numRef>
              <c:f>Homecare!$H$20:$H$23</c:f>
              <c:numCache>
                <c:formatCode>General</c:formatCode>
                <c:ptCount val="4"/>
                <c:pt idx="0">
                  <c:v>644586</c:v>
                </c:pt>
                <c:pt idx="1">
                  <c:v>14303304</c:v>
                </c:pt>
                <c:pt idx="2" formatCode="0">
                  <c:v>8120383.4879999999</c:v>
                </c:pt>
                <c:pt idx="3" formatCode="0">
                  <c:v>20866666.666666664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23CE-4A1A-A6CF-B79F24B0E25C}"/>
            </c:ext>
          </c:extLst>
        </c:ser>
        <c:ser>
          <c:idx val="0"/>
          <c:order val="1"/>
          <c:tx>
            <c:v>Days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23CE-4A1A-A6CF-B79F24B0E25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23CE-4A1A-A6CF-B79F24B0E25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23CE-4A1A-A6CF-B79F24B0E25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23CE-4A1A-A6CF-B79F24B0E25C}"/>
              </c:ext>
            </c:extLst>
          </c:dPt>
          <c:cat>
            <c:strRef>
              <c:f>Homecare!$C$20:$C$23</c:f>
              <c:strCache>
                <c:ptCount val="4"/>
                <c:pt idx="0">
                  <c:v>Belgium1</c:v>
                </c:pt>
                <c:pt idx="1">
                  <c:v>France2</c:v>
                </c:pt>
                <c:pt idx="2">
                  <c:v>Italy3</c:v>
                </c:pt>
                <c:pt idx="3">
                  <c:v>Germany4</c:v>
                </c:pt>
              </c:strCache>
            </c:strRef>
          </c:cat>
          <c:val>
            <c:numRef>
              <c:f>Homecare!$H$20:$H$23</c:f>
              <c:numCache>
                <c:formatCode>General</c:formatCode>
                <c:ptCount val="4"/>
                <c:pt idx="0">
                  <c:v>644586</c:v>
                </c:pt>
                <c:pt idx="1">
                  <c:v>14303304</c:v>
                </c:pt>
                <c:pt idx="2" formatCode="0">
                  <c:v>8120383.4879999999</c:v>
                </c:pt>
                <c:pt idx="3" formatCode="0">
                  <c:v>20866666.666666664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23CE-4A1A-A6CF-B79F24B0E2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Market penetration per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Homecare!$Z$9</c:f>
              <c:strCache>
                <c:ptCount val="1"/>
                <c:pt idx="0">
                  <c:v>Belgium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Homecare!$AA$8:$AC$8</c:f>
              <c:strCache>
                <c:ptCount val="3"/>
                <c:pt idx="0">
                  <c:v>Y1</c:v>
                </c:pt>
                <c:pt idx="1">
                  <c:v>Y2 </c:v>
                </c:pt>
                <c:pt idx="2">
                  <c:v>Y3</c:v>
                </c:pt>
              </c:strCache>
            </c:strRef>
          </c:cat>
          <c:val>
            <c:numRef>
              <c:f>Homecare!$AA$9:$AC$9</c:f>
              <c:numCache>
                <c:formatCode>0.0%</c:formatCode>
                <c:ptCount val="3"/>
                <c:pt idx="0">
                  <c:v>0.02</c:v>
                </c:pt>
                <c:pt idx="1">
                  <c:v>0.1</c:v>
                </c:pt>
                <c:pt idx="2" formatCode="0%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75-4156-9B84-5CFE71C373AD}"/>
            </c:ext>
          </c:extLst>
        </c:ser>
        <c:ser>
          <c:idx val="1"/>
          <c:order val="1"/>
          <c:tx>
            <c:strRef>
              <c:f>Homecare!$Z$10</c:f>
              <c:strCache>
                <c:ptCount val="1"/>
                <c:pt idx="0">
                  <c:v>France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Homecare!$AA$8:$AC$8</c:f>
              <c:strCache>
                <c:ptCount val="3"/>
                <c:pt idx="0">
                  <c:v>Y1</c:v>
                </c:pt>
                <c:pt idx="1">
                  <c:v>Y2 </c:v>
                </c:pt>
                <c:pt idx="2">
                  <c:v>Y3</c:v>
                </c:pt>
              </c:strCache>
            </c:strRef>
          </c:cat>
          <c:val>
            <c:numRef>
              <c:f>Homecare!$AA$10:$AC$10</c:f>
              <c:numCache>
                <c:formatCode>0.0%</c:formatCode>
                <c:ptCount val="3"/>
                <c:pt idx="0">
                  <c:v>0.01</c:v>
                </c:pt>
                <c:pt idx="1">
                  <c:v>0.05</c:v>
                </c:pt>
                <c:pt idx="2" formatCode="0%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75-4156-9B84-5CFE71C373AD}"/>
            </c:ext>
          </c:extLst>
        </c:ser>
        <c:ser>
          <c:idx val="2"/>
          <c:order val="2"/>
          <c:tx>
            <c:strRef>
              <c:f>Homecare!$Z$11</c:f>
              <c:strCache>
                <c:ptCount val="1"/>
                <c:pt idx="0">
                  <c:v>Italy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Homecare!$AA$8:$AC$8</c:f>
              <c:strCache>
                <c:ptCount val="3"/>
                <c:pt idx="0">
                  <c:v>Y1</c:v>
                </c:pt>
                <c:pt idx="1">
                  <c:v>Y2 </c:v>
                </c:pt>
                <c:pt idx="2">
                  <c:v>Y3</c:v>
                </c:pt>
              </c:strCache>
            </c:strRef>
          </c:cat>
          <c:val>
            <c:numRef>
              <c:f>Homecare!$AA$11:$AC$11</c:f>
              <c:numCache>
                <c:formatCode>0.0%</c:formatCode>
                <c:ptCount val="3"/>
                <c:pt idx="0">
                  <c:v>0.04</c:v>
                </c:pt>
                <c:pt idx="1">
                  <c:v>0.15</c:v>
                </c:pt>
                <c:pt idx="2" formatCode="0%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975-4156-9B84-5CFE71C373AD}"/>
            </c:ext>
          </c:extLst>
        </c:ser>
        <c:ser>
          <c:idx val="3"/>
          <c:order val="3"/>
          <c:tx>
            <c:strRef>
              <c:f>Homecare!$Z$12</c:f>
              <c:strCache>
                <c:ptCount val="1"/>
                <c:pt idx="0">
                  <c:v>Germany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Homecare!$AA$8:$AC$8</c:f>
              <c:strCache>
                <c:ptCount val="3"/>
                <c:pt idx="0">
                  <c:v>Y1</c:v>
                </c:pt>
                <c:pt idx="1">
                  <c:v>Y2 </c:v>
                </c:pt>
                <c:pt idx="2">
                  <c:v>Y3</c:v>
                </c:pt>
              </c:strCache>
            </c:strRef>
          </c:cat>
          <c:val>
            <c:numRef>
              <c:f>Homecare!$AA$12:$AC$12</c:f>
              <c:numCache>
                <c:formatCode>0.0%</c:formatCode>
                <c:ptCount val="3"/>
                <c:pt idx="0">
                  <c:v>0</c:v>
                </c:pt>
                <c:pt idx="1">
                  <c:v>0.02</c:v>
                </c:pt>
                <c:pt idx="2" formatCode="0%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975-4156-9B84-5CFE71C37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204464"/>
        <c:axId val="138203480"/>
      </c:lineChart>
      <c:catAx>
        <c:axId val="138204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38203480"/>
        <c:crosses val="autoZero"/>
        <c:auto val="1"/>
        <c:lblAlgn val="ctr"/>
        <c:lblOffset val="100"/>
        <c:noMultiLvlLbl val="0"/>
      </c:catAx>
      <c:valAx>
        <c:axId val="138203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38204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Expected Revenues per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title>
    <c:autoTitleDeleted val="0"/>
    <c:plotArea>
      <c:layout>
        <c:manualLayout>
          <c:layoutTarget val="inner"/>
          <c:xMode val="edge"/>
          <c:yMode val="edge"/>
          <c:x val="0.1326920384951881"/>
          <c:y val="0.15025897924278941"/>
          <c:w val="0.83953018372703414"/>
          <c:h val="0.6334395580902033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Homecare!$BA$3</c:f>
              <c:strCache>
                <c:ptCount val="1"/>
                <c:pt idx="0">
                  <c:v>Belgium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Homecare!$BB$2:$BD$2</c:f>
              <c:strCache>
                <c:ptCount val="3"/>
                <c:pt idx="0">
                  <c:v>Total Y1</c:v>
                </c:pt>
                <c:pt idx="1">
                  <c:v>Total Y2</c:v>
                </c:pt>
                <c:pt idx="2">
                  <c:v>Total Y3</c:v>
                </c:pt>
              </c:strCache>
            </c:strRef>
          </c:cat>
          <c:val>
            <c:numRef>
              <c:f>Homecare!$BB$3:$BD$3</c:f>
              <c:numCache>
                <c:formatCode>0</c:formatCode>
                <c:ptCount val="3"/>
                <c:pt idx="0">
                  <c:v>4769.9364000000005</c:v>
                </c:pt>
                <c:pt idx="1">
                  <c:v>23849.682000000001</c:v>
                </c:pt>
                <c:pt idx="2">
                  <c:v>47699.364000000001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7B-4AB3-8B28-E1F3C11F765D}"/>
            </c:ext>
          </c:extLst>
        </c:ser>
        <c:ser>
          <c:idx val="1"/>
          <c:order val="1"/>
          <c:tx>
            <c:strRef>
              <c:f>Homecare!$BA$4</c:f>
              <c:strCache>
                <c:ptCount val="1"/>
                <c:pt idx="0">
                  <c:v>France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Homecare!$BB$2:$BD$2</c:f>
              <c:strCache>
                <c:ptCount val="3"/>
                <c:pt idx="0">
                  <c:v>Total Y1</c:v>
                </c:pt>
                <c:pt idx="1">
                  <c:v>Total Y2</c:v>
                </c:pt>
                <c:pt idx="2">
                  <c:v>Total Y3</c:v>
                </c:pt>
              </c:strCache>
            </c:strRef>
          </c:cat>
          <c:val>
            <c:numRef>
              <c:f>Homecare!$BB$4:$BD$4</c:f>
              <c:numCache>
                <c:formatCode>0</c:formatCode>
                <c:ptCount val="3"/>
                <c:pt idx="0">
                  <c:v>52922.224800000004</c:v>
                </c:pt>
                <c:pt idx="1">
                  <c:v>264611.12400000001</c:v>
                </c:pt>
                <c:pt idx="2">
                  <c:v>643648.68000000005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7B-4AB3-8B28-E1F3C11F765D}"/>
            </c:ext>
          </c:extLst>
        </c:ser>
        <c:ser>
          <c:idx val="2"/>
          <c:order val="2"/>
          <c:tx>
            <c:strRef>
              <c:f>Homecare!$BA$5</c:f>
              <c:strCache>
                <c:ptCount val="1"/>
                <c:pt idx="0">
                  <c:v>Italy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Homecare!$BB$2:$BD$2</c:f>
              <c:strCache>
                <c:ptCount val="3"/>
                <c:pt idx="0">
                  <c:v>Total Y1</c:v>
                </c:pt>
                <c:pt idx="1">
                  <c:v>Total Y2</c:v>
                </c:pt>
                <c:pt idx="2">
                  <c:v>Total Y3</c:v>
                </c:pt>
              </c:strCache>
            </c:strRef>
          </c:cat>
          <c:val>
            <c:numRef>
              <c:f>Homecare!$BB$5:$BD$5</c:f>
              <c:numCache>
                <c:formatCode>0</c:formatCode>
                <c:ptCount val="3"/>
                <c:pt idx="0">
                  <c:v>120181.6756224</c:v>
                </c:pt>
                <c:pt idx="1">
                  <c:v>450681.28358399996</c:v>
                </c:pt>
                <c:pt idx="2">
                  <c:v>609028.76159999997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7B-4AB3-8B28-E1F3C11F765D}"/>
            </c:ext>
          </c:extLst>
        </c:ser>
        <c:ser>
          <c:idx val="3"/>
          <c:order val="3"/>
          <c:tx>
            <c:strRef>
              <c:f>Homecare!$BA$6</c:f>
              <c:strCache>
                <c:ptCount val="1"/>
                <c:pt idx="0">
                  <c:v>Germany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Homecare!$BB$2:$BD$2</c:f>
              <c:strCache>
                <c:ptCount val="3"/>
                <c:pt idx="0">
                  <c:v>Total Y1</c:v>
                </c:pt>
                <c:pt idx="1">
                  <c:v>Total Y2</c:v>
                </c:pt>
                <c:pt idx="2">
                  <c:v>Total Y3</c:v>
                </c:pt>
              </c:strCache>
            </c:strRef>
          </c:cat>
          <c:val>
            <c:numRef>
              <c:f>Homecare!$BB$6:$BD$6</c:f>
              <c:numCache>
                <c:formatCode>0</c:formatCode>
                <c:ptCount val="3"/>
                <c:pt idx="0">
                  <c:v>0</c:v>
                </c:pt>
                <c:pt idx="1">
                  <c:v>154413.33333333331</c:v>
                </c:pt>
                <c:pt idx="2">
                  <c:v>463239.99999999988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47B-4AB3-8B28-E1F3C11F76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60931616"/>
        <c:axId val="860929648"/>
      </c:barChart>
      <c:catAx>
        <c:axId val="86093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860929648"/>
        <c:crosses val="autoZero"/>
        <c:auto val="1"/>
        <c:lblAlgn val="ctr"/>
        <c:lblOffset val="100"/>
        <c:noMultiLvlLbl val="0"/>
      </c:catAx>
      <c:valAx>
        <c:axId val="86092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860931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HPN - </a:t>
            </a:r>
            <a:r>
              <a:rPr lang="en-US"/>
              <a:t>Volume-based pricing</a:t>
            </a:r>
          </a:p>
        </c:rich>
      </c:tx>
      <c:layout>
        <c:manualLayout>
          <c:xMode val="edge"/>
          <c:yMode val="edge"/>
          <c:x val="0.22528926460520729"/>
          <c:y val="4.99998624626700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Homecare!$V$7:$X$7</c:f>
              <c:numCache>
                <c:formatCode>General</c:formatCode>
                <c:ptCount val="3"/>
                <c:pt idx="0">
                  <c:v>25000</c:v>
                </c:pt>
                <c:pt idx="1">
                  <c:v>100000</c:v>
                </c:pt>
                <c:pt idx="2">
                  <c:v>200000</c:v>
                </c:pt>
              </c:numCache>
            </c:numRef>
          </c:cat>
          <c:val>
            <c:numRef>
              <c:f>Homecare!$V$10:$X$10</c:f>
              <c:numCache>
                <c:formatCode>0.0</c:formatCode>
                <c:ptCount val="3"/>
                <c:pt idx="0">
                  <c:v>1.85</c:v>
                </c:pt>
                <c:pt idx="1">
                  <c:v>1.7000000000000002</c:v>
                </c:pt>
                <c:pt idx="2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87-4C31-8936-D93415987C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8941048"/>
        <c:axId val="868941704"/>
      </c:lineChart>
      <c:catAx>
        <c:axId val="868941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868941704"/>
        <c:crosses val="autoZero"/>
        <c:auto val="1"/>
        <c:lblAlgn val="ctr"/>
        <c:lblOffset val="100"/>
        <c:noMultiLvlLbl val="0"/>
      </c:catAx>
      <c:valAx>
        <c:axId val="868941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868941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Expected Revenues - OEM Feedim</a:t>
            </a:r>
          </a:p>
        </c:rich>
      </c:tx>
      <c:layout>
        <c:manualLayout>
          <c:xMode val="edge"/>
          <c:yMode val="edge"/>
          <c:x val="0.2376178915135608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'OEM-B2B '!$V$24</c:f>
              <c:strCache>
                <c:ptCount val="1"/>
                <c:pt idx="0">
                  <c:v>Integration projects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'OEM-B2B '!$W$23:$Y$23</c:f>
              <c:strCache>
                <c:ptCount val="3"/>
                <c:pt idx="0">
                  <c:v>Y1</c:v>
                </c:pt>
                <c:pt idx="1">
                  <c:v>Y2 </c:v>
                </c:pt>
                <c:pt idx="2">
                  <c:v>Y3</c:v>
                </c:pt>
              </c:strCache>
            </c:strRef>
          </c:cat>
          <c:val>
            <c:numRef>
              <c:f>'OEM-B2B '!$W$24:$Y$24</c:f>
              <c:numCache>
                <c:formatCode>0</c:formatCode>
                <c:ptCount val="3"/>
                <c:pt idx="0">
                  <c:v>90000</c:v>
                </c:pt>
                <c:pt idx="1">
                  <c:v>135000</c:v>
                </c:pt>
                <c:pt idx="2">
                  <c:v>180000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B4-47E2-8C4B-92CBDE4F63C1}"/>
            </c:ext>
          </c:extLst>
        </c:ser>
        <c:ser>
          <c:idx val="1"/>
          <c:order val="1"/>
          <c:tx>
            <c:strRef>
              <c:f>'OEM-B2B '!$V$25</c:f>
              <c:strCache>
                <c:ptCount val="1"/>
                <c:pt idx="0">
                  <c:v>Feedim OEM sold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'OEM-B2B '!$W$23:$Y$23</c:f>
              <c:strCache>
                <c:ptCount val="3"/>
                <c:pt idx="0">
                  <c:v>Y1</c:v>
                </c:pt>
                <c:pt idx="1">
                  <c:v>Y2 </c:v>
                </c:pt>
                <c:pt idx="2">
                  <c:v>Y3</c:v>
                </c:pt>
              </c:strCache>
            </c:strRef>
          </c:cat>
          <c:val>
            <c:numRef>
              <c:f>'OEM-B2B '!$W$25:$Y$25</c:f>
              <c:numCache>
                <c:formatCode>0</c:formatCode>
                <c:ptCount val="3"/>
                <c:pt idx="0">
                  <c:v>298000</c:v>
                </c:pt>
                <c:pt idx="1">
                  <c:v>745000</c:v>
                </c:pt>
                <c:pt idx="2">
                  <c:v>1192000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B4-47E2-8C4B-92CBDE4F63C1}"/>
            </c:ext>
          </c:extLst>
        </c:ser>
        <c:ser>
          <c:idx val="2"/>
          <c:order val="2"/>
          <c:tx>
            <c:strRef>
              <c:f>'OEM-B2B '!$V$26</c:f>
              <c:strCache>
                <c:ptCount val="1"/>
                <c:pt idx="0">
                  <c:v>Nutrow OEM (20% of devices)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'OEM-B2B '!$W$23:$Y$23</c:f>
              <c:strCache>
                <c:ptCount val="3"/>
                <c:pt idx="0">
                  <c:v>Y1</c:v>
                </c:pt>
                <c:pt idx="1">
                  <c:v>Y2 </c:v>
                </c:pt>
                <c:pt idx="2">
                  <c:v>Y3</c:v>
                </c:pt>
              </c:strCache>
            </c:strRef>
          </c:cat>
          <c:val>
            <c:numRef>
              <c:f>'OEM-B2B '!$W$26:$Y$26</c:f>
              <c:numCache>
                <c:formatCode>0</c:formatCode>
                <c:ptCount val="3"/>
                <c:pt idx="0">
                  <c:v>51600</c:v>
                </c:pt>
                <c:pt idx="1">
                  <c:v>129000</c:v>
                </c:pt>
                <c:pt idx="2">
                  <c:v>206400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B4-47E2-8C4B-92CBDE4F63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7617208"/>
        <c:axId val="917617864"/>
      </c:barChart>
      <c:catAx>
        <c:axId val="917617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917617864"/>
        <c:crosses val="autoZero"/>
        <c:auto val="1"/>
        <c:lblAlgn val="ctr"/>
        <c:lblOffset val="100"/>
        <c:noMultiLvlLbl val="0"/>
      </c:catAx>
      <c:valAx>
        <c:axId val="917617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917617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Baxter</a:t>
            </a:r>
            <a:r>
              <a:rPr lang="nl-BE" baseline="0"/>
              <a:t> strategic partnership</a:t>
            </a:r>
            <a:endParaRPr lang="nl-B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'OEM-B2B '!$AV$38</c:f>
              <c:strCache>
                <c:ptCount val="1"/>
                <c:pt idx="0">
                  <c:v>Lump Sum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'OEM-B2B '!$AW$37:$AY$37</c:f>
              <c:strCache>
                <c:ptCount val="3"/>
                <c:pt idx="0">
                  <c:v>Y1</c:v>
                </c:pt>
                <c:pt idx="1">
                  <c:v>Y2 </c:v>
                </c:pt>
                <c:pt idx="2">
                  <c:v>Y3</c:v>
                </c:pt>
              </c:strCache>
            </c:strRef>
          </c:cat>
          <c:val>
            <c:numRef>
              <c:f>'OEM-B2B '!$AW$38:$AY$38</c:f>
              <c:numCache>
                <c:formatCode>#,##0</c:formatCode>
                <c:ptCount val="3"/>
                <c:pt idx="0">
                  <c:v>250000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AA-4539-AE0C-EBA9229C9A2F}"/>
            </c:ext>
          </c:extLst>
        </c:ser>
        <c:ser>
          <c:idx val="1"/>
          <c:order val="1"/>
          <c:tx>
            <c:strRef>
              <c:f>'OEM-B2B '!$AV$39</c:f>
              <c:strCache>
                <c:ptCount val="1"/>
                <c:pt idx="0">
                  <c:v>Hospital Revenues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'OEM-B2B '!$AW$37:$AY$37</c:f>
              <c:strCache>
                <c:ptCount val="3"/>
                <c:pt idx="0">
                  <c:v>Y1</c:v>
                </c:pt>
                <c:pt idx="1">
                  <c:v>Y2 </c:v>
                </c:pt>
                <c:pt idx="2">
                  <c:v>Y3</c:v>
                </c:pt>
              </c:strCache>
            </c:strRef>
          </c:cat>
          <c:val>
            <c:numRef>
              <c:f>'OEM-B2B '!$AW$39:$AY$39</c:f>
              <c:numCache>
                <c:formatCode>#,##0</c:formatCode>
                <c:ptCount val="3"/>
                <c:pt idx="0">
                  <c:v>0</c:v>
                </c:pt>
                <c:pt idx="1">
                  <c:v>305024.73247799999</c:v>
                </c:pt>
                <c:pt idx="2">
                  <c:v>762561.83119499998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AA-4539-AE0C-EBA9229C9A2F}"/>
            </c:ext>
          </c:extLst>
        </c:ser>
        <c:ser>
          <c:idx val="2"/>
          <c:order val="2"/>
          <c:tx>
            <c:strRef>
              <c:f>'OEM-B2B '!$AV$40</c:f>
              <c:strCache>
                <c:ptCount val="1"/>
                <c:pt idx="0">
                  <c:v>Feedim devices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'OEM-B2B '!$AW$37:$AY$37</c:f>
              <c:strCache>
                <c:ptCount val="3"/>
                <c:pt idx="0">
                  <c:v>Y1</c:v>
                </c:pt>
                <c:pt idx="1">
                  <c:v>Y2 </c:v>
                </c:pt>
                <c:pt idx="2">
                  <c:v>Y3</c:v>
                </c:pt>
              </c:strCache>
            </c:strRef>
          </c:cat>
          <c:val>
            <c:numRef>
              <c:f>'OEM-B2B '!$AW$40:$AY$40</c:f>
              <c:numCache>
                <c:formatCode>#,##0</c:formatCode>
                <c:ptCount val="3"/>
                <c:pt idx="0">
                  <c:v>0</c:v>
                </c:pt>
                <c:pt idx="1">
                  <c:v>78046.395019999996</c:v>
                </c:pt>
                <c:pt idx="2">
                  <c:v>195115.98754999999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AA-4539-AE0C-EBA9229C9A2F}"/>
            </c:ext>
          </c:extLst>
        </c:ser>
        <c:ser>
          <c:idx val="3"/>
          <c:order val="3"/>
          <c:tx>
            <c:strRef>
              <c:f>'OEM-B2B '!$AV$41</c:f>
              <c:strCache>
                <c:ptCount val="1"/>
                <c:pt idx="0">
                  <c:v>Operations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'OEM-B2B '!$AW$37:$AY$37</c:f>
              <c:strCache>
                <c:ptCount val="3"/>
                <c:pt idx="0">
                  <c:v>Y1</c:v>
                </c:pt>
                <c:pt idx="1">
                  <c:v>Y2 </c:v>
                </c:pt>
                <c:pt idx="2">
                  <c:v>Y3</c:v>
                </c:pt>
              </c:strCache>
            </c:strRef>
          </c:cat>
          <c:val>
            <c:numRef>
              <c:f>'OEM-B2B '!$AW$41:$AY$41</c:f>
              <c:numCache>
                <c:formatCode>#,##0</c:formatCode>
                <c:ptCount val="3"/>
                <c:pt idx="0">
                  <c:v>0</c:v>
                </c:pt>
                <c:pt idx="1">
                  <c:v>165000</c:v>
                </c:pt>
                <c:pt idx="2">
                  <c:v>412500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AA-4539-AE0C-EBA9229C9A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7724232"/>
        <c:axId val="917723248"/>
      </c:barChart>
      <c:catAx>
        <c:axId val="917724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917723248"/>
        <c:crosses val="autoZero"/>
        <c:auto val="1"/>
        <c:lblAlgn val="ctr"/>
        <c:lblOffset val="100"/>
        <c:noMultiLvlLbl val="0"/>
      </c:catAx>
      <c:valAx>
        <c:axId val="91772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917724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Expected Revenues 2021-2023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title>
    <c:autoTitleDeleted val="0"/>
    <c:plotArea>
      <c:layout>
        <c:manualLayout>
          <c:layoutTarget val="inner"/>
          <c:xMode val="edge"/>
          <c:yMode val="edge"/>
          <c:x val="5.7758425892127721E-2"/>
          <c:y val="0.11885970645823489"/>
          <c:w val="0.93120404651405331"/>
          <c:h val="0.7471277659902019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Summary!$AL$7</c:f>
              <c:strCache>
                <c:ptCount val="1"/>
                <c:pt idx="0">
                  <c:v>Total Hospital Revenues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Summary!$AN$5:$AP$5</c:f>
              <c:strCache>
                <c:ptCount val="3"/>
                <c:pt idx="0">
                  <c:v>Y1</c:v>
                </c:pt>
                <c:pt idx="1">
                  <c:v>Y2 </c:v>
                </c:pt>
                <c:pt idx="2">
                  <c:v>Y3</c:v>
                </c:pt>
              </c:strCache>
            </c:strRef>
          </c:cat>
          <c:val>
            <c:numRef>
              <c:f>Summary!$AN$7:$AP$7</c:f>
              <c:numCache>
                <c:formatCode>#,##0</c:formatCode>
                <c:ptCount val="3"/>
                <c:pt idx="0">
                  <c:v>293373.01767699997</c:v>
                </c:pt>
                <c:pt idx="1">
                  <c:v>1305160.6845147498</c:v>
                </c:pt>
                <c:pt idx="2">
                  <c:v>3470047.6739196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AE-4E32-860F-9572FD66F3EA}"/>
            </c:ext>
          </c:extLst>
        </c:ser>
        <c:ser>
          <c:idx val="1"/>
          <c:order val="1"/>
          <c:tx>
            <c:strRef>
              <c:f>Summary!$AL$8</c:f>
              <c:strCache>
                <c:ptCount val="1"/>
                <c:pt idx="0">
                  <c:v>Total Homecare Revenues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Summary!$AN$5:$AP$5</c:f>
              <c:strCache>
                <c:ptCount val="3"/>
                <c:pt idx="0">
                  <c:v>Y1</c:v>
                </c:pt>
                <c:pt idx="1">
                  <c:v>Y2 </c:v>
                </c:pt>
                <c:pt idx="2">
                  <c:v>Y3</c:v>
                </c:pt>
              </c:strCache>
            </c:strRef>
          </c:cat>
          <c:val>
            <c:numRef>
              <c:f>Summary!$AN$8:$AP$8</c:f>
              <c:numCache>
                <c:formatCode>#,##0</c:formatCode>
                <c:ptCount val="3"/>
                <c:pt idx="0">
                  <c:v>177873.83682239999</c:v>
                </c:pt>
                <c:pt idx="1">
                  <c:v>952755.4229173332</c:v>
                </c:pt>
                <c:pt idx="2">
                  <c:v>1941216.8056000001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AE-4E32-860F-9572FD66F3EA}"/>
            </c:ext>
          </c:extLst>
        </c:ser>
        <c:ser>
          <c:idx val="2"/>
          <c:order val="2"/>
          <c:tx>
            <c:strRef>
              <c:f>Summary!$AL$6</c:f>
              <c:strCache>
                <c:ptCount val="1"/>
                <c:pt idx="0">
                  <c:v>Total OEM Feedim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Summary!$AN$5:$AP$5</c:f>
              <c:strCache>
                <c:ptCount val="3"/>
                <c:pt idx="0">
                  <c:v>Y1</c:v>
                </c:pt>
                <c:pt idx="1">
                  <c:v>Y2 </c:v>
                </c:pt>
                <c:pt idx="2">
                  <c:v>Y3</c:v>
                </c:pt>
              </c:strCache>
            </c:strRef>
          </c:cat>
          <c:val>
            <c:numRef>
              <c:f>Summary!$AN$6:$AP$6</c:f>
              <c:numCache>
                <c:formatCode>#,##0</c:formatCode>
                <c:ptCount val="3"/>
                <c:pt idx="0">
                  <c:v>439600</c:v>
                </c:pt>
                <c:pt idx="1">
                  <c:v>1009000</c:v>
                </c:pt>
                <c:pt idx="2">
                  <c:v>1578400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AE-4E32-860F-9572FD66F3EA}"/>
            </c:ext>
          </c:extLst>
        </c:ser>
        <c:ser>
          <c:idx val="3"/>
          <c:order val="3"/>
          <c:tx>
            <c:strRef>
              <c:f>Summary!$AL$9</c:f>
              <c:strCache>
                <c:ptCount val="1"/>
                <c:pt idx="0">
                  <c:v>Baxter Partnership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Summary!$AN$5:$AP$5</c:f>
              <c:strCache>
                <c:ptCount val="3"/>
                <c:pt idx="0">
                  <c:v>Y1</c:v>
                </c:pt>
                <c:pt idx="1">
                  <c:v>Y2 </c:v>
                </c:pt>
                <c:pt idx="2">
                  <c:v>Y3</c:v>
                </c:pt>
              </c:strCache>
            </c:strRef>
          </c:cat>
          <c:val>
            <c:numRef>
              <c:f>Summary!$AN$9:$AP$9</c:f>
              <c:numCache>
                <c:formatCode>#,##0</c:formatCode>
                <c:ptCount val="3"/>
                <c:pt idx="0">
                  <c:v>250000</c:v>
                </c:pt>
                <c:pt idx="1">
                  <c:v>548071.12749799993</c:v>
                </c:pt>
                <c:pt idx="2">
                  <c:v>1370177.8187449998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AE-4E32-860F-9572FD66F3EA}"/>
            </c:ext>
          </c:extLst>
        </c:ser>
        <c:ser>
          <c:idx val="4"/>
          <c:order val="4"/>
          <c:tx>
            <c:strRef>
              <c:f>Summary!$AL$10</c:f>
              <c:strCache>
                <c:ptCount val="1"/>
                <c:pt idx="0">
                  <c:v>Operations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Summary!$AN$5:$AP$5</c:f>
              <c:strCache>
                <c:ptCount val="3"/>
                <c:pt idx="0">
                  <c:v>Y1</c:v>
                </c:pt>
                <c:pt idx="1">
                  <c:v>Y2 </c:v>
                </c:pt>
                <c:pt idx="2">
                  <c:v>Y3</c:v>
                </c:pt>
              </c:strCache>
            </c:strRef>
          </c:cat>
          <c:val>
            <c:numRef>
              <c:f>Summary!$AN$10:$AP$10</c:f>
              <c:numCache>
                <c:formatCode>#,##0</c:formatCode>
                <c:ptCount val="3"/>
                <c:pt idx="0">
                  <c:v>137500</c:v>
                </c:pt>
                <c:pt idx="1">
                  <c:v>660000</c:v>
                </c:pt>
                <c:pt idx="2">
                  <c:v>412500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AE-4E32-860F-9572FD66F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69866296"/>
        <c:axId val="869873512"/>
      </c:barChart>
      <c:catAx>
        <c:axId val="869866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869873512"/>
        <c:crosses val="autoZero"/>
        <c:auto val="1"/>
        <c:lblAlgn val="ctr"/>
        <c:lblOffset val="100"/>
        <c:noMultiLvlLbl val="0"/>
      </c:catAx>
      <c:valAx>
        <c:axId val="869873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869866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112336</xdr:colOff>
      <xdr:row>62</xdr:row>
      <xdr:rowOff>174393</xdr:rowOff>
    </xdr:from>
    <xdr:to>
      <xdr:col>13</xdr:col>
      <xdr:colOff>1619249</xdr:colOff>
      <xdr:row>75</xdr:row>
      <xdr:rowOff>11907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34D3683-77BB-40BF-81B6-8C474CA829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39</xdr:col>
      <xdr:colOff>150158</xdr:colOff>
      <xdr:row>87</xdr:row>
      <xdr:rowOff>10084</xdr:rowOff>
    </xdr:from>
    <xdr:to>
      <xdr:col>44</xdr:col>
      <xdr:colOff>254934</xdr:colOff>
      <xdr:row>110</xdr:row>
      <xdr:rowOff>20731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D113B580-2475-4409-96C9-A668BB1FCA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113035</xdr:colOff>
      <xdr:row>76</xdr:row>
      <xdr:rowOff>47766</xdr:rowOff>
    </xdr:from>
    <xdr:to>
      <xdr:col>13</xdr:col>
      <xdr:colOff>1619248</xdr:colOff>
      <xdr:row>88</xdr:row>
      <xdr:rowOff>190500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CABC47FA-B158-4DC7-921D-14E9D3C83B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39</xdr:col>
      <xdr:colOff>123265</xdr:colOff>
      <xdr:row>110</xdr:row>
      <xdr:rowOff>134469</xdr:rowOff>
    </xdr:from>
    <xdr:to>
      <xdr:col>44</xdr:col>
      <xdr:colOff>257736</xdr:colOff>
      <xdr:row>128</xdr:row>
      <xdr:rowOff>22410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6592675B-E656-47BB-97EB-3D0B5DC845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40</xdr:col>
      <xdr:colOff>275344</xdr:colOff>
      <xdr:row>3</xdr:row>
      <xdr:rowOff>72359</xdr:rowOff>
    </xdr:from>
    <xdr:to>
      <xdr:col>45</xdr:col>
      <xdr:colOff>527477</xdr:colOff>
      <xdr:row>20</xdr:row>
      <xdr:rowOff>54430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6EA97C09-D7DA-433E-8E97-F0F41B758E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34</xdr:col>
      <xdr:colOff>95250</xdr:colOff>
      <xdr:row>16</xdr:row>
      <xdr:rowOff>212911</xdr:rowOff>
    </xdr:from>
    <xdr:to>
      <xdr:col>37</xdr:col>
      <xdr:colOff>33618</xdr:colOff>
      <xdr:row>36</xdr:row>
      <xdr:rowOff>179293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A6017C82-69B1-4DFD-9702-B9F470C637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37</xdr:col>
      <xdr:colOff>89647</xdr:colOff>
      <xdr:row>17</xdr:row>
      <xdr:rowOff>0</xdr:rowOff>
    </xdr:from>
    <xdr:to>
      <xdr:col>39</xdr:col>
      <xdr:colOff>997324</xdr:colOff>
      <xdr:row>36</xdr:row>
      <xdr:rowOff>183775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C71017D3-E12D-46C6-8B3A-27F09645EB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40</xdr:col>
      <xdr:colOff>291349</xdr:colOff>
      <xdr:row>44</xdr:row>
      <xdr:rowOff>68034</xdr:rowOff>
    </xdr:from>
    <xdr:to>
      <xdr:col>45</xdr:col>
      <xdr:colOff>565896</xdr:colOff>
      <xdr:row>68</xdr:row>
      <xdr:rowOff>160085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63F3C96A-6CD2-40A6-B878-6847E996A8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34</xdr:col>
      <xdr:colOff>89647</xdr:colOff>
      <xdr:row>58</xdr:row>
      <xdr:rowOff>33617</xdr:rowOff>
    </xdr:from>
    <xdr:to>
      <xdr:col>36</xdr:col>
      <xdr:colOff>1075764</xdr:colOff>
      <xdr:row>75</xdr:row>
      <xdr:rowOff>60510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3174F021-41F2-466E-8329-2FE89CECAE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37</xdr:col>
      <xdr:colOff>44823</xdr:colOff>
      <xdr:row>58</xdr:row>
      <xdr:rowOff>11206</xdr:rowOff>
    </xdr:from>
    <xdr:to>
      <xdr:col>39</xdr:col>
      <xdr:colOff>1042147</xdr:colOff>
      <xdr:row>75</xdr:row>
      <xdr:rowOff>56030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15085628-A288-4607-BDDB-C8184886AB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39</xdr:col>
      <xdr:colOff>117662</xdr:colOff>
      <xdr:row>128</xdr:row>
      <xdr:rowOff>134470</xdr:rowOff>
    </xdr:from>
    <xdr:to>
      <xdr:col>44</xdr:col>
      <xdr:colOff>280147</xdr:colOff>
      <xdr:row>153</xdr:row>
      <xdr:rowOff>4482</xdr:rowOff>
    </xdr:to>
    <xdr:graphicFrame macro="">
      <xdr:nvGraphicFramePr>
        <xdr:cNvPr id="15" name="Graphique 14">
          <a:extLst>
            <a:ext uri="{FF2B5EF4-FFF2-40B4-BE49-F238E27FC236}">
              <a16:creationId xmlns:a16="http://schemas.microsoft.com/office/drawing/2014/main" id="{3AC2EDFA-B9F2-49C4-8C86-3FC5BA17F3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10</xdr:row>
      <xdr:rowOff>85726</xdr:rowOff>
    </xdr:from>
    <xdr:to>
      <xdr:col>17</xdr:col>
      <xdr:colOff>752475</xdr:colOff>
      <xdr:row>23</xdr:row>
      <xdr:rowOff>152400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9880A3D-48BD-4AC0-9392-739E507AAC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440871</xdr:colOff>
      <xdr:row>15</xdr:row>
      <xdr:rowOff>176892</xdr:rowOff>
    </xdr:from>
    <xdr:to>
      <xdr:col>12</xdr:col>
      <xdr:colOff>764721</xdr:colOff>
      <xdr:row>27</xdr:row>
      <xdr:rowOff>154439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5796812-F0A8-4CDD-839B-627C946C94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760942</xdr:colOff>
      <xdr:row>32</xdr:row>
      <xdr:rowOff>4762</xdr:rowOff>
    </xdr:from>
    <xdr:to>
      <xdr:col>33</xdr:col>
      <xdr:colOff>158751</xdr:colOff>
      <xdr:row>44</xdr:row>
      <xdr:rowOff>138642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F6A35550-69FB-4F7A-A973-5BDDCBABD5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35</xdr:col>
      <xdr:colOff>7408</xdr:colOff>
      <xdr:row>31</xdr:row>
      <xdr:rowOff>179917</xdr:rowOff>
    </xdr:from>
    <xdr:to>
      <xdr:col>42</xdr:col>
      <xdr:colOff>411691</xdr:colOff>
      <xdr:row>44</xdr:row>
      <xdr:rowOff>162455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08403F81-7F9F-43D9-9D15-164DA53893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730251</xdr:colOff>
      <xdr:row>10</xdr:row>
      <xdr:rowOff>137584</xdr:rowOff>
    </xdr:from>
    <xdr:to>
      <xdr:col>23</xdr:col>
      <xdr:colOff>899585</xdr:colOff>
      <xdr:row>24</xdr:row>
      <xdr:rowOff>13758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75EFC22F-24B7-456C-B679-E1A6ACDF0E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361950</xdr:colOff>
      <xdr:row>12</xdr:row>
      <xdr:rowOff>4762</xdr:rowOff>
    </xdr:from>
    <xdr:to>
      <xdr:col>44</xdr:col>
      <xdr:colOff>549088</xdr:colOff>
      <xdr:row>26</xdr:row>
      <xdr:rowOff>61912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53A0004-80EA-499F-B882-73BEC9AEC6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45</xdr:col>
      <xdr:colOff>291353</xdr:colOff>
      <xdr:row>43</xdr:row>
      <xdr:rowOff>197223</xdr:rowOff>
    </xdr:from>
    <xdr:to>
      <xdr:col>51</xdr:col>
      <xdr:colOff>465045</xdr:colOff>
      <xdr:row>58</xdr:row>
      <xdr:rowOff>112058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C5370D65-DF16-4006-92AF-CAFB9B2F58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22226</xdr:colOff>
      <xdr:row>18</xdr:row>
      <xdr:rowOff>184677</xdr:rowOff>
    </xdr:from>
    <xdr:to>
      <xdr:col>17</xdr:col>
      <xdr:colOff>12701</xdr:colOff>
      <xdr:row>40</xdr:row>
      <xdr:rowOff>170391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AC2A7E9-B53A-47C5-9205-9AD4918DEA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astien" id="{0B901913-E89A-4A63-8538-C3907D4C5A37}" userId="Bastien" providerId="None"/>
  <person displayName="Bastien Pirson" id="{1A2D71EC-4CC6-43A0-8C41-360F41BC0D4F}" userId="Bastien Pirson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1" dT="2020-04-06T07:47:48.36" personId="{1A2D71EC-4CC6-43A0-8C41-360F41BC0D4F}" id="{A310C3D6-AA21-4DCF-BAFE-032720C9B1CA}">
    <text>Prévalence 65,9/100,000 habitants en 2016, 66,99M d'habitants en 2020. Données hors HAD</text>
  </threadedComment>
  <threadedComment ref="F22" dT="2020-07-28T14:37:44.13" personId="{0B901913-E89A-4A63-8538-C3907D4C5A37}" id="{4208B2B7-C689-447A-BDC4-832FF0CEF941}">
    <text>the prevalence has increased by 20-30% each year, the latest full count dates from 2012</text>
  </threadedComment>
  <threadedComment ref="F36" dT="2020-04-06T07:49:29.64" personId="{1A2D71EC-4CC6-43A0-8C41-360F41BC0D4F}" id="{EACD717B-A4B9-4B84-895F-7D39D8CD268A}">
    <text>Prévalence 24,4/100,000 habitants en 2016, 66,99M d'habitants en 2020.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statista.com/statistics/578444/number-of-hospitals-germany/" TargetMode="External"/><Relationship Id="rId7" Type="http://schemas.openxmlformats.org/officeDocument/2006/relationships/hyperlink" Target="https://pubmed.ncbi.nlm.nih.gov/16698132/" TargetMode="External"/><Relationship Id="rId2" Type="http://schemas.openxmlformats.org/officeDocument/2006/relationships/hyperlink" Target="https://ec.europa.eu/eurostat/statistics-explained/images/9/98/Hospital_beds_by_type_of_care%2C_2017_Health2019.png" TargetMode="External"/><Relationship Id="rId1" Type="http://schemas.openxmlformats.org/officeDocument/2006/relationships/hyperlink" Target="https://etablissements.fhf.fr/annuaire/" TargetMode="External"/><Relationship Id="rId6" Type="http://schemas.openxmlformats.org/officeDocument/2006/relationships/hyperlink" Target="https://www.ncbi.nlm.nih.gov/pmc/articles/PMC4596423/" TargetMode="External"/><Relationship Id="rId5" Type="http://schemas.openxmlformats.org/officeDocument/2006/relationships/hyperlink" Target="https://www.statista.com/statistics/557042/hospitals-in-italy/" TargetMode="External"/><Relationship Id="rId4" Type="http://schemas.openxmlformats.org/officeDocument/2006/relationships/hyperlink" Target="https://www.lespecialiste.be/fr/actualites/hopitaux-generaux-10-chiffres-a-retenir-rapport-sante-publique.html" TargetMode="External"/><Relationship Id="rId9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7" Type="http://schemas.microsoft.com/office/2017/10/relationships/threadedComment" Target="../threadedComments/threadedComment1.xml"/><Relationship Id="rId2" Type="http://schemas.openxmlformats.org/officeDocument/2006/relationships/hyperlink" Target="http://www.codage.ext.cnamts.fr/cgi/tips/cgi-fiche?p_code_tips=1185680&amp;p_date_jo_arrete=%25&amp;p_menu=FICHE&amp;p_site=AMELI" TargetMode="External"/><Relationship Id="rId1" Type="http://schemas.openxmlformats.org/officeDocument/2006/relationships/hyperlink" Target="https://pubmed.ncbi.nlm.nih.gov/15818022/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A7A77-8F5B-4D11-AB9E-211F3342272F}">
  <dimension ref="A1:BH181"/>
  <sheetViews>
    <sheetView topLeftCell="H29" zoomScale="90" zoomScaleNormal="90" workbookViewId="0">
      <selection activeCell="G72" sqref="G72:I72"/>
    </sheetView>
  </sheetViews>
  <sheetFormatPr baseColWidth="10" defaultColWidth="10.83203125" defaultRowHeight="15" x14ac:dyDescent="0.2"/>
  <cols>
    <col min="1" max="1" width="6.83203125" style="104" customWidth="1"/>
    <col min="2" max="2" width="2.83203125" customWidth="1"/>
    <col min="3" max="3" width="32" customWidth="1"/>
    <col min="4" max="4" width="12.6640625" customWidth="1"/>
    <col min="6" max="8" width="12.6640625" customWidth="1"/>
    <col min="9" max="9" width="13.33203125" customWidth="1"/>
    <col min="10" max="10" width="12.83203125" customWidth="1"/>
    <col min="14" max="14" width="25" customWidth="1"/>
    <col min="16" max="16" width="21.1640625" customWidth="1"/>
    <col min="17" max="18" width="15.6640625" customWidth="1"/>
    <col min="19" max="19" width="18.6640625" customWidth="1"/>
    <col min="20" max="23" width="8.6640625" customWidth="1"/>
    <col min="24" max="24" width="15.6640625" customWidth="1"/>
    <col min="25" max="25" width="10" customWidth="1"/>
    <col min="26" max="26" width="9.33203125" customWidth="1"/>
    <col min="27" max="27" width="9.6640625" customWidth="1"/>
    <col min="28" max="28" width="10" customWidth="1"/>
    <col min="29" max="29" width="15.6640625" customWidth="1"/>
    <col min="30" max="33" width="9.6640625" customWidth="1"/>
    <col min="34" max="35" width="15.6640625" customWidth="1"/>
    <col min="36" max="36" width="24.6640625" customWidth="1"/>
    <col min="37" max="37" width="17.33203125" customWidth="1"/>
    <col min="38" max="40" width="15.6640625" customWidth="1"/>
  </cols>
  <sheetData>
    <row r="1" spans="2:60" x14ac:dyDescent="0.2"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S1" t="s">
        <v>286</v>
      </c>
      <c r="T1" s="247">
        <v>0.1</v>
      </c>
      <c r="U1" s="247">
        <v>0.2</v>
      </c>
      <c r="V1" s="247">
        <v>0.3</v>
      </c>
      <c r="W1" s="247">
        <v>0.4</v>
      </c>
    </row>
    <row r="2" spans="2:60" ht="16" thickBot="1" x14ac:dyDescent="0.25"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</row>
    <row r="3" spans="2:60" ht="16" thickBot="1" x14ac:dyDescent="0.25">
      <c r="P3" s="278" t="s">
        <v>56</v>
      </c>
      <c r="Q3" s="279"/>
      <c r="R3" s="279"/>
      <c r="S3" s="279"/>
      <c r="T3" s="279"/>
      <c r="U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80"/>
      <c r="BF3" t="s">
        <v>192</v>
      </c>
      <c r="BG3" t="s">
        <v>194</v>
      </c>
      <c r="BH3" t="s">
        <v>195</v>
      </c>
    </row>
    <row r="4" spans="2:60" ht="16" thickBot="1" x14ac:dyDescent="0.25">
      <c r="B4" s="53"/>
      <c r="C4" s="258" t="s">
        <v>77</v>
      </c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9"/>
      <c r="P4" s="53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255" t="s">
        <v>55</v>
      </c>
      <c r="AJ4" s="256"/>
      <c r="AK4" s="256"/>
      <c r="AL4" s="256"/>
      <c r="AM4" s="256"/>
      <c r="AN4" s="257"/>
      <c r="AO4" s="45"/>
      <c r="AP4" s="45"/>
      <c r="AQ4" s="45"/>
      <c r="AR4" s="45"/>
      <c r="AS4" s="45"/>
      <c r="AT4" s="44"/>
      <c r="BF4" t="s">
        <v>46</v>
      </c>
      <c r="BG4" t="s">
        <v>45</v>
      </c>
      <c r="BH4" t="s">
        <v>44</v>
      </c>
    </row>
    <row r="5" spans="2:60" x14ac:dyDescent="0.2">
      <c r="B5" s="53"/>
      <c r="C5" s="260" t="s">
        <v>27</v>
      </c>
      <c r="D5" s="260"/>
      <c r="E5" s="260"/>
      <c r="F5" s="260"/>
      <c r="G5" s="260"/>
      <c r="H5" s="260"/>
      <c r="I5" s="260"/>
      <c r="J5" s="260"/>
      <c r="K5" s="260"/>
      <c r="L5" s="260"/>
      <c r="M5" s="260"/>
      <c r="N5" s="261"/>
      <c r="P5" s="266" t="s">
        <v>170</v>
      </c>
      <c r="Q5" s="267"/>
      <c r="R5" s="46"/>
      <c r="S5" s="46"/>
      <c r="T5" s="252" t="s">
        <v>191</v>
      </c>
      <c r="U5" s="253"/>
      <c r="V5" s="253"/>
      <c r="W5" s="254"/>
      <c r="X5" s="123" t="s">
        <v>192</v>
      </c>
      <c r="Y5" s="268" t="s">
        <v>193</v>
      </c>
      <c r="Z5" s="269"/>
      <c r="AA5" s="269"/>
      <c r="AB5" s="269"/>
      <c r="AC5" s="123" t="s">
        <v>194</v>
      </c>
      <c r="AD5" s="268" t="s">
        <v>5</v>
      </c>
      <c r="AE5" s="269"/>
      <c r="AF5" s="269"/>
      <c r="AG5" s="269"/>
      <c r="AH5" s="205" t="s">
        <v>195</v>
      </c>
      <c r="AI5" s="6"/>
      <c r="AJ5" s="52" t="s">
        <v>42</v>
      </c>
      <c r="AK5" s="52"/>
      <c r="AL5" s="27"/>
      <c r="AM5" s="52" t="s">
        <v>47</v>
      </c>
      <c r="AN5" s="185"/>
      <c r="AO5" s="46"/>
      <c r="AP5" s="46"/>
      <c r="AQ5" s="46"/>
      <c r="AR5" s="46"/>
      <c r="AS5" s="46"/>
      <c r="AT5" s="4"/>
      <c r="BE5" s="6" t="s">
        <v>4</v>
      </c>
      <c r="BF5" s="109">
        <v>558.99856</v>
      </c>
      <c r="BG5" s="109">
        <v>1117.99712</v>
      </c>
      <c r="BH5" s="109">
        <v>2794.9928</v>
      </c>
    </row>
    <row r="6" spans="2:60" x14ac:dyDescent="0.2">
      <c r="B6" s="8"/>
      <c r="C6" s="46" t="s">
        <v>74</v>
      </c>
      <c r="D6" s="46"/>
      <c r="E6" s="46"/>
      <c r="F6" s="46"/>
      <c r="G6" s="46"/>
      <c r="H6" s="46"/>
      <c r="I6" s="46"/>
      <c r="J6" s="46"/>
      <c r="K6" s="46"/>
      <c r="L6" s="46"/>
      <c r="M6" s="46"/>
      <c r="N6" s="4"/>
      <c r="P6" s="8"/>
      <c r="Q6" s="218" t="s">
        <v>7</v>
      </c>
      <c r="R6" s="218" t="s">
        <v>6</v>
      </c>
      <c r="S6" s="218" t="s">
        <v>5</v>
      </c>
      <c r="T6" s="218" t="s">
        <v>92</v>
      </c>
      <c r="U6" s="218" t="s">
        <v>93</v>
      </c>
      <c r="V6" s="218" t="s">
        <v>94</v>
      </c>
      <c r="W6" s="218" t="s">
        <v>95</v>
      </c>
      <c r="X6" s="218" t="s">
        <v>46</v>
      </c>
      <c r="Y6" s="218" t="s">
        <v>92</v>
      </c>
      <c r="Z6" s="218" t="s">
        <v>93</v>
      </c>
      <c r="AA6" s="218" t="s">
        <v>94</v>
      </c>
      <c r="AB6" s="218" t="s">
        <v>95</v>
      </c>
      <c r="AC6" s="218" t="s">
        <v>45</v>
      </c>
      <c r="AD6" s="218" t="s">
        <v>92</v>
      </c>
      <c r="AE6" s="218" t="s">
        <v>93</v>
      </c>
      <c r="AF6" s="218" t="s">
        <v>94</v>
      </c>
      <c r="AG6" s="218" t="s">
        <v>95</v>
      </c>
      <c r="AH6" s="215" t="s">
        <v>44</v>
      </c>
      <c r="AI6" s="33" t="s">
        <v>36</v>
      </c>
      <c r="AJ6" s="218" t="s">
        <v>35</v>
      </c>
      <c r="AK6" s="218" t="s">
        <v>34</v>
      </c>
      <c r="AL6" s="218" t="s">
        <v>36</v>
      </c>
      <c r="AM6" s="218" t="s">
        <v>35</v>
      </c>
      <c r="AN6" s="219" t="s">
        <v>34</v>
      </c>
      <c r="AO6" s="46"/>
      <c r="AP6" s="46"/>
      <c r="AQ6" s="46"/>
      <c r="AR6" s="46"/>
      <c r="AS6" s="46"/>
      <c r="AT6" s="4"/>
      <c r="BE6" s="6" t="s">
        <v>3</v>
      </c>
      <c r="BF6" s="109">
        <v>0</v>
      </c>
      <c r="BG6" s="109">
        <v>1749.7695000000001</v>
      </c>
      <c r="BH6" s="109">
        <v>5249.3085000000001</v>
      </c>
    </row>
    <row r="7" spans="2:60" x14ac:dyDescent="0.2">
      <c r="B7" s="8"/>
      <c r="C7" s="46" t="s">
        <v>72</v>
      </c>
      <c r="D7" s="46"/>
      <c r="E7" s="46"/>
      <c r="F7" s="46"/>
      <c r="G7" s="46"/>
      <c r="H7" s="46"/>
      <c r="I7" s="46"/>
      <c r="J7" s="46"/>
      <c r="K7" s="46"/>
      <c r="L7" s="46"/>
      <c r="M7" s="46"/>
      <c r="N7" s="4"/>
      <c r="P7" s="6" t="s">
        <v>4</v>
      </c>
      <c r="Q7" s="198">
        <v>0.02</v>
      </c>
      <c r="R7" s="199">
        <f>4%</f>
        <v>0.04</v>
      </c>
      <c r="S7" s="199">
        <f>8%</f>
        <v>0.08</v>
      </c>
      <c r="T7" s="19">
        <f>$X$7*10%</f>
        <v>43.867600000000003</v>
      </c>
      <c r="U7" s="19">
        <f>X$7*20%</f>
        <v>87.735200000000006</v>
      </c>
      <c r="V7" s="19">
        <f>$X$7*30%</f>
        <v>131.6028</v>
      </c>
      <c r="W7" s="19">
        <f>$X$7*40%</f>
        <v>175.47040000000001</v>
      </c>
      <c r="X7" s="19">
        <f>$F$32*Q7</f>
        <v>438.67599999999999</v>
      </c>
      <c r="Y7" s="19">
        <f>$AC$7*25%</f>
        <v>219.33799999999999</v>
      </c>
      <c r="Z7" s="19">
        <f t="shared" ref="Z7:AB7" si="0">$AC$7*25%</f>
        <v>219.33799999999999</v>
      </c>
      <c r="AA7" s="19">
        <f t="shared" si="0"/>
        <v>219.33799999999999</v>
      </c>
      <c r="AB7" s="19">
        <f t="shared" si="0"/>
        <v>219.33799999999999</v>
      </c>
      <c r="AC7" s="19">
        <f>$F$32*R7</f>
        <v>877.35199999999998</v>
      </c>
      <c r="AD7" s="19">
        <f>$AH$7*25%</f>
        <v>438.67599999999999</v>
      </c>
      <c r="AE7" s="19">
        <f t="shared" ref="AE7:AG7" si="1">$AH$7*25%</f>
        <v>438.67599999999999</v>
      </c>
      <c r="AF7" s="19">
        <f t="shared" si="1"/>
        <v>438.67599999999999</v>
      </c>
      <c r="AG7" s="19">
        <f t="shared" si="1"/>
        <v>438.67599999999999</v>
      </c>
      <c r="AH7" s="117">
        <f>$F$32*S7</f>
        <v>1754.704</v>
      </c>
      <c r="AI7" s="32">
        <f>ROUND(X7/$K$32,0)</f>
        <v>2</v>
      </c>
      <c r="AJ7" s="17">
        <f>ROUND(AC7/$K$32,0)</f>
        <v>5</v>
      </c>
      <c r="AK7" s="17">
        <f>ROUND(AH7/$K$32,0)</f>
        <v>9</v>
      </c>
      <c r="AL7" s="17">
        <f>ROUND(X7/$M$42,0)</f>
        <v>2</v>
      </c>
      <c r="AM7" s="17">
        <f>ROUND(AC7/$M$42,0)</f>
        <v>4</v>
      </c>
      <c r="AN7" s="186">
        <f>ROUND(AH7/$M$42,0)</f>
        <v>8</v>
      </c>
      <c r="AO7" s="46"/>
      <c r="AP7" s="46"/>
      <c r="AQ7" s="46"/>
      <c r="AR7" s="46"/>
      <c r="AS7" s="46"/>
      <c r="AT7" s="4"/>
      <c r="BE7" s="6" t="s">
        <v>2</v>
      </c>
      <c r="BF7" s="109">
        <v>577.56375600000001</v>
      </c>
      <c r="BG7" s="109">
        <v>1237.63662</v>
      </c>
      <c r="BH7" s="109">
        <v>4125.4554000000007</v>
      </c>
    </row>
    <row r="8" spans="2:60" x14ac:dyDescent="0.2">
      <c r="B8" s="8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"/>
      <c r="P8" s="6" t="s">
        <v>3</v>
      </c>
      <c r="Q8" s="198">
        <v>0</v>
      </c>
      <c r="R8" s="199">
        <v>5.0000000000000001E-3</v>
      </c>
      <c r="S8" s="199">
        <v>1.7999999999999999E-2</v>
      </c>
      <c r="T8" s="19">
        <f t="shared" ref="T8:T9" si="2">X8*10%</f>
        <v>0</v>
      </c>
      <c r="U8" s="19">
        <f>X$8*20%</f>
        <v>0</v>
      </c>
      <c r="V8" s="19">
        <f>$X$8*30%</f>
        <v>0</v>
      </c>
      <c r="W8" s="19">
        <f>$X$8*40%</f>
        <v>0</v>
      </c>
      <c r="X8" s="19">
        <f>$F$33*Q8</f>
        <v>0</v>
      </c>
      <c r="Y8" s="19">
        <f>$AC$8*10%</f>
        <v>68.656874999999999</v>
      </c>
      <c r="Z8" s="19">
        <f>$AC$8*20%</f>
        <v>137.31375</v>
      </c>
      <c r="AA8" s="19">
        <f>$AC$8*30%</f>
        <v>205.97062500000001</v>
      </c>
      <c r="AB8" s="19">
        <f>$AC$8*40%</f>
        <v>274.6275</v>
      </c>
      <c r="AC8" s="19">
        <f>$F$33*R8</f>
        <v>686.56875000000002</v>
      </c>
      <c r="AD8" s="19">
        <f>$AH$8*25%</f>
        <v>617.91187500000001</v>
      </c>
      <c r="AE8" s="19">
        <f t="shared" ref="AE8:AG8" si="3">$AH$8*25%</f>
        <v>617.91187500000001</v>
      </c>
      <c r="AF8" s="19">
        <f t="shared" si="3"/>
        <v>617.91187500000001</v>
      </c>
      <c r="AG8" s="19">
        <f t="shared" si="3"/>
        <v>617.91187500000001</v>
      </c>
      <c r="AH8" s="31">
        <f>$F$33*S8</f>
        <v>2471.6475</v>
      </c>
      <c r="AI8" s="32">
        <f>ROUND(X8/$K$33,0)</f>
        <v>0</v>
      </c>
      <c r="AJ8" s="17">
        <f>ROUND(AC8/$K$33,0)</f>
        <v>5</v>
      </c>
      <c r="AK8" s="17">
        <f>ROUND(AH8/$K$33,0)</f>
        <v>17</v>
      </c>
      <c r="AL8" s="17">
        <f>ROUND(X8/$M$42,0)</f>
        <v>0</v>
      </c>
      <c r="AM8" s="17">
        <f>ROUND(AC8/$M$42,0)</f>
        <v>3</v>
      </c>
      <c r="AN8" s="186">
        <f>ROUND(AH8/$M$42,0)</f>
        <v>11</v>
      </c>
      <c r="AO8" s="46"/>
      <c r="AP8" s="46"/>
      <c r="AQ8" s="46"/>
      <c r="AR8" s="46"/>
      <c r="AS8" s="46"/>
      <c r="AT8" s="4"/>
      <c r="BE8" s="6" t="s">
        <v>1</v>
      </c>
      <c r="BF8" s="109">
        <v>0</v>
      </c>
      <c r="BG8" s="109">
        <v>2843.5086800000004</v>
      </c>
      <c r="BH8" s="109">
        <v>8530.5260400000006</v>
      </c>
    </row>
    <row r="9" spans="2:60" x14ac:dyDescent="0.2">
      <c r="B9" s="8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"/>
      <c r="P9" s="6" t="s">
        <v>2</v>
      </c>
      <c r="Q9" s="198">
        <v>8.9999999999999993E-3</v>
      </c>
      <c r="R9" s="199">
        <v>2.5000000000000001E-2</v>
      </c>
      <c r="S9" s="199">
        <v>0.05</v>
      </c>
      <c r="T9" s="19">
        <f t="shared" si="2"/>
        <v>58.27436999999999</v>
      </c>
      <c r="U9" s="19">
        <f>X$9*20%</f>
        <v>116.54873999999998</v>
      </c>
      <c r="V9" s="19">
        <f>$X$7*30%</f>
        <v>131.6028</v>
      </c>
      <c r="W9" s="19">
        <f>$X$9*40%</f>
        <v>233.09747999999996</v>
      </c>
      <c r="X9" s="19">
        <f>$F$34*Q9</f>
        <v>582.74369999999988</v>
      </c>
      <c r="Y9" s="19">
        <f>$AC$9*25%</f>
        <v>404.68312500000002</v>
      </c>
      <c r="Z9" s="19">
        <f t="shared" ref="Z9:AB9" si="4">$AC$9*25%</f>
        <v>404.68312500000002</v>
      </c>
      <c r="AA9" s="19">
        <f t="shared" si="4"/>
        <v>404.68312500000002</v>
      </c>
      <c r="AB9" s="19">
        <f t="shared" si="4"/>
        <v>404.68312500000002</v>
      </c>
      <c r="AC9" s="19">
        <f>$F$34*R9</f>
        <v>1618.7325000000001</v>
      </c>
      <c r="AD9" s="19">
        <f>$AH$9*25%</f>
        <v>809.36625000000004</v>
      </c>
      <c r="AE9" s="19">
        <f t="shared" ref="AE9:AG9" si="5">$AH$9*25%</f>
        <v>809.36625000000004</v>
      </c>
      <c r="AF9" s="19">
        <f t="shared" si="5"/>
        <v>809.36625000000004</v>
      </c>
      <c r="AG9" s="19">
        <f t="shared" si="5"/>
        <v>809.36625000000004</v>
      </c>
      <c r="AH9" s="31">
        <f>$F$34*S9</f>
        <v>3237.4650000000001</v>
      </c>
      <c r="AI9" s="32">
        <f>ROUND(X9/$K$34,0)</f>
        <v>11</v>
      </c>
      <c r="AJ9" s="17">
        <f>ROUND(AC9/$K$34,0)</f>
        <v>30</v>
      </c>
      <c r="AK9" s="17">
        <f>ROUND(AH9/$K$34,0)</f>
        <v>59</v>
      </c>
      <c r="AL9" s="17">
        <f>ROUND(X9/$M$42,0)</f>
        <v>3</v>
      </c>
      <c r="AM9" s="17">
        <f>ROUND(AC9/$M$42,0)</f>
        <v>7</v>
      </c>
      <c r="AN9" s="186">
        <f>ROUND(AH9/$M$42,0)</f>
        <v>14</v>
      </c>
      <c r="AO9" s="46"/>
      <c r="AP9" s="46"/>
      <c r="AQ9" s="46"/>
      <c r="AR9" s="46"/>
      <c r="AS9" s="46"/>
      <c r="AT9" s="4"/>
      <c r="BF9" s="109"/>
      <c r="BG9" s="109"/>
      <c r="BH9" s="109"/>
    </row>
    <row r="10" spans="2:60" x14ac:dyDescent="0.2">
      <c r="B10" s="8"/>
      <c r="C10" s="262" t="s">
        <v>104</v>
      </c>
      <c r="D10" s="262"/>
      <c r="E10" s="262"/>
      <c r="F10" s="262"/>
      <c r="G10" s="262"/>
      <c r="H10" s="262"/>
      <c r="I10" s="262"/>
      <c r="J10" s="262"/>
      <c r="K10" s="262"/>
      <c r="L10" s="262"/>
      <c r="M10" s="262"/>
      <c r="N10" s="263"/>
      <c r="P10" s="6" t="s">
        <v>1</v>
      </c>
      <c r="Q10" s="200">
        <v>0</v>
      </c>
      <c r="R10" s="201">
        <v>5.0000000000000001E-3</v>
      </c>
      <c r="S10" s="201">
        <v>1.7999999999999999E-2</v>
      </c>
      <c r="T10" s="5">
        <f>X10*10%</f>
        <v>0</v>
      </c>
      <c r="U10" s="5">
        <f>X$10*20%</f>
        <v>0</v>
      </c>
      <c r="V10" s="5">
        <f>$X$10*30%</f>
        <v>0</v>
      </c>
      <c r="W10" s="5">
        <f>$X$10*40%</f>
        <v>0</v>
      </c>
      <c r="X10" s="5">
        <f>$F$35*Q10</f>
        <v>0</v>
      </c>
      <c r="Y10" s="5">
        <f>$AC$10*10%</f>
        <v>111.57265000000001</v>
      </c>
      <c r="Z10" s="5">
        <f>$AC$10*20%</f>
        <v>223.14530000000002</v>
      </c>
      <c r="AA10" s="5">
        <f>$AC$10*30%</f>
        <v>334.71794999999997</v>
      </c>
      <c r="AB10" s="5">
        <f>$AC$10*40%</f>
        <v>446.29060000000004</v>
      </c>
      <c r="AC10" s="5">
        <f>$F$35*R10</f>
        <v>1115.7265</v>
      </c>
      <c r="AD10" s="105">
        <f>$AH$10*25%</f>
        <v>1004.1538499999999</v>
      </c>
      <c r="AE10" s="5">
        <f>$AC$10*25%</f>
        <v>278.931625</v>
      </c>
      <c r="AF10" s="5">
        <f>$AC$10*25%</f>
        <v>278.931625</v>
      </c>
      <c r="AG10" s="5">
        <f>$AC$10*25%</f>
        <v>278.931625</v>
      </c>
      <c r="AH10" s="117">
        <f>$F$35*S10</f>
        <v>4016.6153999999997</v>
      </c>
      <c r="AI10" s="32">
        <f>ROUND(X10/$K$35,0)</f>
        <v>0</v>
      </c>
      <c r="AJ10" s="17">
        <f>ROUND(AC10/$K$35,0)</f>
        <v>11</v>
      </c>
      <c r="AK10" s="17">
        <f>ROUND(AH10/$K$35,0)</f>
        <v>39</v>
      </c>
      <c r="AL10" s="17">
        <f>ROUND(X10/$M$42,0)</f>
        <v>0</v>
      </c>
      <c r="AM10" s="17">
        <f>ROUND(AC10/$M$42,0)</f>
        <v>5</v>
      </c>
      <c r="AN10" s="186">
        <f>ROUND(AH10/$M$42,0)</f>
        <v>18</v>
      </c>
      <c r="AO10" s="46"/>
      <c r="AP10" s="46"/>
      <c r="AQ10" s="46"/>
      <c r="AR10" s="46"/>
      <c r="AS10" s="46"/>
      <c r="AT10" s="4"/>
      <c r="BF10" s="109"/>
      <c r="BG10" s="109"/>
      <c r="BH10" s="109"/>
    </row>
    <row r="11" spans="2:60" ht="15" customHeight="1" x14ac:dyDescent="0.2">
      <c r="B11" s="8"/>
      <c r="C11" s="46" t="s">
        <v>103</v>
      </c>
      <c r="D11" s="46"/>
      <c r="E11" s="8" t="s">
        <v>71</v>
      </c>
      <c r="F11" s="62">
        <v>0.2</v>
      </c>
      <c r="G11" s="46"/>
      <c r="H11" s="46"/>
      <c r="I11" s="46"/>
      <c r="J11" s="46"/>
      <c r="K11" s="46"/>
      <c r="L11" s="46"/>
      <c r="M11" s="46"/>
      <c r="N11" s="4"/>
      <c r="P11" s="189" t="s">
        <v>102</v>
      </c>
      <c r="Q11" s="202">
        <v>0</v>
      </c>
      <c r="R11" s="202">
        <v>0.02</v>
      </c>
      <c r="S11" s="202">
        <v>0.04</v>
      </c>
      <c r="T11" s="5">
        <v>0</v>
      </c>
      <c r="U11" s="5">
        <f>X11*10%</f>
        <v>0</v>
      </c>
      <c r="V11" s="5">
        <f>X11*10%</f>
        <v>0</v>
      </c>
      <c r="W11" s="5">
        <f>X11*10%</f>
        <v>0</v>
      </c>
      <c r="X11" s="5">
        <f>$F$36*Q11</f>
        <v>0</v>
      </c>
      <c r="Y11" s="5">
        <f>$AC$11*10%</f>
        <v>39.0747</v>
      </c>
      <c r="Z11" s="5">
        <f>$AC$10*20%</f>
        <v>223.14530000000002</v>
      </c>
      <c r="AA11" s="5">
        <f>$AC$10*30%</f>
        <v>334.71794999999997</v>
      </c>
      <c r="AB11" s="5">
        <f>$AC$10*40%</f>
        <v>446.29060000000004</v>
      </c>
      <c r="AC11" s="5">
        <f>$F36*R11</f>
        <v>390.74699999999996</v>
      </c>
      <c r="AD11" s="5">
        <f>$AH$11*25%</f>
        <v>195.37349999999998</v>
      </c>
      <c r="AE11" s="5">
        <f t="shared" ref="AE11:AG11" si="6">$AH$11*25%</f>
        <v>195.37349999999998</v>
      </c>
      <c r="AF11" s="5">
        <f t="shared" si="6"/>
        <v>195.37349999999998</v>
      </c>
      <c r="AG11" s="5">
        <f t="shared" si="6"/>
        <v>195.37349999999998</v>
      </c>
      <c r="AH11" s="117">
        <f>$F36*S11</f>
        <v>781.49399999999991</v>
      </c>
      <c r="AI11" s="32">
        <f t="shared" ref="AI11:AI15" si="7">ROUND(X11/$K$35,0)</f>
        <v>0</v>
      </c>
      <c r="AJ11" s="17">
        <f t="shared" ref="AJ11:AJ15" si="8">ROUND(AC11/$K$35,0)</f>
        <v>4</v>
      </c>
      <c r="AK11" s="17">
        <f t="shared" ref="AK11:AK15" si="9">ROUND(AH11/$K$35,0)</f>
        <v>8</v>
      </c>
      <c r="AL11" s="17">
        <f>X11/$M$42</f>
        <v>0</v>
      </c>
      <c r="AM11" s="17">
        <f>ROUNDUP(AC11/$M$42,0)</f>
        <v>2</v>
      </c>
      <c r="AN11" s="186">
        <f>ROUNDUP(AH11/$M$42,0)</f>
        <v>4</v>
      </c>
      <c r="AO11" s="46"/>
      <c r="AP11" s="46"/>
      <c r="AQ11" s="46"/>
      <c r="AR11" s="46"/>
      <c r="AS11" s="46"/>
      <c r="AT11" s="4"/>
      <c r="BF11" s="109"/>
      <c r="BG11" s="109"/>
      <c r="BH11" s="109"/>
    </row>
    <row r="12" spans="2:60" ht="15" customHeight="1" x14ac:dyDescent="0.2">
      <c r="B12" s="8"/>
      <c r="C12" s="46"/>
      <c r="D12" s="46"/>
      <c r="E12" s="8" t="s">
        <v>70</v>
      </c>
      <c r="F12" s="62">
        <v>0.5</v>
      </c>
      <c r="G12" s="46"/>
      <c r="H12" s="46"/>
      <c r="I12" s="46"/>
      <c r="J12" s="46"/>
      <c r="K12" s="46"/>
      <c r="L12" s="46"/>
      <c r="M12" s="46"/>
      <c r="N12" s="4"/>
      <c r="P12" s="6" t="str">
        <f>C37</f>
        <v>Country 1</v>
      </c>
      <c r="Q12" s="224">
        <v>0</v>
      </c>
      <c r="R12" s="202">
        <v>3.0000000000000001E-3</v>
      </c>
      <c r="S12" s="202">
        <v>1.2E-2</v>
      </c>
      <c r="T12" s="5"/>
      <c r="U12" s="5"/>
      <c r="V12" s="5"/>
      <c r="W12" s="5"/>
      <c r="X12" s="5">
        <f t="shared" ref="X12:X15" si="10">$F$36*Q12</f>
        <v>0</v>
      </c>
      <c r="Y12" s="5"/>
      <c r="Z12" s="5"/>
      <c r="AA12" s="5"/>
      <c r="AB12" s="5"/>
      <c r="AC12" s="5">
        <f t="shared" ref="AC12:AC15" si="11">$F37*R12</f>
        <v>203.70000000000002</v>
      </c>
      <c r="AD12" s="5"/>
      <c r="AE12" s="5"/>
      <c r="AF12" s="5"/>
      <c r="AG12" s="5"/>
      <c r="AH12" s="117">
        <f t="shared" ref="AH12:AH15" si="12">$F37*S12</f>
        <v>814.80000000000007</v>
      </c>
      <c r="AI12" s="32">
        <f t="shared" si="7"/>
        <v>0</v>
      </c>
      <c r="AJ12" s="17">
        <f t="shared" si="8"/>
        <v>2</v>
      </c>
      <c r="AK12" s="17">
        <f t="shared" si="9"/>
        <v>8</v>
      </c>
      <c r="AL12" s="17">
        <f t="shared" ref="AL12:AL15" si="13">X12/$M$42</f>
        <v>0</v>
      </c>
      <c r="AM12" s="17">
        <f t="shared" ref="AM12:AM15" si="14">ROUNDUP(AC12/$M$42,0)</f>
        <v>1</v>
      </c>
      <c r="AN12" s="186">
        <f t="shared" ref="AN12:AN15" si="15">ROUNDUP(AH12/$M$42,0)</f>
        <v>4</v>
      </c>
      <c r="AO12" s="46"/>
      <c r="AP12" s="46"/>
      <c r="AQ12" s="46"/>
      <c r="AR12" s="46"/>
      <c r="AS12" s="46"/>
      <c r="AT12" s="4"/>
      <c r="BF12" s="109"/>
      <c r="BG12" s="109"/>
      <c r="BH12" s="109"/>
    </row>
    <row r="13" spans="2:60" ht="15" customHeight="1" x14ac:dyDescent="0.2">
      <c r="B13" s="8"/>
      <c r="C13" s="46"/>
      <c r="D13" s="46"/>
      <c r="E13" s="8" t="s">
        <v>68</v>
      </c>
      <c r="F13" s="43">
        <v>0.35</v>
      </c>
      <c r="G13" s="99">
        <v>1</v>
      </c>
      <c r="H13" s="46"/>
      <c r="I13" s="46"/>
      <c r="J13" s="46"/>
      <c r="K13" s="46"/>
      <c r="L13" s="46"/>
      <c r="M13" s="46"/>
      <c r="N13" s="4"/>
      <c r="P13" s="6" t="str">
        <f t="shared" ref="P13:P15" si="16">C38</f>
        <v>Country 2</v>
      </c>
      <c r="Q13" s="224">
        <v>0</v>
      </c>
      <c r="R13" s="202"/>
      <c r="S13" s="202"/>
      <c r="T13" s="5"/>
      <c r="U13" s="5"/>
      <c r="V13" s="5"/>
      <c r="W13" s="5"/>
      <c r="X13" s="5">
        <f t="shared" si="10"/>
        <v>0</v>
      </c>
      <c r="Y13" s="5"/>
      <c r="Z13" s="5"/>
      <c r="AA13" s="5"/>
      <c r="AB13" s="5"/>
      <c r="AC13" s="5">
        <f t="shared" si="11"/>
        <v>0</v>
      </c>
      <c r="AD13" s="5"/>
      <c r="AE13" s="5"/>
      <c r="AF13" s="5"/>
      <c r="AG13" s="5"/>
      <c r="AH13" s="117">
        <f t="shared" si="12"/>
        <v>0</v>
      </c>
      <c r="AI13" s="32">
        <f t="shared" si="7"/>
        <v>0</v>
      </c>
      <c r="AJ13" s="17">
        <f t="shared" si="8"/>
        <v>0</v>
      </c>
      <c r="AK13" s="17">
        <f t="shared" si="9"/>
        <v>0</v>
      </c>
      <c r="AL13" s="17">
        <f t="shared" si="13"/>
        <v>0</v>
      </c>
      <c r="AM13" s="17">
        <f t="shared" si="14"/>
        <v>0</v>
      </c>
      <c r="AN13" s="186">
        <f t="shared" si="15"/>
        <v>0</v>
      </c>
      <c r="AO13" s="46"/>
      <c r="AP13" s="46"/>
      <c r="AQ13" s="46"/>
      <c r="AR13" s="46"/>
      <c r="AS13" s="46"/>
      <c r="AT13" s="4"/>
      <c r="BF13" s="109"/>
      <c r="BG13" s="109"/>
      <c r="BH13" s="109"/>
    </row>
    <row r="14" spans="2:60" ht="15" customHeight="1" x14ac:dyDescent="0.2">
      <c r="B14" s="8"/>
      <c r="C14" s="97" t="s">
        <v>63</v>
      </c>
      <c r="D14" s="46"/>
      <c r="E14" s="46"/>
      <c r="F14" s="71">
        <v>0.05</v>
      </c>
      <c r="G14" s="46"/>
      <c r="H14" s="46"/>
      <c r="I14" s="46"/>
      <c r="J14" s="46"/>
      <c r="K14" s="46"/>
      <c r="L14" s="46"/>
      <c r="M14" s="46"/>
      <c r="N14" s="4"/>
      <c r="P14" s="6" t="str">
        <f t="shared" si="16"/>
        <v>Country 3</v>
      </c>
      <c r="Q14" s="224">
        <v>0</v>
      </c>
      <c r="R14" s="202"/>
      <c r="S14" s="202"/>
      <c r="T14" s="5"/>
      <c r="U14" s="5"/>
      <c r="V14" s="5"/>
      <c r="W14" s="5"/>
      <c r="X14" s="5">
        <f t="shared" si="10"/>
        <v>0</v>
      </c>
      <c r="Y14" s="5"/>
      <c r="Z14" s="5"/>
      <c r="AA14" s="5"/>
      <c r="AB14" s="5"/>
      <c r="AC14" s="5">
        <f t="shared" si="11"/>
        <v>0</v>
      </c>
      <c r="AD14" s="5"/>
      <c r="AE14" s="5"/>
      <c r="AF14" s="5"/>
      <c r="AG14" s="5"/>
      <c r="AH14" s="117">
        <f t="shared" si="12"/>
        <v>0</v>
      </c>
      <c r="AI14" s="32">
        <f t="shared" si="7"/>
        <v>0</v>
      </c>
      <c r="AJ14" s="17">
        <f t="shared" si="8"/>
        <v>0</v>
      </c>
      <c r="AK14" s="17">
        <f t="shared" si="9"/>
        <v>0</v>
      </c>
      <c r="AL14" s="17">
        <f t="shared" si="13"/>
        <v>0</v>
      </c>
      <c r="AM14" s="17">
        <f t="shared" si="14"/>
        <v>0</v>
      </c>
      <c r="AN14" s="186">
        <f t="shared" si="15"/>
        <v>0</v>
      </c>
      <c r="AO14" s="46"/>
      <c r="AP14" s="46"/>
      <c r="AQ14" s="46"/>
      <c r="AR14" s="46"/>
      <c r="AS14" s="46"/>
      <c r="AT14" s="4"/>
      <c r="BF14" s="109"/>
      <c r="BG14" s="109"/>
      <c r="BH14" s="109"/>
    </row>
    <row r="15" spans="2:60" ht="15" customHeight="1" thickBot="1" x14ac:dyDescent="0.25">
      <c r="B15" s="8"/>
      <c r="C15" s="46"/>
      <c r="D15" s="46"/>
      <c r="E15" s="46"/>
      <c r="F15" s="62"/>
      <c r="G15" s="46"/>
      <c r="H15" s="46"/>
      <c r="I15" s="46"/>
      <c r="J15" s="46"/>
      <c r="K15" s="46"/>
      <c r="L15" s="46"/>
      <c r="M15" s="46"/>
      <c r="N15" s="4"/>
      <c r="P15" s="6" t="str">
        <f t="shared" si="16"/>
        <v>Country 4</v>
      </c>
      <c r="Q15" s="224">
        <v>0</v>
      </c>
      <c r="R15" s="202"/>
      <c r="S15" s="202"/>
      <c r="T15" s="5"/>
      <c r="U15" s="5"/>
      <c r="V15" s="5"/>
      <c r="W15" s="5"/>
      <c r="X15" s="5">
        <f t="shared" si="10"/>
        <v>0</v>
      </c>
      <c r="Y15" s="5"/>
      <c r="Z15" s="5"/>
      <c r="AA15" s="5"/>
      <c r="AB15" s="5"/>
      <c r="AC15" s="5">
        <f t="shared" si="11"/>
        <v>0</v>
      </c>
      <c r="AD15" s="5"/>
      <c r="AE15" s="5"/>
      <c r="AF15" s="5"/>
      <c r="AG15" s="5"/>
      <c r="AH15" s="117">
        <f t="shared" si="12"/>
        <v>0</v>
      </c>
      <c r="AI15" s="30">
        <f t="shared" si="7"/>
        <v>0</v>
      </c>
      <c r="AJ15" s="29">
        <f t="shared" si="8"/>
        <v>0</v>
      </c>
      <c r="AK15" s="29">
        <f t="shared" si="9"/>
        <v>0</v>
      </c>
      <c r="AL15" s="29">
        <f t="shared" si="13"/>
        <v>0</v>
      </c>
      <c r="AM15" s="29">
        <f t="shared" si="14"/>
        <v>0</v>
      </c>
      <c r="AN15" s="187">
        <f t="shared" si="15"/>
        <v>0</v>
      </c>
      <c r="AO15" s="46"/>
      <c r="AP15" s="46"/>
      <c r="AQ15" s="46"/>
      <c r="AR15" s="46"/>
      <c r="AS15" s="46"/>
      <c r="AT15" s="4"/>
      <c r="BF15" s="109"/>
      <c r="BG15" s="109"/>
      <c r="BH15" s="109"/>
    </row>
    <row r="16" spans="2:60" ht="16" thickBot="1" x14ac:dyDescent="0.25">
      <c r="B16" s="8"/>
      <c r="C16" s="262" t="s">
        <v>66</v>
      </c>
      <c r="D16" s="262"/>
      <c r="E16" s="262"/>
      <c r="F16" s="262"/>
      <c r="G16" s="262"/>
      <c r="H16" s="262"/>
      <c r="I16" s="262"/>
      <c r="J16" s="262"/>
      <c r="K16" s="262"/>
      <c r="L16" s="262"/>
      <c r="M16" s="262"/>
      <c r="N16" s="263"/>
      <c r="P16" s="243" t="s">
        <v>0</v>
      </c>
      <c r="Q16" s="183"/>
      <c r="R16" s="183"/>
      <c r="S16" s="183"/>
      <c r="T16" s="183"/>
      <c r="U16" s="183"/>
      <c r="V16" s="183"/>
      <c r="W16" s="183"/>
      <c r="X16" s="184"/>
      <c r="Y16" s="184"/>
      <c r="Z16" s="184"/>
      <c r="AA16" s="184"/>
      <c r="AB16" s="184"/>
      <c r="AC16" s="184"/>
      <c r="AD16" s="184"/>
      <c r="AE16" s="184"/>
      <c r="AF16" s="184"/>
      <c r="AG16" s="184"/>
      <c r="AH16" s="184"/>
      <c r="AI16" s="47"/>
      <c r="AJ16" s="47"/>
      <c r="AK16" s="210" t="s">
        <v>0</v>
      </c>
      <c r="AL16" s="236">
        <f>SUM(AL7:AL15)</f>
        <v>5</v>
      </c>
      <c r="AM16" s="237">
        <f>SUM(AM7:AM15)</f>
        <v>22</v>
      </c>
      <c r="AN16" s="223">
        <f>SUM(AN7:AN15)</f>
        <v>59</v>
      </c>
      <c r="AO16" s="46"/>
      <c r="AP16" s="46"/>
      <c r="AQ16" s="46"/>
      <c r="AR16" s="46"/>
      <c r="AS16" s="46"/>
      <c r="AT16" s="4"/>
    </row>
    <row r="17" spans="2:60" x14ac:dyDescent="0.2">
      <c r="B17" s="8"/>
      <c r="C17" s="46" t="s">
        <v>64</v>
      </c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"/>
      <c r="P17" s="8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"/>
      <c r="BF17" s="109" t="s">
        <v>192</v>
      </c>
      <c r="BG17" s="109" t="s">
        <v>194</v>
      </c>
      <c r="BH17" s="109" t="s">
        <v>195</v>
      </c>
    </row>
    <row r="18" spans="2:60" x14ac:dyDescent="0.2">
      <c r="B18" s="8"/>
      <c r="C18" s="46" t="s">
        <v>63</v>
      </c>
      <c r="D18" s="97"/>
      <c r="E18" s="46"/>
      <c r="F18" s="46"/>
      <c r="G18" s="46"/>
      <c r="H18" s="46"/>
      <c r="I18" s="46"/>
      <c r="J18" s="46"/>
      <c r="K18" s="46"/>
      <c r="L18" s="46"/>
      <c r="M18" s="46"/>
      <c r="N18" s="4"/>
      <c r="P18" s="6" t="s">
        <v>134</v>
      </c>
      <c r="Q18" s="46"/>
      <c r="R18" s="46"/>
      <c r="S18" s="46"/>
      <c r="T18" s="252" t="s">
        <v>191</v>
      </c>
      <c r="U18" s="253"/>
      <c r="V18" s="253"/>
      <c r="W18" s="254"/>
      <c r="X18" s="123" t="s">
        <v>192</v>
      </c>
      <c r="Y18" s="268" t="s">
        <v>193</v>
      </c>
      <c r="Z18" s="269"/>
      <c r="AA18" s="269"/>
      <c r="AB18" s="269"/>
      <c r="AC18" s="123" t="s">
        <v>194</v>
      </c>
      <c r="AD18" s="268" t="s">
        <v>5</v>
      </c>
      <c r="AE18" s="269"/>
      <c r="AF18" s="269"/>
      <c r="AG18" s="269"/>
      <c r="AH18" s="123" t="s">
        <v>195</v>
      </c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"/>
      <c r="BE18" s="6" t="s">
        <v>4</v>
      </c>
      <c r="BF18" s="109">
        <v>55.899856</v>
      </c>
      <c r="BG18" s="109">
        <v>111.799712</v>
      </c>
      <c r="BH18" s="109">
        <v>279.49928</v>
      </c>
    </row>
    <row r="19" spans="2:60" x14ac:dyDescent="0.2">
      <c r="B19" s="8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"/>
      <c r="P19" s="8"/>
      <c r="Q19" s="46"/>
      <c r="R19" s="46"/>
      <c r="S19" s="46"/>
      <c r="T19" s="218" t="s">
        <v>92</v>
      </c>
      <c r="U19" s="218" t="s">
        <v>93</v>
      </c>
      <c r="V19" s="218" t="s">
        <v>94</v>
      </c>
      <c r="W19" s="218" t="s">
        <v>95</v>
      </c>
      <c r="X19" s="49" t="s">
        <v>173</v>
      </c>
      <c r="Y19" s="218" t="s">
        <v>92</v>
      </c>
      <c r="Z19" s="218" t="s">
        <v>93</v>
      </c>
      <c r="AA19" s="218" t="s">
        <v>94</v>
      </c>
      <c r="AB19" s="218" t="s">
        <v>95</v>
      </c>
      <c r="AC19" s="49" t="s">
        <v>174</v>
      </c>
      <c r="AD19" s="218" t="s">
        <v>92</v>
      </c>
      <c r="AE19" s="218" t="s">
        <v>93</v>
      </c>
      <c r="AF19" s="218" t="s">
        <v>94</v>
      </c>
      <c r="AG19" s="218" t="s">
        <v>95</v>
      </c>
      <c r="AH19" s="49" t="s">
        <v>175</v>
      </c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"/>
      <c r="BE19" s="6" t="s">
        <v>3</v>
      </c>
      <c r="BF19" s="109">
        <v>0</v>
      </c>
      <c r="BG19" s="109">
        <v>174.97695000000002</v>
      </c>
      <c r="BH19" s="109">
        <v>524.93085000000008</v>
      </c>
    </row>
    <row r="20" spans="2:60" x14ac:dyDescent="0.2">
      <c r="B20" s="8"/>
      <c r="C20" s="216" t="s">
        <v>22</v>
      </c>
      <c r="D20" s="216"/>
      <c r="E20" s="216"/>
      <c r="F20" s="216"/>
      <c r="G20" s="216"/>
      <c r="H20" s="216"/>
      <c r="I20" s="216"/>
      <c r="J20" s="216"/>
      <c r="K20" s="216"/>
      <c r="L20" s="216"/>
      <c r="M20" s="216"/>
      <c r="N20" s="217"/>
      <c r="P20" s="6" t="s">
        <v>4</v>
      </c>
      <c r="Q20" s="218"/>
      <c r="R20" s="218"/>
      <c r="S20" s="215"/>
      <c r="T20" s="5">
        <f>$X$20*10%</f>
        <v>4.3867600000000007</v>
      </c>
      <c r="U20" s="5">
        <f>$X$20*20%</f>
        <v>8.7735200000000013</v>
      </c>
      <c r="V20" s="5">
        <f>$X$20*30%</f>
        <v>13.16028</v>
      </c>
      <c r="W20" s="5">
        <f>$X$20*40%</f>
        <v>17.547040000000003</v>
      </c>
      <c r="X20" s="5">
        <f>X7*$J$27</f>
        <v>43.867600000000003</v>
      </c>
      <c r="Y20" s="5">
        <f>$AC$20*25%</f>
        <v>21.933800000000002</v>
      </c>
      <c r="Z20" s="5">
        <f t="shared" ref="Z20:AB20" si="17">$AC$20*25%</f>
        <v>21.933800000000002</v>
      </c>
      <c r="AA20" s="5">
        <f t="shared" si="17"/>
        <v>21.933800000000002</v>
      </c>
      <c r="AB20" s="5">
        <f t="shared" si="17"/>
        <v>21.933800000000002</v>
      </c>
      <c r="AC20" s="5">
        <f>AC7*$J$27</f>
        <v>87.735200000000006</v>
      </c>
      <c r="AD20" s="5">
        <f>$AH$20*25%</f>
        <v>43.867600000000003</v>
      </c>
      <c r="AE20" s="5">
        <f t="shared" ref="AE20:AG20" si="18">$AH$20*25%</f>
        <v>43.867600000000003</v>
      </c>
      <c r="AF20" s="5">
        <f t="shared" si="18"/>
        <v>43.867600000000003</v>
      </c>
      <c r="AG20" s="5">
        <f t="shared" si="18"/>
        <v>43.867600000000003</v>
      </c>
      <c r="AH20" s="5">
        <f>AH7*$J$27</f>
        <v>175.47040000000001</v>
      </c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"/>
      <c r="BE20" s="6" t="s">
        <v>2</v>
      </c>
      <c r="BF20" s="109">
        <v>57.756375600000005</v>
      </c>
      <c r="BG20" s="109">
        <v>123.76366200000001</v>
      </c>
      <c r="BH20" s="109">
        <v>412.54554000000007</v>
      </c>
    </row>
    <row r="21" spans="2:60" x14ac:dyDescent="0.2">
      <c r="B21" s="8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"/>
      <c r="P21" s="6" t="s">
        <v>3</v>
      </c>
      <c r="Q21" s="218"/>
      <c r="R21" s="218"/>
      <c r="S21" s="215"/>
      <c r="T21" s="5">
        <f>$X$21*10%</f>
        <v>0</v>
      </c>
      <c r="U21" s="5">
        <f>$X$21*20%</f>
        <v>0</v>
      </c>
      <c r="V21" s="5">
        <f>$X$21*30%</f>
        <v>0</v>
      </c>
      <c r="W21" s="5">
        <f>$X$21*40%</f>
        <v>0</v>
      </c>
      <c r="X21" s="5">
        <f>X8*$J$27</f>
        <v>0</v>
      </c>
      <c r="Y21" s="5">
        <f>$AC21*10%</f>
        <v>6.8656874999999999</v>
      </c>
      <c r="Z21" s="5">
        <f>$AC21*20%</f>
        <v>13.731375</v>
      </c>
      <c r="AA21" s="5">
        <f>$AC21*30%</f>
        <v>20.5970625</v>
      </c>
      <c r="AB21" s="5">
        <f>$AC21*40%</f>
        <v>27.46275</v>
      </c>
      <c r="AC21" s="5">
        <f>AC8*$J$27</f>
        <v>68.656874999999999</v>
      </c>
      <c r="AD21" s="5">
        <f>$AH$21*25%</f>
        <v>61.791187500000007</v>
      </c>
      <c r="AE21" s="5">
        <f t="shared" ref="AE21:AG21" si="19">$AH$21*25%</f>
        <v>61.791187500000007</v>
      </c>
      <c r="AF21" s="5">
        <f t="shared" si="19"/>
        <v>61.791187500000007</v>
      </c>
      <c r="AG21" s="5">
        <f t="shared" si="19"/>
        <v>61.791187500000007</v>
      </c>
      <c r="AH21" s="5">
        <f>AH8*$J$27</f>
        <v>247.16475000000003</v>
      </c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"/>
      <c r="BE21" s="6" t="s">
        <v>1</v>
      </c>
      <c r="BF21" s="109">
        <v>0</v>
      </c>
      <c r="BG21" s="109">
        <v>284.35086800000005</v>
      </c>
      <c r="BH21" s="109">
        <v>853.05260400000009</v>
      </c>
    </row>
    <row r="22" spans="2:60" x14ac:dyDescent="0.2">
      <c r="B22" s="8"/>
      <c r="C22" s="46" t="s">
        <v>133</v>
      </c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"/>
      <c r="P22" s="6" t="s">
        <v>2</v>
      </c>
      <c r="Q22" s="218"/>
      <c r="R22" s="218"/>
      <c r="S22" s="215"/>
      <c r="T22" s="5">
        <f>$X$22*10%</f>
        <v>5.8274369999999998</v>
      </c>
      <c r="U22" s="5">
        <f>$X$22*20%</f>
        <v>11.654874</v>
      </c>
      <c r="V22" s="5">
        <f>$X$22*30%</f>
        <v>17.482310999999996</v>
      </c>
      <c r="W22" s="5">
        <f>$X$22*40%</f>
        <v>23.309747999999999</v>
      </c>
      <c r="X22" s="5">
        <f>X9*$J$27</f>
        <v>58.27436999999999</v>
      </c>
      <c r="Y22" s="5">
        <f>$AC22*25%</f>
        <v>40.468312500000003</v>
      </c>
      <c r="Z22" s="5">
        <f t="shared" ref="Z22:AB22" si="20">$AC22*25%</f>
        <v>40.468312500000003</v>
      </c>
      <c r="AA22" s="5">
        <f t="shared" si="20"/>
        <v>40.468312500000003</v>
      </c>
      <c r="AB22" s="5">
        <f t="shared" si="20"/>
        <v>40.468312500000003</v>
      </c>
      <c r="AC22" s="5">
        <f>AC9*$J$27</f>
        <v>161.87325000000001</v>
      </c>
      <c r="AD22" s="5">
        <f>$AH$22*25%</f>
        <v>80.936625000000006</v>
      </c>
      <c r="AE22" s="5">
        <f t="shared" ref="AE22:AG22" si="21">$AH$22*25%</f>
        <v>80.936625000000006</v>
      </c>
      <c r="AF22" s="5">
        <f t="shared" si="21"/>
        <v>80.936625000000006</v>
      </c>
      <c r="AG22" s="5">
        <f t="shared" si="21"/>
        <v>80.936625000000006</v>
      </c>
      <c r="AH22" s="5">
        <f>AH9*$J$27</f>
        <v>323.74650000000003</v>
      </c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"/>
      <c r="BF22" s="109"/>
      <c r="BG22" s="109"/>
      <c r="BH22" s="109"/>
    </row>
    <row r="23" spans="2:60" x14ac:dyDescent="0.2">
      <c r="B23" s="8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"/>
      <c r="P23" s="6" t="s">
        <v>1</v>
      </c>
      <c r="Q23" s="218"/>
      <c r="R23" s="218"/>
      <c r="S23" s="215"/>
      <c r="T23" s="5">
        <f>$X$23*10%</f>
        <v>0</v>
      </c>
      <c r="U23" s="5">
        <f>$X$23*20%</f>
        <v>0</v>
      </c>
      <c r="V23" s="5">
        <f>$X$23*30%</f>
        <v>0</v>
      </c>
      <c r="W23" s="5">
        <f>$X$23*40%</f>
        <v>0</v>
      </c>
      <c r="X23" s="5">
        <f>X10*$J$27</f>
        <v>0</v>
      </c>
      <c r="Y23" s="5">
        <f>$AC23*10%</f>
        <v>11.157265000000002</v>
      </c>
      <c r="Z23" s="5">
        <f>$AC23*20%</f>
        <v>22.314530000000005</v>
      </c>
      <c r="AA23" s="5">
        <f>$AC23*30%</f>
        <v>33.471795</v>
      </c>
      <c r="AB23" s="5">
        <f>$AC23*40%</f>
        <v>44.62906000000001</v>
      </c>
      <c r="AC23" s="5">
        <f>AC10*$J$27</f>
        <v>111.57265000000001</v>
      </c>
      <c r="AD23" s="5">
        <f>$AH$23*25%</f>
        <v>100.415385</v>
      </c>
      <c r="AE23" s="5">
        <f t="shared" ref="AE23:AG23" si="22">$AH$23*25%</f>
        <v>100.415385</v>
      </c>
      <c r="AF23" s="5">
        <f t="shared" si="22"/>
        <v>100.415385</v>
      </c>
      <c r="AG23" s="5">
        <f t="shared" si="22"/>
        <v>100.415385</v>
      </c>
      <c r="AH23" s="5">
        <f>AH10*$J$27</f>
        <v>401.66154</v>
      </c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"/>
    </row>
    <row r="24" spans="2:60" x14ac:dyDescent="0.2">
      <c r="B24" s="8"/>
      <c r="C24" s="73" t="s">
        <v>59</v>
      </c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61"/>
      <c r="P24" s="6" t="s">
        <v>102</v>
      </c>
      <c r="Q24" s="218"/>
      <c r="R24" s="218"/>
      <c r="S24" s="215"/>
      <c r="T24" s="5">
        <f>$X$24*10%</f>
        <v>0</v>
      </c>
      <c r="U24" s="5">
        <f>X24*20%</f>
        <v>0</v>
      </c>
      <c r="V24" s="5">
        <f>X24*30%</f>
        <v>0</v>
      </c>
      <c r="W24" s="5">
        <f>$X$24*40%</f>
        <v>0</v>
      </c>
      <c r="X24" s="5">
        <f>X11*$J$27</f>
        <v>0</v>
      </c>
      <c r="Y24" s="5">
        <f>$AC24*10%</f>
        <v>3.90747</v>
      </c>
      <c r="Z24" s="5">
        <f>$AC24*20%</f>
        <v>7.81494</v>
      </c>
      <c r="AA24" s="5">
        <f>$AC24*30%</f>
        <v>11.72241</v>
      </c>
      <c r="AB24" s="5">
        <f>$AC24*40%</f>
        <v>15.62988</v>
      </c>
      <c r="AC24" s="5">
        <f>AC11*$J$27</f>
        <v>39.0747</v>
      </c>
      <c r="AD24" s="5">
        <f>$AH24*25%</f>
        <v>19.53735</v>
      </c>
      <c r="AE24" s="5">
        <f>$AH24*25%</f>
        <v>19.53735</v>
      </c>
      <c r="AF24" s="5">
        <f>$AH24*25%</f>
        <v>19.53735</v>
      </c>
      <c r="AG24" s="5">
        <f>$AH24*25%</f>
        <v>19.53735</v>
      </c>
      <c r="AH24" s="5">
        <f>AH11*$J$27</f>
        <v>78.1494</v>
      </c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"/>
    </row>
    <row r="25" spans="2:60" ht="17" x14ac:dyDescent="0.2">
      <c r="B25" s="8"/>
      <c r="C25" s="46" t="s">
        <v>108</v>
      </c>
      <c r="D25" s="46"/>
      <c r="E25" s="46"/>
      <c r="F25" s="43">
        <f>2%</f>
        <v>0.02</v>
      </c>
      <c r="G25" s="46" t="s">
        <v>141</v>
      </c>
      <c r="H25" s="99">
        <v>8</v>
      </c>
      <c r="I25" s="46"/>
      <c r="J25" s="46"/>
      <c r="K25" s="46"/>
      <c r="L25" s="46"/>
      <c r="M25" s="46"/>
      <c r="N25" s="4"/>
      <c r="P25" s="6" t="str">
        <f>C37</f>
        <v>Country 1</v>
      </c>
      <c r="Q25" s="218"/>
      <c r="R25" s="218"/>
      <c r="S25" s="215"/>
      <c r="T25" s="5">
        <f>X25*10%</f>
        <v>0</v>
      </c>
      <c r="U25" s="5">
        <f>X25*20%</f>
        <v>0</v>
      </c>
      <c r="V25" s="5">
        <f t="shared" ref="V25:V28" si="23">X25*30%</f>
        <v>0</v>
      </c>
      <c r="W25" s="5">
        <f t="shared" ref="W25:W28" si="24">$X$24*40%</f>
        <v>0</v>
      </c>
      <c r="X25" s="5">
        <f t="shared" ref="X25:X28" si="25">X12*$J$27</f>
        <v>0</v>
      </c>
      <c r="Y25" s="5">
        <f t="shared" ref="Y25:Y28" si="26">$AC25*10%</f>
        <v>2.0370000000000004</v>
      </c>
      <c r="Z25" s="5">
        <f t="shared" ref="Z25:Z28" si="27">$AC25*20%</f>
        <v>4.0740000000000007</v>
      </c>
      <c r="AA25" s="5">
        <f t="shared" ref="AA25:AA28" si="28">$AC25*30%</f>
        <v>6.1110000000000015</v>
      </c>
      <c r="AB25" s="5">
        <f t="shared" ref="AB25:AB28" si="29">$AC25*40%</f>
        <v>8.1480000000000015</v>
      </c>
      <c r="AC25" s="5">
        <f t="shared" ref="AC25:AC28" si="30">AC12*$J$27</f>
        <v>20.370000000000005</v>
      </c>
      <c r="AD25" s="5">
        <f t="shared" ref="AD25:AG28" si="31">$AH25*25%</f>
        <v>20.370000000000005</v>
      </c>
      <c r="AE25" s="5">
        <f t="shared" si="31"/>
        <v>20.370000000000005</v>
      </c>
      <c r="AF25" s="5">
        <f t="shared" si="31"/>
        <v>20.370000000000005</v>
      </c>
      <c r="AG25" s="5">
        <f t="shared" si="31"/>
        <v>20.370000000000005</v>
      </c>
      <c r="AH25" s="5">
        <f t="shared" ref="AH25:AH28" si="32">AH12*$J$27</f>
        <v>81.480000000000018</v>
      </c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"/>
    </row>
    <row r="26" spans="2:60" x14ac:dyDescent="0.2">
      <c r="B26" s="8"/>
      <c r="C26" s="46" t="s">
        <v>109</v>
      </c>
      <c r="D26" s="46"/>
      <c r="E26" s="46"/>
      <c r="F26" s="43">
        <f>6%</f>
        <v>0.06</v>
      </c>
      <c r="G26" s="46"/>
      <c r="H26" s="46"/>
      <c r="I26" s="46"/>
      <c r="J26" s="46"/>
      <c r="K26" s="46"/>
      <c r="L26" s="46"/>
      <c r="M26" s="46"/>
      <c r="N26" s="4"/>
      <c r="P26" s="6" t="str">
        <f t="shared" ref="P26:P28" si="33">C38</f>
        <v>Country 2</v>
      </c>
      <c r="Q26" s="218"/>
      <c r="R26" s="218"/>
      <c r="S26" s="215"/>
      <c r="T26" s="5">
        <f t="shared" ref="T26:T28" si="34">X26*10%</f>
        <v>0</v>
      </c>
      <c r="U26" s="5">
        <f t="shared" ref="U26:U28" si="35">X26*20%</f>
        <v>0</v>
      </c>
      <c r="V26" s="5">
        <f t="shared" si="23"/>
        <v>0</v>
      </c>
      <c r="W26" s="5">
        <f t="shared" si="24"/>
        <v>0</v>
      </c>
      <c r="X26" s="5">
        <f t="shared" si="25"/>
        <v>0</v>
      </c>
      <c r="Y26" s="5">
        <f t="shared" si="26"/>
        <v>0</v>
      </c>
      <c r="Z26" s="5">
        <f t="shared" si="27"/>
        <v>0</v>
      </c>
      <c r="AA26" s="5">
        <f t="shared" si="28"/>
        <v>0</v>
      </c>
      <c r="AB26" s="5">
        <f t="shared" si="29"/>
        <v>0</v>
      </c>
      <c r="AC26" s="5">
        <f t="shared" si="30"/>
        <v>0</v>
      </c>
      <c r="AD26" s="5">
        <f t="shared" si="31"/>
        <v>0</v>
      </c>
      <c r="AE26" s="5">
        <f t="shared" si="31"/>
        <v>0</v>
      </c>
      <c r="AF26" s="5">
        <f t="shared" si="31"/>
        <v>0</v>
      </c>
      <c r="AG26" s="5">
        <f t="shared" si="31"/>
        <v>0</v>
      </c>
      <c r="AH26" s="5">
        <f t="shared" si="32"/>
        <v>0</v>
      </c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"/>
    </row>
    <row r="27" spans="2:60" x14ac:dyDescent="0.2">
      <c r="B27" s="8"/>
      <c r="C27" s="46" t="s">
        <v>110</v>
      </c>
      <c r="D27" s="46"/>
      <c r="E27" s="46"/>
      <c r="F27" s="43">
        <f>50%</f>
        <v>0.5</v>
      </c>
      <c r="G27" s="46"/>
      <c r="H27" s="46" t="s">
        <v>111</v>
      </c>
      <c r="I27" s="46"/>
      <c r="J27" s="71">
        <v>0.1</v>
      </c>
      <c r="K27" s="46"/>
      <c r="L27" s="46"/>
      <c r="M27" s="46"/>
      <c r="N27" s="4"/>
      <c r="P27" s="6" t="str">
        <f t="shared" si="33"/>
        <v>Country 3</v>
      </c>
      <c r="Q27" s="218"/>
      <c r="R27" s="218"/>
      <c r="S27" s="215"/>
      <c r="T27" s="5">
        <f t="shared" si="34"/>
        <v>0</v>
      </c>
      <c r="U27" s="5">
        <f t="shared" si="35"/>
        <v>0</v>
      </c>
      <c r="V27" s="5">
        <f t="shared" si="23"/>
        <v>0</v>
      </c>
      <c r="W27" s="5">
        <f t="shared" si="24"/>
        <v>0</v>
      </c>
      <c r="X27" s="5">
        <f t="shared" si="25"/>
        <v>0</v>
      </c>
      <c r="Y27" s="5">
        <f t="shared" si="26"/>
        <v>0</v>
      </c>
      <c r="Z27" s="5">
        <f t="shared" si="27"/>
        <v>0</v>
      </c>
      <c r="AA27" s="5">
        <f t="shared" si="28"/>
        <v>0</v>
      </c>
      <c r="AB27" s="5">
        <f t="shared" si="29"/>
        <v>0</v>
      </c>
      <c r="AC27" s="5">
        <f t="shared" si="30"/>
        <v>0</v>
      </c>
      <c r="AD27" s="5">
        <f t="shared" si="31"/>
        <v>0</v>
      </c>
      <c r="AE27" s="5">
        <f t="shared" si="31"/>
        <v>0</v>
      </c>
      <c r="AF27" s="5">
        <f t="shared" si="31"/>
        <v>0</v>
      </c>
      <c r="AG27" s="5">
        <f t="shared" si="31"/>
        <v>0</v>
      </c>
      <c r="AH27" s="5">
        <f t="shared" si="32"/>
        <v>0</v>
      </c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"/>
    </row>
    <row r="28" spans="2:60" x14ac:dyDescent="0.2">
      <c r="B28" s="8"/>
      <c r="C28" s="97" t="s">
        <v>143</v>
      </c>
      <c r="D28" s="97"/>
      <c r="E28" s="46"/>
      <c r="F28" s="106">
        <v>4.4999999999999998E-2</v>
      </c>
      <c r="G28" s="46"/>
      <c r="H28" s="46"/>
      <c r="I28" s="46"/>
      <c r="J28" s="46"/>
      <c r="K28" s="46"/>
      <c r="L28" s="46"/>
      <c r="M28" s="46"/>
      <c r="N28" s="4"/>
      <c r="P28" s="6" t="str">
        <f t="shared" si="33"/>
        <v>Country 4</v>
      </c>
      <c r="Q28" s="218"/>
      <c r="R28" s="218"/>
      <c r="S28" s="215"/>
      <c r="T28" s="5">
        <f t="shared" si="34"/>
        <v>0</v>
      </c>
      <c r="U28" s="5">
        <f t="shared" si="35"/>
        <v>0</v>
      </c>
      <c r="V28" s="5">
        <f t="shared" si="23"/>
        <v>0</v>
      </c>
      <c r="W28" s="5">
        <f t="shared" si="24"/>
        <v>0</v>
      </c>
      <c r="X28" s="5">
        <f t="shared" si="25"/>
        <v>0</v>
      </c>
      <c r="Y28" s="5">
        <f t="shared" si="26"/>
        <v>0</v>
      </c>
      <c r="Z28" s="5">
        <f t="shared" si="27"/>
        <v>0</v>
      </c>
      <c r="AA28" s="5">
        <f t="shared" si="28"/>
        <v>0</v>
      </c>
      <c r="AB28" s="5">
        <f t="shared" si="29"/>
        <v>0</v>
      </c>
      <c r="AC28" s="5">
        <f t="shared" si="30"/>
        <v>0</v>
      </c>
      <c r="AD28" s="5">
        <f t="shared" si="31"/>
        <v>0</v>
      </c>
      <c r="AE28" s="5">
        <f t="shared" si="31"/>
        <v>0</v>
      </c>
      <c r="AF28" s="5">
        <f t="shared" si="31"/>
        <v>0</v>
      </c>
      <c r="AG28" s="5">
        <f t="shared" si="31"/>
        <v>0</v>
      </c>
      <c r="AH28" s="5">
        <f t="shared" si="32"/>
        <v>0</v>
      </c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"/>
    </row>
    <row r="29" spans="2:60" x14ac:dyDescent="0.2">
      <c r="B29" s="8"/>
      <c r="C29" s="46" t="s">
        <v>112</v>
      </c>
      <c r="D29" s="46"/>
      <c r="E29" s="46"/>
      <c r="F29" s="71">
        <v>0.5</v>
      </c>
      <c r="G29" s="46"/>
      <c r="H29" s="46"/>
      <c r="I29" s="46"/>
      <c r="J29" s="46"/>
      <c r="K29" s="46"/>
      <c r="L29" s="46"/>
      <c r="M29" s="46"/>
      <c r="N29" s="4"/>
      <c r="P29" s="243" t="s">
        <v>101</v>
      </c>
      <c r="Q29" s="46"/>
      <c r="R29" s="46"/>
      <c r="S29" s="46"/>
      <c r="T29" s="5">
        <f ca="1">SUM(T20:T29)</f>
        <v>0</v>
      </c>
      <c r="U29" s="5">
        <f t="shared" ref="U29:W29" si="36">SUM(U20:U24)</f>
        <v>20.428394000000001</v>
      </c>
      <c r="V29" s="5">
        <f t="shared" si="36"/>
        <v>30.642590999999996</v>
      </c>
      <c r="W29" s="5">
        <f t="shared" si="36"/>
        <v>40.856788000000002</v>
      </c>
      <c r="X29" s="5">
        <f>SUM(X20:X28)</f>
        <v>102.14196999999999</v>
      </c>
      <c r="Y29" s="5">
        <f>SUM(Y20:Y28)</f>
        <v>86.369535000000027</v>
      </c>
      <c r="Z29" s="5">
        <f t="shared" ref="Z29:AB29" si="37">SUM(Z20:Z28)</f>
        <v>110.3369575</v>
      </c>
      <c r="AA29" s="5">
        <f t="shared" si="37"/>
        <v>134.30438000000001</v>
      </c>
      <c r="AB29" s="5">
        <f t="shared" si="37"/>
        <v>158.27180250000001</v>
      </c>
      <c r="AC29" s="5">
        <f>SUM(AC20:AC28)</f>
        <v>489.28267500000004</v>
      </c>
      <c r="AD29" s="5">
        <f t="shared" ref="AD29:AH29" si="38">SUM(AD20:AD28)</f>
        <v>326.91814750000003</v>
      </c>
      <c r="AE29" s="5">
        <f t="shared" si="38"/>
        <v>326.91814750000003</v>
      </c>
      <c r="AF29" s="5">
        <f t="shared" si="38"/>
        <v>326.91814750000003</v>
      </c>
      <c r="AG29" s="5">
        <f t="shared" si="38"/>
        <v>326.91814750000003</v>
      </c>
      <c r="AH29" s="5">
        <f t="shared" si="38"/>
        <v>1307.6725900000001</v>
      </c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"/>
      <c r="BF29" s="109" t="s">
        <v>192</v>
      </c>
      <c r="BG29" s="109" t="s">
        <v>194</v>
      </c>
      <c r="BH29" s="109" t="s">
        <v>195</v>
      </c>
    </row>
    <row r="30" spans="2:60" x14ac:dyDescent="0.2">
      <c r="B30" s="8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"/>
      <c r="P30" s="8"/>
      <c r="Q30" s="46"/>
      <c r="R30" s="46"/>
      <c r="S30" s="46"/>
      <c r="T30" s="188"/>
      <c r="U30" s="188"/>
      <c r="V30" s="188"/>
      <c r="W30" s="188"/>
      <c r="X30" s="188"/>
      <c r="Y30" s="188"/>
      <c r="Z30" s="188"/>
      <c r="AA30" s="188"/>
      <c r="AB30" s="188"/>
      <c r="AC30" s="188"/>
      <c r="AD30" s="188"/>
      <c r="AE30" s="188"/>
      <c r="AF30" s="188"/>
      <c r="AG30" s="188"/>
      <c r="AH30" s="188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"/>
      <c r="BF30" s="109"/>
      <c r="BG30" s="109"/>
      <c r="BH30" s="109"/>
    </row>
    <row r="31" spans="2:60" ht="64" x14ac:dyDescent="0.2">
      <c r="B31" s="8"/>
      <c r="C31" s="46"/>
      <c r="D31" s="46"/>
      <c r="E31" s="40" t="s">
        <v>167</v>
      </c>
      <c r="F31" s="40" t="s">
        <v>54</v>
      </c>
      <c r="G31" s="40" t="s">
        <v>166</v>
      </c>
      <c r="H31" s="40" t="s">
        <v>53</v>
      </c>
      <c r="I31" s="40" t="s">
        <v>165</v>
      </c>
      <c r="J31" s="40" t="s">
        <v>52</v>
      </c>
      <c r="K31" s="40" t="s">
        <v>51</v>
      </c>
      <c r="L31" s="39" t="s">
        <v>50</v>
      </c>
      <c r="M31" s="63" t="s">
        <v>49</v>
      </c>
      <c r="N31" s="38" t="s">
        <v>48</v>
      </c>
      <c r="P31" s="8"/>
      <c r="Q31" s="46"/>
      <c r="R31" s="46"/>
      <c r="S31" s="46"/>
      <c r="T31" s="188"/>
      <c r="U31" s="188"/>
      <c r="V31" s="188"/>
      <c r="W31" s="188"/>
      <c r="X31" s="188"/>
      <c r="Y31" s="188"/>
      <c r="Z31" s="188"/>
      <c r="AA31" s="188"/>
      <c r="AB31" s="188"/>
      <c r="AC31" s="188"/>
      <c r="AD31" s="188"/>
      <c r="AE31" s="188"/>
      <c r="AF31" s="188"/>
      <c r="AG31" s="188"/>
      <c r="AH31" s="188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"/>
      <c r="BF31" s="109"/>
      <c r="BG31" s="109"/>
      <c r="BH31" s="109"/>
    </row>
    <row r="32" spans="2:60" x14ac:dyDescent="0.2">
      <c r="B32" s="8"/>
      <c r="C32" s="27" t="s">
        <v>4</v>
      </c>
      <c r="D32" s="27"/>
      <c r="E32" s="87">
        <v>64423</v>
      </c>
      <c r="F32" s="87">
        <f t="shared" ref="F32:F37" si="39">(E32-G32)*$F$13</f>
        <v>21933.8</v>
      </c>
      <c r="G32" s="87">
        <v>1755</v>
      </c>
      <c r="H32" s="87">
        <f t="shared" ref="H32:H37" si="40">G32+F32</f>
        <v>23688.799999999999</v>
      </c>
      <c r="I32" s="101">
        <v>103</v>
      </c>
      <c r="J32" s="87">
        <f>E32/I32</f>
        <v>625.46601941747576</v>
      </c>
      <c r="K32" s="87">
        <f>J32*($F$13-5%)</f>
        <v>187.63980582524272</v>
      </c>
      <c r="L32" s="87">
        <f>G32/I32</f>
        <v>17.038834951456312</v>
      </c>
      <c r="M32" s="89"/>
      <c r="N32" s="90"/>
      <c r="P32" s="6" t="s">
        <v>135</v>
      </c>
      <c r="Q32" s="46"/>
      <c r="R32" s="46"/>
      <c r="S32" s="46"/>
      <c r="T32" s="252" t="s">
        <v>191</v>
      </c>
      <c r="U32" s="253"/>
      <c r="V32" s="253"/>
      <c r="W32" s="254"/>
      <c r="X32" s="123" t="s">
        <v>192</v>
      </c>
      <c r="Y32" s="268" t="s">
        <v>193</v>
      </c>
      <c r="Z32" s="269"/>
      <c r="AA32" s="269"/>
      <c r="AB32" s="269"/>
      <c r="AC32" s="123" t="s">
        <v>194</v>
      </c>
      <c r="AD32" s="268" t="s">
        <v>5</v>
      </c>
      <c r="AE32" s="269"/>
      <c r="AF32" s="269"/>
      <c r="AG32" s="269"/>
      <c r="AH32" s="123" t="s">
        <v>195</v>
      </c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"/>
      <c r="BE32" s="6" t="s">
        <v>4</v>
      </c>
      <c r="BF32" s="109">
        <v>0</v>
      </c>
      <c r="BG32" s="109">
        <v>50.309870400000001</v>
      </c>
      <c r="BH32" s="109">
        <v>125.774676</v>
      </c>
    </row>
    <row r="33" spans="2:60" x14ac:dyDescent="0.2">
      <c r="B33" s="8"/>
      <c r="C33" s="27" t="s">
        <v>3</v>
      </c>
      <c r="D33" s="27"/>
      <c r="E33" s="87">
        <v>399865</v>
      </c>
      <c r="F33" s="87">
        <f t="shared" si="39"/>
        <v>137313.75</v>
      </c>
      <c r="G33" s="87">
        <v>7540</v>
      </c>
      <c r="H33" s="87">
        <f t="shared" si="40"/>
        <v>144853.75</v>
      </c>
      <c r="I33" s="87">
        <v>822</v>
      </c>
      <c r="J33" s="87">
        <f>E33/I33</f>
        <v>486.45377128953771</v>
      </c>
      <c r="K33" s="87">
        <f>J33*($F$13-5%)</f>
        <v>145.93613138686132</v>
      </c>
      <c r="L33" s="87">
        <f>G33/I33</f>
        <v>9.1727493917274945</v>
      </c>
      <c r="M33" s="91"/>
      <c r="N33" s="92"/>
      <c r="P33" s="8"/>
      <c r="Q33" s="46"/>
      <c r="R33" s="46"/>
      <c r="S33" s="46"/>
      <c r="T33" s="218" t="s">
        <v>92</v>
      </c>
      <c r="U33" s="218" t="s">
        <v>93</v>
      </c>
      <c r="V33" s="218" t="s">
        <v>94</v>
      </c>
      <c r="W33" s="218" t="s">
        <v>95</v>
      </c>
      <c r="X33" s="49" t="s">
        <v>173</v>
      </c>
      <c r="Y33" s="218" t="s">
        <v>92</v>
      </c>
      <c r="Z33" s="218" t="s">
        <v>93</v>
      </c>
      <c r="AA33" s="218" t="s">
        <v>94</v>
      </c>
      <c r="AB33" s="218" t="s">
        <v>95</v>
      </c>
      <c r="AC33" s="49" t="s">
        <v>174</v>
      </c>
      <c r="AD33" s="218" t="s">
        <v>92</v>
      </c>
      <c r="AE33" s="218" t="s">
        <v>93</v>
      </c>
      <c r="AF33" s="218" t="s">
        <v>94</v>
      </c>
      <c r="AG33" s="218" t="s">
        <v>95</v>
      </c>
      <c r="AH33" s="49" t="s">
        <v>175</v>
      </c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"/>
      <c r="BE33" s="6" t="s">
        <v>3</v>
      </c>
      <c r="BF33" s="109">
        <v>0</v>
      </c>
      <c r="BG33" s="109">
        <v>78.739627499999997</v>
      </c>
      <c r="BH33" s="109">
        <v>236.21888250000001</v>
      </c>
    </row>
    <row r="34" spans="2:60" x14ac:dyDescent="0.2">
      <c r="B34" s="8"/>
      <c r="C34" s="27" t="s">
        <v>2</v>
      </c>
      <c r="D34" s="27"/>
      <c r="E34" s="87">
        <v>192548</v>
      </c>
      <c r="F34" s="87">
        <f t="shared" si="39"/>
        <v>64749.299999999996</v>
      </c>
      <c r="G34" s="87">
        <v>7550</v>
      </c>
      <c r="H34" s="87">
        <f t="shared" si="40"/>
        <v>72299.299999999988</v>
      </c>
      <c r="I34" s="101">
        <v>1055</v>
      </c>
      <c r="J34" s="87">
        <f>E34/I34</f>
        <v>182.50995260663507</v>
      </c>
      <c r="K34" s="87">
        <f>J34*($F$13-5%)</f>
        <v>54.752985781990517</v>
      </c>
      <c r="L34" s="87">
        <f>G34/I34</f>
        <v>7.1563981042654028</v>
      </c>
      <c r="M34" s="91"/>
      <c r="N34" s="92"/>
      <c r="P34" s="6" t="s">
        <v>4</v>
      </c>
      <c r="Q34" s="218"/>
      <c r="R34" s="218"/>
      <c r="S34" s="218"/>
      <c r="T34" s="17">
        <v>0</v>
      </c>
      <c r="U34" s="17">
        <v>0</v>
      </c>
      <c r="V34" s="17">
        <v>0</v>
      </c>
      <c r="W34" s="17">
        <v>0</v>
      </c>
      <c r="X34" s="5">
        <v>0</v>
      </c>
      <c r="Y34" s="5">
        <f>$AC$34*10%</f>
        <v>3.9480840000000001</v>
      </c>
      <c r="Z34" s="5">
        <f>$AC34*20%</f>
        <v>7.8961680000000003</v>
      </c>
      <c r="AA34" s="5">
        <f>$AC34*30%</f>
        <v>11.844251999999999</v>
      </c>
      <c r="AB34" s="5">
        <f>$AC34*40%</f>
        <v>15.792336000000001</v>
      </c>
      <c r="AC34" s="5">
        <f>AC7*$F$28</f>
        <v>39.480840000000001</v>
      </c>
      <c r="AD34" s="5">
        <f>$AH$34*25%</f>
        <v>19.74042</v>
      </c>
      <c r="AE34" s="5">
        <f t="shared" ref="AE34:AG34" si="41">$AH$34*25%</f>
        <v>19.74042</v>
      </c>
      <c r="AF34" s="5">
        <f t="shared" si="41"/>
        <v>19.74042</v>
      </c>
      <c r="AG34" s="5">
        <f t="shared" si="41"/>
        <v>19.74042</v>
      </c>
      <c r="AH34" s="5">
        <f>AH7*$F$28</f>
        <v>78.961680000000001</v>
      </c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"/>
      <c r="BE34" s="6" t="s">
        <v>2</v>
      </c>
      <c r="BF34" s="109">
        <v>0</v>
      </c>
      <c r="BG34" s="109">
        <v>55.693647899999995</v>
      </c>
      <c r="BH34" s="109">
        <v>185.64549300000002</v>
      </c>
    </row>
    <row r="35" spans="2:60" ht="17.25" customHeight="1" x14ac:dyDescent="0.2">
      <c r="B35" s="8"/>
      <c r="C35" s="27" t="s">
        <v>1</v>
      </c>
      <c r="D35" s="182"/>
      <c r="E35" s="88">
        <v>661448</v>
      </c>
      <c r="F35" s="87">
        <f t="shared" si="39"/>
        <v>223145.3</v>
      </c>
      <c r="G35" s="88">
        <v>23890</v>
      </c>
      <c r="H35" s="88">
        <f t="shared" si="40"/>
        <v>247035.3</v>
      </c>
      <c r="I35" s="88">
        <v>1925</v>
      </c>
      <c r="J35" s="88">
        <f>E35/I35</f>
        <v>343.60935064935063</v>
      </c>
      <c r="K35" s="88">
        <f>J35*($F$13-5%)</f>
        <v>103.08280519480519</v>
      </c>
      <c r="L35" s="88">
        <f>G35/I35</f>
        <v>12.410389610389611</v>
      </c>
      <c r="M35" s="91"/>
      <c r="N35" s="92"/>
      <c r="P35" s="6" t="s">
        <v>3</v>
      </c>
      <c r="Q35" s="218"/>
      <c r="R35" s="218"/>
      <c r="S35" s="218"/>
      <c r="T35" s="17">
        <v>0</v>
      </c>
      <c r="U35" s="17">
        <v>0</v>
      </c>
      <c r="V35" s="17">
        <v>0</v>
      </c>
      <c r="W35" s="17">
        <v>0</v>
      </c>
      <c r="X35" s="5">
        <f>X8*$F$28</f>
        <v>0</v>
      </c>
      <c r="Y35" s="5">
        <f t="shared" ref="Y35:Y42" si="42">AC35*10%</f>
        <v>3.0895593750000003</v>
      </c>
      <c r="Z35" s="5">
        <f t="shared" ref="Z35:Z42" si="43">$AC35*20%</f>
        <v>6.1791187500000007</v>
      </c>
      <c r="AA35" s="5">
        <f t="shared" ref="AA35:AA42" si="44">$AC35*30%</f>
        <v>9.2686781249999992</v>
      </c>
      <c r="AB35" s="5">
        <f t="shared" ref="AB35:AB42" si="45">$AC35*40%</f>
        <v>12.358237500000001</v>
      </c>
      <c r="AC35" s="5">
        <f>AC8*$F$28</f>
        <v>30.89559375</v>
      </c>
      <c r="AD35" s="5">
        <f>$AH$35*25%</f>
        <v>27.806034374999999</v>
      </c>
      <c r="AE35" s="5">
        <f t="shared" ref="AE35:AG35" si="46">$AH$35*25%</f>
        <v>27.806034374999999</v>
      </c>
      <c r="AF35" s="5">
        <f t="shared" si="46"/>
        <v>27.806034374999999</v>
      </c>
      <c r="AG35" s="5">
        <f t="shared" si="46"/>
        <v>27.806034374999999</v>
      </c>
      <c r="AH35" s="5">
        <f>AH8*$F$28</f>
        <v>111.2241375</v>
      </c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"/>
      <c r="BE35" s="6" t="s">
        <v>1</v>
      </c>
      <c r="BF35" s="109">
        <v>0</v>
      </c>
      <c r="BG35" s="109">
        <v>127.95789060000001</v>
      </c>
      <c r="BH35" s="109">
        <v>383.87367180000001</v>
      </c>
    </row>
    <row r="36" spans="2:60" x14ac:dyDescent="0.2">
      <c r="B36" s="8"/>
      <c r="C36" s="182" t="s">
        <v>102</v>
      </c>
      <c r="D36" s="182"/>
      <c r="E36" s="88">
        <v>56886</v>
      </c>
      <c r="F36" s="88">
        <f t="shared" si="39"/>
        <v>19537.349999999999</v>
      </c>
      <c r="G36" s="88">
        <v>1065</v>
      </c>
      <c r="H36" s="88">
        <f t="shared" si="40"/>
        <v>20602.349999999999</v>
      </c>
      <c r="I36" s="88">
        <v>545</v>
      </c>
      <c r="J36" s="88">
        <f>E36/I36</f>
        <v>104.37798165137615</v>
      </c>
      <c r="K36" s="88">
        <f>J36*($F$13-5%)</f>
        <v>31.313394495412844</v>
      </c>
      <c r="L36" s="88">
        <f>G36/I36</f>
        <v>1.9541284403669725</v>
      </c>
      <c r="M36" s="91"/>
      <c r="N36" s="92"/>
      <c r="P36" s="6" t="s">
        <v>2</v>
      </c>
      <c r="Q36" s="218"/>
      <c r="R36" s="218"/>
      <c r="S36" s="218"/>
      <c r="T36" s="17">
        <v>0</v>
      </c>
      <c r="U36" s="17">
        <v>0</v>
      </c>
      <c r="V36" s="17">
        <v>0</v>
      </c>
      <c r="W36" s="17">
        <v>0</v>
      </c>
      <c r="X36" s="5">
        <v>0</v>
      </c>
      <c r="Y36" s="5">
        <f t="shared" si="42"/>
        <v>7.2842962500000006</v>
      </c>
      <c r="Z36" s="5">
        <f t="shared" si="43"/>
        <v>14.568592500000001</v>
      </c>
      <c r="AA36" s="5">
        <f t="shared" si="44"/>
        <v>21.852888749999998</v>
      </c>
      <c r="AB36" s="5">
        <f t="shared" si="45"/>
        <v>29.137185000000002</v>
      </c>
      <c r="AC36" s="5">
        <f>AC9*$F$28</f>
        <v>72.842962499999999</v>
      </c>
      <c r="AD36" s="5">
        <f>$AH$36*25%</f>
        <v>36.421481249999999</v>
      </c>
      <c r="AE36" s="5">
        <f t="shared" ref="AE36:AG36" si="47">$AH$36*25%</f>
        <v>36.421481249999999</v>
      </c>
      <c r="AF36" s="5">
        <f t="shared" si="47"/>
        <v>36.421481249999999</v>
      </c>
      <c r="AG36" s="5">
        <f t="shared" si="47"/>
        <v>36.421481249999999</v>
      </c>
      <c r="AH36" s="5">
        <f>AH9*$F$28</f>
        <v>145.685925</v>
      </c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"/>
    </row>
    <row r="37" spans="2:60" x14ac:dyDescent="0.2">
      <c r="B37" s="8"/>
      <c r="C37" s="27" t="s">
        <v>282</v>
      </c>
      <c r="D37" s="27"/>
      <c r="E37" s="238">
        <f>200000</f>
        <v>200000</v>
      </c>
      <c r="F37" s="17">
        <f t="shared" si="39"/>
        <v>67900</v>
      </c>
      <c r="G37" s="238">
        <f>E37*3%</f>
        <v>6000</v>
      </c>
      <c r="H37" s="17">
        <f t="shared" si="40"/>
        <v>73900</v>
      </c>
      <c r="I37" s="27"/>
      <c r="J37" s="27"/>
      <c r="K37" s="27"/>
      <c r="L37" s="27"/>
      <c r="M37" s="46"/>
      <c r="N37" s="4"/>
      <c r="P37" s="6" t="s">
        <v>1</v>
      </c>
      <c r="Q37" s="218"/>
      <c r="R37" s="218"/>
      <c r="S37" s="218"/>
      <c r="T37" s="17">
        <v>0</v>
      </c>
      <c r="U37" s="17">
        <v>0</v>
      </c>
      <c r="V37" s="17">
        <v>0</v>
      </c>
      <c r="W37" s="17">
        <v>0</v>
      </c>
      <c r="X37" s="5">
        <v>0</v>
      </c>
      <c r="Y37" s="5">
        <f t="shared" si="42"/>
        <v>5.0207692500000007</v>
      </c>
      <c r="Z37" s="5">
        <f t="shared" si="43"/>
        <v>10.041538500000001</v>
      </c>
      <c r="AA37" s="5">
        <f t="shared" si="44"/>
        <v>15.062307749999999</v>
      </c>
      <c r="AB37" s="5">
        <f t="shared" si="45"/>
        <v>20.083077000000003</v>
      </c>
      <c r="AC37" s="5">
        <f>AC10*$F$28</f>
        <v>50.2076925</v>
      </c>
      <c r="AD37" s="5">
        <f>$AH$37*25%</f>
        <v>45.186923249999992</v>
      </c>
      <c r="AE37" s="5">
        <f t="shared" ref="AE37:AG37" si="48">$AH$37*25%</f>
        <v>45.186923249999992</v>
      </c>
      <c r="AF37" s="5">
        <f t="shared" si="48"/>
        <v>45.186923249999992</v>
      </c>
      <c r="AG37" s="5">
        <f t="shared" si="48"/>
        <v>45.186923249999992</v>
      </c>
      <c r="AH37" s="5">
        <f>AH10*$F$28</f>
        <v>180.74769299999997</v>
      </c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"/>
    </row>
    <row r="38" spans="2:60" x14ac:dyDescent="0.2">
      <c r="B38" s="8"/>
      <c r="C38" s="27" t="s">
        <v>283</v>
      </c>
      <c r="D38" s="27"/>
      <c r="E38" s="235"/>
      <c r="F38" s="27"/>
      <c r="G38" s="235"/>
      <c r="H38" s="27"/>
      <c r="I38" s="27"/>
      <c r="J38" s="27"/>
      <c r="K38" s="27"/>
      <c r="L38" s="27"/>
      <c r="M38" s="46"/>
      <c r="N38" s="4"/>
      <c r="P38" s="6" t="s">
        <v>102</v>
      </c>
      <c r="Q38" s="218"/>
      <c r="R38" s="218"/>
      <c r="S38" s="218"/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5">
        <f t="shared" si="42"/>
        <v>1.7583614999999999</v>
      </c>
      <c r="Z38" s="5">
        <f t="shared" si="43"/>
        <v>3.5167229999999998</v>
      </c>
      <c r="AA38" s="5">
        <f t="shared" si="44"/>
        <v>5.2750844999999993</v>
      </c>
      <c r="AB38" s="5">
        <f t="shared" si="45"/>
        <v>7.0334459999999996</v>
      </c>
      <c r="AC38" s="5">
        <f>AC11*$F$28</f>
        <v>17.583614999999998</v>
      </c>
      <c r="AD38" s="5">
        <f>$AH38*25%</f>
        <v>8.7918074999999991</v>
      </c>
      <c r="AE38" s="5">
        <f>$AH38*25%</f>
        <v>8.7918074999999991</v>
      </c>
      <c r="AF38" s="5">
        <f>$AH38*25%</f>
        <v>8.7918074999999991</v>
      </c>
      <c r="AG38" s="5">
        <f>$AH38*25%</f>
        <v>8.7918074999999991</v>
      </c>
      <c r="AH38" s="5">
        <f>AH11*$F$28</f>
        <v>35.167229999999996</v>
      </c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4"/>
    </row>
    <row r="39" spans="2:60" x14ac:dyDescent="0.2">
      <c r="B39" s="8"/>
      <c r="C39" s="27" t="s">
        <v>284</v>
      </c>
      <c r="D39" s="27"/>
      <c r="E39" s="235"/>
      <c r="F39" s="27"/>
      <c r="G39" s="235"/>
      <c r="H39" s="27"/>
      <c r="I39" s="27"/>
      <c r="J39" s="27"/>
      <c r="K39" s="27"/>
      <c r="L39" s="27"/>
      <c r="M39" s="46"/>
      <c r="N39" s="4"/>
      <c r="P39" s="6" t="str">
        <f>C37</f>
        <v>Country 1</v>
      </c>
      <c r="Q39" s="218"/>
      <c r="R39" s="218"/>
      <c r="S39" s="218"/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5">
        <f t="shared" si="42"/>
        <v>0.91665000000000019</v>
      </c>
      <c r="Z39" s="5">
        <f t="shared" si="43"/>
        <v>1.8333000000000004</v>
      </c>
      <c r="AA39" s="5">
        <f t="shared" si="44"/>
        <v>2.7499500000000001</v>
      </c>
      <c r="AB39" s="5">
        <f t="shared" si="45"/>
        <v>3.6666000000000007</v>
      </c>
      <c r="AC39" s="5">
        <f t="shared" ref="AC39:AC42" si="49">AC12*$F$28</f>
        <v>9.166500000000001</v>
      </c>
      <c r="AD39" s="5">
        <f t="shared" ref="AD39:AF42" si="50">$AH39*25%</f>
        <v>9.166500000000001</v>
      </c>
      <c r="AE39" s="5">
        <f t="shared" si="50"/>
        <v>9.166500000000001</v>
      </c>
      <c r="AF39" s="5">
        <f t="shared" si="50"/>
        <v>9.166500000000001</v>
      </c>
      <c r="AG39" s="5">
        <f t="shared" ref="AG39:AG42" si="51">$AH39*25%</f>
        <v>9.166500000000001</v>
      </c>
      <c r="AH39" s="5">
        <f t="shared" ref="AH39:AH42" si="52">AH12*$F$28</f>
        <v>36.666000000000004</v>
      </c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"/>
    </row>
    <row r="40" spans="2:60" x14ac:dyDescent="0.2">
      <c r="B40" s="8"/>
      <c r="C40" s="27" t="s">
        <v>285</v>
      </c>
      <c r="D40" s="27"/>
      <c r="E40" s="235"/>
      <c r="F40" s="27"/>
      <c r="G40" s="235"/>
      <c r="H40" s="27"/>
      <c r="I40" s="27"/>
      <c r="J40" s="27"/>
      <c r="K40" s="27"/>
      <c r="L40" s="27"/>
      <c r="M40" s="46"/>
      <c r="N40" s="4"/>
      <c r="P40" s="6" t="str">
        <f t="shared" ref="P40:P42" si="53">C38</f>
        <v>Country 2</v>
      </c>
      <c r="Q40" s="218"/>
      <c r="R40" s="218"/>
      <c r="S40" s="218"/>
      <c r="T40" s="17">
        <v>0</v>
      </c>
      <c r="U40" s="17">
        <v>0</v>
      </c>
      <c r="V40" s="17">
        <v>0</v>
      </c>
      <c r="W40" s="17">
        <v>0</v>
      </c>
      <c r="X40" s="17">
        <v>0</v>
      </c>
      <c r="Y40" s="5">
        <f t="shared" si="42"/>
        <v>0</v>
      </c>
      <c r="Z40" s="5">
        <f t="shared" si="43"/>
        <v>0</v>
      </c>
      <c r="AA40" s="5">
        <f t="shared" si="44"/>
        <v>0</v>
      </c>
      <c r="AB40" s="5">
        <f t="shared" si="45"/>
        <v>0</v>
      </c>
      <c r="AC40" s="5">
        <f t="shared" si="49"/>
        <v>0</v>
      </c>
      <c r="AD40" s="5">
        <f t="shared" si="50"/>
        <v>0</v>
      </c>
      <c r="AE40" s="5">
        <f t="shared" si="50"/>
        <v>0</v>
      </c>
      <c r="AF40" s="5">
        <f t="shared" si="50"/>
        <v>0</v>
      </c>
      <c r="AG40" s="5">
        <f t="shared" si="51"/>
        <v>0</v>
      </c>
      <c r="AH40" s="5">
        <f t="shared" si="52"/>
        <v>0</v>
      </c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4"/>
    </row>
    <row r="41" spans="2:60" x14ac:dyDescent="0.2">
      <c r="B41" s="8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"/>
      <c r="P41" s="6" t="str">
        <f t="shared" si="53"/>
        <v>Country 3</v>
      </c>
      <c r="Q41" s="218"/>
      <c r="R41" s="218"/>
      <c r="S41" s="218"/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5">
        <f t="shared" si="42"/>
        <v>0</v>
      </c>
      <c r="Z41" s="5">
        <f t="shared" si="43"/>
        <v>0</v>
      </c>
      <c r="AA41" s="5">
        <f t="shared" si="44"/>
        <v>0</v>
      </c>
      <c r="AB41" s="5">
        <f t="shared" si="45"/>
        <v>0</v>
      </c>
      <c r="AC41" s="5">
        <f t="shared" si="49"/>
        <v>0</v>
      </c>
      <c r="AD41" s="5">
        <f t="shared" si="50"/>
        <v>0</v>
      </c>
      <c r="AE41" s="5">
        <f t="shared" si="50"/>
        <v>0</v>
      </c>
      <c r="AF41" s="5">
        <f t="shared" si="50"/>
        <v>0</v>
      </c>
      <c r="AG41" s="5">
        <f t="shared" si="51"/>
        <v>0</v>
      </c>
      <c r="AH41" s="5">
        <f t="shared" si="52"/>
        <v>0</v>
      </c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"/>
    </row>
    <row r="42" spans="2:60" x14ac:dyDescent="0.2">
      <c r="B42" s="8"/>
      <c r="C42" s="27" t="s">
        <v>0</v>
      </c>
      <c r="D42" s="27"/>
      <c r="E42" s="87">
        <f>SUM(E32:E40)</f>
        <v>1575170</v>
      </c>
      <c r="F42" s="87">
        <f t="shared" ref="F42:L42" si="54">SUM(F32:F40)</f>
        <v>534579.5</v>
      </c>
      <c r="G42" s="87">
        <f t="shared" si="54"/>
        <v>47800</v>
      </c>
      <c r="H42" s="87">
        <f t="shared" si="54"/>
        <v>582379.5</v>
      </c>
      <c r="I42" s="87">
        <f t="shared" si="54"/>
        <v>4450</v>
      </c>
      <c r="J42" s="87">
        <f t="shared" si="54"/>
        <v>1742.4170756143753</v>
      </c>
      <c r="K42" s="87">
        <f t="shared" si="54"/>
        <v>522.72512268431251</v>
      </c>
      <c r="L42" s="87">
        <f t="shared" si="54"/>
        <v>47.732500498205795</v>
      </c>
      <c r="M42" s="87">
        <f>750*(F13-F14)</f>
        <v>225</v>
      </c>
      <c r="N42" s="93">
        <v>20</v>
      </c>
      <c r="P42" s="6" t="str">
        <f t="shared" si="53"/>
        <v>Country 4</v>
      </c>
      <c r="Q42" s="218"/>
      <c r="R42" s="218"/>
      <c r="S42" s="218"/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5">
        <f t="shared" si="42"/>
        <v>0</v>
      </c>
      <c r="Z42" s="5">
        <f t="shared" si="43"/>
        <v>0</v>
      </c>
      <c r="AA42" s="5">
        <f t="shared" si="44"/>
        <v>0</v>
      </c>
      <c r="AB42" s="5">
        <f t="shared" si="45"/>
        <v>0</v>
      </c>
      <c r="AC42" s="5">
        <f t="shared" si="49"/>
        <v>0</v>
      </c>
      <c r="AD42" s="5">
        <f t="shared" si="50"/>
        <v>0</v>
      </c>
      <c r="AE42" s="5">
        <f t="shared" si="50"/>
        <v>0</v>
      </c>
      <c r="AF42" s="5">
        <f t="shared" si="50"/>
        <v>0</v>
      </c>
      <c r="AG42" s="5">
        <f t="shared" si="51"/>
        <v>0</v>
      </c>
      <c r="AH42" s="5">
        <f t="shared" si="52"/>
        <v>0</v>
      </c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6"/>
      <c r="AT42" s="4"/>
    </row>
    <row r="43" spans="2:60" ht="16" thickBot="1" x14ac:dyDescent="0.25">
      <c r="B43" s="8"/>
      <c r="C43" s="46"/>
      <c r="D43" s="46"/>
      <c r="E43" s="46"/>
      <c r="F43" s="46"/>
      <c r="G43" s="251"/>
      <c r="H43" s="46"/>
      <c r="I43" s="46"/>
      <c r="J43" s="46"/>
      <c r="K43" s="46"/>
      <c r="L43" s="46"/>
      <c r="M43" s="46"/>
      <c r="N43" s="4"/>
      <c r="P43" s="243" t="s">
        <v>0</v>
      </c>
      <c r="Q43" s="3"/>
      <c r="R43" s="3"/>
      <c r="S43" s="3"/>
      <c r="T43" s="5">
        <f>SUM(T34:T42)</f>
        <v>0</v>
      </c>
      <c r="U43" s="5">
        <f t="shared" ref="U43:AH43" si="55">SUM(U34:U42)</f>
        <v>0</v>
      </c>
      <c r="V43" s="5">
        <f t="shared" si="55"/>
        <v>0</v>
      </c>
      <c r="W43" s="5">
        <f t="shared" si="55"/>
        <v>0</v>
      </c>
      <c r="X43" s="5">
        <f t="shared" si="55"/>
        <v>0</v>
      </c>
      <c r="Y43" s="5">
        <f t="shared" si="55"/>
        <v>22.017720375</v>
      </c>
      <c r="Z43" s="5">
        <f t="shared" si="55"/>
        <v>44.035440749999999</v>
      </c>
      <c r="AA43" s="5">
        <f t="shared" si="55"/>
        <v>66.053161125000003</v>
      </c>
      <c r="AB43" s="5">
        <f t="shared" si="55"/>
        <v>88.070881499999999</v>
      </c>
      <c r="AC43" s="5">
        <f t="shared" si="55"/>
        <v>220.17720375000002</v>
      </c>
      <c r="AD43" s="5">
        <f t="shared" si="55"/>
        <v>147.11316637500002</v>
      </c>
      <c r="AE43" s="5">
        <f t="shared" si="55"/>
        <v>147.11316637500002</v>
      </c>
      <c r="AF43" s="5">
        <f t="shared" si="55"/>
        <v>147.11316637500002</v>
      </c>
      <c r="AG43" s="5">
        <f t="shared" si="55"/>
        <v>147.11316637500002</v>
      </c>
      <c r="AH43" s="5">
        <f t="shared" si="55"/>
        <v>588.45266550000008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2"/>
    </row>
    <row r="44" spans="2:60" ht="16" thickBot="1" x14ac:dyDescent="0.25">
      <c r="B44" s="8"/>
      <c r="C44" s="27" t="s">
        <v>134</v>
      </c>
      <c r="D44" s="27"/>
      <c r="E44" s="27"/>
      <c r="F44" s="5">
        <f>F42*6%</f>
        <v>32074.77</v>
      </c>
      <c r="G44" s="36">
        <f>G42*50%</f>
        <v>23900</v>
      </c>
      <c r="H44" s="35">
        <f>SUM(F44:G44)</f>
        <v>55974.770000000004</v>
      </c>
      <c r="I44" s="46"/>
      <c r="J44" s="46"/>
      <c r="K44" s="46"/>
      <c r="L44" s="46"/>
      <c r="M44" s="46"/>
      <c r="N44" s="4"/>
      <c r="P44" s="8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46"/>
      <c r="AT44" s="4"/>
    </row>
    <row r="45" spans="2:60" x14ac:dyDescent="0.2">
      <c r="B45" s="8"/>
      <c r="C45" s="27" t="s">
        <v>135</v>
      </c>
      <c r="D45" s="27"/>
      <c r="E45" s="27"/>
      <c r="F45" s="5">
        <f>F42*$F$28</f>
        <v>24056.077499999999</v>
      </c>
      <c r="G45" s="5">
        <f>G42*$F$28</f>
        <v>2151</v>
      </c>
      <c r="H45" s="5">
        <f>H42*$F$28</f>
        <v>26207.077499999999</v>
      </c>
      <c r="I45" s="46"/>
      <c r="J45" s="46"/>
      <c r="K45" s="46"/>
      <c r="L45" s="46"/>
      <c r="M45" s="46"/>
      <c r="N45" s="4"/>
      <c r="P45" s="264" t="s">
        <v>43</v>
      </c>
      <c r="Q45" s="265"/>
      <c r="R45" s="45"/>
      <c r="S45" s="45"/>
      <c r="T45" s="270" t="s">
        <v>191</v>
      </c>
      <c r="U45" s="271"/>
      <c r="V45" s="271"/>
      <c r="W45" s="272"/>
      <c r="X45" s="207" t="s">
        <v>192</v>
      </c>
      <c r="Y45" s="270" t="s">
        <v>193</v>
      </c>
      <c r="Z45" s="271"/>
      <c r="AA45" s="271"/>
      <c r="AB45" s="272"/>
      <c r="AC45" s="207" t="s">
        <v>194</v>
      </c>
      <c r="AD45" s="270" t="s">
        <v>5</v>
      </c>
      <c r="AE45" s="271"/>
      <c r="AF45" s="271"/>
      <c r="AG45" s="272"/>
      <c r="AH45" s="225" t="s">
        <v>195</v>
      </c>
      <c r="AI45" s="119"/>
      <c r="AJ45" s="120" t="s">
        <v>42</v>
      </c>
      <c r="AK45" s="120"/>
      <c r="AL45" s="121"/>
      <c r="AM45" s="120" t="s">
        <v>41</v>
      </c>
      <c r="AN45" s="206"/>
      <c r="AO45" s="45"/>
      <c r="AP45" s="45"/>
      <c r="AQ45" s="45"/>
      <c r="AR45" s="45"/>
      <c r="AS45" s="45"/>
      <c r="AT45" s="44"/>
    </row>
    <row r="46" spans="2:60" x14ac:dyDescent="0.2">
      <c r="B46" s="8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"/>
      <c r="P46" s="8"/>
      <c r="Q46" s="218" t="s">
        <v>7</v>
      </c>
      <c r="R46" s="218" t="s">
        <v>6</v>
      </c>
      <c r="S46" s="218" t="s">
        <v>5</v>
      </c>
      <c r="T46" s="218" t="s">
        <v>92</v>
      </c>
      <c r="U46" s="218" t="s">
        <v>93</v>
      </c>
      <c r="V46" s="218" t="s">
        <v>94</v>
      </c>
      <c r="W46" s="218" t="s">
        <v>95</v>
      </c>
      <c r="X46" s="218" t="s">
        <v>39</v>
      </c>
      <c r="Y46" s="218" t="s">
        <v>92</v>
      </c>
      <c r="Z46" s="218" t="s">
        <v>93</v>
      </c>
      <c r="AA46" s="218" t="s">
        <v>94</v>
      </c>
      <c r="AB46" s="218" t="s">
        <v>95</v>
      </c>
      <c r="AC46" s="218" t="s">
        <v>38</v>
      </c>
      <c r="AD46" s="218" t="s">
        <v>92</v>
      </c>
      <c r="AE46" s="218" t="s">
        <v>93</v>
      </c>
      <c r="AF46" s="218" t="s">
        <v>94</v>
      </c>
      <c r="AG46" s="218" t="s">
        <v>95</v>
      </c>
      <c r="AH46" s="219" t="s">
        <v>37</v>
      </c>
      <c r="AI46" s="33" t="s">
        <v>36</v>
      </c>
      <c r="AJ46" s="218" t="s">
        <v>35</v>
      </c>
      <c r="AK46" s="218" t="s">
        <v>34</v>
      </c>
      <c r="AL46" s="218" t="s">
        <v>36</v>
      </c>
      <c r="AM46" s="218" t="s">
        <v>35</v>
      </c>
      <c r="AN46" s="219" t="s">
        <v>34</v>
      </c>
      <c r="AO46" s="46"/>
      <c r="AP46" s="46"/>
      <c r="AQ46" s="46"/>
      <c r="AR46" s="46"/>
      <c r="AS46" s="46"/>
      <c r="AT46" s="4"/>
      <c r="BF46" t="s">
        <v>39</v>
      </c>
      <c r="BG46" t="s">
        <v>38</v>
      </c>
      <c r="BH46" t="s">
        <v>37</v>
      </c>
    </row>
    <row r="47" spans="2:60" x14ac:dyDescent="0.2">
      <c r="B47" s="8"/>
      <c r="C47" s="103" t="s">
        <v>40</v>
      </c>
      <c r="D47" s="103"/>
      <c r="E47" s="46"/>
      <c r="F47" s="46"/>
      <c r="G47" s="46"/>
      <c r="H47" s="46"/>
      <c r="I47" s="46"/>
      <c r="J47" s="46"/>
      <c r="K47" s="46"/>
      <c r="L47" s="46"/>
      <c r="M47" s="46"/>
      <c r="N47" s="4"/>
      <c r="P47" s="65" t="s">
        <v>4</v>
      </c>
      <c r="Q47" s="202">
        <v>0.02</v>
      </c>
      <c r="R47" s="202">
        <f>3%</f>
        <v>0.03</v>
      </c>
      <c r="S47" s="202">
        <f>8%</f>
        <v>0.08</v>
      </c>
      <c r="T47" s="5">
        <f>$X$47*0%</f>
        <v>0</v>
      </c>
      <c r="U47" s="5">
        <f>$X$47*0%</f>
        <v>0</v>
      </c>
      <c r="V47" s="5">
        <f>$X$47*50%</f>
        <v>17.55</v>
      </c>
      <c r="W47" s="5">
        <f>$X$47*50%</f>
        <v>17.55</v>
      </c>
      <c r="X47" s="5">
        <f>$G$32*Q47</f>
        <v>35.1</v>
      </c>
      <c r="Y47" s="5">
        <f>$AC$47*25%</f>
        <v>13.1625</v>
      </c>
      <c r="Z47" s="5">
        <f t="shared" ref="Z47:AB47" si="56">$AC$47*25%</f>
        <v>13.1625</v>
      </c>
      <c r="AA47" s="5">
        <f t="shared" si="56"/>
        <v>13.1625</v>
      </c>
      <c r="AB47" s="5">
        <f t="shared" si="56"/>
        <v>13.1625</v>
      </c>
      <c r="AC47" s="5">
        <f>$G$32*R47</f>
        <v>52.65</v>
      </c>
      <c r="AD47" s="5">
        <f>$AH$47*25%</f>
        <v>35.1</v>
      </c>
      <c r="AE47" s="5">
        <f t="shared" ref="AE47:AG47" si="57">$AH$47*25%</f>
        <v>35.1</v>
      </c>
      <c r="AF47" s="5">
        <f t="shared" si="57"/>
        <v>35.1</v>
      </c>
      <c r="AG47" s="5">
        <f t="shared" si="57"/>
        <v>35.1</v>
      </c>
      <c r="AH47" s="22">
        <f>$G$32*S47</f>
        <v>140.4</v>
      </c>
      <c r="AI47" s="32">
        <f>ROUND(X47/$L$32,0)</f>
        <v>2</v>
      </c>
      <c r="AJ47" s="17">
        <f>ROUND(AC47/$L$32,0)</f>
        <v>3</v>
      </c>
      <c r="AK47" s="17">
        <f>ROUND(AH47/$L$32,0)</f>
        <v>8</v>
      </c>
      <c r="AL47" s="17">
        <f>ROUND(X47/$N$42,0)</f>
        <v>2</v>
      </c>
      <c r="AM47" s="17">
        <f>ROUND(AC47/$N$42,0)</f>
        <v>3</v>
      </c>
      <c r="AN47" s="186">
        <f>ROUND(AH47/$N$42,0)</f>
        <v>7</v>
      </c>
      <c r="AO47" s="46"/>
      <c r="AP47" s="46"/>
      <c r="AQ47" s="46"/>
      <c r="AR47" s="46"/>
      <c r="AS47" s="46"/>
      <c r="AT47" s="4"/>
      <c r="BE47" s="6" t="s">
        <v>4</v>
      </c>
      <c r="BF47" s="109">
        <v>35.1</v>
      </c>
      <c r="BG47" s="109">
        <v>70.2</v>
      </c>
      <c r="BH47" s="109">
        <v>175.5</v>
      </c>
    </row>
    <row r="48" spans="2:60" x14ac:dyDescent="0.2">
      <c r="B48" s="8" t="s">
        <v>157</v>
      </c>
      <c r="C48" s="46" t="s">
        <v>153</v>
      </c>
      <c r="D48" s="46"/>
      <c r="E48" s="98" t="s">
        <v>154</v>
      </c>
      <c r="F48" s="46"/>
      <c r="G48" s="46"/>
      <c r="H48" s="46"/>
      <c r="I48" s="46"/>
      <c r="J48" s="46"/>
      <c r="K48" s="46"/>
      <c r="L48" s="46"/>
      <c r="M48" s="46"/>
      <c r="N48" s="4"/>
      <c r="P48" s="65" t="s">
        <v>3</v>
      </c>
      <c r="Q48" s="202">
        <v>0</v>
      </c>
      <c r="R48" s="202">
        <v>5.0000000000000001E-3</v>
      </c>
      <c r="S48" s="202">
        <v>0.03</v>
      </c>
      <c r="T48" s="5">
        <f>$X$48*10%</f>
        <v>0</v>
      </c>
      <c r="U48" s="5">
        <f>$X$48*20%</f>
        <v>0</v>
      </c>
      <c r="V48" s="5">
        <f>$X$48*30%</f>
        <v>0</v>
      </c>
      <c r="W48" s="5">
        <f>$X$48*40%</f>
        <v>0</v>
      </c>
      <c r="X48" s="5">
        <f>$G$33*Q48</f>
        <v>0</v>
      </c>
      <c r="Y48" s="5">
        <f>$AC$48*10%</f>
        <v>3.7700000000000005</v>
      </c>
      <c r="Z48" s="5">
        <f>$AC$48*20%</f>
        <v>7.5400000000000009</v>
      </c>
      <c r="AA48" s="5">
        <f>$AC$48*30%</f>
        <v>11.31</v>
      </c>
      <c r="AB48" s="5">
        <f>$AC$48*40%</f>
        <v>15.080000000000002</v>
      </c>
      <c r="AC48" s="5">
        <f>$G$33*R48</f>
        <v>37.700000000000003</v>
      </c>
      <c r="AD48" s="5">
        <f>$AH$48*25%</f>
        <v>56.55</v>
      </c>
      <c r="AE48" s="5">
        <f t="shared" ref="AE48:AG48" si="58">$AH$48*25%</f>
        <v>56.55</v>
      </c>
      <c r="AF48" s="5">
        <f t="shared" si="58"/>
        <v>56.55</v>
      </c>
      <c r="AG48" s="5">
        <f t="shared" si="58"/>
        <v>56.55</v>
      </c>
      <c r="AH48" s="22">
        <f>$G$33*S48</f>
        <v>226.2</v>
      </c>
      <c r="AI48" s="32">
        <f>ROUND(X48/$L$33,0)</f>
        <v>0</v>
      </c>
      <c r="AJ48" s="17">
        <f>ROUND(AC48/$L$33,0)</f>
        <v>4</v>
      </c>
      <c r="AK48" s="17">
        <f>ROUND(AH48/$L$33,0)</f>
        <v>25</v>
      </c>
      <c r="AL48" s="17">
        <f>ROUND(X48/$N$42,0)</f>
        <v>0</v>
      </c>
      <c r="AM48" s="17">
        <f>ROUND(AC48/$N$42,0)</f>
        <v>2</v>
      </c>
      <c r="AN48" s="186">
        <f>ROUND(AH48/$N$42,0)</f>
        <v>11</v>
      </c>
      <c r="AO48" s="46"/>
      <c r="AP48" s="46"/>
      <c r="AQ48" s="46"/>
      <c r="AR48" s="46"/>
      <c r="AS48" s="46"/>
      <c r="AT48" s="4"/>
      <c r="BE48" s="6" t="s">
        <v>3</v>
      </c>
      <c r="BF48" s="109">
        <v>0</v>
      </c>
      <c r="BG48" s="109">
        <v>75.400000000000006</v>
      </c>
      <c r="BH48" s="109">
        <v>226.2</v>
      </c>
    </row>
    <row r="49" spans="1:60" x14ac:dyDescent="0.2">
      <c r="B49" s="8" t="s">
        <v>159</v>
      </c>
      <c r="C49" s="46" t="s">
        <v>145</v>
      </c>
      <c r="D49" s="46"/>
      <c r="E49" s="64" t="s">
        <v>144</v>
      </c>
      <c r="F49" s="46"/>
      <c r="G49" s="46"/>
      <c r="H49" s="46"/>
      <c r="I49" s="46"/>
      <c r="J49" s="46"/>
      <c r="K49" s="46"/>
      <c r="L49" s="46"/>
      <c r="M49" s="46"/>
      <c r="N49" s="4"/>
      <c r="P49" s="65" t="s">
        <v>2</v>
      </c>
      <c r="Q49" s="202">
        <v>5.0000000000000001E-3</v>
      </c>
      <c r="R49" s="202">
        <v>0.01</v>
      </c>
      <c r="S49" s="202">
        <v>3.5000000000000003E-2</v>
      </c>
      <c r="T49" s="5">
        <f>$X$49*0%</f>
        <v>0</v>
      </c>
      <c r="U49" s="5">
        <f>$X$49*0%</f>
        <v>0</v>
      </c>
      <c r="V49" s="5">
        <f>$X$49*50%</f>
        <v>18.875</v>
      </c>
      <c r="W49" s="5">
        <f>$X$49*50%</f>
        <v>18.875</v>
      </c>
      <c r="X49" s="5">
        <f>$G$34*Q49</f>
        <v>37.75</v>
      </c>
      <c r="Y49" s="5">
        <f>$AC$49*25%</f>
        <v>18.875</v>
      </c>
      <c r="Z49" s="5">
        <f>$AC$49*25%</f>
        <v>18.875</v>
      </c>
      <c r="AA49" s="5">
        <f>$AC$49*25%</f>
        <v>18.875</v>
      </c>
      <c r="AB49" s="5">
        <f>$AC$49*25%</f>
        <v>18.875</v>
      </c>
      <c r="AC49" s="5">
        <f>$G$34*R49</f>
        <v>75.5</v>
      </c>
      <c r="AD49" s="5">
        <f>$AH$49*25%</f>
        <v>66.0625</v>
      </c>
      <c r="AE49" s="5">
        <f>$AH$49*25%</f>
        <v>66.0625</v>
      </c>
      <c r="AF49" s="5">
        <f>$AH$49*25%</f>
        <v>66.0625</v>
      </c>
      <c r="AG49" s="5">
        <f>$AH$49*25%</f>
        <v>66.0625</v>
      </c>
      <c r="AH49" s="22">
        <f>$G$34*S49</f>
        <v>264.25</v>
      </c>
      <c r="AI49" s="32">
        <f>ROUND(X49/$L$34,0)</f>
        <v>5</v>
      </c>
      <c r="AJ49" s="17">
        <f>ROUND(AC49/$L$34,0)</f>
        <v>11</v>
      </c>
      <c r="AK49" s="17">
        <f>ROUND(AH49/$L$34,0)</f>
        <v>37</v>
      </c>
      <c r="AL49" s="17">
        <f>ROUND(X49/$N$42,0)</f>
        <v>2</v>
      </c>
      <c r="AM49" s="17">
        <f>ROUND(AC49/$N$42,0)</f>
        <v>4</v>
      </c>
      <c r="AN49" s="186">
        <f>ROUND(AH49/$N$42,0)</f>
        <v>13</v>
      </c>
      <c r="AO49" s="46"/>
      <c r="AP49" s="46"/>
      <c r="AQ49" s="46"/>
      <c r="AR49" s="46"/>
      <c r="AS49" s="46"/>
      <c r="AT49" s="4"/>
      <c r="BE49" s="6"/>
      <c r="BF49" s="109"/>
      <c r="BG49" s="109"/>
      <c r="BH49" s="109"/>
    </row>
    <row r="50" spans="1:60" x14ac:dyDescent="0.2">
      <c r="B50" s="8" t="s">
        <v>160</v>
      </c>
      <c r="C50" s="97" t="s">
        <v>146</v>
      </c>
      <c r="D50" s="97"/>
      <c r="E50" s="98" t="s">
        <v>147</v>
      </c>
      <c r="F50" s="46"/>
      <c r="G50" s="46"/>
      <c r="H50" s="46"/>
      <c r="I50" s="46"/>
      <c r="J50" s="46"/>
      <c r="K50" s="46"/>
      <c r="L50" s="46"/>
      <c r="M50" s="46"/>
      <c r="N50" s="4"/>
      <c r="P50" s="65" t="s">
        <v>1</v>
      </c>
      <c r="Q50" s="202">
        <v>0</v>
      </c>
      <c r="R50" s="202">
        <v>5.0000000000000001E-3</v>
      </c>
      <c r="S50" s="202">
        <v>1.7999999999999999E-2</v>
      </c>
      <c r="T50" s="5">
        <f>$X$50*10%</f>
        <v>0</v>
      </c>
      <c r="U50" s="5">
        <f>$X$50*20%</f>
        <v>0</v>
      </c>
      <c r="V50" s="5">
        <f>$X$50*30%</f>
        <v>0</v>
      </c>
      <c r="W50" s="5">
        <f>$X$50*40%</f>
        <v>0</v>
      </c>
      <c r="X50" s="5">
        <f>$G$35*Q50</f>
        <v>0</v>
      </c>
      <c r="Y50" s="5">
        <f>$AC$50*10%</f>
        <v>11.945</v>
      </c>
      <c r="Z50" s="5">
        <f>$AC$50*20%</f>
        <v>23.89</v>
      </c>
      <c r="AA50" s="5">
        <f>$AC$50*30%</f>
        <v>35.835000000000001</v>
      </c>
      <c r="AB50" s="5">
        <f>$AC$50*40%</f>
        <v>47.78</v>
      </c>
      <c r="AC50" s="5">
        <f>$G$35*R50</f>
        <v>119.45</v>
      </c>
      <c r="AD50" s="5">
        <f>$AH$50*25%</f>
        <v>107.505</v>
      </c>
      <c r="AE50" s="5">
        <f>$AH$50*25%</f>
        <v>107.505</v>
      </c>
      <c r="AF50" s="5">
        <f>$AH$50*25%</f>
        <v>107.505</v>
      </c>
      <c r="AG50" s="5">
        <f>$AH$50*25%</f>
        <v>107.505</v>
      </c>
      <c r="AH50" s="22">
        <f>$G$35*S50</f>
        <v>430.02</v>
      </c>
      <c r="AI50" s="32">
        <f>ROUND(X50/$L36,0)</f>
        <v>0</v>
      </c>
      <c r="AJ50" s="17">
        <f>ROUND(AC50/$L36,0)</f>
        <v>61</v>
      </c>
      <c r="AK50" s="17">
        <f>ROUND(AH50/$L36,0)</f>
        <v>220</v>
      </c>
      <c r="AL50" s="17">
        <f>ROUND(X50/$N$42,0)</f>
        <v>0</v>
      </c>
      <c r="AM50" s="17">
        <f>ROUND(AC50/$N$42,0)</f>
        <v>6</v>
      </c>
      <c r="AN50" s="186">
        <f>ROUND(AH50/$N$42,0)</f>
        <v>22</v>
      </c>
      <c r="AO50" s="46"/>
      <c r="AP50" s="46"/>
      <c r="AQ50" s="46"/>
      <c r="AR50" s="46"/>
      <c r="AS50" s="46"/>
      <c r="AT50" s="4"/>
      <c r="BE50" s="6" t="s">
        <v>2</v>
      </c>
      <c r="BF50" s="109">
        <v>37.75</v>
      </c>
      <c r="BG50" s="109">
        <v>113.25</v>
      </c>
      <c r="BH50" s="109">
        <v>377.5</v>
      </c>
    </row>
    <row r="51" spans="1:60" x14ac:dyDescent="0.2">
      <c r="B51" s="8" t="s">
        <v>161</v>
      </c>
      <c r="C51" s="97" t="s">
        <v>148</v>
      </c>
      <c r="D51" s="97"/>
      <c r="E51" s="46" t="s">
        <v>33</v>
      </c>
      <c r="F51" s="46"/>
      <c r="G51" s="46"/>
      <c r="H51" s="46"/>
      <c r="I51" s="46"/>
      <c r="J51" s="46"/>
      <c r="K51" s="46"/>
      <c r="L51" s="46"/>
      <c r="M51" s="46"/>
      <c r="N51" s="4"/>
      <c r="O51" s="46"/>
      <c r="P51" s="65" t="s">
        <v>258</v>
      </c>
      <c r="Q51" s="202">
        <v>0</v>
      </c>
      <c r="R51" s="202">
        <v>0.01</v>
      </c>
      <c r="S51" s="202">
        <v>0.02</v>
      </c>
      <c r="T51" s="5">
        <f>0</f>
        <v>0</v>
      </c>
      <c r="U51" s="5">
        <f>0</f>
        <v>0</v>
      </c>
      <c r="V51" s="5">
        <f>0</f>
        <v>0</v>
      </c>
      <c r="W51" s="5">
        <f>0</f>
        <v>0</v>
      </c>
      <c r="X51" s="5">
        <f>Q51*G36</f>
        <v>0</v>
      </c>
      <c r="Y51" s="5">
        <f t="shared" ref="Y51:AA51" si="59">$X$50*10%</f>
        <v>0</v>
      </c>
      <c r="Z51" s="5">
        <f t="shared" si="59"/>
        <v>0</v>
      </c>
      <c r="AA51" s="5">
        <f t="shared" si="59"/>
        <v>0</v>
      </c>
      <c r="AB51" s="5">
        <f>AC51</f>
        <v>10.65</v>
      </c>
      <c r="AC51" s="5">
        <f>$G$36*R51</f>
        <v>10.65</v>
      </c>
      <c r="AD51" s="5">
        <f>$AH$51*25%</f>
        <v>5.3250000000000002</v>
      </c>
      <c r="AE51" s="5">
        <f t="shared" ref="AE51:AG51" si="60">$AH$51*25%</f>
        <v>5.3250000000000002</v>
      </c>
      <c r="AF51" s="5">
        <f t="shared" si="60"/>
        <v>5.3250000000000002</v>
      </c>
      <c r="AG51" s="5">
        <f t="shared" si="60"/>
        <v>5.3250000000000002</v>
      </c>
      <c r="AH51" s="22">
        <f>$G$36*S51</f>
        <v>21.3</v>
      </c>
      <c r="AI51" s="32">
        <f>ROUND(X51/$L36,0)</f>
        <v>0</v>
      </c>
      <c r="AJ51" s="28"/>
      <c r="AK51" s="28"/>
      <c r="AL51" s="17">
        <f>ROUNDUP(X51/$N$42,0)</f>
        <v>0</v>
      </c>
      <c r="AM51" s="17">
        <f>ROUNDUP(AC51/$N$42,0)</f>
        <v>1</v>
      </c>
      <c r="AN51" s="186">
        <f>ROUND(AH51/$N$42,0)</f>
        <v>1</v>
      </c>
      <c r="AO51" s="46"/>
      <c r="AP51" s="46"/>
      <c r="AQ51" s="46"/>
      <c r="AR51" s="46"/>
      <c r="AS51" s="46"/>
      <c r="AT51" s="4"/>
      <c r="BE51" s="6" t="s">
        <v>1</v>
      </c>
      <c r="BF51" s="109">
        <v>0</v>
      </c>
      <c r="BG51" s="109">
        <v>238.9</v>
      </c>
      <c r="BH51" s="109">
        <v>477.8</v>
      </c>
    </row>
    <row r="52" spans="1:60" x14ac:dyDescent="0.2">
      <c r="A52"/>
      <c r="B52" s="8" t="s">
        <v>162</v>
      </c>
      <c r="C52" s="97" t="s">
        <v>149</v>
      </c>
      <c r="D52" s="97"/>
      <c r="E52" s="98" t="s">
        <v>151</v>
      </c>
      <c r="F52" s="46"/>
      <c r="G52" s="46"/>
      <c r="H52" s="46"/>
      <c r="I52" s="46"/>
      <c r="J52" s="46"/>
      <c r="K52" s="46"/>
      <c r="L52" s="46"/>
      <c r="M52" s="46"/>
      <c r="N52" s="4"/>
      <c r="O52" s="46"/>
      <c r="P52" s="65" t="str">
        <f>C37</f>
        <v>Country 1</v>
      </c>
      <c r="Q52" s="224">
        <v>0</v>
      </c>
      <c r="R52" s="202">
        <v>3.0000000000000001E-3</v>
      </c>
      <c r="S52" s="202">
        <v>1.2E-2</v>
      </c>
      <c r="T52" s="5">
        <v>0</v>
      </c>
      <c r="U52" s="5">
        <v>0</v>
      </c>
      <c r="V52" s="5">
        <v>0</v>
      </c>
      <c r="W52" s="5">
        <v>0</v>
      </c>
      <c r="X52" s="5">
        <f t="shared" ref="X52:X55" si="61">Q52*G37</f>
        <v>0</v>
      </c>
      <c r="Y52" s="5">
        <f>$AC52*T$1</f>
        <v>1.8</v>
      </c>
      <c r="Z52" s="5">
        <f t="shared" ref="Z52:AB55" si="62">$AC52*U$1</f>
        <v>3.6</v>
      </c>
      <c r="AA52" s="5">
        <f t="shared" si="62"/>
        <v>5.3999999999999995</v>
      </c>
      <c r="AB52" s="5">
        <f t="shared" si="62"/>
        <v>7.2</v>
      </c>
      <c r="AC52" s="5">
        <f>G37*R52</f>
        <v>18</v>
      </c>
      <c r="AD52" s="5">
        <f>$AH$52*25%</f>
        <v>18</v>
      </c>
      <c r="AE52" s="5">
        <f t="shared" ref="AE52:AG52" si="63">$AH$52*25%</f>
        <v>18</v>
      </c>
      <c r="AF52" s="5">
        <f t="shared" si="63"/>
        <v>18</v>
      </c>
      <c r="AG52" s="5">
        <f t="shared" si="63"/>
        <v>18</v>
      </c>
      <c r="AH52" s="22">
        <f>G37*S52</f>
        <v>72</v>
      </c>
      <c r="AI52" s="32"/>
      <c r="AJ52" s="28"/>
      <c r="AK52" s="28"/>
      <c r="AL52" s="17">
        <f t="shared" ref="AL52:AL55" si="64">ROUNDUP(X52/$N$42,0)</f>
        <v>0</v>
      </c>
      <c r="AM52" s="17">
        <f t="shared" ref="AM52:AM55" si="65">ROUNDUP(AC52/$N$42,0)</f>
        <v>1</v>
      </c>
      <c r="AN52" s="186">
        <f t="shared" ref="AN52:AN55" si="66">ROUND(AH52/$N$42,0)</f>
        <v>4</v>
      </c>
      <c r="AO52" s="46"/>
      <c r="AP52" s="46"/>
      <c r="AQ52" s="46"/>
      <c r="AR52" s="46"/>
      <c r="AS52" s="46"/>
      <c r="AT52" s="4"/>
      <c r="BE52" s="46"/>
      <c r="BF52" s="109"/>
      <c r="BG52" s="109"/>
      <c r="BH52" s="109"/>
    </row>
    <row r="53" spans="1:60" x14ac:dyDescent="0.2">
      <c r="A53"/>
      <c r="B53" s="8" t="s">
        <v>163</v>
      </c>
      <c r="C53" s="97" t="s">
        <v>150</v>
      </c>
      <c r="D53" s="97"/>
      <c r="E53" s="98" t="s">
        <v>140</v>
      </c>
      <c r="F53" s="46"/>
      <c r="G53" s="46"/>
      <c r="H53" s="46"/>
      <c r="I53" s="46"/>
      <c r="J53" s="46"/>
      <c r="K53" s="46"/>
      <c r="L53" s="46"/>
      <c r="M53" s="46"/>
      <c r="N53" s="4"/>
      <c r="O53" s="46"/>
      <c r="P53" s="65" t="str">
        <f t="shared" ref="P53:P55" si="67">C38</f>
        <v>Country 2</v>
      </c>
      <c r="Q53" s="224">
        <v>0</v>
      </c>
      <c r="R53" s="202"/>
      <c r="S53" s="202"/>
      <c r="T53" s="5">
        <v>0</v>
      </c>
      <c r="U53" s="5">
        <v>0</v>
      </c>
      <c r="V53" s="5">
        <v>0</v>
      </c>
      <c r="W53" s="5">
        <v>0</v>
      </c>
      <c r="X53" s="5">
        <f t="shared" si="61"/>
        <v>0</v>
      </c>
      <c r="Y53" s="5">
        <f>$AC53*T$1</f>
        <v>0</v>
      </c>
      <c r="Z53" s="5">
        <f t="shared" si="62"/>
        <v>0</v>
      </c>
      <c r="AA53" s="5">
        <f t="shared" si="62"/>
        <v>0</v>
      </c>
      <c r="AB53" s="5">
        <f t="shared" si="62"/>
        <v>0</v>
      </c>
      <c r="AC53" s="5">
        <f>G38*R53</f>
        <v>0</v>
      </c>
      <c r="AD53" s="5">
        <f>$AH$53*25%</f>
        <v>0</v>
      </c>
      <c r="AE53" s="5">
        <f t="shared" ref="AE53:AG53" si="68">$AH$53*25%</f>
        <v>0</v>
      </c>
      <c r="AF53" s="5">
        <f t="shared" si="68"/>
        <v>0</v>
      </c>
      <c r="AG53" s="5">
        <f t="shared" si="68"/>
        <v>0</v>
      </c>
      <c r="AH53" s="22">
        <f t="shared" ref="AH53:AH55" si="69">G38*S53</f>
        <v>0</v>
      </c>
      <c r="AI53" s="32"/>
      <c r="AJ53" s="28"/>
      <c r="AK53" s="28"/>
      <c r="AL53" s="17">
        <f t="shared" si="64"/>
        <v>0</v>
      </c>
      <c r="AM53" s="17">
        <f t="shared" si="65"/>
        <v>0</v>
      </c>
      <c r="AN53" s="186">
        <f t="shared" si="66"/>
        <v>0</v>
      </c>
      <c r="AO53" s="46"/>
      <c r="AP53" s="46"/>
      <c r="AQ53" s="46"/>
      <c r="AR53" s="46"/>
      <c r="AS53" s="46"/>
      <c r="AT53" s="4"/>
      <c r="BE53" s="46"/>
      <c r="BF53" s="109"/>
      <c r="BG53" s="109"/>
      <c r="BH53" s="109"/>
    </row>
    <row r="54" spans="1:60" x14ac:dyDescent="0.2">
      <c r="A54"/>
      <c r="B54" s="8" t="s">
        <v>158</v>
      </c>
      <c r="C54" s="97" t="s">
        <v>63</v>
      </c>
      <c r="D54" s="97"/>
      <c r="E54" s="46" t="s">
        <v>156</v>
      </c>
      <c r="F54" s="46"/>
      <c r="G54" s="46"/>
      <c r="H54" s="46"/>
      <c r="I54" s="46"/>
      <c r="J54" s="46"/>
      <c r="K54" s="46"/>
      <c r="L54" s="46"/>
      <c r="M54" s="46"/>
      <c r="N54" s="4"/>
      <c r="O54" s="46"/>
      <c r="P54" s="65" t="str">
        <f t="shared" si="67"/>
        <v>Country 3</v>
      </c>
      <c r="Q54" s="224">
        <v>0</v>
      </c>
      <c r="R54" s="202"/>
      <c r="S54" s="202"/>
      <c r="T54" s="5">
        <v>0</v>
      </c>
      <c r="U54" s="5">
        <v>0</v>
      </c>
      <c r="V54" s="5">
        <v>0</v>
      </c>
      <c r="W54" s="5">
        <v>0</v>
      </c>
      <c r="X54" s="5">
        <f t="shared" si="61"/>
        <v>0</v>
      </c>
      <c r="Y54" s="5">
        <f>$AC54*T$1</f>
        <v>0</v>
      </c>
      <c r="Z54" s="5">
        <f t="shared" si="62"/>
        <v>0</v>
      </c>
      <c r="AA54" s="5">
        <f t="shared" si="62"/>
        <v>0</v>
      </c>
      <c r="AB54" s="5">
        <f t="shared" si="62"/>
        <v>0</v>
      </c>
      <c r="AC54" s="5">
        <f t="shared" ref="AC54:AC55" si="70">G39*R54</f>
        <v>0</v>
      </c>
      <c r="AD54" s="5">
        <f>$AH$54*25%</f>
        <v>0</v>
      </c>
      <c r="AE54" s="5">
        <f t="shared" ref="AE54:AG54" si="71">$AH$54*25%</f>
        <v>0</v>
      </c>
      <c r="AF54" s="5">
        <f t="shared" si="71"/>
        <v>0</v>
      </c>
      <c r="AG54" s="5">
        <f t="shared" si="71"/>
        <v>0</v>
      </c>
      <c r="AH54" s="22">
        <f t="shared" si="69"/>
        <v>0</v>
      </c>
      <c r="AI54" s="32"/>
      <c r="AJ54" s="28"/>
      <c r="AK54" s="28"/>
      <c r="AL54" s="17">
        <f t="shared" si="64"/>
        <v>0</v>
      </c>
      <c r="AM54" s="17">
        <f t="shared" si="65"/>
        <v>0</v>
      </c>
      <c r="AN54" s="186">
        <f t="shared" si="66"/>
        <v>0</v>
      </c>
      <c r="AO54" s="46"/>
      <c r="AP54" s="46"/>
      <c r="AQ54" s="46"/>
      <c r="AR54" s="46"/>
      <c r="AS54" s="46"/>
      <c r="AT54" s="4"/>
      <c r="BE54" s="46"/>
      <c r="BF54" s="109"/>
      <c r="BG54" s="109"/>
      <c r="BH54" s="109"/>
    </row>
    <row r="55" spans="1:60" x14ac:dyDescent="0.2">
      <c r="A55"/>
      <c r="B55" s="8" t="s">
        <v>164</v>
      </c>
      <c r="C55" s="97" t="s">
        <v>152</v>
      </c>
      <c r="D55" s="97"/>
      <c r="E55" s="46" t="s">
        <v>155</v>
      </c>
      <c r="F55" s="46"/>
      <c r="G55" s="46"/>
      <c r="H55" s="46"/>
      <c r="I55" s="46"/>
      <c r="J55" s="46"/>
      <c r="K55" s="46"/>
      <c r="L55" s="46"/>
      <c r="M55" s="46"/>
      <c r="N55" s="4"/>
      <c r="O55" s="46"/>
      <c r="P55" s="65" t="str">
        <f t="shared" si="67"/>
        <v>Country 4</v>
      </c>
      <c r="Q55" s="224">
        <v>0</v>
      </c>
      <c r="R55" s="238"/>
      <c r="S55" s="238"/>
      <c r="T55" s="5">
        <v>0</v>
      </c>
      <c r="U55" s="5">
        <v>0</v>
      </c>
      <c r="V55" s="5">
        <v>0</v>
      </c>
      <c r="W55" s="5">
        <v>0</v>
      </c>
      <c r="X55" s="5">
        <f t="shared" si="61"/>
        <v>0</v>
      </c>
      <c r="Y55" s="5">
        <f>$AC55*T$1</f>
        <v>0</v>
      </c>
      <c r="Z55" s="5">
        <f t="shared" si="62"/>
        <v>0</v>
      </c>
      <c r="AA55" s="5">
        <f t="shared" si="62"/>
        <v>0</v>
      </c>
      <c r="AB55" s="5">
        <f t="shared" si="62"/>
        <v>0</v>
      </c>
      <c r="AC55" s="5">
        <f t="shared" si="70"/>
        <v>0</v>
      </c>
      <c r="AD55" s="5">
        <f>$AH$55*25%</f>
        <v>0</v>
      </c>
      <c r="AE55" s="5">
        <f t="shared" ref="AE55:AG55" si="72">$AH$55*25%</f>
        <v>0</v>
      </c>
      <c r="AF55" s="5">
        <f>$AH$55*25%</f>
        <v>0</v>
      </c>
      <c r="AG55" s="5">
        <f t="shared" si="72"/>
        <v>0</v>
      </c>
      <c r="AH55" s="22">
        <f t="shared" si="69"/>
        <v>0</v>
      </c>
      <c r="AI55" s="32"/>
      <c r="AJ55" s="27"/>
      <c r="AK55" s="27"/>
      <c r="AL55" s="17">
        <f t="shared" si="64"/>
        <v>0</v>
      </c>
      <c r="AM55" s="17">
        <f t="shared" si="65"/>
        <v>0</v>
      </c>
      <c r="AN55" s="186">
        <f t="shared" si="66"/>
        <v>0</v>
      </c>
      <c r="AO55" s="46"/>
      <c r="AP55" s="46"/>
      <c r="AQ55" s="46"/>
      <c r="AR55" s="46"/>
      <c r="AS55" s="46"/>
      <c r="AT55" s="4"/>
      <c r="BF55" s="109"/>
      <c r="BG55" s="109"/>
      <c r="BH55" s="109"/>
    </row>
    <row r="56" spans="1:60" x14ac:dyDescent="0.2">
      <c r="A56"/>
      <c r="B56" s="8"/>
      <c r="C56" s="97"/>
      <c r="D56" s="97"/>
      <c r="E56" s="46"/>
      <c r="F56" s="46"/>
      <c r="G56" s="46"/>
      <c r="H56" s="46"/>
      <c r="I56" s="46"/>
      <c r="J56" s="46"/>
      <c r="K56" s="46"/>
      <c r="L56" s="46"/>
      <c r="M56" s="46"/>
      <c r="N56" s="4"/>
      <c r="O56" s="46"/>
      <c r="P56" s="244" t="s">
        <v>0</v>
      </c>
      <c r="Q56" s="68"/>
      <c r="R56" s="68"/>
      <c r="S56" s="68"/>
      <c r="T56" s="5">
        <f>SUM(T47:T55)</f>
        <v>0</v>
      </c>
      <c r="U56" s="5">
        <f t="shared" ref="U56:AH56" si="73">SUM(U47:U55)</f>
        <v>0</v>
      </c>
      <c r="V56" s="5">
        <f t="shared" si="73"/>
        <v>36.424999999999997</v>
      </c>
      <c r="W56" s="5">
        <f t="shared" si="73"/>
        <v>36.424999999999997</v>
      </c>
      <c r="X56" s="5">
        <f t="shared" si="73"/>
        <v>72.849999999999994</v>
      </c>
      <c r="Y56" s="5">
        <f t="shared" si="73"/>
        <v>49.552500000000002</v>
      </c>
      <c r="Z56" s="5">
        <f t="shared" si="73"/>
        <v>67.067499999999995</v>
      </c>
      <c r="AA56" s="5">
        <f t="shared" si="73"/>
        <v>84.58250000000001</v>
      </c>
      <c r="AB56" s="5">
        <f t="shared" si="73"/>
        <v>112.74750000000002</v>
      </c>
      <c r="AC56" s="5">
        <f t="shared" si="73"/>
        <v>313.95</v>
      </c>
      <c r="AD56" s="5">
        <f t="shared" si="73"/>
        <v>288.54249999999996</v>
      </c>
      <c r="AE56" s="5">
        <f t="shared" si="73"/>
        <v>288.54249999999996</v>
      </c>
      <c r="AF56" s="5">
        <f t="shared" si="73"/>
        <v>288.54249999999996</v>
      </c>
      <c r="AG56" s="5">
        <f t="shared" si="73"/>
        <v>288.54249999999996</v>
      </c>
      <c r="AH56" s="22">
        <f t="shared" si="73"/>
        <v>1154.1699999999998</v>
      </c>
      <c r="AI56" s="8"/>
      <c r="AJ56" s="46"/>
      <c r="AK56" s="108" t="s">
        <v>0</v>
      </c>
      <c r="AL56" s="231">
        <f>SUM(AL47:AL51)</f>
        <v>4</v>
      </c>
      <c r="AM56" s="231">
        <f>SUM(AM47:AM51)</f>
        <v>16</v>
      </c>
      <c r="AN56" s="246">
        <f>SUM(AN47:AN51)</f>
        <v>54</v>
      </c>
      <c r="AO56" s="46"/>
      <c r="AP56" s="46"/>
      <c r="AQ56" s="46"/>
      <c r="AR56" s="46"/>
      <c r="AS56" s="46"/>
      <c r="AT56" s="4"/>
      <c r="BF56" s="109"/>
      <c r="BG56" s="109"/>
      <c r="BH56" s="109"/>
    </row>
    <row r="57" spans="1:60" ht="16" thickBot="1" x14ac:dyDescent="0.25">
      <c r="A57"/>
      <c r="B57" s="204" t="s">
        <v>251</v>
      </c>
      <c r="C57" s="102" t="s">
        <v>253</v>
      </c>
      <c r="D57" s="102"/>
      <c r="E57" s="141" t="s">
        <v>252</v>
      </c>
      <c r="F57" s="3"/>
      <c r="G57" s="3"/>
      <c r="H57" s="3"/>
      <c r="I57" s="3"/>
      <c r="J57" s="3"/>
      <c r="K57" s="3"/>
      <c r="L57" s="3"/>
      <c r="M57" s="3"/>
      <c r="N57" s="2"/>
      <c r="O57" s="46"/>
      <c r="P57" s="239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"/>
      <c r="AI57" s="7"/>
      <c r="AJ57" s="3"/>
      <c r="AK57" s="70" t="s">
        <v>172</v>
      </c>
      <c r="AL57" s="29">
        <f>MAX(AL16,AL56)</f>
        <v>5</v>
      </c>
      <c r="AM57" s="29">
        <f>MAX(AM16,AM56)-AL57</f>
        <v>17</v>
      </c>
      <c r="AN57" s="187">
        <f>MAX(AN16,AN56)-AM57-AL57</f>
        <v>37</v>
      </c>
      <c r="AO57" s="46"/>
      <c r="AP57" s="46"/>
      <c r="AQ57" s="46"/>
      <c r="AR57" s="46"/>
      <c r="AS57" s="46"/>
      <c r="AT57" s="4"/>
      <c r="BF57" s="109" t="s">
        <v>173</v>
      </c>
      <c r="BG57" s="109" t="s">
        <v>174</v>
      </c>
      <c r="BH57" s="109" t="s">
        <v>175</v>
      </c>
    </row>
    <row r="58" spans="1:60" x14ac:dyDescent="0.2">
      <c r="A58"/>
      <c r="O58" s="46"/>
      <c r="P58" s="65" t="s">
        <v>134</v>
      </c>
      <c r="Q58" s="46"/>
      <c r="R58" s="46"/>
      <c r="S58" s="46"/>
      <c r="T58" s="252" t="s">
        <v>191</v>
      </c>
      <c r="U58" s="253"/>
      <c r="V58" s="253"/>
      <c r="W58" s="254"/>
      <c r="X58" s="123" t="s">
        <v>192</v>
      </c>
      <c r="Y58" s="252" t="s">
        <v>193</v>
      </c>
      <c r="Z58" s="253"/>
      <c r="AA58" s="253"/>
      <c r="AB58" s="254"/>
      <c r="AC58" s="123" t="s">
        <v>194</v>
      </c>
      <c r="AD58" s="252" t="s">
        <v>5</v>
      </c>
      <c r="AE58" s="253"/>
      <c r="AF58" s="253"/>
      <c r="AG58" s="254"/>
      <c r="AH58" s="227" t="s">
        <v>195</v>
      </c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"/>
      <c r="BE58" s="6" t="s">
        <v>4</v>
      </c>
      <c r="BF58" s="109">
        <v>17.55</v>
      </c>
      <c r="BG58" s="109">
        <v>35.1</v>
      </c>
      <c r="BH58" s="109">
        <v>87.75</v>
      </c>
    </row>
    <row r="59" spans="1:60" ht="16" thickBot="1" x14ac:dyDescent="0.25">
      <c r="A59"/>
      <c r="O59" s="46"/>
      <c r="P59" s="239"/>
      <c r="Q59" s="46"/>
      <c r="R59" s="46"/>
      <c r="S59" s="46"/>
      <c r="T59" s="218" t="s">
        <v>92</v>
      </c>
      <c r="U59" s="218" t="s">
        <v>93</v>
      </c>
      <c r="V59" s="218" t="s">
        <v>94</v>
      </c>
      <c r="W59" s="218" t="s">
        <v>95</v>
      </c>
      <c r="X59" s="49" t="s">
        <v>173</v>
      </c>
      <c r="Y59" s="218" t="s">
        <v>92</v>
      </c>
      <c r="Z59" s="218" t="s">
        <v>93</v>
      </c>
      <c r="AA59" s="218" t="s">
        <v>94</v>
      </c>
      <c r="AB59" s="218" t="s">
        <v>95</v>
      </c>
      <c r="AC59" s="49" t="s">
        <v>174</v>
      </c>
      <c r="AD59" s="218" t="s">
        <v>92</v>
      </c>
      <c r="AE59" s="218" t="s">
        <v>93</v>
      </c>
      <c r="AF59" s="218" t="s">
        <v>94</v>
      </c>
      <c r="AG59" s="218" t="s">
        <v>95</v>
      </c>
      <c r="AH59" s="112" t="s">
        <v>175</v>
      </c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"/>
      <c r="BE59" s="6" t="s">
        <v>3</v>
      </c>
      <c r="BF59" s="109">
        <v>0</v>
      </c>
      <c r="BG59" s="109">
        <v>37.700000000000003</v>
      </c>
      <c r="BH59" s="109">
        <v>113.1</v>
      </c>
    </row>
    <row r="60" spans="1:60" x14ac:dyDescent="0.2">
      <c r="A60"/>
      <c r="B60" s="214"/>
      <c r="C60" s="212" t="s">
        <v>76</v>
      </c>
      <c r="D60" s="212"/>
      <c r="E60" s="212"/>
      <c r="F60" s="212"/>
      <c r="G60" s="212"/>
      <c r="H60" s="212"/>
      <c r="I60" s="212"/>
      <c r="J60" s="212"/>
      <c r="K60" s="212"/>
      <c r="L60" s="212"/>
      <c r="M60" s="212"/>
      <c r="N60" s="213"/>
      <c r="O60" s="46"/>
      <c r="P60" s="65" t="s">
        <v>4</v>
      </c>
      <c r="Q60" s="218"/>
      <c r="R60" s="218"/>
      <c r="S60" s="218"/>
      <c r="T60" s="5">
        <f>$X$60*0%</f>
        <v>0</v>
      </c>
      <c r="U60" s="5">
        <f>$X$60*0%</f>
        <v>0</v>
      </c>
      <c r="V60" s="5">
        <f>$X$60*50%</f>
        <v>8.7750000000000004</v>
      </c>
      <c r="W60" s="5">
        <f>$X$60*50%</f>
        <v>8.7750000000000004</v>
      </c>
      <c r="X60" s="5">
        <f>X47*$F$27</f>
        <v>17.55</v>
      </c>
      <c r="Y60" s="5">
        <f>$AC$60*25%</f>
        <v>6.5812499999999998</v>
      </c>
      <c r="Z60" s="5">
        <f t="shared" ref="Z60:AB60" si="74">$AC$60*25%</f>
        <v>6.5812499999999998</v>
      </c>
      <c r="AA60" s="5">
        <f t="shared" si="74"/>
        <v>6.5812499999999998</v>
      </c>
      <c r="AB60" s="5">
        <f t="shared" si="74"/>
        <v>6.5812499999999998</v>
      </c>
      <c r="AC60" s="5">
        <f>AC47*$F$27</f>
        <v>26.324999999999999</v>
      </c>
      <c r="AD60" s="5">
        <f>$AH$60*25%</f>
        <v>17.55</v>
      </c>
      <c r="AE60" s="5">
        <f t="shared" ref="AE60:AG60" si="75">$AH$60*25%</f>
        <v>17.55</v>
      </c>
      <c r="AF60" s="5">
        <f t="shared" si="75"/>
        <v>17.55</v>
      </c>
      <c r="AG60" s="5">
        <f t="shared" si="75"/>
        <v>17.55</v>
      </c>
      <c r="AH60" s="22">
        <f>AH47*$F$27</f>
        <v>70.2</v>
      </c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"/>
      <c r="BE60" s="6" t="s">
        <v>2</v>
      </c>
      <c r="BF60" s="109">
        <v>18.875</v>
      </c>
      <c r="BG60" s="109">
        <v>56.625</v>
      </c>
      <c r="BH60" s="109">
        <v>188.75</v>
      </c>
    </row>
    <row r="61" spans="1:60" ht="16" thickBot="1" x14ac:dyDescent="0.25">
      <c r="A61"/>
      <c r="B61" s="232"/>
      <c r="C61" s="233"/>
      <c r="D61" s="233"/>
      <c r="E61" s="233"/>
      <c r="F61" s="233"/>
      <c r="G61" s="233"/>
      <c r="H61" s="233"/>
      <c r="I61" s="233"/>
      <c r="J61" s="233"/>
      <c r="K61" s="233"/>
      <c r="L61" s="233"/>
      <c r="M61" s="233"/>
      <c r="N61" s="234"/>
      <c r="O61" s="46"/>
      <c r="P61" s="65" t="s">
        <v>3</v>
      </c>
      <c r="Q61" s="218"/>
      <c r="R61" s="218"/>
      <c r="S61" s="218"/>
      <c r="T61" s="5">
        <f>$X$48*10%</f>
        <v>0</v>
      </c>
      <c r="U61" s="5">
        <f>$X$48*20%</f>
        <v>0</v>
      </c>
      <c r="V61" s="5">
        <f>$X$48*30%</f>
        <v>0</v>
      </c>
      <c r="W61" s="5">
        <f>$X$48*40%</f>
        <v>0</v>
      </c>
      <c r="X61" s="5">
        <f>X48*$F$27</f>
        <v>0</v>
      </c>
      <c r="Y61" s="5">
        <f>$AC$61*10%</f>
        <v>1.8850000000000002</v>
      </c>
      <c r="Z61" s="5">
        <f>$AC$61*20%</f>
        <v>3.7700000000000005</v>
      </c>
      <c r="AA61" s="5">
        <f>$AC$61*30%</f>
        <v>5.6550000000000002</v>
      </c>
      <c r="AB61" s="5">
        <f>$AC$61*40%</f>
        <v>7.5400000000000009</v>
      </c>
      <c r="AC61" s="5">
        <f>AC48*$F$27</f>
        <v>18.850000000000001</v>
      </c>
      <c r="AD61" s="5">
        <f>$AH$61*25%</f>
        <v>28.274999999999999</v>
      </c>
      <c r="AE61" s="5">
        <f t="shared" ref="AE61:AG61" si="76">$AH$61*25%</f>
        <v>28.274999999999999</v>
      </c>
      <c r="AF61" s="5">
        <f t="shared" si="76"/>
        <v>28.274999999999999</v>
      </c>
      <c r="AG61" s="5">
        <f t="shared" si="76"/>
        <v>28.274999999999999</v>
      </c>
      <c r="AH61" s="22">
        <f>AH48*$F$27</f>
        <v>113.1</v>
      </c>
      <c r="AI61" s="46"/>
      <c r="AJ61" s="46"/>
      <c r="AK61" s="46"/>
      <c r="AL61" s="46"/>
      <c r="AM61" s="46"/>
      <c r="AN61" s="46"/>
      <c r="AO61" s="46"/>
      <c r="AP61" s="46"/>
      <c r="AQ61" s="46"/>
      <c r="AR61" s="46"/>
      <c r="AS61" s="46"/>
      <c r="AT61" s="4"/>
      <c r="BE61" s="6" t="s">
        <v>1</v>
      </c>
      <c r="BF61" s="109">
        <v>0</v>
      </c>
      <c r="BG61" s="109">
        <v>119.45</v>
      </c>
      <c r="BH61" s="109">
        <v>238.9</v>
      </c>
    </row>
    <row r="62" spans="1:60" x14ac:dyDescent="0.2">
      <c r="A62"/>
      <c r="B62" s="53"/>
      <c r="C62" s="45" t="s">
        <v>75</v>
      </c>
      <c r="D62" s="45"/>
      <c r="E62" s="45"/>
      <c r="F62" s="45" t="s">
        <v>168</v>
      </c>
      <c r="G62" s="45"/>
      <c r="H62" s="45"/>
      <c r="I62" s="45"/>
      <c r="J62" s="45"/>
      <c r="K62" s="45"/>
      <c r="L62" s="45"/>
      <c r="M62" s="45"/>
      <c r="N62" s="44"/>
      <c r="O62" s="46"/>
      <c r="P62" s="65" t="s">
        <v>2</v>
      </c>
      <c r="Q62" s="218"/>
      <c r="R62" s="218"/>
      <c r="S62" s="218"/>
      <c r="T62" s="5">
        <f>$X$49*0%</f>
        <v>0</v>
      </c>
      <c r="U62" s="5">
        <f>$X$49*0%</f>
        <v>0</v>
      </c>
      <c r="V62" s="5">
        <f>X62*50%</f>
        <v>9.4375</v>
      </c>
      <c r="W62" s="5">
        <f>Y62*50%</f>
        <v>4.71875</v>
      </c>
      <c r="X62" s="5">
        <f>X49*$F$27</f>
        <v>18.875</v>
      </c>
      <c r="Y62" s="5">
        <f>$AC$62*25%</f>
        <v>9.4375</v>
      </c>
      <c r="Z62" s="5">
        <f t="shared" ref="Z62:AB62" si="77">$AC$62*25%</f>
        <v>9.4375</v>
      </c>
      <c r="AA62" s="5">
        <f t="shared" si="77"/>
        <v>9.4375</v>
      </c>
      <c r="AB62" s="5">
        <f t="shared" si="77"/>
        <v>9.4375</v>
      </c>
      <c r="AC62" s="5">
        <f>AC49*$F$27</f>
        <v>37.75</v>
      </c>
      <c r="AD62" s="5">
        <f>$AH$62*25%</f>
        <v>33.03125</v>
      </c>
      <c r="AE62" s="5">
        <f t="shared" ref="AE62:AG62" si="78">$AH$62*25%</f>
        <v>33.03125</v>
      </c>
      <c r="AF62" s="5">
        <f t="shared" si="78"/>
        <v>33.03125</v>
      </c>
      <c r="AG62" s="5">
        <f t="shared" si="78"/>
        <v>33.03125</v>
      </c>
      <c r="AH62" s="22">
        <f>AH49*$F$27</f>
        <v>132.125</v>
      </c>
      <c r="AI62" s="46"/>
      <c r="AJ62" s="46"/>
      <c r="AK62" s="46"/>
      <c r="AL62" s="46"/>
      <c r="AM62" s="46"/>
      <c r="AN62" s="46"/>
      <c r="AO62" s="46"/>
      <c r="AP62" s="46"/>
      <c r="AQ62" s="46"/>
      <c r="AR62" s="46"/>
      <c r="AS62" s="46"/>
      <c r="AT62" s="4"/>
      <c r="BF62" s="109"/>
      <c r="BG62" s="109"/>
      <c r="BH62" s="109"/>
    </row>
    <row r="63" spans="1:60" x14ac:dyDescent="0.2">
      <c r="A63"/>
      <c r="B63" s="8"/>
      <c r="C63" s="46" t="s">
        <v>73</v>
      </c>
      <c r="D63" s="46"/>
      <c r="E63" s="46"/>
      <c r="F63" s="46" t="s">
        <v>177</v>
      </c>
      <c r="G63" s="46"/>
      <c r="H63" s="46"/>
      <c r="I63" s="46"/>
      <c r="J63" s="46"/>
      <c r="K63" s="46"/>
      <c r="L63" s="46"/>
      <c r="M63" s="46"/>
      <c r="N63" s="4"/>
      <c r="O63" s="46"/>
      <c r="P63" s="65" t="s">
        <v>1</v>
      </c>
      <c r="Q63" s="218"/>
      <c r="R63" s="218"/>
      <c r="S63" s="218"/>
      <c r="T63" s="5">
        <f>$X$50*10%</f>
        <v>0</v>
      </c>
      <c r="U63" s="5">
        <f>$X$50*20%</f>
        <v>0</v>
      </c>
      <c r="V63" s="5">
        <f>$X$50*30%</f>
        <v>0</v>
      </c>
      <c r="W63" s="5">
        <f>$X$51*40%</f>
        <v>0</v>
      </c>
      <c r="X63" s="5">
        <f>X50*$F$27</f>
        <v>0</v>
      </c>
      <c r="Y63" s="5">
        <f>$AC$63*10%</f>
        <v>5.9725000000000001</v>
      </c>
      <c r="Z63" s="5">
        <f>$AC$63*20%</f>
        <v>11.945</v>
      </c>
      <c r="AA63" s="5">
        <f>$AC$63*30%</f>
        <v>17.9175</v>
      </c>
      <c r="AB63" s="5">
        <f>$AC$63*40%</f>
        <v>23.89</v>
      </c>
      <c r="AC63" s="5">
        <f>AC50*$F$27</f>
        <v>59.725000000000001</v>
      </c>
      <c r="AD63" s="5">
        <f>$AH$63*25%</f>
        <v>53.752499999999998</v>
      </c>
      <c r="AE63" s="5">
        <f t="shared" ref="AE63:AF63" si="79">$AH$63*25%</f>
        <v>53.752499999999998</v>
      </c>
      <c r="AF63" s="5">
        <f t="shared" si="79"/>
        <v>53.752499999999998</v>
      </c>
      <c r="AG63" s="5">
        <f>$AH$63*25%</f>
        <v>53.752499999999998</v>
      </c>
      <c r="AH63" s="22">
        <f>AH50*$F$27</f>
        <v>215.01</v>
      </c>
      <c r="AI63" s="46"/>
      <c r="AJ63" s="46"/>
      <c r="AK63" s="46"/>
      <c r="AL63" s="46"/>
      <c r="AM63" s="46"/>
      <c r="AN63" s="46"/>
      <c r="AO63" s="46"/>
      <c r="AP63" s="46"/>
      <c r="AQ63" s="46"/>
      <c r="AR63" s="46"/>
      <c r="AS63" s="46"/>
      <c r="AT63" s="4"/>
      <c r="BF63" s="109" t="s">
        <v>173</v>
      </c>
      <c r="BG63" s="109" t="s">
        <v>174</v>
      </c>
      <c r="BH63" s="109" t="s">
        <v>175</v>
      </c>
    </row>
    <row r="64" spans="1:60" x14ac:dyDescent="0.2">
      <c r="A64"/>
      <c r="B64" s="8"/>
      <c r="C64" s="46" t="s">
        <v>176</v>
      </c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"/>
      <c r="O64" s="46"/>
      <c r="P64" s="65" t="s">
        <v>258</v>
      </c>
      <c r="Q64" s="218"/>
      <c r="R64" s="218"/>
      <c r="S64" s="218"/>
      <c r="T64" s="5">
        <f>$X51*10%</f>
        <v>0</v>
      </c>
      <c r="U64" s="5">
        <f>$X51*20%</f>
        <v>0</v>
      </c>
      <c r="V64" s="5">
        <f>$X51*30%</f>
        <v>0</v>
      </c>
      <c r="W64" s="5">
        <f>$X51*40%</f>
        <v>0</v>
      </c>
      <c r="X64" s="5">
        <f>X51*$F$27</f>
        <v>0</v>
      </c>
      <c r="Y64" s="5">
        <f>$AC64*10%</f>
        <v>0.53250000000000008</v>
      </c>
      <c r="Z64" s="5">
        <f>$AC64*20%</f>
        <v>1.0650000000000002</v>
      </c>
      <c r="AA64" s="5">
        <f>$AC64*30%</f>
        <v>1.5974999999999999</v>
      </c>
      <c r="AB64" s="5">
        <f>$AC64*40%</f>
        <v>2.1300000000000003</v>
      </c>
      <c r="AC64" s="5">
        <f>AC51*$F$27</f>
        <v>5.3250000000000002</v>
      </c>
      <c r="AD64" s="5">
        <f>$AH64*25%</f>
        <v>2.6625000000000001</v>
      </c>
      <c r="AE64" s="5">
        <f>$AH64*25%</f>
        <v>2.6625000000000001</v>
      </c>
      <c r="AF64" s="5">
        <f>$AH64*25%</f>
        <v>2.6625000000000001</v>
      </c>
      <c r="AG64" s="5">
        <f>$AH64*25%</f>
        <v>2.6625000000000001</v>
      </c>
      <c r="AH64" s="22">
        <f>AH51*$F$27</f>
        <v>10.65</v>
      </c>
      <c r="AI64" s="46"/>
      <c r="AJ64" s="46"/>
      <c r="AK64" s="46"/>
      <c r="AL64" s="46"/>
      <c r="AM64" s="46"/>
      <c r="AN64" s="46"/>
      <c r="AO64" s="46"/>
      <c r="AP64" s="46"/>
      <c r="AQ64" s="46"/>
      <c r="AR64" s="46"/>
      <c r="AS64" s="46"/>
      <c r="AT64" s="4"/>
      <c r="BF64" s="109"/>
      <c r="BG64" s="109"/>
      <c r="BH64" s="109"/>
    </row>
    <row r="65" spans="1:60" x14ac:dyDescent="0.2">
      <c r="A65"/>
      <c r="B65" s="8"/>
      <c r="C65" s="46" t="s">
        <v>107</v>
      </c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"/>
      <c r="O65" s="46"/>
      <c r="P65" s="65" t="str">
        <f>C37</f>
        <v>Country 1</v>
      </c>
      <c r="Q65" s="218"/>
      <c r="R65" s="218"/>
      <c r="S65" s="218"/>
      <c r="T65" s="5">
        <f t="shared" ref="T65:T67" si="80">$X52*10%</f>
        <v>0</v>
      </c>
      <c r="U65" s="5">
        <f t="shared" ref="U65:U68" si="81">$X52*20%</f>
        <v>0</v>
      </c>
      <c r="V65" s="5">
        <f t="shared" ref="V65:V68" si="82">$X$51*30%</f>
        <v>0</v>
      </c>
      <c r="W65" s="5">
        <f t="shared" ref="W65:W68" si="83">$X52*40%</f>
        <v>0</v>
      </c>
      <c r="X65" s="5">
        <f t="shared" ref="X65:X68" si="84">X52*$F$27</f>
        <v>0</v>
      </c>
      <c r="Y65" s="5">
        <f t="shared" ref="Y65:Y68" si="85">$AC65*10%</f>
        <v>0.9</v>
      </c>
      <c r="Z65" s="5">
        <f t="shared" ref="Z65:Z68" si="86">$AC65*20%</f>
        <v>1.8</v>
      </c>
      <c r="AA65" s="5">
        <f t="shared" ref="AA65:AA68" si="87">$AC65*30%</f>
        <v>2.6999999999999997</v>
      </c>
      <c r="AB65" s="5">
        <f t="shared" ref="AB65:AB68" si="88">$AC65*40%</f>
        <v>3.6</v>
      </c>
      <c r="AC65" s="5">
        <f t="shared" ref="AC65:AC68" si="89">AC52*$F$27</f>
        <v>9</v>
      </c>
      <c r="AD65" s="5">
        <f t="shared" ref="AD65:AG68" si="90">$AH65*25%</f>
        <v>9</v>
      </c>
      <c r="AE65" s="5">
        <f t="shared" si="90"/>
        <v>9</v>
      </c>
      <c r="AF65" s="5">
        <f t="shared" si="90"/>
        <v>9</v>
      </c>
      <c r="AG65" s="5">
        <f t="shared" si="90"/>
        <v>9</v>
      </c>
      <c r="AH65" s="22">
        <f t="shared" ref="AH65:AH68" si="91">AH52*$F$27</f>
        <v>36</v>
      </c>
      <c r="AI65" s="46"/>
      <c r="AJ65" s="46"/>
      <c r="AK65" s="46"/>
      <c r="AL65" s="46"/>
      <c r="AM65" s="46"/>
      <c r="AN65" s="46"/>
      <c r="AO65" s="46"/>
      <c r="AP65" s="46"/>
      <c r="AQ65" s="46"/>
      <c r="AR65" s="46"/>
      <c r="AS65" s="46"/>
      <c r="AT65" s="4"/>
      <c r="BF65" s="109"/>
      <c r="BG65" s="109"/>
      <c r="BH65" s="109"/>
    </row>
    <row r="66" spans="1:60" x14ac:dyDescent="0.2">
      <c r="B66" s="8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"/>
      <c r="O66" s="46"/>
      <c r="P66" s="65" t="str">
        <f t="shared" ref="P66:P68" si="92">C38</f>
        <v>Country 2</v>
      </c>
      <c r="Q66" s="218"/>
      <c r="R66" s="218"/>
      <c r="S66" s="218"/>
      <c r="T66" s="5">
        <f t="shared" si="80"/>
        <v>0</v>
      </c>
      <c r="U66" s="5">
        <f t="shared" si="81"/>
        <v>0</v>
      </c>
      <c r="V66" s="5">
        <f t="shared" si="82"/>
        <v>0</v>
      </c>
      <c r="W66" s="5">
        <f t="shared" si="83"/>
        <v>0</v>
      </c>
      <c r="X66" s="5">
        <f t="shared" si="84"/>
        <v>0</v>
      </c>
      <c r="Y66" s="5">
        <f t="shared" si="85"/>
        <v>0</v>
      </c>
      <c r="Z66" s="5">
        <f t="shared" si="86"/>
        <v>0</v>
      </c>
      <c r="AA66" s="5">
        <f t="shared" si="87"/>
        <v>0</v>
      </c>
      <c r="AB66" s="5">
        <f t="shared" si="88"/>
        <v>0</v>
      </c>
      <c r="AC66" s="5">
        <f t="shared" si="89"/>
        <v>0</v>
      </c>
      <c r="AD66" s="5">
        <f t="shared" si="90"/>
        <v>0</v>
      </c>
      <c r="AE66" s="5">
        <f t="shared" si="90"/>
        <v>0</v>
      </c>
      <c r="AF66" s="5">
        <f t="shared" si="90"/>
        <v>0</v>
      </c>
      <c r="AG66" s="5">
        <f t="shared" si="90"/>
        <v>0</v>
      </c>
      <c r="AH66" s="22">
        <f t="shared" si="91"/>
        <v>0</v>
      </c>
      <c r="AI66" s="46"/>
      <c r="AJ66" s="46"/>
      <c r="AK66" s="46"/>
      <c r="AL66" s="46"/>
      <c r="AM66" s="46"/>
      <c r="AN66" s="46"/>
      <c r="AO66" s="46"/>
      <c r="AP66" s="46"/>
      <c r="AQ66" s="46"/>
      <c r="AR66" s="46"/>
      <c r="AS66" s="46"/>
      <c r="AT66" s="4"/>
      <c r="BF66" s="109"/>
      <c r="BG66" s="109"/>
      <c r="BH66" s="109"/>
    </row>
    <row r="67" spans="1:60" x14ac:dyDescent="0.2">
      <c r="B67" s="150" t="s">
        <v>266</v>
      </c>
      <c r="C67" s="143"/>
      <c r="D67" s="143"/>
      <c r="E67" s="143"/>
      <c r="F67" s="143"/>
      <c r="G67" s="143"/>
      <c r="H67" s="143"/>
      <c r="I67" s="143"/>
      <c r="J67" s="73"/>
      <c r="K67" s="46"/>
      <c r="L67" s="46"/>
      <c r="M67" s="46"/>
      <c r="N67" s="4"/>
      <c r="O67" s="46"/>
      <c r="P67" s="65" t="str">
        <f t="shared" si="92"/>
        <v>Country 3</v>
      </c>
      <c r="Q67" s="218"/>
      <c r="R67" s="218"/>
      <c r="S67" s="218"/>
      <c r="T67" s="5">
        <f t="shared" si="80"/>
        <v>0</v>
      </c>
      <c r="U67" s="5">
        <f t="shared" si="81"/>
        <v>0</v>
      </c>
      <c r="V67" s="5">
        <f t="shared" si="82"/>
        <v>0</v>
      </c>
      <c r="W67" s="5">
        <f t="shared" si="83"/>
        <v>0</v>
      </c>
      <c r="X67" s="5">
        <f t="shared" si="84"/>
        <v>0</v>
      </c>
      <c r="Y67" s="5">
        <f t="shared" si="85"/>
        <v>0</v>
      </c>
      <c r="Z67" s="5">
        <f t="shared" si="86"/>
        <v>0</v>
      </c>
      <c r="AA67" s="5">
        <f t="shared" si="87"/>
        <v>0</v>
      </c>
      <c r="AB67" s="5">
        <f t="shared" si="88"/>
        <v>0</v>
      </c>
      <c r="AC67" s="5">
        <f t="shared" si="89"/>
        <v>0</v>
      </c>
      <c r="AD67" s="5">
        <f t="shared" si="90"/>
        <v>0</v>
      </c>
      <c r="AE67" s="5">
        <f t="shared" si="90"/>
        <v>0</v>
      </c>
      <c r="AF67" s="5">
        <f t="shared" si="90"/>
        <v>0</v>
      </c>
      <c r="AG67" s="5">
        <f t="shared" si="90"/>
        <v>0</v>
      </c>
      <c r="AH67" s="22">
        <f t="shared" si="91"/>
        <v>0</v>
      </c>
      <c r="AI67" s="46"/>
      <c r="AJ67" s="46"/>
      <c r="AK67" s="46"/>
      <c r="AL67" s="46"/>
      <c r="AM67" s="46"/>
      <c r="AN67" s="46"/>
      <c r="AO67" s="46"/>
      <c r="AP67" s="46"/>
      <c r="AQ67" s="46"/>
      <c r="AR67" s="46"/>
      <c r="AS67" s="46"/>
      <c r="AT67" s="4"/>
      <c r="BF67" s="109"/>
      <c r="BG67" s="109"/>
      <c r="BH67" s="109"/>
    </row>
    <row r="68" spans="1:60" ht="16" x14ac:dyDescent="0.2">
      <c r="B68" s="8"/>
      <c r="C68" s="124" t="s">
        <v>61</v>
      </c>
      <c r="D68" s="203">
        <v>10</v>
      </c>
      <c r="E68" s="95">
        <v>40</v>
      </c>
      <c r="F68" s="95">
        <v>100</v>
      </c>
      <c r="G68" s="95">
        <v>200</v>
      </c>
      <c r="H68" s="95">
        <v>500</v>
      </c>
      <c r="I68" s="95">
        <v>1000</v>
      </c>
      <c r="J68" s="95" t="s">
        <v>69</v>
      </c>
      <c r="K68" s="46"/>
      <c r="L68" s="46"/>
      <c r="M68" s="46"/>
      <c r="N68" s="4"/>
      <c r="O68" s="46"/>
      <c r="P68" s="65" t="str">
        <f t="shared" si="92"/>
        <v>Country 4</v>
      </c>
      <c r="Q68" s="218"/>
      <c r="R68" s="218"/>
      <c r="S68" s="218"/>
      <c r="T68" s="5">
        <f>$X55*10%</f>
        <v>0</v>
      </c>
      <c r="U68" s="5">
        <f t="shared" si="81"/>
        <v>0</v>
      </c>
      <c r="V68" s="5">
        <f t="shared" si="82"/>
        <v>0</v>
      </c>
      <c r="W68" s="5">
        <f t="shared" si="83"/>
        <v>0</v>
      </c>
      <c r="X68" s="5">
        <f t="shared" si="84"/>
        <v>0</v>
      </c>
      <c r="Y68" s="5">
        <f t="shared" si="85"/>
        <v>0</v>
      </c>
      <c r="Z68" s="5">
        <f t="shared" si="86"/>
        <v>0</v>
      </c>
      <c r="AA68" s="5">
        <f t="shared" si="87"/>
        <v>0</v>
      </c>
      <c r="AB68" s="5">
        <f t="shared" si="88"/>
        <v>0</v>
      </c>
      <c r="AC68" s="5">
        <f t="shared" si="89"/>
        <v>0</v>
      </c>
      <c r="AD68" s="5">
        <f t="shared" si="90"/>
        <v>0</v>
      </c>
      <c r="AE68" s="5">
        <f t="shared" si="90"/>
        <v>0</v>
      </c>
      <c r="AF68" s="5">
        <f t="shared" si="90"/>
        <v>0</v>
      </c>
      <c r="AG68" s="5">
        <f t="shared" si="90"/>
        <v>0</v>
      </c>
      <c r="AH68" s="22">
        <f t="shared" si="91"/>
        <v>0</v>
      </c>
      <c r="AI68" s="46"/>
      <c r="AJ68" s="46"/>
      <c r="AK68" s="46"/>
      <c r="AL68" s="46"/>
      <c r="AM68" s="46"/>
      <c r="AN68" s="46"/>
      <c r="AO68" s="46"/>
      <c r="AP68" s="46"/>
      <c r="AQ68" s="46"/>
      <c r="AR68" s="46"/>
      <c r="AS68" s="46"/>
      <c r="AT68" s="4"/>
      <c r="BF68" s="109"/>
      <c r="BG68" s="109"/>
      <c r="BH68" s="109"/>
    </row>
    <row r="69" spans="1:60" ht="16" x14ac:dyDescent="0.2">
      <c r="B69" s="8"/>
      <c r="C69" s="124" t="s">
        <v>67</v>
      </c>
      <c r="D69" s="203">
        <v>400</v>
      </c>
      <c r="E69" s="125">
        <v>250</v>
      </c>
      <c r="F69" s="125">
        <f>225</f>
        <v>225</v>
      </c>
      <c r="G69" s="95">
        <f>87%*G72</f>
        <v>196.53300000000002</v>
      </c>
      <c r="H69" s="95">
        <f>87%*H72</f>
        <v>176.87970000000001</v>
      </c>
      <c r="I69" s="95">
        <f>87%*I72</f>
        <v>159.19173000000001</v>
      </c>
      <c r="J69" s="96"/>
      <c r="K69" s="46"/>
      <c r="L69" s="46"/>
      <c r="M69" s="46"/>
      <c r="N69" s="4"/>
      <c r="O69" s="46"/>
      <c r="P69" s="244" t="s">
        <v>0</v>
      </c>
      <c r="Q69" s="46"/>
      <c r="R69" s="46"/>
      <c r="S69" s="46"/>
      <c r="T69" s="5">
        <f>SUM(T60:T68)</f>
        <v>0</v>
      </c>
      <c r="U69" s="5">
        <f t="shared" ref="U69:AH69" si="93">SUM(U60:U68)</f>
        <v>0</v>
      </c>
      <c r="V69" s="5">
        <f t="shared" si="93"/>
        <v>18.212499999999999</v>
      </c>
      <c r="W69" s="5">
        <f t="shared" si="93"/>
        <v>13.49375</v>
      </c>
      <c r="X69" s="5">
        <f t="shared" si="93"/>
        <v>36.424999999999997</v>
      </c>
      <c r="Y69" s="5">
        <f t="shared" si="93"/>
        <v>25.30875</v>
      </c>
      <c r="Z69" s="5">
        <f t="shared" si="93"/>
        <v>34.598749999999995</v>
      </c>
      <c r="AA69" s="5">
        <f t="shared" si="93"/>
        <v>43.888750000000002</v>
      </c>
      <c r="AB69" s="5">
        <f t="shared" si="93"/>
        <v>53.178750000000008</v>
      </c>
      <c r="AC69" s="5">
        <f t="shared" si="93"/>
        <v>156.97499999999999</v>
      </c>
      <c r="AD69" s="5">
        <f t="shared" si="93"/>
        <v>144.27124999999998</v>
      </c>
      <c r="AE69" s="5">
        <f t="shared" si="93"/>
        <v>144.27124999999998</v>
      </c>
      <c r="AF69" s="5">
        <f t="shared" si="93"/>
        <v>144.27124999999998</v>
      </c>
      <c r="AG69" s="5">
        <f t="shared" si="93"/>
        <v>144.27124999999998</v>
      </c>
      <c r="AH69" s="5">
        <f t="shared" si="93"/>
        <v>577.08499999999992</v>
      </c>
      <c r="AI69" s="46"/>
      <c r="AJ69" s="46"/>
      <c r="AK69" s="46"/>
      <c r="AL69" s="46"/>
      <c r="AM69" s="46"/>
      <c r="AN69" s="46"/>
      <c r="AO69" s="46"/>
      <c r="AP69" s="46"/>
      <c r="AQ69" s="46"/>
      <c r="AR69" s="46"/>
      <c r="AS69" s="46"/>
      <c r="AT69" s="4"/>
      <c r="BE69" s="6" t="s">
        <v>4</v>
      </c>
      <c r="BF69" s="109">
        <v>0</v>
      </c>
      <c r="BG69" s="109">
        <v>35.1</v>
      </c>
      <c r="BH69" s="109">
        <v>87.75</v>
      </c>
    </row>
    <row r="70" spans="1:60" x14ac:dyDescent="0.2">
      <c r="B70" s="8"/>
      <c r="C70" s="124"/>
      <c r="D70" s="203"/>
      <c r="E70" s="125"/>
      <c r="F70" s="125"/>
      <c r="G70" s="95"/>
      <c r="H70" s="95"/>
      <c r="I70" s="95"/>
      <c r="J70" s="96"/>
      <c r="K70" s="46"/>
      <c r="L70" s="46"/>
      <c r="M70" s="46"/>
      <c r="N70" s="4"/>
      <c r="O70" s="46"/>
      <c r="P70" s="239"/>
      <c r="Q70" s="46"/>
      <c r="R70" s="46"/>
      <c r="S70" s="46"/>
      <c r="T70" s="188"/>
      <c r="U70" s="188"/>
      <c r="V70" s="188"/>
      <c r="W70" s="188"/>
      <c r="X70" s="188"/>
      <c r="Y70" s="188"/>
      <c r="Z70" s="188"/>
      <c r="AA70" s="188"/>
      <c r="AB70" s="188"/>
      <c r="AC70" s="188"/>
      <c r="AD70" s="188"/>
      <c r="AE70" s="188"/>
      <c r="AF70" s="188"/>
      <c r="AG70" s="188"/>
      <c r="AH70" s="226"/>
      <c r="AI70" s="46"/>
      <c r="AJ70" s="46"/>
      <c r="AK70" s="46"/>
      <c r="AL70" s="46"/>
      <c r="AM70" s="46"/>
      <c r="AN70" s="46"/>
      <c r="AO70" s="46"/>
      <c r="AP70" s="46"/>
      <c r="AQ70" s="46"/>
      <c r="AR70" s="46"/>
      <c r="AS70" s="46"/>
      <c r="AT70" s="4"/>
      <c r="BE70" s="6"/>
      <c r="BF70" s="109"/>
      <c r="BG70" s="109"/>
      <c r="BH70" s="109"/>
    </row>
    <row r="71" spans="1:60" ht="16" x14ac:dyDescent="0.2">
      <c r="B71" s="8"/>
      <c r="C71" s="124" t="s">
        <v>65</v>
      </c>
      <c r="D71" s="203">
        <f>70</f>
        <v>70</v>
      </c>
      <c r="E71" s="125">
        <v>35</v>
      </c>
      <c r="F71" s="125">
        <v>26</v>
      </c>
      <c r="G71" s="95">
        <f>G72*13%</f>
        <v>29.367000000000001</v>
      </c>
      <c r="H71" s="95">
        <f>H72*13%</f>
        <v>26.430300000000003</v>
      </c>
      <c r="I71" s="95">
        <f>I72*13%</f>
        <v>23.787270000000003</v>
      </c>
      <c r="J71" s="96"/>
      <c r="K71" s="46"/>
      <c r="L71" s="46"/>
      <c r="M71" s="46"/>
      <c r="N71" s="4"/>
      <c r="O71" s="46"/>
      <c r="P71" s="65" t="s">
        <v>135</v>
      </c>
      <c r="Q71" s="46"/>
      <c r="R71" s="46"/>
      <c r="S71" s="46"/>
      <c r="T71" s="252" t="s">
        <v>191</v>
      </c>
      <c r="U71" s="253"/>
      <c r="V71" s="253"/>
      <c r="W71" s="254"/>
      <c r="X71" s="123" t="s">
        <v>192</v>
      </c>
      <c r="Y71" s="252" t="s">
        <v>193</v>
      </c>
      <c r="Z71" s="253"/>
      <c r="AA71" s="253"/>
      <c r="AB71" s="254"/>
      <c r="AC71" s="123" t="s">
        <v>194</v>
      </c>
      <c r="AD71" s="252" t="s">
        <v>5</v>
      </c>
      <c r="AE71" s="253"/>
      <c r="AF71" s="253"/>
      <c r="AG71" s="254"/>
      <c r="AH71" s="227" t="s">
        <v>195</v>
      </c>
      <c r="AI71" s="46"/>
      <c r="AJ71" s="46"/>
      <c r="AK71" s="46"/>
      <c r="AL71" s="46"/>
      <c r="AM71" s="46"/>
      <c r="AN71" s="46"/>
      <c r="AO71" s="46"/>
      <c r="AP71" s="46"/>
      <c r="AQ71" s="46"/>
      <c r="AR71" s="46"/>
      <c r="AS71" s="46"/>
      <c r="AT71" s="4"/>
      <c r="BE71" s="6" t="s">
        <v>3</v>
      </c>
      <c r="BF71" s="109">
        <v>0</v>
      </c>
      <c r="BG71" s="109">
        <v>37.700000000000003</v>
      </c>
      <c r="BH71" s="109">
        <v>113.1</v>
      </c>
    </row>
    <row r="72" spans="1:60" ht="16" x14ac:dyDescent="0.2">
      <c r="B72" s="8"/>
      <c r="C72" s="124" t="s">
        <v>60</v>
      </c>
      <c r="D72" s="208">
        <f>SUM(D69:D71)</f>
        <v>470</v>
      </c>
      <c r="E72" s="208">
        <f>SUM(E69:E71)</f>
        <v>285</v>
      </c>
      <c r="F72" s="208">
        <f t="shared" ref="F72" si="94">SUM(F69:F71)</f>
        <v>251</v>
      </c>
      <c r="G72" s="208">
        <f>F72*90%</f>
        <v>225.9</v>
      </c>
      <c r="H72" s="208">
        <f t="shared" ref="H72:I72" si="95">G72*90%</f>
        <v>203.31</v>
      </c>
      <c r="I72" s="208">
        <f t="shared" si="95"/>
        <v>182.97900000000001</v>
      </c>
      <c r="J72" s="96"/>
      <c r="K72" s="46"/>
      <c r="L72" s="46"/>
      <c r="M72" s="46"/>
      <c r="N72" s="4"/>
      <c r="O72" s="46"/>
      <c r="P72" s="239"/>
      <c r="Q72" s="46"/>
      <c r="R72" s="46"/>
      <c r="S72" s="46"/>
      <c r="T72" s="218" t="s">
        <v>92</v>
      </c>
      <c r="U72" s="218" t="s">
        <v>93</v>
      </c>
      <c r="V72" s="218" t="s">
        <v>94</v>
      </c>
      <c r="W72" s="218" t="s">
        <v>95</v>
      </c>
      <c r="X72" s="49" t="s">
        <v>173</v>
      </c>
      <c r="Y72" s="218" t="s">
        <v>92</v>
      </c>
      <c r="Z72" s="218" t="s">
        <v>93</v>
      </c>
      <c r="AA72" s="218" t="s">
        <v>94</v>
      </c>
      <c r="AB72" s="218" t="s">
        <v>95</v>
      </c>
      <c r="AC72" s="49" t="s">
        <v>174</v>
      </c>
      <c r="AD72" s="218" t="s">
        <v>92</v>
      </c>
      <c r="AE72" s="218" t="s">
        <v>93</v>
      </c>
      <c r="AF72" s="218" t="s">
        <v>94</v>
      </c>
      <c r="AG72" s="218" t="s">
        <v>95</v>
      </c>
      <c r="AH72" s="112" t="s">
        <v>175</v>
      </c>
      <c r="AI72" s="46"/>
      <c r="AJ72" s="46"/>
      <c r="AK72" s="46"/>
      <c r="AL72" s="46"/>
      <c r="AM72" s="46"/>
      <c r="AN72" s="46"/>
      <c r="AO72" s="46"/>
      <c r="AP72" s="46"/>
      <c r="AQ72" s="46"/>
      <c r="AR72" s="46"/>
      <c r="AS72" s="46"/>
      <c r="AT72" s="4"/>
      <c r="BE72" s="6" t="s">
        <v>2</v>
      </c>
      <c r="BF72" s="109">
        <v>0</v>
      </c>
      <c r="BG72" s="109">
        <v>56.625</v>
      </c>
      <c r="BH72" s="109">
        <v>188.75</v>
      </c>
    </row>
    <row r="73" spans="1:60" x14ac:dyDescent="0.2">
      <c r="B73" s="8"/>
      <c r="C73" s="126" t="s">
        <v>101</v>
      </c>
      <c r="D73" s="95">
        <f>D72*D68</f>
        <v>4700</v>
      </c>
      <c r="E73" s="95">
        <f>E72*E68</f>
        <v>11400</v>
      </c>
      <c r="F73" s="95">
        <f t="shared" ref="F73:I73" si="96">F72*F68</f>
        <v>25100</v>
      </c>
      <c r="G73" s="95">
        <f t="shared" si="96"/>
        <v>45180</v>
      </c>
      <c r="H73" s="95">
        <f t="shared" si="96"/>
        <v>101655</v>
      </c>
      <c r="I73" s="95">
        <f t="shared" si="96"/>
        <v>182979</v>
      </c>
      <c r="J73" s="96"/>
      <c r="K73" s="46"/>
      <c r="L73" s="46"/>
      <c r="M73" s="46"/>
      <c r="N73" s="4"/>
      <c r="O73" s="46"/>
      <c r="P73" s="65" t="s">
        <v>4</v>
      </c>
      <c r="Q73" s="218"/>
      <c r="R73" s="218"/>
      <c r="S73" s="218"/>
      <c r="T73" s="17">
        <v>0</v>
      </c>
      <c r="U73" s="17">
        <v>0</v>
      </c>
      <c r="V73" s="17">
        <v>0</v>
      </c>
      <c r="W73" s="17">
        <v>0</v>
      </c>
      <c r="X73" s="5">
        <v>0</v>
      </c>
      <c r="Y73" s="5">
        <f>$AC$73*25%</f>
        <v>6.5812499999999998</v>
      </c>
      <c r="Z73" s="5">
        <f>$AC$73*25%</f>
        <v>6.5812499999999998</v>
      </c>
      <c r="AA73" s="5">
        <f>$AC$73*25%</f>
        <v>6.5812499999999998</v>
      </c>
      <c r="AB73" s="5">
        <f>$AC$73*25%</f>
        <v>6.5812499999999998</v>
      </c>
      <c r="AC73" s="5">
        <f>AC47*$F$27</f>
        <v>26.324999999999999</v>
      </c>
      <c r="AD73" s="5">
        <f>$AH$73*25%</f>
        <v>17.55</v>
      </c>
      <c r="AE73" s="5">
        <f t="shared" ref="AE73:AG73" si="97">$AH$73*25%</f>
        <v>17.55</v>
      </c>
      <c r="AF73" s="5">
        <f t="shared" si="97"/>
        <v>17.55</v>
      </c>
      <c r="AG73" s="5">
        <f t="shared" si="97"/>
        <v>17.55</v>
      </c>
      <c r="AH73" s="22">
        <f>AH47*$F$27</f>
        <v>70.2</v>
      </c>
      <c r="AI73" s="46"/>
      <c r="AJ73" s="46"/>
      <c r="AK73" s="46"/>
      <c r="AL73" s="46"/>
      <c r="AM73" s="46"/>
      <c r="AN73" s="46"/>
      <c r="AO73" s="46"/>
      <c r="AP73" s="46"/>
      <c r="AQ73" s="46"/>
      <c r="AR73" s="46"/>
      <c r="AS73" s="46"/>
      <c r="AT73" s="4"/>
      <c r="BE73" s="6" t="s">
        <v>1</v>
      </c>
      <c r="BF73" s="109">
        <v>0</v>
      </c>
      <c r="BG73" s="109">
        <v>119.45</v>
      </c>
      <c r="BH73" s="109">
        <v>238.9</v>
      </c>
    </row>
    <row r="74" spans="1:60" x14ac:dyDescent="0.2">
      <c r="B74" s="8"/>
      <c r="C74" s="46" t="s">
        <v>106</v>
      </c>
      <c r="D74" s="125">
        <f>D73*1.3</f>
        <v>6110</v>
      </c>
      <c r="E74" s="125">
        <f>E73*1.3</f>
        <v>14820</v>
      </c>
      <c r="F74" s="125">
        <f t="shared" ref="F74:I74" si="98">F73*1.3</f>
        <v>32630</v>
      </c>
      <c r="G74" s="125">
        <f t="shared" si="98"/>
        <v>58734</v>
      </c>
      <c r="H74" s="125">
        <f t="shared" si="98"/>
        <v>132151.5</v>
      </c>
      <c r="I74" s="125">
        <f t="shared" si="98"/>
        <v>237872.7</v>
      </c>
      <c r="J74" s="96"/>
      <c r="K74" s="46"/>
      <c r="L74" s="46"/>
      <c r="M74" s="46"/>
      <c r="N74" s="4"/>
      <c r="O74" s="46"/>
      <c r="P74" s="65" t="s">
        <v>3</v>
      </c>
      <c r="Q74" s="218"/>
      <c r="R74" s="218"/>
      <c r="S74" s="218"/>
      <c r="T74" s="17">
        <v>0</v>
      </c>
      <c r="U74" s="17">
        <v>0</v>
      </c>
      <c r="V74" s="17">
        <v>0</v>
      </c>
      <c r="W74" s="17">
        <v>0</v>
      </c>
      <c r="X74" s="5">
        <f>X50*$F$28</f>
        <v>0</v>
      </c>
      <c r="Y74" s="5">
        <f>$AC$74*10%</f>
        <v>1.8850000000000002</v>
      </c>
      <c r="Z74" s="5">
        <f>$AC$74*20%</f>
        <v>3.7700000000000005</v>
      </c>
      <c r="AA74" s="5">
        <f>$AC$74*30%</f>
        <v>5.6550000000000002</v>
      </c>
      <c r="AB74" s="5">
        <f>$AC$74*40%</f>
        <v>7.5400000000000009</v>
      </c>
      <c r="AC74" s="5">
        <f>AC48*$F$27</f>
        <v>18.850000000000001</v>
      </c>
      <c r="AD74" s="5">
        <f>$AH$74*25%</f>
        <v>28.274999999999999</v>
      </c>
      <c r="AE74" s="5">
        <f t="shared" ref="AE74:AG74" si="99">$AH$74*25%</f>
        <v>28.274999999999999</v>
      </c>
      <c r="AF74" s="5">
        <f t="shared" si="99"/>
        <v>28.274999999999999</v>
      </c>
      <c r="AG74" s="5">
        <f t="shared" si="99"/>
        <v>28.274999999999999</v>
      </c>
      <c r="AH74" s="22">
        <f>AH48*$F$27</f>
        <v>113.1</v>
      </c>
      <c r="AI74" s="46"/>
      <c r="AJ74" s="46"/>
      <c r="AK74" s="46"/>
      <c r="AL74" s="46"/>
      <c r="AM74" s="46"/>
      <c r="AN74" s="46"/>
      <c r="AO74" s="46"/>
      <c r="AP74" s="46"/>
      <c r="AQ74" s="46"/>
      <c r="AR74" s="46"/>
      <c r="AS74" s="46"/>
      <c r="AT74" s="4"/>
    </row>
    <row r="75" spans="1:60" x14ac:dyDescent="0.2">
      <c r="B75" s="8"/>
      <c r="C75" s="46"/>
      <c r="D75" s="46"/>
      <c r="E75" s="125"/>
      <c r="F75" s="125"/>
      <c r="G75" s="125"/>
      <c r="H75" s="125"/>
      <c r="I75" s="125"/>
      <c r="J75" s="96"/>
      <c r="K75" s="46"/>
      <c r="L75" s="46"/>
      <c r="M75" s="46"/>
      <c r="N75" s="4"/>
      <c r="O75" s="46"/>
      <c r="P75" s="65" t="s">
        <v>2</v>
      </c>
      <c r="Q75" s="218"/>
      <c r="R75" s="218"/>
      <c r="S75" s="218"/>
      <c r="T75" s="17">
        <v>0</v>
      </c>
      <c r="U75" s="17">
        <v>0</v>
      </c>
      <c r="V75" s="17">
        <v>0</v>
      </c>
      <c r="W75" s="17">
        <v>0</v>
      </c>
      <c r="X75" s="5">
        <v>0</v>
      </c>
      <c r="Y75" s="5">
        <f>$AC$75*25%</f>
        <v>9.4375</v>
      </c>
      <c r="Z75" s="5">
        <f>$AC$75*25%</f>
        <v>9.4375</v>
      </c>
      <c r="AA75" s="5">
        <f>$AC$75*25%</f>
        <v>9.4375</v>
      </c>
      <c r="AB75" s="5">
        <f>$AC$75*25%</f>
        <v>9.4375</v>
      </c>
      <c r="AC75" s="5">
        <f>AC49*$F$27</f>
        <v>37.75</v>
      </c>
      <c r="AD75" s="5">
        <f>$AH$75*25%</f>
        <v>33.03125</v>
      </c>
      <c r="AE75" s="5">
        <f t="shared" ref="AE75:AG75" si="100">$AH$75*25%</f>
        <v>33.03125</v>
      </c>
      <c r="AF75" s="5">
        <f t="shared" si="100"/>
        <v>33.03125</v>
      </c>
      <c r="AG75" s="5">
        <f t="shared" si="100"/>
        <v>33.03125</v>
      </c>
      <c r="AH75" s="22">
        <f>AH49*$F$27</f>
        <v>132.125</v>
      </c>
      <c r="AI75" s="46"/>
      <c r="AJ75" s="46"/>
      <c r="AK75" s="46"/>
      <c r="AL75" s="46"/>
      <c r="AM75" s="46"/>
      <c r="AN75" s="46"/>
      <c r="AO75" s="46"/>
      <c r="AP75" s="46"/>
      <c r="AQ75" s="46"/>
      <c r="AR75" s="46"/>
      <c r="AS75" s="46"/>
      <c r="AT75" s="4"/>
    </row>
    <row r="76" spans="1:60" x14ac:dyDescent="0.2">
      <c r="A76" s="97"/>
      <c r="B76" s="8"/>
      <c r="C76" s="46"/>
      <c r="D76" s="46"/>
      <c r="E76" s="125"/>
      <c r="F76" s="125"/>
      <c r="G76" s="125"/>
      <c r="H76" s="125"/>
      <c r="I76" s="125"/>
      <c r="J76" s="96"/>
      <c r="K76" s="46"/>
      <c r="L76" s="46"/>
      <c r="M76" s="46"/>
      <c r="N76" s="4"/>
      <c r="P76" s="65" t="s">
        <v>1</v>
      </c>
      <c r="Q76" s="218"/>
      <c r="R76" s="218"/>
      <c r="S76" s="218"/>
      <c r="T76" s="17">
        <v>0</v>
      </c>
      <c r="U76" s="17">
        <v>0</v>
      </c>
      <c r="V76" s="17">
        <v>0</v>
      </c>
      <c r="W76" s="17">
        <v>0</v>
      </c>
      <c r="X76" s="5">
        <v>0</v>
      </c>
      <c r="Y76" s="5">
        <f>$AC$76*10%</f>
        <v>5.9725000000000001</v>
      </c>
      <c r="Z76" s="5">
        <f>$AC$76*20%</f>
        <v>11.945</v>
      </c>
      <c r="AA76" s="5">
        <f>$AC$76*30%</f>
        <v>17.9175</v>
      </c>
      <c r="AB76" s="5">
        <f>$AC$76*40%</f>
        <v>23.89</v>
      </c>
      <c r="AC76" s="5">
        <f>AC50*$F$27</f>
        <v>59.725000000000001</v>
      </c>
      <c r="AD76" s="5">
        <f>$AH$76*25%</f>
        <v>53.752499999999998</v>
      </c>
      <c r="AE76" s="5">
        <f t="shared" ref="AE76:AF76" si="101">$AH$63*25%</f>
        <v>53.752499999999998</v>
      </c>
      <c r="AF76" s="5">
        <f t="shared" si="101"/>
        <v>53.752499999999998</v>
      </c>
      <c r="AG76" s="5">
        <f>$AH$63*25%</f>
        <v>53.752499999999998</v>
      </c>
      <c r="AH76" s="22">
        <f>AH50*$F$27</f>
        <v>215.01</v>
      </c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"/>
    </row>
    <row r="77" spans="1:60" x14ac:dyDescent="0.2">
      <c r="A77" s="97"/>
      <c r="B77" s="8"/>
      <c r="C77" s="46"/>
      <c r="D77" s="46"/>
      <c r="E77" s="125"/>
      <c r="F77" s="125"/>
      <c r="G77" s="125"/>
      <c r="H77" s="125"/>
      <c r="I77" s="125"/>
      <c r="J77" s="96"/>
      <c r="K77" s="46"/>
      <c r="L77" s="46"/>
      <c r="M77" s="46"/>
      <c r="N77" s="4"/>
      <c r="P77" s="65" t="s">
        <v>258</v>
      </c>
      <c r="Q77" s="224"/>
      <c r="R77" s="224"/>
      <c r="S77" s="224"/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5">
        <f>$AC77*10%</f>
        <v>0.53250000000000008</v>
      </c>
      <c r="Z77" s="5">
        <f>$AC77*20%</f>
        <v>1.0650000000000002</v>
      </c>
      <c r="AA77" s="5">
        <f>$AC77*30%</f>
        <v>1.5974999999999999</v>
      </c>
      <c r="AB77" s="5">
        <f>$AC77*40%</f>
        <v>2.1300000000000003</v>
      </c>
      <c r="AC77" s="5">
        <f>AC51*$F$27</f>
        <v>5.3250000000000002</v>
      </c>
      <c r="AD77" s="5">
        <f>$AH77*25%</f>
        <v>2.6625000000000001</v>
      </c>
      <c r="AE77" s="5">
        <f>$AH77*25%</f>
        <v>2.6625000000000001</v>
      </c>
      <c r="AF77" s="5">
        <f>$AH77*25%</f>
        <v>2.6625000000000001</v>
      </c>
      <c r="AG77" s="5">
        <f>$AH77*25%</f>
        <v>2.6625000000000001</v>
      </c>
      <c r="AH77" s="22">
        <f>AH51*$F$27</f>
        <v>10.65</v>
      </c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"/>
    </row>
    <row r="78" spans="1:60" x14ac:dyDescent="0.2">
      <c r="A78" s="97"/>
      <c r="B78" s="8"/>
      <c r="C78" s="46"/>
      <c r="D78" s="46"/>
      <c r="E78" s="125"/>
      <c r="F78" s="125"/>
      <c r="G78" s="125"/>
      <c r="H78" s="125"/>
      <c r="I78" s="125"/>
      <c r="J78" s="96"/>
      <c r="K78" s="46"/>
      <c r="L78" s="46"/>
      <c r="M78" s="46"/>
      <c r="N78" s="4"/>
      <c r="P78" s="65" t="str">
        <f>C37</f>
        <v>Country 1</v>
      </c>
      <c r="Q78" s="224"/>
      <c r="R78" s="224"/>
      <c r="S78" s="224"/>
      <c r="T78" s="17">
        <v>0</v>
      </c>
      <c r="U78" s="17">
        <v>0</v>
      </c>
      <c r="V78" s="17">
        <v>0</v>
      </c>
      <c r="W78" s="17">
        <v>0</v>
      </c>
      <c r="X78" s="17">
        <v>0</v>
      </c>
      <c r="Y78" s="5">
        <f t="shared" ref="Y78:Y81" si="102">$AC78*10%</f>
        <v>0.9</v>
      </c>
      <c r="Z78" s="5">
        <f t="shared" ref="Z78:Z81" si="103">$AC78*20%</f>
        <v>1.8</v>
      </c>
      <c r="AA78" s="5">
        <f t="shared" ref="AA78:AA81" si="104">$AC78*30%</f>
        <v>2.6999999999999997</v>
      </c>
      <c r="AB78" s="5">
        <f t="shared" ref="AB78:AB81" si="105">$AC78*40%</f>
        <v>3.6</v>
      </c>
      <c r="AC78" s="5">
        <f t="shared" ref="AC78:AC81" si="106">AC52*$F$27</f>
        <v>9</v>
      </c>
      <c r="AD78" s="5">
        <f t="shared" ref="AD78:AG81" si="107">$AH78*25%</f>
        <v>9</v>
      </c>
      <c r="AE78" s="5">
        <f t="shared" si="107"/>
        <v>9</v>
      </c>
      <c r="AF78" s="5">
        <f t="shared" si="107"/>
        <v>9</v>
      </c>
      <c r="AG78" s="5">
        <f t="shared" si="107"/>
        <v>9</v>
      </c>
      <c r="AH78" s="22">
        <f t="shared" ref="AH78:AH81" si="108">AH52*$F$27</f>
        <v>36</v>
      </c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"/>
    </row>
    <row r="79" spans="1:60" x14ac:dyDescent="0.2">
      <c r="A79" s="97"/>
      <c r="B79" s="8"/>
      <c r="C79" s="46"/>
      <c r="D79" s="46"/>
      <c r="E79" s="125"/>
      <c r="F79" s="125"/>
      <c r="G79" s="125"/>
      <c r="H79" s="125"/>
      <c r="I79" s="125"/>
      <c r="J79" s="96"/>
      <c r="K79" s="46"/>
      <c r="L79" s="46"/>
      <c r="M79" s="46"/>
      <c r="N79" s="4"/>
      <c r="P79" s="65" t="str">
        <f t="shared" ref="P79:P81" si="109">C38</f>
        <v>Country 2</v>
      </c>
      <c r="Q79" s="224"/>
      <c r="R79" s="224"/>
      <c r="S79" s="224"/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5">
        <f t="shared" si="102"/>
        <v>0</v>
      </c>
      <c r="Z79" s="5">
        <f t="shared" si="103"/>
        <v>0</v>
      </c>
      <c r="AA79" s="5">
        <f t="shared" si="104"/>
        <v>0</v>
      </c>
      <c r="AB79" s="5">
        <f t="shared" si="105"/>
        <v>0</v>
      </c>
      <c r="AC79" s="5">
        <f t="shared" si="106"/>
        <v>0</v>
      </c>
      <c r="AD79" s="5">
        <f t="shared" si="107"/>
        <v>0</v>
      </c>
      <c r="AE79" s="5">
        <f t="shared" si="107"/>
        <v>0</v>
      </c>
      <c r="AF79" s="5">
        <f t="shared" si="107"/>
        <v>0</v>
      </c>
      <c r="AG79" s="5">
        <f t="shared" si="107"/>
        <v>0</v>
      </c>
      <c r="AH79" s="22">
        <f t="shared" si="108"/>
        <v>0</v>
      </c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"/>
    </row>
    <row r="80" spans="1:60" x14ac:dyDescent="0.2">
      <c r="A80" s="97"/>
      <c r="B80" s="150" t="s">
        <v>62</v>
      </c>
      <c r="C80" s="143"/>
      <c r="D80" s="143"/>
      <c r="E80" s="73"/>
      <c r="F80" s="73"/>
      <c r="G80" s="73"/>
      <c r="H80" s="73"/>
      <c r="I80" s="73"/>
      <c r="J80" s="73"/>
      <c r="K80" s="46"/>
      <c r="L80" s="46"/>
      <c r="M80" s="46"/>
      <c r="N80" s="4"/>
      <c r="P80" s="65" t="str">
        <f t="shared" si="109"/>
        <v>Country 3</v>
      </c>
      <c r="Q80" s="224"/>
      <c r="R80" s="224"/>
      <c r="S80" s="224"/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5">
        <f t="shared" si="102"/>
        <v>0</v>
      </c>
      <c r="Z80" s="5">
        <f t="shared" si="103"/>
        <v>0</v>
      </c>
      <c r="AA80" s="5">
        <f t="shared" si="104"/>
        <v>0</v>
      </c>
      <c r="AB80" s="5">
        <f t="shared" si="105"/>
        <v>0</v>
      </c>
      <c r="AC80" s="5">
        <f t="shared" si="106"/>
        <v>0</v>
      </c>
      <c r="AD80" s="5">
        <f t="shared" si="107"/>
        <v>0</v>
      </c>
      <c r="AE80" s="5">
        <f t="shared" si="107"/>
        <v>0</v>
      </c>
      <c r="AF80" s="5">
        <f t="shared" si="107"/>
        <v>0</v>
      </c>
      <c r="AG80" s="5">
        <f t="shared" si="107"/>
        <v>0</v>
      </c>
      <c r="AH80" s="22">
        <f t="shared" si="108"/>
        <v>0</v>
      </c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"/>
    </row>
    <row r="81" spans="1:46" ht="17" thickBot="1" x14ac:dyDescent="0.25">
      <c r="A81" s="97"/>
      <c r="B81" s="8"/>
      <c r="C81" s="124" t="s">
        <v>61</v>
      </c>
      <c r="D81" s="46">
        <v>10</v>
      </c>
      <c r="E81" s="46">
        <v>50</v>
      </c>
      <c r="F81" s="46">
        <v>100</v>
      </c>
      <c r="G81" s="47" t="s">
        <v>87</v>
      </c>
      <c r="H81" s="46"/>
      <c r="I81" s="46"/>
      <c r="J81" s="46"/>
      <c r="K81" s="46"/>
      <c r="L81" s="46"/>
      <c r="M81" s="46"/>
      <c r="N81" s="4"/>
      <c r="P81" s="65" t="str">
        <f t="shared" si="109"/>
        <v>Country 4</v>
      </c>
      <c r="Q81" s="228"/>
      <c r="R81" s="228"/>
      <c r="S81" s="228"/>
      <c r="T81" s="240">
        <v>0</v>
      </c>
      <c r="U81" s="240">
        <v>0</v>
      </c>
      <c r="V81" s="240">
        <v>0</v>
      </c>
      <c r="W81" s="240">
        <v>0</v>
      </c>
      <c r="X81" s="240">
        <v>0</v>
      </c>
      <c r="Y81" s="5">
        <f t="shared" si="102"/>
        <v>0</v>
      </c>
      <c r="Z81" s="5">
        <f t="shared" si="103"/>
        <v>0</v>
      </c>
      <c r="AA81" s="5">
        <f t="shared" si="104"/>
        <v>0</v>
      </c>
      <c r="AB81" s="5">
        <f t="shared" si="105"/>
        <v>0</v>
      </c>
      <c r="AC81" s="241">
        <f t="shared" si="106"/>
        <v>0</v>
      </c>
      <c r="AD81" s="5">
        <f t="shared" si="107"/>
        <v>0</v>
      </c>
      <c r="AE81" s="5">
        <f t="shared" si="107"/>
        <v>0</v>
      </c>
      <c r="AF81" s="5">
        <f t="shared" si="107"/>
        <v>0</v>
      </c>
      <c r="AG81" s="5">
        <f t="shared" si="107"/>
        <v>0</v>
      </c>
      <c r="AH81" s="242">
        <f t="shared" si="108"/>
        <v>0</v>
      </c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"/>
    </row>
    <row r="82" spans="1:46" ht="16" x14ac:dyDescent="0.2">
      <c r="A82" s="97"/>
      <c r="B82" s="8"/>
      <c r="C82" s="127" t="s">
        <v>60</v>
      </c>
      <c r="D82" s="48">
        <v>700</v>
      </c>
      <c r="E82" s="48">
        <f>D82*80%</f>
        <v>560</v>
      </c>
      <c r="F82" s="48">
        <f>E82*80%</f>
        <v>448</v>
      </c>
      <c r="G82" s="46"/>
      <c r="H82" s="46"/>
      <c r="I82" s="46"/>
      <c r="J82" s="46"/>
      <c r="K82" s="46"/>
      <c r="L82" s="46"/>
      <c r="M82" s="46"/>
      <c r="N82" s="4"/>
      <c r="O82" s="8"/>
      <c r="P82" s="244" t="s">
        <v>0</v>
      </c>
      <c r="Q82" s="46"/>
      <c r="R82" s="46"/>
      <c r="S82" s="46"/>
      <c r="T82" s="5">
        <f>SUM(T73:T81)</f>
        <v>0</v>
      </c>
      <c r="U82" s="5">
        <f t="shared" ref="U82:AH82" si="110">SUM(U73:U81)</f>
        <v>0</v>
      </c>
      <c r="V82" s="5">
        <f t="shared" si="110"/>
        <v>0</v>
      </c>
      <c r="W82" s="5">
        <f t="shared" si="110"/>
        <v>0</v>
      </c>
      <c r="X82" s="5">
        <f t="shared" si="110"/>
        <v>0</v>
      </c>
      <c r="Y82" s="5">
        <f t="shared" si="110"/>
        <v>25.30875</v>
      </c>
      <c r="Z82" s="5">
        <f t="shared" si="110"/>
        <v>34.598749999999995</v>
      </c>
      <c r="AA82" s="5">
        <f t="shared" si="110"/>
        <v>43.888750000000002</v>
      </c>
      <c r="AB82" s="5">
        <f t="shared" si="110"/>
        <v>53.178750000000008</v>
      </c>
      <c r="AC82" s="5">
        <f t="shared" si="110"/>
        <v>156.97499999999999</v>
      </c>
      <c r="AD82" s="5">
        <f t="shared" si="110"/>
        <v>144.27124999999998</v>
      </c>
      <c r="AE82" s="5">
        <f t="shared" si="110"/>
        <v>144.27124999999998</v>
      </c>
      <c r="AF82" s="5">
        <f t="shared" si="110"/>
        <v>144.27124999999998</v>
      </c>
      <c r="AG82" s="5">
        <f t="shared" si="110"/>
        <v>144.27124999999998</v>
      </c>
      <c r="AH82" s="5">
        <f t="shared" si="110"/>
        <v>577.08499999999992</v>
      </c>
      <c r="AI82" s="46"/>
      <c r="AJ82" s="46"/>
      <c r="AK82" s="46"/>
      <c r="AL82" s="46"/>
      <c r="AM82" s="46"/>
      <c r="AN82" s="46"/>
      <c r="AO82" s="46"/>
      <c r="AP82" s="46"/>
      <c r="AQ82" s="46"/>
      <c r="AR82" s="46"/>
      <c r="AS82" s="46"/>
      <c r="AT82" s="4"/>
    </row>
    <row r="83" spans="1:46" x14ac:dyDescent="0.2">
      <c r="A83" s="97"/>
      <c r="B83" s="8"/>
      <c r="C83" s="127"/>
      <c r="D83" s="127"/>
      <c r="E83" s="46"/>
      <c r="F83" s="46"/>
      <c r="G83" s="46"/>
      <c r="H83" s="46"/>
      <c r="I83" s="46"/>
      <c r="J83" s="46"/>
      <c r="K83" s="46"/>
      <c r="L83" s="46"/>
      <c r="M83" s="46"/>
      <c r="N83" s="4"/>
      <c r="P83" s="8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"/>
      <c r="AI83" s="46"/>
      <c r="AJ83" s="46"/>
      <c r="AK83" s="46"/>
      <c r="AL83" s="46"/>
      <c r="AM83" s="46"/>
      <c r="AN83" s="46"/>
      <c r="AO83" s="46"/>
      <c r="AP83" s="46"/>
      <c r="AQ83" s="46"/>
      <c r="AR83" s="46"/>
      <c r="AS83" s="46"/>
      <c r="AT83" s="4"/>
    </row>
    <row r="84" spans="1:46" ht="16" thickBot="1" x14ac:dyDescent="0.25">
      <c r="A84" s="97"/>
      <c r="B84" s="150" t="s">
        <v>58</v>
      </c>
      <c r="C84" s="143"/>
      <c r="D84" s="143"/>
      <c r="E84" s="73"/>
      <c r="F84" s="73"/>
      <c r="G84" s="73"/>
      <c r="H84" s="73"/>
      <c r="I84" s="73"/>
      <c r="J84" s="73"/>
      <c r="K84" s="46"/>
      <c r="L84" s="46"/>
      <c r="M84" s="46"/>
      <c r="N84" s="4"/>
      <c r="P84" s="245" t="s">
        <v>267</v>
      </c>
      <c r="Q84" s="3"/>
      <c r="R84" s="3"/>
      <c r="S84" s="3"/>
      <c r="T84" s="229">
        <f t="shared" ref="T84:AH84" ca="1" si="111">T82+T69+T43+T29</f>
        <v>10.214197</v>
      </c>
      <c r="U84" s="229">
        <f t="shared" si="111"/>
        <v>20.428394000000001</v>
      </c>
      <c r="V84" s="229">
        <f t="shared" si="111"/>
        <v>48.855090999999994</v>
      </c>
      <c r="W84" s="229">
        <f t="shared" si="111"/>
        <v>54.350538</v>
      </c>
      <c r="X84" s="229">
        <f t="shared" si="111"/>
        <v>138.56696999999997</v>
      </c>
      <c r="Y84" s="229">
        <f t="shared" si="111"/>
        <v>159.00475537500003</v>
      </c>
      <c r="Z84" s="229">
        <f t="shared" si="111"/>
        <v>223.56989824999999</v>
      </c>
      <c r="AA84" s="229">
        <f t="shared" si="111"/>
        <v>288.13504112500004</v>
      </c>
      <c r="AB84" s="229">
        <f t="shared" si="111"/>
        <v>352.70018400000004</v>
      </c>
      <c r="AC84" s="229">
        <f t="shared" si="111"/>
        <v>1023.4098787500001</v>
      </c>
      <c r="AD84" s="229">
        <f t="shared" si="111"/>
        <v>762.57381387500004</v>
      </c>
      <c r="AE84" s="229">
        <f t="shared" si="111"/>
        <v>762.57381387500004</v>
      </c>
      <c r="AF84" s="229">
        <f t="shared" si="111"/>
        <v>762.57381387500004</v>
      </c>
      <c r="AG84" s="229">
        <f t="shared" si="111"/>
        <v>762.57381387500004</v>
      </c>
      <c r="AH84" s="230">
        <f t="shared" si="111"/>
        <v>3050.2952555000002</v>
      </c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2"/>
    </row>
    <row r="85" spans="1:46" ht="16" thickBot="1" x14ac:dyDescent="0.25">
      <c r="A85" s="97"/>
      <c r="B85" s="8"/>
      <c r="C85" s="46" t="s">
        <v>142</v>
      </c>
      <c r="D85" s="97">
        <v>100</v>
      </c>
      <c r="E85" s="97">
        <v>200</v>
      </c>
      <c r="F85" s="97">
        <v>500</v>
      </c>
      <c r="G85" s="46"/>
      <c r="H85" s="46"/>
      <c r="I85" s="46"/>
      <c r="J85" s="46"/>
      <c r="K85" s="46"/>
      <c r="L85" s="46"/>
      <c r="M85" s="46"/>
      <c r="N85" s="4"/>
      <c r="AN85" s="46"/>
    </row>
    <row r="86" spans="1:46" ht="15.75" customHeight="1" thickBot="1" x14ac:dyDescent="0.25">
      <c r="A86" s="97"/>
      <c r="B86" s="8"/>
      <c r="C86" s="46" t="s">
        <v>105</v>
      </c>
      <c r="D86" s="48">
        <v>179</v>
      </c>
      <c r="E86" s="48">
        <v>169</v>
      </c>
      <c r="F86" s="48">
        <v>159</v>
      </c>
      <c r="G86" s="46"/>
      <c r="H86" s="46"/>
      <c r="I86" s="46"/>
      <c r="J86" s="46"/>
      <c r="K86" s="46"/>
      <c r="L86" s="46"/>
      <c r="M86" s="46"/>
      <c r="N86" s="4"/>
      <c r="P86" s="281" t="s">
        <v>32</v>
      </c>
      <c r="Q86" s="282"/>
      <c r="R86" s="282"/>
      <c r="S86" s="282"/>
      <c r="T86" s="282"/>
      <c r="U86" s="282"/>
      <c r="V86" s="282"/>
      <c r="W86" s="282"/>
      <c r="X86" s="282"/>
      <c r="Y86" s="282"/>
      <c r="Z86" s="282"/>
      <c r="AA86" s="282"/>
      <c r="AB86" s="282"/>
      <c r="AC86" s="282"/>
      <c r="AD86" s="282"/>
      <c r="AE86" s="282"/>
      <c r="AF86" s="282"/>
      <c r="AG86" s="282"/>
      <c r="AH86" s="282"/>
      <c r="AI86" s="282"/>
      <c r="AJ86" s="282"/>
      <c r="AK86" s="282"/>
      <c r="AL86" s="282"/>
      <c r="AM86" s="282"/>
      <c r="AN86" s="282"/>
      <c r="AO86" s="282"/>
      <c r="AP86" s="282"/>
      <c r="AQ86" s="282"/>
      <c r="AR86" s="282"/>
      <c r="AS86" s="283"/>
    </row>
    <row r="87" spans="1:46" x14ac:dyDescent="0.2">
      <c r="A87" s="97"/>
      <c r="B87" s="8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"/>
      <c r="O87" s="46"/>
      <c r="P87" s="8"/>
      <c r="Q87" s="129" t="s">
        <v>179</v>
      </c>
      <c r="R87" s="131"/>
      <c r="S87" s="46"/>
      <c r="T87" s="130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"/>
    </row>
    <row r="88" spans="1:46" x14ac:dyDescent="0.2">
      <c r="A88" s="97"/>
      <c r="B88" s="8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"/>
      <c r="O88" s="46"/>
      <c r="P88" s="8"/>
      <c r="Q88" s="46"/>
      <c r="R88" s="46"/>
      <c r="S88" s="46"/>
      <c r="T88" s="253" t="s">
        <v>191</v>
      </c>
      <c r="U88" s="253"/>
      <c r="V88" s="253"/>
      <c r="W88" s="254"/>
      <c r="X88" s="123" t="s">
        <v>192</v>
      </c>
      <c r="Y88" s="252" t="s">
        <v>193</v>
      </c>
      <c r="Z88" s="253"/>
      <c r="AA88" s="253"/>
      <c r="AB88" s="254"/>
      <c r="AC88" s="123" t="s">
        <v>194</v>
      </c>
      <c r="AD88" s="252" t="s">
        <v>5</v>
      </c>
      <c r="AE88" s="253"/>
      <c r="AF88" s="253"/>
      <c r="AG88" s="254"/>
      <c r="AH88" s="123" t="s">
        <v>195</v>
      </c>
      <c r="AI88" s="46"/>
      <c r="AN88" s="46"/>
      <c r="AO88" s="46"/>
      <c r="AP88" s="46"/>
      <c r="AQ88" s="46"/>
      <c r="AR88" s="46"/>
      <c r="AS88" s="4"/>
    </row>
    <row r="89" spans="1:46" x14ac:dyDescent="0.2">
      <c r="A89" s="97"/>
      <c r="B89" s="150" t="s">
        <v>80</v>
      </c>
      <c r="C89" s="143"/>
      <c r="D89" s="143"/>
      <c r="E89" s="216" t="s">
        <v>86</v>
      </c>
      <c r="F89" s="216" t="s">
        <v>70</v>
      </c>
      <c r="G89" s="216" t="s">
        <v>87</v>
      </c>
      <c r="H89" s="73"/>
      <c r="I89" s="73"/>
      <c r="J89" s="73"/>
      <c r="K89" s="46"/>
      <c r="L89" s="46"/>
      <c r="M89" s="46"/>
      <c r="N89" s="4"/>
      <c r="O89" s="46"/>
      <c r="P89" s="8"/>
      <c r="Q89" s="46"/>
      <c r="R89" s="27" t="s">
        <v>123</v>
      </c>
      <c r="S89" s="46"/>
      <c r="T89" s="75" t="s">
        <v>92</v>
      </c>
      <c r="U89" s="75" t="s">
        <v>93</v>
      </c>
      <c r="V89" s="75" t="s">
        <v>94</v>
      </c>
      <c r="W89" s="75" t="s">
        <v>95</v>
      </c>
      <c r="X89" s="75" t="s">
        <v>7</v>
      </c>
      <c r="Y89" s="75" t="s">
        <v>92</v>
      </c>
      <c r="Z89" s="75" t="s">
        <v>93</v>
      </c>
      <c r="AA89" s="75" t="s">
        <v>94</v>
      </c>
      <c r="AB89" s="75" t="s">
        <v>95</v>
      </c>
      <c r="AC89" s="75" t="s">
        <v>6</v>
      </c>
      <c r="AD89" s="75" t="s">
        <v>92</v>
      </c>
      <c r="AE89" s="75" t="s">
        <v>93</v>
      </c>
      <c r="AF89" s="75" t="s">
        <v>94</v>
      </c>
      <c r="AG89" s="75" t="s">
        <v>95</v>
      </c>
      <c r="AH89" s="76" t="s">
        <v>5</v>
      </c>
      <c r="AI89" s="46"/>
      <c r="AN89" s="46"/>
      <c r="AO89" s="46"/>
      <c r="AP89" s="46"/>
      <c r="AQ89" s="46"/>
      <c r="AR89" s="46"/>
      <c r="AS89" s="4"/>
    </row>
    <row r="90" spans="1:46" x14ac:dyDescent="0.2">
      <c r="A90" s="97"/>
      <c r="B90" s="8"/>
      <c r="C90" s="46" t="s">
        <v>85</v>
      </c>
      <c r="D90" s="46"/>
      <c r="E90" s="47">
        <v>15000</v>
      </c>
      <c r="F90" s="47">
        <v>40000</v>
      </c>
      <c r="G90" s="209">
        <f>AVERAGE(E90:F90)</f>
        <v>27500</v>
      </c>
      <c r="H90" s="46"/>
      <c r="I90" s="46"/>
      <c r="J90" s="46"/>
      <c r="K90" s="46"/>
      <c r="L90" s="46"/>
      <c r="M90" s="46"/>
      <c r="N90" s="4"/>
      <c r="P90" s="8"/>
      <c r="Q90" s="46"/>
      <c r="R90" s="46"/>
      <c r="S90" s="27" t="s">
        <v>4</v>
      </c>
      <c r="T90" s="164">
        <f>$X$90*10%</f>
        <v>9909.6908400000011</v>
      </c>
      <c r="U90" s="164">
        <f>$X$90*20%</f>
        <v>19819.381680000002</v>
      </c>
      <c r="V90" s="164">
        <f>$X$90*30%</f>
        <v>29729.072519999998</v>
      </c>
      <c r="W90" s="164">
        <f>$X$90*40%</f>
        <v>39638.763360000004</v>
      </c>
      <c r="X90" s="165">
        <f>X7*IF(X7&gt;$I$68,$I$72,IF(X7&gt;$H$68,$H$72,IF(X7&gt;$G$68,$G$72,$F$72)))</f>
        <v>99096.9084</v>
      </c>
      <c r="Y90" s="165">
        <f>$AC90*25%</f>
        <v>44593.608780000002</v>
      </c>
      <c r="Z90" s="165">
        <f t="shared" ref="Z90:AB90" si="112">$AC90*25%</f>
        <v>44593.608780000002</v>
      </c>
      <c r="AA90" s="165">
        <f t="shared" si="112"/>
        <v>44593.608780000002</v>
      </c>
      <c r="AB90" s="165">
        <f t="shared" si="112"/>
        <v>44593.608780000002</v>
      </c>
      <c r="AC90" s="165">
        <f>AC7*IF(AC7&gt;$I$68,$I$72,IF(AC7&gt;$H$68,$H$72,IF(AC7&gt;$G$68,$G$72,$F$72)))</f>
        <v>178374.43512000001</v>
      </c>
      <c r="AD90" s="165">
        <f>$AH90*25%</f>
        <v>80268.495804000006</v>
      </c>
      <c r="AE90" s="165">
        <f t="shared" ref="AE90:AG90" si="113">$AH90*25%</f>
        <v>80268.495804000006</v>
      </c>
      <c r="AF90" s="165">
        <f t="shared" si="113"/>
        <v>80268.495804000006</v>
      </c>
      <c r="AG90" s="165">
        <f t="shared" si="113"/>
        <v>80268.495804000006</v>
      </c>
      <c r="AH90" s="165">
        <f>AH7*IF(AH7&gt;$I$68,$I$72,IF(AH7&gt;$H$68,$H$72,IF(AH7&gt;$G$68,$G$72,$F$72)))</f>
        <v>321073.98321600002</v>
      </c>
      <c r="AI90" s="46"/>
      <c r="AN90" s="46"/>
      <c r="AO90" s="46"/>
      <c r="AP90" s="46"/>
      <c r="AQ90" s="46"/>
      <c r="AR90" s="46"/>
      <c r="AS90" s="4"/>
    </row>
    <row r="91" spans="1:46" x14ac:dyDescent="0.2">
      <c r="A91" s="97"/>
      <c r="B91" s="8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"/>
      <c r="P91" s="8"/>
      <c r="Q91" s="46"/>
      <c r="R91" s="46"/>
      <c r="S91" s="27" t="s">
        <v>3</v>
      </c>
      <c r="T91" s="164">
        <f t="shared" ref="T91:T92" si="114">X91*10%</f>
        <v>0</v>
      </c>
      <c r="U91" s="164">
        <f>$X$91*20%</f>
        <v>0</v>
      </c>
      <c r="V91" s="164">
        <f>$X$91*30%</f>
        <v>0</v>
      </c>
      <c r="W91" s="164">
        <f>$X$91*40%</f>
        <v>0</v>
      </c>
      <c r="X91" s="165">
        <f>X8*IF(X8&gt;$I$68,$I$72,IF(X8&gt;$H$68,$H$72,IF(X8&gt;$G$68,$G$72,$F$72)))</f>
        <v>0</v>
      </c>
      <c r="Y91" s="165">
        <f>$AC91*10%</f>
        <v>13958.629256250002</v>
      </c>
      <c r="Z91" s="165">
        <f>$AC91*20%</f>
        <v>27917.258512500004</v>
      </c>
      <c r="AA91" s="165">
        <f>$AC91*30%</f>
        <v>41875.887768750006</v>
      </c>
      <c r="AB91" s="165">
        <f>$AC91*40%</f>
        <v>55834.517025000008</v>
      </c>
      <c r="AC91" s="165">
        <f>AC8*IF(AC8&gt;$I$68,$I$72,IF(AC8&gt;$H$68,$H$72,IF(AC8&gt;$G$68,$G$72,$F$72)))</f>
        <v>139586.29256250002</v>
      </c>
      <c r="AD91" s="165">
        <f t="shared" ref="AD91:AG98" si="115">$AH91*25%</f>
        <v>113064.89697562502</v>
      </c>
      <c r="AE91" s="165">
        <f t="shared" si="115"/>
        <v>113064.89697562502</v>
      </c>
      <c r="AF91" s="165">
        <f t="shared" si="115"/>
        <v>113064.89697562502</v>
      </c>
      <c r="AG91" s="165">
        <f t="shared" si="115"/>
        <v>113064.89697562502</v>
      </c>
      <c r="AH91" s="165">
        <f>AH8*IF(AH8&gt;$I$68,$I$72,IF(AH8&gt;$H$68,$H$72,IF(AH8&gt;$G$68,$G$72,$F$72)))</f>
        <v>452259.58790250006</v>
      </c>
      <c r="AI91" s="46"/>
      <c r="AN91" s="46"/>
      <c r="AO91" s="46"/>
      <c r="AP91" s="46"/>
      <c r="AQ91" s="46"/>
      <c r="AR91" s="46"/>
      <c r="AS91" s="4"/>
    </row>
    <row r="92" spans="1:46" ht="16" thickBot="1" x14ac:dyDescent="0.25">
      <c r="A92" s="97"/>
      <c r="B92" s="7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2"/>
      <c r="P92" s="8"/>
      <c r="Q92" s="46"/>
      <c r="R92" s="46"/>
      <c r="S92" s="27" t="s">
        <v>2</v>
      </c>
      <c r="T92" s="164">
        <f t="shared" si="114"/>
        <v>11847.762164699998</v>
      </c>
      <c r="U92" s="164">
        <f>X92*20%</f>
        <v>23695.524329399996</v>
      </c>
      <c r="V92" s="164">
        <f>X92*30%</f>
        <v>35543.286494099993</v>
      </c>
      <c r="W92" s="164">
        <f>X92*40%</f>
        <v>47391.048658799991</v>
      </c>
      <c r="X92" s="165">
        <f>X9*IF(X9&gt;$I$68,$I$72,IF(X9&gt;$H$68,$H$72,IF(X9&gt;$G$68,$G$72,$F$72)))</f>
        <v>118477.62164699998</v>
      </c>
      <c r="Y92" s="165">
        <f t="shared" ref="Y92:AB92" si="116">$AC92*25%</f>
        <v>74048.513529375006</v>
      </c>
      <c r="Z92" s="165">
        <f t="shared" si="116"/>
        <v>74048.513529375006</v>
      </c>
      <c r="AA92" s="165">
        <f t="shared" si="116"/>
        <v>74048.513529375006</v>
      </c>
      <c r="AB92" s="165">
        <f t="shared" si="116"/>
        <v>74048.513529375006</v>
      </c>
      <c r="AC92" s="165">
        <f>AC9*IF(AC9&gt;$I$68,$I$72,IF(AC9&gt;$H$68,$H$72,IF(AC9&gt;$G$68,$G$72,$F$72)))</f>
        <v>296194.05411750003</v>
      </c>
      <c r="AD92" s="165">
        <f t="shared" si="115"/>
        <v>148097.02705875001</v>
      </c>
      <c r="AE92" s="165">
        <f t="shared" si="115"/>
        <v>148097.02705875001</v>
      </c>
      <c r="AF92" s="165">
        <f t="shared" si="115"/>
        <v>148097.02705875001</v>
      </c>
      <c r="AG92" s="165">
        <f t="shared" si="115"/>
        <v>148097.02705875001</v>
      </c>
      <c r="AH92" s="165">
        <f>AH9*IF(AH9&gt;$I$68,$I$72,IF(AH9&gt;$H$68,$H$72,IF(AH9&gt;$G$68,$G$72,$F$72)))</f>
        <v>592388.10823500005</v>
      </c>
      <c r="AI92" s="46"/>
      <c r="AN92" s="46"/>
      <c r="AO92" s="46"/>
      <c r="AP92" s="46"/>
      <c r="AQ92" s="46"/>
      <c r="AR92" s="46"/>
      <c r="AS92" s="4"/>
    </row>
    <row r="93" spans="1:46" ht="16" thickBot="1" x14ac:dyDescent="0.25">
      <c r="A93" s="97"/>
      <c r="P93" s="8"/>
      <c r="Q93" s="46"/>
      <c r="R93" s="46"/>
      <c r="S93" s="27" t="s">
        <v>1</v>
      </c>
      <c r="T93" s="164">
        <f>X93*10%</f>
        <v>0</v>
      </c>
      <c r="U93" s="164">
        <f>X93*20%</f>
        <v>0</v>
      </c>
      <c r="V93" s="164">
        <f>X93*30%</f>
        <v>0</v>
      </c>
      <c r="W93" s="164">
        <f>X93*40%</f>
        <v>0</v>
      </c>
      <c r="X93" s="165">
        <f>X10*IF(X10&gt;$I$68,$I$72,IF(X10&gt;$H$68,$H$72,IF(X10&gt;$G$68,$G$72,$F$72)))</f>
        <v>0</v>
      </c>
      <c r="Y93" s="165">
        <f>$AC93*10%</f>
        <v>20415.451924350004</v>
      </c>
      <c r="Z93" s="165">
        <f>$AC93*20%</f>
        <v>40830.903848700007</v>
      </c>
      <c r="AA93" s="165">
        <f>$AC93*30%</f>
        <v>61246.355773050003</v>
      </c>
      <c r="AB93" s="165">
        <f>$AC93*40%</f>
        <v>81661.807697400014</v>
      </c>
      <c r="AC93" s="165">
        <f>AC10*IF(AC10&gt;$I$68,$I$72,IF(AC10&gt;$H$68,$H$72,IF(AC10&gt;$G$68,$G$72,$F$72)))</f>
        <v>204154.51924350002</v>
      </c>
      <c r="AD93" s="165">
        <f t="shared" si="115"/>
        <v>183739.06731915</v>
      </c>
      <c r="AE93" s="165">
        <f t="shared" si="115"/>
        <v>183739.06731915</v>
      </c>
      <c r="AF93" s="165">
        <f t="shared" si="115"/>
        <v>183739.06731915</v>
      </c>
      <c r="AG93" s="165">
        <f t="shared" si="115"/>
        <v>183739.06731915</v>
      </c>
      <c r="AH93" s="165">
        <f>AH10*IF(AH10&gt;$I$68,$I$72,IF(AH10&gt;$H$68,$H$72,IF(AH10&gt;$G$68,$G$72,$F$72)))</f>
        <v>734956.26927659998</v>
      </c>
      <c r="AI93" s="46"/>
      <c r="AJ93" s="277" t="s">
        <v>239</v>
      </c>
      <c r="AK93" s="277"/>
      <c r="AL93" s="277"/>
      <c r="AM93" s="277"/>
      <c r="AN93" s="46"/>
      <c r="AO93" s="46"/>
      <c r="AP93" s="46"/>
      <c r="AQ93" s="46"/>
      <c r="AR93" s="46"/>
      <c r="AS93" s="4"/>
    </row>
    <row r="94" spans="1:46" ht="16" thickBot="1" x14ac:dyDescent="0.25">
      <c r="A94" s="97"/>
      <c r="B94" s="53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4"/>
      <c r="P94" s="8"/>
      <c r="Q94" s="46"/>
      <c r="R94" s="46"/>
      <c r="S94" s="27" t="s">
        <v>258</v>
      </c>
      <c r="T94" s="164">
        <v>0</v>
      </c>
      <c r="U94" s="164">
        <v>0</v>
      </c>
      <c r="V94" s="164">
        <v>0</v>
      </c>
      <c r="W94" s="164">
        <v>0</v>
      </c>
      <c r="X94" s="165">
        <f>X11*IF(X11&gt;$I$68,$I$72,IF(X11&gt;$H$68,$H$72,IF(X11&gt;$G$68,$G$72,$F$72)))</f>
        <v>0</v>
      </c>
      <c r="Y94" s="165">
        <f>$AC94*10%</f>
        <v>8826.9747299999999</v>
      </c>
      <c r="Z94" s="165">
        <f>$AC94*20%</f>
        <v>17653.94946</v>
      </c>
      <c r="AA94" s="165">
        <f>$AC94*30%</f>
        <v>26480.924189999994</v>
      </c>
      <c r="AB94" s="165">
        <f>$AC94*40%</f>
        <v>35307.89892</v>
      </c>
      <c r="AC94" s="165">
        <f>AC11*IF(AC11&gt;$I$68,$I$72,IF(AC11&gt;$H$68,$H$72,IF(AC11&gt;$G$68,$G$72,$F$72)))</f>
        <v>88269.747299999988</v>
      </c>
      <c r="AD94" s="165">
        <f t="shared" si="115"/>
        <v>39721.386284999993</v>
      </c>
      <c r="AE94" s="165">
        <f t="shared" si="115"/>
        <v>39721.386284999993</v>
      </c>
      <c r="AF94" s="165">
        <f t="shared" si="115"/>
        <v>39721.386284999993</v>
      </c>
      <c r="AG94" s="165">
        <f t="shared" si="115"/>
        <v>39721.386284999993</v>
      </c>
      <c r="AH94" s="165">
        <f>AH11*IF(AH11&gt;$I$68,$I$72,IF(AH11&gt;$H$68,$H$72,IF(AH11&gt;$G$68,$G$72,$F$72)))</f>
        <v>158885.54513999997</v>
      </c>
      <c r="AI94" s="46"/>
      <c r="AJ94" s="27"/>
      <c r="AK94" s="75" t="s">
        <v>7</v>
      </c>
      <c r="AL94" s="75" t="s">
        <v>6</v>
      </c>
      <c r="AM94" s="75" t="s">
        <v>5</v>
      </c>
      <c r="AN94" s="46"/>
      <c r="AO94" s="46"/>
      <c r="AP94" s="46"/>
      <c r="AQ94" s="46"/>
      <c r="AR94" s="46"/>
      <c r="AS94" s="4"/>
    </row>
    <row r="95" spans="1:46" x14ac:dyDescent="0.2">
      <c r="A95" s="97"/>
      <c r="B95" s="116" t="s">
        <v>139</v>
      </c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80"/>
      <c r="P95" s="8"/>
      <c r="Q95" s="46"/>
      <c r="R95" s="46"/>
      <c r="S95" s="27" t="s">
        <v>282</v>
      </c>
      <c r="T95" s="164">
        <v>0</v>
      </c>
      <c r="U95" s="164">
        <v>0</v>
      </c>
      <c r="V95" s="164">
        <v>0</v>
      </c>
      <c r="W95" s="164">
        <v>0</v>
      </c>
      <c r="X95" s="165">
        <f t="shared" ref="X95:X98" si="117">X12*IF(X12&gt;$I$68,$I$72,IF(X12&gt;$H$68,$H$72,IF(X12&gt;$G$68,$G$72,$F$72)))</f>
        <v>0</v>
      </c>
      <c r="Y95" s="165">
        <f t="shared" ref="Y95:Y98" si="118">$AC95*10%</f>
        <v>4601.5830000000005</v>
      </c>
      <c r="Z95" s="165">
        <f t="shared" ref="Z95:Z98" si="119">$AC95*20%</f>
        <v>9203.1660000000011</v>
      </c>
      <c r="AA95" s="165">
        <f t="shared" ref="AA95:AA98" si="120">$AC95*30%</f>
        <v>13804.749</v>
      </c>
      <c r="AB95" s="165">
        <f t="shared" ref="AB95:AB98" si="121">$AC95*40%</f>
        <v>18406.332000000002</v>
      </c>
      <c r="AC95" s="165">
        <f t="shared" ref="AC95:AC97" si="122">AC12*IF(AC12&gt;$I$68,$I$72,IF(AC12&gt;$H$68,$H$72,IF(AC12&gt;$G$68,$G$72,$F$72)))</f>
        <v>46015.83</v>
      </c>
      <c r="AD95" s="165">
        <f t="shared" si="115"/>
        <v>41414.247000000003</v>
      </c>
      <c r="AE95" s="165">
        <f t="shared" si="115"/>
        <v>41414.247000000003</v>
      </c>
      <c r="AF95" s="165">
        <f t="shared" si="115"/>
        <v>41414.247000000003</v>
      </c>
      <c r="AG95" s="165">
        <f t="shared" si="115"/>
        <v>41414.247000000003</v>
      </c>
      <c r="AH95" s="165">
        <f t="shared" ref="AH95:AH98" si="123">AH12*IF(AH12&gt;$I$68,$I$72,IF(AH12&gt;$H$68,$H$72,IF(AH12&gt;$G$68,$G$72,$F$72)))</f>
        <v>165656.98800000001</v>
      </c>
      <c r="AI95" s="46"/>
      <c r="AJ95" s="50" t="s">
        <v>88</v>
      </c>
      <c r="AK95" s="87">
        <f>X99+X125</f>
        <v>268569.53004699998</v>
      </c>
      <c r="AL95" s="87">
        <f>SUM(AC99)+SUM(AC125)</f>
        <v>1124317.4783434998</v>
      </c>
      <c r="AM95" s="87">
        <f>SUM(AH99)+SUM(AH125)</f>
        <v>2955720.2417700998</v>
      </c>
      <c r="AN95" s="46"/>
      <c r="AO95" s="46"/>
      <c r="AP95" s="46"/>
      <c r="AQ95" s="46"/>
      <c r="AR95" s="46"/>
      <c r="AS95" s="4"/>
    </row>
    <row r="96" spans="1:46" x14ac:dyDescent="0.2">
      <c r="A96" s="97"/>
      <c r="B96" s="81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3"/>
      <c r="P96" s="8"/>
      <c r="Q96" s="46"/>
      <c r="R96" s="46"/>
      <c r="S96" s="27" t="s">
        <v>283</v>
      </c>
      <c r="T96" s="164">
        <v>0</v>
      </c>
      <c r="U96" s="164">
        <v>0</v>
      </c>
      <c r="V96" s="164">
        <v>0</v>
      </c>
      <c r="W96" s="164">
        <v>0</v>
      </c>
      <c r="X96" s="165">
        <f t="shared" si="117"/>
        <v>0</v>
      </c>
      <c r="Y96" s="165">
        <f t="shared" si="118"/>
        <v>0</v>
      </c>
      <c r="Z96" s="165">
        <f t="shared" si="119"/>
        <v>0</v>
      </c>
      <c r="AA96" s="165">
        <f t="shared" si="120"/>
        <v>0</v>
      </c>
      <c r="AB96" s="165">
        <f t="shared" si="121"/>
        <v>0</v>
      </c>
      <c r="AC96" s="165">
        <f t="shared" si="122"/>
        <v>0</v>
      </c>
      <c r="AD96" s="165">
        <f t="shared" si="115"/>
        <v>0</v>
      </c>
      <c r="AE96" s="165">
        <f t="shared" si="115"/>
        <v>0</v>
      </c>
      <c r="AF96" s="165">
        <f t="shared" si="115"/>
        <v>0</v>
      </c>
      <c r="AG96" s="165">
        <f t="shared" si="115"/>
        <v>0</v>
      </c>
      <c r="AH96" s="165">
        <f t="shared" si="123"/>
        <v>0</v>
      </c>
      <c r="AI96" s="46"/>
      <c r="AJ96" s="51" t="s">
        <v>89</v>
      </c>
      <c r="AK96" s="87">
        <f>X111+X137</f>
        <v>24803.48763</v>
      </c>
      <c r="AL96" s="87">
        <f>AC111+AC137</f>
        <v>180843.20617125</v>
      </c>
      <c r="AM96" s="87">
        <f>AH111+AH137</f>
        <v>514327.4321495</v>
      </c>
      <c r="AN96" s="46"/>
      <c r="AO96" s="46"/>
      <c r="AP96" s="46"/>
      <c r="AQ96" s="46"/>
      <c r="AR96" s="46"/>
      <c r="AS96" s="4"/>
    </row>
    <row r="97" spans="1:45" x14ac:dyDescent="0.2">
      <c r="A97" s="97"/>
      <c r="B97" s="34" t="s">
        <v>183</v>
      </c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3"/>
      <c r="P97" s="8"/>
      <c r="Q97" s="46"/>
      <c r="R97" s="46"/>
      <c r="S97" s="27" t="s">
        <v>284</v>
      </c>
      <c r="T97" s="164">
        <v>0</v>
      </c>
      <c r="U97" s="164">
        <v>0</v>
      </c>
      <c r="V97" s="164">
        <v>0</v>
      </c>
      <c r="W97" s="164">
        <v>0</v>
      </c>
      <c r="X97" s="165">
        <f t="shared" si="117"/>
        <v>0</v>
      </c>
      <c r="Y97" s="165">
        <f t="shared" si="118"/>
        <v>0</v>
      </c>
      <c r="Z97" s="165">
        <f t="shared" si="119"/>
        <v>0</v>
      </c>
      <c r="AA97" s="165">
        <f t="shared" si="120"/>
        <v>0</v>
      </c>
      <c r="AB97" s="165">
        <f t="shared" si="121"/>
        <v>0</v>
      </c>
      <c r="AC97" s="165">
        <f t="shared" si="122"/>
        <v>0</v>
      </c>
      <c r="AD97" s="165">
        <f t="shared" si="115"/>
        <v>0</v>
      </c>
      <c r="AE97" s="165">
        <f t="shared" si="115"/>
        <v>0</v>
      </c>
      <c r="AF97" s="165">
        <f t="shared" si="115"/>
        <v>0</v>
      </c>
      <c r="AG97" s="165">
        <f t="shared" si="115"/>
        <v>0</v>
      </c>
      <c r="AH97" s="165">
        <f t="shared" si="123"/>
        <v>0</v>
      </c>
      <c r="AI97" s="46"/>
      <c r="AJ97" s="51" t="s">
        <v>138</v>
      </c>
      <c r="AK97" s="87">
        <f>X152</f>
        <v>137500</v>
      </c>
      <c r="AL97" s="87">
        <f>AC152</f>
        <v>495000</v>
      </c>
      <c r="AM97" s="87">
        <f>AH152</f>
        <v>0</v>
      </c>
      <c r="AN97" s="46"/>
      <c r="AO97" s="46"/>
      <c r="AP97" s="46"/>
      <c r="AQ97" s="46"/>
      <c r="AR97" s="46"/>
      <c r="AS97" s="4"/>
    </row>
    <row r="98" spans="1:45" x14ac:dyDescent="0.2">
      <c r="A98" s="97"/>
      <c r="B98" s="81" t="s">
        <v>181</v>
      </c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3"/>
      <c r="P98" s="8"/>
      <c r="Q98" s="46"/>
      <c r="R98" s="46"/>
      <c r="S98" s="27" t="s">
        <v>285</v>
      </c>
      <c r="T98" s="164">
        <v>0</v>
      </c>
      <c r="U98" s="164">
        <v>0</v>
      </c>
      <c r="V98" s="164">
        <v>0</v>
      </c>
      <c r="W98" s="164">
        <v>0</v>
      </c>
      <c r="X98" s="165">
        <f t="shared" si="117"/>
        <v>0</v>
      </c>
      <c r="Y98" s="165">
        <f t="shared" si="118"/>
        <v>0</v>
      </c>
      <c r="Z98" s="165">
        <f t="shared" si="119"/>
        <v>0</v>
      </c>
      <c r="AA98" s="165">
        <f t="shared" si="120"/>
        <v>0</v>
      </c>
      <c r="AB98" s="165">
        <f t="shared" si="121"/>
        <v>0</v>
      </c>
      <c r="AC98" s="165">
        <f>AC15*IF(AC15&gt;$I$68,$I$72,IF(AC15&gt;$H$68,$H$72,IF(AC15&gt;$G$68,$G$72,$F$72)))</f>
        <v>0</v>
      </c>
      <c r="AD98" s="165">
        <f t="shared" si="115"/>
        <v>0</v>
      </c>
      <c r="AE98" s="165">
        <f t="shared" si="115"/>
        <v>0</v>
      </c>
      <c r="AF98" s="165">
        <f t="shared" si="115"/>
        <v>0</v>
      </c>
      <c r="AG98" s="165">
        <f t="shared" si="115"/>
        <v>0</v>
      </c>
      <c r="AH98" s="165">
        <f t="shared" si="123"/>
        <v>0</v>
      </c>
      <c r="AI98" s="46"/>
      <c r="AJ98" s="12" t="s">
        <v>30</v>
      </c>
      <c r="AK98" s="107">
        <f>SUM(AK95:AK97)</f>
        <v>430873.01767699997</v>
      </c>
      <c r="AL98" s="107">
        <f>SUM(AL95:AL97)</f>
        <v>1800160.6845147498</v>
      </c>
      <c r="AM98" s="107">
        <f>SUM(AM95:AM97)</f>
        <v>3470047.6739196</v>
      </c>
      <c r="AN98" s="46"/>
      <c r="AO98" s="46"/>
      <c r="AP98" s="46"/>
      <c r="AQ98" s="46"/>
      <c r="AR98" s="46"/>
      <c r="AS98" s="4"/>
    </row>
    <row r="99" spans="1:45" x14ac:dyDescent="0.2">
      <c r="A99" s="97"/>
      <c r="B99" s="81" t="s">
        <v>182</v>
      </c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3"/>
      <c r="P99" s="8"/>
      <c r="Q99" s="46"/>
      <c r="R99" s="46"/>
      <c r="S99" s="12" t="s">
        <v>0</v>
      </c>
      <c r="T99" s="166">
        <f>SUM(T90:T98)</f>
        <v>21757.453004700001</v>
      </c>
      <c r="U99" s="166">
        <f t="shared" ref="U99:AH99" si="124">SUM(U90:U98)</f>
        <v>43514.906009400001</v>
      </c>
      <c r="V99" s="166">
        <f t="shared" si="124"/>
        <v>65272.359014099988</v>
      </c>
      <c r="W99" s="166">
        <f t="shared" si="124"/>
        <v>87029.812018800003</v>
      </c>
      <c r="X99" s="166">
        <f t="shared" si="124"/>
        <v>217574.53004699998</v>
      </c>
      <c r="Y99" s="166">
        <f t="shared" si="124"/>
        <v>166444.76121997501</v>
      </c>
      <c r="Z99" s="166">
        <f t="shared" si="124"/>
        <v>214247.400130575</v>
      </c>
      <c r="AA99" s="166">
        <f t="shared" si="124"/>
        <v>262050.03904117498</v>
      </c>
      <c r="AB99" s="166">
        <f t="shared" si="124"/>
        <v>309852.67795177503</v>
      </c>
      <c r="AC99" s="166">
        <f t="shared" si="124"/>
        <v>952594.87834349985</v>
      </c>
      <c r="AD99" s="166">
        <f t="shared" si="124"/>
        <v>606305.12044252502</v>
      </c>
      <c r="AE99" s="166">
        <f t="shared" si="124"/>
        <v>606305.12044252502</v>
      </c>
      <c r="AF99" s="166">
        <f t="shared" si="124"/>
        <v>606305.12044252502</v>
      </c>
      <c r="AG99" s="166">
        <f t="shared" si="124"/>
        <v>606305.12044252502</v>
      </c>
      <c r="AH99" s="166">
        <f t="shared" si="124"/>
        <v>2425220.4817701001</v>
      </c>
      <c r="AI99" s="46"/>
      <c r="AN99" s="46"/>
      <c r="AO99" s="46"/>
      <c r="AP99" s="46"/>
      <c r="AQ99" s="46"/>
      <c r="AR99" s="46"/>
      <c r="AS99" s="4"/>
    </row>
    <row r="100" spans="1:45" x14ac:dyDescent="0.2">
      <c r="A100" s="97"/>
      <c r="B100" s="81" t="s">
        <v>184</v>
      </c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3"/>
      <c r="P100" s="8"/>
      <c r="Q100" s="46"/>
      <c r="R100" s="27" t="s">
        <v>31</v>
      </c>
      <c r="S100" s="27"/>
      <c r="T100" s="275" t="s">
        <v>191</v>
      </c>
      <c r="U100" s="273"/>
      <c r="V100" s="273"/>
      <c r="W100" s="274"/>
      <c r="X100" s="167" t="s">
        <v>192</v>
      </c>
      <c r="Y100" s="275" t="s">
        <v>193</v>
      </c>
      <c r="Z100" s="273"/>
      <c r="AA100" s="273"/>
      <c r="AB100" s="274"/>
      <c r="AC100" s="167" t="s">
        <v>194</v>
      </c>
      <c r="AD100" s="275" t="s">
        <v>5</v>
      </c>
      <c r="AE100" s="273"/>
      <c r="AF100" s="273"/>
      <c r="AG100" s="274"/>
      <c r="AH100" s="167" t="s">
        <v>195</v>
      </c>
      <c r="AI100" s="46"/>
      <c r="AN100" s="46"/>
      <c r="AO100" s="46"/>
      <c r="AP100" s="46"/>
      <c r="AQ100" s="46"/>
      <c r="AR100" s="46"/>
      <c r="AS100" s="4"/>
    </row>
    <row r="101" spans="1:45" x14ac:dyDescent="0.2">
      <c r="A101" s="97"/>
      <c r="B101" s="81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3"/>
      <c r="P101" s="8"/>
      <c r="Q101" s="46"/>
      <c r="R101" s="46"/>
      <c r="S101" s="27"/>
      <c r="T101" s="168" t="s">
        <v>92</v>
      </c>
      <c r="U101" s="168" t="s">
        <v>93</v>
      </c>
      <c r="V101" s="168" t="s">
        <v>94</v>
      </c>
      <c r="W101" s="168" t="s">
        <v>95</v>
      </c>
      <c r="X101" s="168" t="s">
        <v>7</v>
      </c>
      <c r="Y101" s="168" t="s">
        <v>92</v>
      </c>
      <c r="Z101" s="168" t="s">
        <v>93</v>
      </c>
      <c r="AA101" s="168" t="s">
        <v>94</v>
      </c>
      <c r="AB101" s="168" t="s">
        <v>95</v>
      </c>
      <c r="AC101" s="168" t="s">
        <v>6</v>
      </c>
      <c r="AD101" s="168" t="s">
        <v>92</v>
      </c>
      <c r="AE101" s="168" t="s">
        <v>93</v>
      </c>
      <c r="AF101" s="168" t="s">
        <v>94</v>
      </c>
      <c r="AG101" s="168" t="s">
        <v>95</v>
      </c>
      <c r="AH101" s="169" t="s">
        <v>5</v>
      </c>
      <c r="AI101" s="46"/>
      <c r="AN101" s="46"/>
      <c r="AO101" s="46"/>
      <c r="AP101" s="46"/>
      <c r="AQ101" s="46"/>
      <c r="AR101" s="46"/>
      <c r="AS101" s="4"/>
    </row>
    <row r="102" spans="1:45" x14ac:dyDescent="0.2">
      <c r="A102" s="97"/>
      <c r="B102" s="118" t="s">
        <v>189</v>
      </c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3"/>
      <c r="P102" s="8"/>
      <c r="Q102" s="46"/>
      <c r="R102" s="46"/>
      <c r="S102" s="27" t="s">
        <v>4</v>
      </c>
      <c r="T102" s="164">
        <f>$X$102*10%</f>
        <v>785.23004000000014</v>
      </c>
      <c r="U102" s="164">
        <f>$X$102*20%</f>
        <v>1570.4600800000003</v>
      </c>
      <c r="V102" s="164">
        <f>$X$102*30%</f>
        <v>2355.6901200000002</v>
      </c>
      <c r="W102" s="164">
        <f>$X$102*40%</f>
        <v>3140.9201600000006</v>
      </c>
      <c r="X102" s="165">
        <f>IF(SUM(X20,X34)&gt;$F$85,$F$86,IF(SUM(X20,X34)&gt;$E$85,$E$86,$D$86))*SUM(X20,X34)</f>
        <v>7852.300400000001</v>
      </c>
      <c r="Y102" s="165">
        <f>$AC102*25%</f>
        <v>5692.9177900000004</v>
      </c>
      <c r="Z102" s="165">
        <f t="shared" ref="Z102:AB102" si="125">$AC102*25%</f>
        <v>5692.9177900000004</v>
      </c>
      <c r="AA102" s="165">
        <f t="shared" si="125"/>
        <v>5692.9177900000004</v>
      </c>
      <c r="AB102" s="165">
        <f t="shared" si="125"/>
        <v>5692.9177900000004</v>
      </c>
      <c r="AC102" s="165">
        <f>IF(SUM(AC20,AC34)&gt;$F$85,$F$86,IF(SUM(AC20,AC34)&gt;$E$85,$E$86,$D$86))*SUM(AC20,AC34)</f>
        <v>22771.671160000002</v>
      </c>
      <c r="AD102" s="165">
        <f>$AH102*25%</f>
        <v>10749.755380000001</v>
      </c>
      <c r="AE102" s="165">
        <f t="shared" ref="AE102:AG102" si="126">$AH102*25%</f>
        <v>10749.755380000001</v>
      </c>
      <c r="AF102" s="165">
        <f t="shared" si="126"/>
        <v>10749.755380000001</v>
      </c>
      <c r="AG102" s="165">
        <f t="shared" si="126"/>
        <v>10749.755380000001</v>
      </c>
      <c r="AH102" s="170">
        <f>IF(SUM(AH20,AH34)&gt;$F$85,$F$86,IF(SUM(AH20,AH34)&gt;$E$85,$E$86,$D$86))*SUM(AH20,AH34)</f>
        <v>42999.021520000002</v>
      </c>
      <c r="AI102" s="46"/>
      <c r="AN102" s="46"/>
      <c r="AO102" s="46"/>
      <c r="AP102" s="46"/>
      <c r="AQ102" s="46"/>
      <c r="AR102" s="46"/>
      <c r="AS102" s="4"/>
    </row>
    <row r="103" spans="1:45" x14ac:dyDescent="0.2">
      <c r="A103" s="97"/>
      <c r="B103" s="81" t="s">
        <v>188</v>
      </c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3"/>
      <c r="P103" s="8"/>
      <c r="Q103" s="46"/>
      <c r="R103" s="46"/>
      <c r="S103" s="27" t="s">
        <v>3</v>
      </c>
      <c r="T103" s="164">
        <f t="shared" ref="T103:T104" si="127">X103*10%</f>
        <v>0</v>
      </c>
      <c r="U103" s="164">
        <f>X103*20%</f>
        <v>0</v>
      </c>
      <c r="V103" s="164">
        <f>X103*30%</f>
        <v>0</v>
      </c>
      <c r="W103" s="164">
        <f>X103*40%</f>
        <v>0</v>
      </c>
      <c r="X103" s="165">
        <f>IF(SUM(X21,X35)&gt;$F$85,$F$86,IF(SUM(X21,X35)&gt;$E$85,$E$86,$D$86))*SUM(X21,X35)</f>
        <v>0</v>
      </c>
      <c r="Y103" s="165">
        <f>$AC103*10%</f>
        <v>1781.989190625</v>
      </c>
      <c r="Z103" s="165">
        <f>$AC103*20%</f>
        <v>3563.97838125</v>
      </c>
      <c r="AA103" s="165">
        <f>$AC103*30%</f>
        <v>5345.9675718749995</v>
      </c>
      <c r="AB103" s="165">
        <f>$AC103*40%</f>
        <v>7127.9567625</v>
      </c>
      <c r="AC103" s="165">
        <f>IF(SUM(AC21,AC35)&gt;$F$85,$F$86,IF(SUM(AC21,AC35)&gt;$E$85,$E$86,$D$86))*SUM(AC21,AC35)</f>
        <v>17819.891906249999</v>
      </c>
      <c r="AD103" s="165">
        <f t="shared" ref="AD103:AG110" si="128">$AH103*25%</f>
        <v>15141.930496875</v>
      </c>
      <c r="AE103" s="165">
        <f t="shared" si="128"/>
        <v>15141.930496875</v>
      </c>
      <c r="AF103" s="165">
        <f t="shared" si="128"/>
        <v>15141.930496875</v>
      </c>
      <c r="AG103" s="165">
        <f t="shared" si="128"/>
        <v>15141.930496875</v>
      </c>
      <c r="AH103" s="170">
        <f>IF(SUM(AH21,AH35)&gt;$F$85,$F$86,IF(SUM(AH21,AH35)&gt;$E$85,$E$86,$D$86))*SUM(AH21,AH35)</f>
        <v>60567.721987500001</v>
      </c>
      <c r="AI103" s="46"/>
      <c r="AN103" s="46"/>
      <c r="AO103" s="46"/>
      <c r="AP103" s="46"/>
      <c r="AQ103" s="46"/>
      <c r="AR103" s="46"/>
      <c r="AS103" s="4"/>
    </row>
    <row r="104" spans="1:45" x14ac:dyDescent="0.2">
      <c r="A104" s="97"/>
      <c r="B104" s="8" t="s">
        <v>75</v>
      </c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3"/>
      <c r="P104" s="8"/>
      <c r="Q104" s="46"/>
      <c r="R104" s="46"/>
      <c r="S104" s="27" t="s">
        <v>2</v>
      </c>
      <c r="T104" s="164">
        <f t="shared" si="127"/>
        <v>1043.1112229999999</v>
      </c>
      <c r="U104" s="164">
        <f>X104*20%</f>
        <v>2086.2224459999998</v>
      </c>
      <c r="V104" s="164">
        <f>X104*30%</f>
        <v>3129.3336689999996</v>
      </c>
      <c r="W104" s="164">
        <f>X104*40%</f>
        <v>4172.4448919999995</v>
      </c>
      <c r="X104" s="165">
        <f>IF(SUM(X22,X36)&gt;$F$85,$F$86,IF(SUM(X22,X36)&gt;$E$85,$E$86,$D$86))*SUM(X22,X36)</f>
        <v>10431.112229999999</v>
      </c>
      <c r="Y104" s="165">
        <f t="shared" ref="Y104:AB104" si="129">$AC104*25%</f>
        <v>9916.759978125001</v>
      </c>
      <c r="Z104" s="165">
        <f t="shared" si="129"/>
        <v>9916.759978125001</v>
      </c>
      <c r="AA104" s="165">
        <f t="shared" si="129"/>
        <v>9916.759978125001</v>
      </c>
      <c r="AB104" s="165">
        <f t="shared" si="129"/>
        <v>9916.759978125001</v>
      </c>
      <c r="AC104" s="165">
        <f>IF(SUM(AC22,AC36)&gt;$F$85,$F$86,IF(SUM(AC22,AC36)&gt;$E$85,$E$86,$D$86))*SUM(AC22,AC36)</f>
        <v>39667.039912500004</v>
      </c>
      <c r="AD104" s="165">
        <f t="shared" si="128"/>
        <v>19833.519956250002</v>
      </c>
      <c r="AE104" s="165">
        <f t="shared" si="128"/>
        <v>19833.519956250002</v>
      </c>
      <c r="AF104" s="165">
        <f t="shared" si="128"/>
        <v>19833.519956250002</v>
      </c>
      <c r="AG104" s="165">
        <f t="shared" si="128"/>
        <v>19833.519956250002</v>
      </c>
      <c r="AH104" s="170">
        <f>IF(SUM(AH22,AH36)&gt;$F$85,$F$86,IF(SUM(AH22,AH36)&gt;$E$85,$E$86,$D$86))*SUM(AH22,AH36)</f>
        <v>79334.079825000008</v>
      </c>
      <c r="AI104" s="46"/>
      <c r="AN104" s="46"/>
      <c r="AO104" s="46"/>
      <c r="AP104" s="46"/>
      <c r="AQ104" s="46"/>
      <c r="AR104" s="46"/>
      <c r="AS104" s="4"/>
    </row>
    <row r="105" spans="1:45" x14ac:dyDescent="0.2">
      <c r="A105" s="97"/>
      <c r="B105" s="81" t="s">
        <v>196</v>
      </c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3"/>
      <c r="P105" s="8"/>
      <c r="Q105" s="46"/>
      <c r="R105" s="46"/>
      <c r="S105" s="27" t="s">
        <v>1</v>
      </c>
      <c r="T105" s="164">
        <f>X105*10%</f>
        <v>0</v>
      </c>
      <c r="U105" s="164">
        <f>X105*20%</f>
        <v>0</v>
      </c>
      <c r="V105" s="164">
        <f>X105*30%</f>
        <v>0</v>
      </c>
      <c r="W105" s="164">
        <f>X105*40%</f>
        <v>0</v>
      </c>
      <c r="X105" s="165">
        <f>IF(SUM(X23,X37)&gt;$F$85,$F$86,IF(SUM(X23,X37)&gt;$E$85,$E$86,$D$86))*SUM(X23,X37)</f>
        <v>0</v>
      </c>
      <c r="Y105" s="165">
        <f>$AC105*10%</f>
        <v>2895.8681307500005</v>
      </c>
      <c r="Z105" s="165">
        <f>$AC105*20%</f>
        <v>5791.7362615000011</v>
      </c>
      <c r="AA105" s="165">
        <f>$AC105*30%</f>
        <v>8687.6043922500012</v>
      </c>
      <c r="AB105" s="165">
        <f>$AC105*40%</f>
        <v>11583.472523000002</v>
      </c>
      <c r="AC105" s="165">
        <f>IF(SUM(AC23,AC37)&gt;$F$85,$F$86,IF(SUM(AC23,AC37)&gt;$E$85,$E$86,$D$86))*SUM(AC23,AC37)</f>
        <v>28958.681307500003</v>
      </c>
      <c r="AD105" s="165">
        <f t="shared" si="128"/>
        <v>23150.767011749998</v>
      </c>
      <c r="AE105" s="165">
        <f t="shared" si="128"/>
        <v>23150.767011749998</v>
      </c>
      <c r="AF105" s="165">
        <f t="shared" si="128"/>
        <v>23150.767011749998</v>
      </c>
      <c r="AG105" s="165">
        <f t="shared" si="128"/>
        <v>23150.767011749998</v>
      </c>
      <c r="AH105" s="170">
        <f>IF(SUM(AH23,AH37)&gt;$F$85,$F$86,IF(SUM(AH23,AH37)&gt;$E$85,$E$86,$D$86))*SUM(AH23,AH37)</f>
        <v>92603.068046999993</v>
      </c>
      <c r="AI105" s="46"/>
      <c r="AJ105" s="46"/>
      <c r="AK105" s="46"/>
      <c r="AL105" s="46"/>
      <c r="AM105" s="46"/>
      <c r="AN105" s="46"/>
      <c r="AO105" s="46"/>
      <c r="AP105" s="46"/>
      <c r="AQ105" s="46"/>
      <c r="AR105" s="46"/>
      <c r="AS105" s="4"/>
    </row>
    <row r="106" spans="1:45" x14ac:dyDescent="0.2">
      <c r="A106" s="97"/>
      <c r="B106" s="8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3"/>
      <c r="P106" s="8"/>
      <c r="Q106" s="46"/>
      <c r="R106" s="46"/>
      <c r="S106" s="27" t="s">
        <v>258</v>
      </c>
      <c r="T106" s="164">
        <v>0</v>
      </c>
      <c r="U106" s="164">
        <v>0</v>
      </c>
      <c r="V106" s="164">
        <v>0</v>
      </c>
      <c r="W106" s="164">
        <v>0</v>
      </c>
      <c r="X106" s="165">
        <f>IF(SUM(X24,X38)&gt;$F$85,$F$86,IF(SUM(X24,X38)&gt;$E$85,$E$86,$D$86))*SUM(X24,X38)</f>
        <v>0</v>
      </c>
      <c r="Y106" s="165">
        <f>$AC106*10%</f>
        <v>1014.1838385000001</v>
      </c>
      <c r="Z106" s="165">
        <f>$AC106*20%</f>
        <v>2028.3676770000002</v>
      </c>
      <c r="AA106" s="165">
        <f>$AC106*30%</f>
        <v>3042.5515155000003</v>
      </c>
      <c r="AB106" s="165">
        <f>$AC106*40%</f>
        <v>4056.7353540000004</v>
      </c>
      <c r="AC106" s="165">
        <f>IF(SUM(AC24,AC38)&gt;$F$85,$F$86,IF(SUM(AC24,AC38)&gt;$E$85,$E$86,$D$86))*SUM(AC24,AC38)</f>
        <v>10141.838385000001</v>
      </c>
      <c r="AD106" s="165">
        <f t="shared" si="128"/>
        <v>5070.9191925000005</v>
      </c>
      <c r="AE106" s="165">
        <f t="shared" si="128"/>
        <v>5070.9191925000005</v>
      </c>
      <c r="AF106" s="165">
        <f t="shared" si="128"/>
        <v>5070.9191925000005</v>
      </c>
      <c r="AG106" s="165">
        <f t="shared" si="128"/>
        <v>5070.9191925000005</v>
      </c>
      <c r="AH106" s="170">
        <f>IF(SUM(AH24,AH38)&gt;$F$85,$F$86,IF(SUM(AH24,AH38)&gt;$E$85,$E$86,$D$86))*SUM(AH24,AH38)</f>
        <v>20283.676770000002</v>
      </c>
      <c r="AI106" s="46"/>
      <c r="AJ106" s="46"/>
      <c r="AK106" s="46"/>
      <c r="AL106" s="46"/>
      <c r="AM106" s="46"/>
      <c r="AN106" s="46"/>
      <c r="AO106" s="46"/>
      <c r="AP106" s="46"/>
      <c r="AQ106" s="46"/>
      <c r="AR106" s="46"/>
      <c r="AS106" s="4"/>
    </row>
    <row r="107" spans="1:45" x14ac:dyDescent="0.2">
      <c r="A107" s="97"/>
      <c r="B107" s="81" t="s">
        <v>187</v>
      </c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3"/>
      <c r="P107" s="8"/>
      <c r="Q107" s="46"/>
      <c r="R107" s="46"/>
      <c r="S107" s="27" t="s">
        <v>282</v>
      </c>
      <c r="T107" s="164">
        <v>0</v>
      </c>
      <c r="U107" s="164">
        <v>0</v>
      </c>
      <c r="V107" s="164">
        <v>0</v>
      </c>
      <c r="W107" s="164">
        <v>0</v>
      </c>
      <c r="X107" s="165">
        <f t="shared" ref="X107:X110" si="130">IF(SUM(X25,X39)&gt;$F$85,$F$86,IF(SUM(X25,X39)&gt;$E$85,$E$86,$D$86))*SUM(X25,X39)</f>
        <v>0</v>
      </c>
      <c r="Y107" s="165">
        <f t="shared" ref="Y107:Y110" si="131">$AC107*10%</f>
        <v>528.70335000000011</v>
      </c>
      <c r="Z107" s="165">
        <f t="shared" ref="Z107:Z110" si="132">$AC107*20%</f>
        <v>1057.4067000000002</v>
      </c>
      <c r="AA107" s="165">
        <f t="shared" ref="AA107:AA110" si="133">$AC107*30%</f>
        <v>1586.11005</v>
      </c>
      <c r="AB107" s="165">
        <f t="shared" ref="AB107:AB110" si="134">$AC107*40%</f>
        <v>2114.8134000000005</v>
      </c>
      <c r="AC107" s="165">
        <f t="shared" ref="AC107:AC110" si="135">IF(SUM(AC25,AC39)&gt;$F$85,$F$86,IF(SUM(AC25,AC39)&gt;$E$85,$E$86,$D$86))*SUM(AC25,AC39)</f>
        <v>5287.0335000000005</v>
      </c>
      <c r="AD107" s="165">
        <f t="shared" si="128"/>
        <v>5287.0335000000005</v>
      </c>
      <c r="AE107" s="165">
        <f t="shared" si="128"/>
        <v>5287.0335000000005</v>
      </c>
      <c r="AF107" s="165">
        <f t="shared" si="128"/>
        <v>5287.0335000000005</v>
      </c>
      <c r="AG107" s="165">
        <f t="shared" si="128"/>
        <v>5287.0335000000005</v>
      </c>
      <c r="AH107" s="170">
        <f t="shared" ref="AH107:AH110" si="136">IF(SUM(AH25,AH39)&gt;$F$85,$F$86,IF(SUM(AH25,AH39)&gt;$E$85,$E$86,$D$86))*SUM(AH25,AH39)</f>
        <v>21148.134000000002</v>
      </c>
      <c r="AI107" s="46"/>
      <c r="AJ107" s="46"/>
      <c r="AK107" s="46"/>
      <c r="AL107" s="46"/>
      <c r="AM107" s="46"/>
      <c r="AN107" s="46"/>
      <c r="AO107" s="46"/>
      <c r="AP107" s="46"/>
      <c r="AQ107" s="46"/>
      <c r="AR107" s="46"/>
      <c r="AS107" s="4"/>
    </row>
    <row r="108" spans="1:45" x14ac:dyDescent="0.2">
      <c r="A108" s="97"/>
      <c r="B108" s="81" t="s">
        <v>185</v>
      </c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3"/>
      <c r="P108" s="8"/>
      <c r="Q108" s="46"/>
      <c r="R108" s="46"/>
      <c r="S108" s="27" t="s">
        <v>283</v>
      </c>
      <c r="T108" s="164">
        <v>0</v>
      </c>
      <c r="U108" s="164">
        <v>0</v>
      </c>
      <c r="V108" s="164">
        <v>0</v>
      </c>
      <c r="W108" s="164">
        <v>0</v>
      </c>
      <c r="X108" s="165">
        <f t="shared" si="130"/>
        <v>0</v>
      </c>
      <c r="Y108" s="165">
        <f t="shared" si="131"/>
        <v>0</v>
      </c>
      <c r="Z108" s="165">
        <f t="shared" si="132"/>
        <v>0</v>
      </c>
      <c r="AA108" s="165">
        <f t="shared" si="133"/>
        <v>0</v>
      </c>
      <c r="AB108" s="165">
        <f t="shared" si="134"/>
        <v>0</v>
      </c>
      <c r="AC108" s="165">
        <f t="shared" si="135"/>
        <v>0</v>
      </c>
      <c r="AD108" s="165">
        <f t="shared" si="128"/>
        <v>0</v>
      </c>
      <c r="AE108" s="165">
        <f t="shared" si="128"/>
        <v>0</v>
      </c>
      <c r="AF108" s="165">
        <f t="shared" si="128"/>
        <v>0</v>
      </c>
      <c r="AG108" s="165">
        <f t="shared" si="128"/>
        <v>0</v>
      </c>
      <c r="AH108" s="170">
        <f t="shared" si="136"/>
        <v>0</v>
      </c>
      <c r="AI108" s="46"/>
      <c r="AJ108" s="46"/>
      <c r="AK108" s="46"/>
      <c r="AL108" s="46"/>
      <c r="AM108" s="46"/>
      <c r="AN108" s="46"/>
      <c r="AO108" s="46"/>
      <c r="AP108" s="46"/>
      <c r="AQ108" s="46"/>
      <c r="AR108" s="46"/>
      <c r="AS108" s="4"/>
    </row>
    <row r="109" spans="1:45" x14ac:dyDescent="0.2">
      <c r="A109" s="97"/>
      <c r="B109" s="81" t="s">
        <v>255</v>
      </c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3"/>
      <c r="P109" s="8"/>
      <c r="Q109" s="46"/>
      <c r="R109" s="46"/>
      <c r="S109" s="27" t="s">
        <v>284</v>
      </c>
      <c r="T109" s="164">
        <v>0</v>
      </c>
      <c r="U109" s="164">
        <v>0</v>
      </c>
      <c r="V109" s="164">
        <v>0</v>
      </c>
      <c r="W109" s="164">
        <v>0</v>
      </c>
      <c r="X109" s="165">
        <f t="shared" si="130"/>
        <v>0</v>
      </c>
      <c r="Y109" s="165">
        <f t="shared" si="131"/>
        <v>0</v>
      </c>
      <c r="Z109" s="165">
        <f t="shared" si="132"/>
        <v>0</v>
      </c>
      <c r="AA109" s="165">
        <f t="shared" si="133"/>
        <v>0</v>
      </c>
      <c r="AB109" s="165">
        <f t="shared" si="134"/>
        <v>0</v>
      </c>
      <c r="AC109" s="165">
        <f t="shared" si="135"/>
        <v>0</v>
      </c>
      <c r="AD109" s="165">
        <f t="shared" si="128"/>
        <v>0</v>
      </c>
      <c r="AE109" s="165">
        <f t="shared" si="128"/>
        <v>0</v>
      </c>
      <c r="AF109" s="165">
        <f t="shared" si="128"/>
        <v>0</v>
      </c>
      <c r="AG109" s="165">
        <f t="shared" si="128"/>
        <v>0</v>
      </c>
      <c r="AH109" s="170">
        <f t="shared" si="136"/>
        <v>0</v>
      </c>
      <c r="AI109" s="46"/>
      <c r="AJ109" s="46"/>
      <c r="AK109" s="46"/>
      <c r="AL109" s="46"/>
      <c r="AM109" s="46"/>
      <c r="AN109" s="46"/>
      <c r="AO109" s="46"/>
      <c r="AP109" s="46"/>
      <c r="AQ109" s="46"/>
      <c r="AR109" s="46"/>
      <c r="AS109" s="4"/>
    </row>
    <row r="110" spans="1:45" x14ac:dyDescent="0.2">
      <c r="A110" s="97"/>
      <c r="B110" s="81" t="s">
        <v>186</v>
      </c>
      <c r="C110" s="46"/>
      <c r="D110" s="46"/>
      <c r="E110" s="82"/>
      <c r="F110" s="46"/>
      <c r="G110" s="82"/>
      <c r="H110" s="82"/>
      <c r="I110" s="82"/>
      <c r="J110" s="82"/>
      <c r="K110" s="82"/>
      <c r="L110" s="82"/>
      <c r="M110" s="82"/>
      <c r="N110" s="83"/>
      <c r="P110" s="8"/>
      <c r="Q110" s="46"/>
      <c r="R110" s="46"/>
      <c r="S110" s="27" t="s">
        <v>285</v>
      </c>
      <c r="T110" s="164">
        <v>0</v>
      </c>
      <c r="U110" s="164">
        <v>0</v>
      </c>
      <c r="V110" s="164">
        <v>0</v>
      </c>
      <c r="W110" s="164">
        <v>0</v>
      </c>
      <c r="X110" s="165">
        <f t="shared" si="130"/>
        <v>0</v>
      </c>
      <c r="Y110" s="165">
        <f t="shared" si="131"/>
        <v>0</v>
      </c>
      <c r="Z110" s="165">
        <f t="shared" si="132"/>
        <v>0</v>
      </c>
      <c r="AA110" s="165">
        <f t="shared" si="133"/>
        <v>0</v>
      </c>
      <c r="AB110" s="165">
        <f t="shared" si="134"/>
        <v>0</v>
      </c>
      <c r="AC110" s="165">
        <f t="shared" si="135"/>
        <v>0</v>
      </c>
      <c r="AD110" s="165">
        <f t="shared" si="128"/>
        <v>0</v>
      </c>
      <c r="AE110" s="165">
        <f t="shared" si="128"/>
        <v>0</v>
      </c>
      <c r="AF110" s="165">
        <f t="shared" si="128"/>
        <v>0</v>
      </c>
      <c r="AG110" s="165">
        <f t="shared" si="128"/>
        <v>0</v>
      </c>
      <c r="AH110" s="170">
        <f t="shared" si="136"/>
        <v>0</v>
      </c>
      <c r="AI110" s="46"/>
      <c r="AJ110" s="46"/>
      <c r="AK110" s="46"/>
      <c r="AL110" s="46"/>
      <c r="AM110" s="46"/>
      <c r="AN110" s="46"/>
      <c r="AO110" s="46"/>
      <c r="AP110" s="46"/>
      <c r="AQ110" s="46"/>
      <c r="AR110" s="46"/>
      <c r="AS110" s="4"/>
    </row>
    <row r="111" spans="1:45" x14ac:dyDescent="0.2">
      <c r="A111" s="97"/>
      <c r="B111" s="81" t="s">
        <v>198</v>
      </c>
      <c r="C111" s="46"/>
      <c r="D111" s="46"/>
      <c r="E111" s="82"/>
      <c r="F111" s="46"/>
      <c r="G111" s="82"/>
      <c r="H111" s="82"/>
      <c r="I111" s="82"/>
      <c r="J111" s="82"/>
      <c r="K111" s="82"/>
      <c r="L111" s="82"/>
      <c r="M111" s="82"/>
      <c r="N111" s="83"/>
      <c r="P111" s="8"/>
      <c r="Q111" s="46"/>
      <c r="R111" s="46"/>
      <c r="S111" s="12" t="s">
        <v>0</v>
      </c>
      <c r="T111" s="166">
        <f>SUM(T102:T110)</f>
        <v>1828.341263</v>
      </c>
      <c r="U111" s="166">
        <f t="shared" ref="U111:AH111" si="137">SUM(U102:U110)</f>
        <v>3656.6825260000001</v>
      </c>
      <c r="V111" s="166">
        <f t="shared" si="137"/>
        <v>5485.0237889999999</v>
      </c>
      <c r="W111" s="166">
        <f t="shared" si="137"/>
        <v>7313.3650520000001</v>
      </c>
      <c r="X111" s="166">
        <f t="shared" si="137"/>
        <v>18283.412629999999</v>
      </c>
      <c r="Y111" s="166">
        <f t="shared" si="137"/>
        <v>21830.422278000002</v>
      </c>
      <c r="Z111" s="166">
        <f t="shared" si="137"/>
        <v>28051.166787875001</v>
      </c>
      <c r="AA111" s="166">
        <f t="shared" si="137"/>
        <v>34271.911297750004</v>
      </c>
      <c r="AB111" s="166">
        <f t="shared" si="137"/>
        <v>40492.655807625008</v>
      </c>
      <c r="AC111" s="166">
        <f t="shared" si="137"/>
        <v>124646.15617125001</v>
      </c>
      <c r="AD111" s="166">
        <f t="shared" si="137"/>
        <v>79233.925537375006</v>
      </c>
      <c r="AE111" s="166">
        <f t="shared" si="137"/>
        <v>79233.925537375006</v>
      </c>
      <c r="AF111" s="166">
        <f t="shared" si="137"/>
        <v>79233.925537375006</v>
      </c>
      <c r="AG111" s="166">
        <f t="shared" si="137"/>
        <v>79233.925537375006</v>
      </c>
      <c r="AH111" s="166">
        <f t="shared" si="137"/>
        <v>316935.70214950002</v>
      </c>
      <c r="AI111" s="46"/>
      <c r="AJ111" s="46"/>
      <c r="AK111" s="46"/>
      <c r="AL111" s="46"/>
      <c r="AM111" s="46"/>
      <c r="AN111" s="46"/>
      <c r="AO111" s="46"/>
      <c r="AP111" s="46"/>
      <c r="AQ111" s="46"/>
      <c r="AR111" s="46"/>
      <c r="AS111" s="4"/>
    </row>
    <row r="112" spans="1:45" ht="16" thickBot="1" x14ac:dyDescent="0.25">
      <c r="A112"/>
      <c r="B112" s="81" t="s">
        <v>254</v>
      </c>
      <c r="C112" s="82"/>
      <c r="D112" s="82"/>
      <c r="E112" s="82"/>
      <c r="F112" s="82"/>
      <c r="G112" s="82"/>
      <c r="H112" s="82"/>
      <c r="I112" s="82"/>
      <c r="J112" s="82"/>
      <c r="K112" s="82"/>
      <c r="L112" s="82"/>
      <c r="M112" s="82"/>
      <c r="N112" s="83"/>
      <c r="P112" s="8"/>
      <c r="Q112" s="46"/>
      <c r="R112" s="46"/>
      <c r="S112" s="12" t="s">
        <v>180</v>
      </c>
      <c r="T112" s="166">
        <f t="shared" ref="T112:AH112" si="138">T99+T111</f>
        <v>23585.794267699999</v>
      </c>
      <c r="U112" s="166">
        <f t="shared" si="138"/>
        <v>47171.588535399998</v>
      </c>
      <c r="V112" s="166">
        <f t="shared" si="138"/>
        <v>70757.382803099987</v>
      </c>
      <c r="W112" s="166">
        <f t="shared" si="138"/>
        <v>94343.177070799997</v>
      </c>
      <c r="X112" s="166">
        <f t="shared" si="138"/>
        <v>235857.94267699998</v>
      </c>
      <c r="Y112" s="166">
        <f t="shared" si="138"/>
        <v>188275.18349797503</v>
      </c>
      <c r="Z112" s="166">
        <f t="shared" si="138"/>
        <v>242298.56691845</v>
      </c>
      <c r="AA112" s="166">
        <f t="shared" si="138"/>
        <v>296321.950338925</v>
      </c>
      <c r="AB112" s="166">
        <f t="shared" si="138"/>
        <v>350345.33375940006</v>
      </c>
      <c r="AC112" s="166">
        <f t="shared" si="138"/>
        <v>1077241.0345147499</v>
      </c>
      <c r="AD112" s="171">
        <f t="shared" si="138"/>
        <v>685539.04597990005</v>
      </c>
      <c r="AE112" s="171">
        <f t="shared" si="138"/>
        <v>685539.04597990005</v>
      </c>
      <c r="AF112" s="171">
        <f t="shared" si="138"/>
        <v>685539.04597990005</v>
      </c>
      <c r="AG112" s="171">
        <f t="shared" si="138"/>
        <v>685539.04597990005</v>
      </c>
      <c r="AH112" s="171">
        <f t="shared" si="138"/>
        <v>2742156.1839196002</v>
      </c>
      <c r="AI112" s="46"/>
      <c r="AM112" s="174"/>
      <c r="AN112" s="46"/>
      <c r="AO112" s="46"/>
      <c r="AP112" s="46"/>
      <c r="AQ112" s="46"/>
      <c r="AR112" s="46"/>
      <c r="AS112" s="4"/>
    </row>
    <row r="113" spans="1:45" x14ac:dyDescent="0.2">
      <c r="A113"/>
      <c r="B113" s="81"/>
      <c r="C113" s="82"/>
      <c r="D113" s="82"/>
      <c r="E113" s="82"/>
      <c r="F113" s="82"/>
      <c r="G113" s="82"/>
      <c r="H113" s="82"/>
      <c r="I113" s="82"/>
      <c r="J113" s="82"/>
      <c r="K113" s="82"/>
      <c r="L113" s="82"/>
      <c r="M113" s="82"/>
      <c r="N113" s="83"/>
      <c r="O113" s="46"/>
      <c r="P113" s="8"/>
      <c r="Q113" s="46"/>
      <c r="R113" s="46"/>
      <c r="S113" s="128"/>
      <c r="T113" s="172"/>
      <c r="U113" s="172"/>
      <c r="V113" s="172"/>
      <c r="W113" s="172"/>
      <c r="X113" s="172"/>
      <c r="Y113" s="172"/>
      <c r="Z113" s="172"/>
      <c r="AA113" s="172"/>
      <c r="AB113" s="172"/>
      <c r="AC113" s="172"/>
      <c r="AD113" s="172"/>
      <c r="AE113" s="172"/>
      <c r="AF113" s="172"/>
      <c r="AG113" s="172"/>
      <c r="AH113" s="172"/>
      <c r="AI113" s="46"/>
      <c r="AN113" s="46"/>
      <c r="AO113" s="46"/>
      <c r="AP113" s="46"/>
      <c r="AQ113" s="46"/>
      <c r="AR113" s="46"/>
      <c r="AS113" s="4"/>
    </row>
    <row r="114" spans="1:45" ht="16" thickBot="1" x14ac:dyDescent="0.25">
      <c r="A114"/>
      <c r="B114" s="84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6"/>
      <c r="O114" s="46"/>
      <c r="P114" s="8"/>
      <c r="Q114" s="129" t="s">
        <v>169</v>
      </c>
      <c r="R114" s="131"/>
      <c r="S114" s="46"/>
      <c r="T114" s="273" t="s">
        <v>191</v>
      </c>
      <c r="U114" s="273"/>
      <c r="V114" s="273"/>
      <c r="W114" s="274"/>
      <c r="X114" s="167" t="s">
        <v>192</v>
      </c>
      <c r="Y114" s="275" t="s">
        <v>193</v>
      </c>
      <c r="Z114" s="273"/>
      <c r="AA114" s="273"/>
      <c r="AB114" s="274"/>
      <c r="AC114" s="167" t="s">
        <v>194</v>
      </c>
      <c r="AD114" s="275" t="s">
        <v>5</v>
      </c>
      <c r="AE114" s="273"/>
      <c r="AF114" s="273"/>
      <c r="AG114" s="274"/>
      <c r="AH114" s="167" t="s">
        <v>195</v>
      </c>
      <c r="AI114" s="46"/>
      <c r="AN114" s="46"/>
      <c r="AO114" s="46"/>
      <c r="AP114" s="46"/>
      <c r="AQ114" s="46"/>
      <c r="AR114" s="46"/>
      <c r="AS114" s="4"/>
    </row>
    <row r="115" spans="1:45" x14ac:dyDescent="0.2">
      <c r="A115"/>
      <c r="O115" s="46"/>
      <c r="P115" s="8"/>
      <c r="Q115" s="46"/>
      <c r="R115" s="27" t="s">
        <v>63</v>
      </c>
      <c r="S115" s="46"/>
      <c r="T115" s="168" t="s">
        <v>92</v>
      </c>
      <c r="U115" s="168" t="s">
        <v>93</v>
      </c>
      <c r="V115" s="168" t="s">
        <v>94</v>
      </c>
      <c r="W115" s="168" t="s">
        <v>95</v>
      </c>
      <c r="X115" s="168" t="s">
        <v>7</v>
      </c>
      <c r="Y115" s="168" t="s">
        <v>92</v>
      </c>
      <c r="Z115" s="168" t="s">
        <v>93</v>
      </c>
      <c r="AA115" s="168" t="s">
        <v>94</v>
      </c>
      <c r="AB115" s="168" t="s">
        <v>95</v>
      </c>
      <c r="AC115" s="168" t="s">
        <v>6</v>
      </c>
      <c r="AD115" s="168" t="s">
        <v>92</v>
      </c>
      <c r="AE115" s="168" t="s">
        <v>93</v>
      </c>
      <c r="AF115" s="168" t="s">
        <v>94</v>
      </c>
      <c r="AG115" s="168" t="s">
        <v>95</v>
      </c>
      <c r="AH115" s="169" t="s">
        <v>5</v>
      </c>
      <c r="AI115" s="46"/>
      <c r="AJ115" s="277" t="s">
        <v>190</v>
      </c>
      <c r="AK115" s="277"/>
      <c r="AL115" s="277"/>
      <c r="AM115" s="277"/>
      <c r="AN115" s="46"/>
      <c r="AO115" s="46"/>
      <c r="AP115" s="46"/>
      <c r="AQ115" s="46"/>
      <c r="AR115" s="46"/>
      <c r="AS115" s="4"/>
    </row>
    <row r="116" spans="1:45" x14ac:dyDescent="0.2">
      <c r="A116"/>
      <c r="O116" s="46"/>
      <c r="P116" s="8"/>
      <c r="Q116" s="46"/>
      <c r="R116" s="46"/>
      <c r="S116" s="27" t="s">
        <v>4</v>
      </c>
      <c r="T116" s="165">
        <f>$X$116*0%</f>
        <v>0</v>
      </c>
      <c r="U116" s="165">
        <f t="shared" ref="U116" si="139">$X$116*0%</f>
        <v>0</v>
      </c>
      <c r="V116" s="165">
        <f>$X$116*50%</f>
        <v>12285</v>
      </c>
      <c r="W116" s="165">
        <f>$X$116*50%</f>
        <v>12285</v>
      </c>
      <c r="X116" s="165">
        <f>X47*IF(X47&gt;$F$81,$F$82,IF(X47&gt;$E$81,$E$82,$D$82))</f>
        <v>24570</v>
      </c>
      <c r="Y116" s="165">
        <f>$AC116*25%</f>
        <v>7371</v>
      </c>
      <c r="Z116" s="165">
        <f t="shared" ref="Z116:AB116" si="140">$AC$116*25%</f>
        <v>7371</v>
      </c>
      <c r="AA116" s="165">
        <f t="shared" si="140"/>
        <v>7371</v>
      </c>
      <c r="AB116" s="165">
        <f t="shared" si="140"/>
        <v>7371</v>
      </c>
      <c r="AC116" s="165">
        <f>AC47*IF(AC47&gt;$F$81,$F$82,IF(AC47&gt;$E$81,$E$82,$D$82))</f>
        <v>29484</v>
      </c>
      <c r="AD116" s="165">
        <f>$AH116*25%</f>
        <v>15724.800000000001</v>
      </c>
      <c r="AE116" s="165">
        <f t="shared" ref="AE116:AG116" si="141">$AH116*25%</f>
        <v>15724.800000000001</v>
      </c>
      <c r="AF116" s="165">
        <f t="shared" si="141"/>
        <v>15724.800000000001</v>
      </c>
      <c r="AG116" s="165">
        <f t="shared" si="141"/>
        <v>15724.800000000001</v>
      </c>
      <c r="AH116" s="170">
        <f>AH47*IF(AH47&gt;$F$81,$F$82,IF(AH47&gt;$E$81,$E$82,$D$82))</f>
        <v>62899.200000000004</v>
      </c>
      <c r="AI116" s="46"/>
      <c r="AJ116" s="27"/>
      <c r="AK116" s="75" t="s">
        <v>7</v>
      </c>
      <c r="AL116" s="75" t="s">
        <v>6</v>
      </c>
      <c r="AM116" s="75" t="s">
        <v>5</v>
      </c>
      <c r="AN116" s="46"/>
      <c r="AO116" s="46"/>
      <c r="AP116" s="46"/>
      <c r="AQ116" s="46"/>
      <c r="AR116" s="46"/>
      <c r="AS116" s="4"/>
    </row>
    <row r="117" spans="1:45" x14ac:dyDescent="0.2">
      <c r="A117"/>
      <c r="P117" s="8"/>
      <c r="Q117" s="46"/>
      <c r="R117" s="46"/>
      <c r="S117" s="27" t="s">
        <v>3</v>
      </c>
      <c r="T117" s="165">
        <f>$X$117*10%</f>
        <v>0</v>
      </c>
      <c r="U117" s="165">
        <f>$X$117*20%</f>
        <v>0</v>
      </c>
      <c r="V117" s="165">
        <f>$X$117*30%</f>
        <v>0</v>
      </c>
      <c r="W117" s="165">
        <f>$X$117*40%</f>
        <v>0</v>
      </c>
      <c r="X117" s="165">
        <f>X48*IF(X48&gt;$F$81,$F$82,IF(X48&gt;$E$81,$E$82,$D$82))</f>
        <v>0</v>
      </c>
      <c r="Y117" s="165">
        <f>$AC$117*10%</f>
        <v>2639.0000000000005</v>
      </c>
      <c r="Z117" s="165">
        <f>$AC$117*20%</f>
        <v>5278.0000000000009</v>
      </c>
      <c r="AA117" s="165">
        <f>$AC$117*30%</f>
        <v>7917.0000000000009</v>
      </c>
      <c r="AB117" s="165">
        <f>$AC$117*40%</f>
        <v>10556.000000000002</v>
      </c>
      <c r="AC117" s="165">
        <f>AC48*IF(AC48&gt;$F$81,$F$82,IF(AC48&gt;$E$81,$E$82,$D$82))</f>
        <v>26390.000000000004</v>
      </c>
      <c r="AD117" s="165">
        <f t="shared" ref="AD117:AG124" si="142">$AH117*25%</f>
        <v>25334.399999999998</v>
      </c>
      <c r="AE117" s="165">
        <f t="shared" si="142"/>
        <v>25334.399999999998</v>
      </c>
      <c r="AF117" s="165">
        <f t="shared" si="142"/>
        <v>25334.399999999998</v>
      </c>
      <c r="AG117" s="165">
        <f t="shared" si="142"/>
        <v>25334.399999999998</v>
      </c>
      <c r="AH117" s="170">
        <f>AH48*IF(AH48&gt;$F$81,$F$82,IF(AH48&gt;$E$81,$E$82,$D$82))</f>
        <v>101337.59999999999</v>
      </c>
      <c r="AI117" s="46"/>
      <c r="AJ117" s="27" t="s">
        <v>4</v>
      </c>
      <c r="AK117" s="87">
        <f>X90+X102+X116+X128+X143</f>
        <v>189660.65880000003</v>
      </c>
      <c r="AL117" s="87">
        <f>AC90+AC102+AC116+AC128+AC143</f>
        <v>295054.45628000004</v>
      </c>
      <c r="AM117" s="87">
        <f>AH90+AH102+AH116+AH128+AH143</f>
        <v>452103.80473600002</v>
      </c>
      <c r="AN117" s="46"/>
      <c r="AO117" s="46"/>
      <c r="AP117" s="46"/>
      <c r="AQ117" s="46"/>
      <c r="AR117" s="46"/>
      <c r="AS117" s="4"/>
    </row>
    <row r="118" spans="1:45" x14ac:dyDescent="0.2">
      <c r="A118"/>
      <c r="P118" s="8"/>
      <c r="Q118" s="46"/>
      <c r="R118" s="46"/>
      <c r="S118" s="27" t="s">
        <v>2</v>
      </c>
      <c r="T118" s="165">
        <f>$X$118*0%</f>
        <v>0</v>
      </c>
      <c r="U118" s="165">
        <f t="shared" ref="U118" si="143">$X$118*0%</f>
        <v>0</v>
      </c>
      <c r="V118" s="165">
        <f>$X$118*50%</f>
        <v>13212.5</v>
      </c>
      <c r="W118" s="165">
        <f>$X$118*50%</f>
        <v>13212.5</v>
      </c>
      <c r="X118" s="165">
        <f>X49*IF(X49&gt;$F$81,$F$82,IF(X49&gt;$E$81,$E$82,$D$82))</f>
        <v>26425</v>
      </c>
      <c r="Y118" s="165">
        <f>$AC$118*25%</f>
        <v>10570</v>
      </c>
      <c r="Z118" s="165">
        <f t="shared" ref="Z118:AB118" si="144">$AC$118*25%</f>
        <v>10570</v>
      </c>
      <c r="AA118" s="165">
        <f t="shared" si="144"/>
        <v>10570</v>
      </c>
      <c r="AB118" s="165">
        <f t="shared" si="144"/>
        <v>10570</v>
      </c>
      <c r="AC118" s="165">
        <f>AC49*IF(AC49&gt;$F$81,$F$82,IF(AC49&gt;$E$81,$E$82,$D$82))</f>
        <v>42280</v>
      </c>
      <c r="AD118" s="165">
        <f t="shared" si="142"/>
        <v>29596</v>
      </c>
      <c r="AE118" s="165">
        <f t="shared" si="142"/>
        <v>29596</v>
      </c>
      <c r="AF118" s="165">
        <f t="shared" si="142"/>
        <v>29596</v>
      </c>
      <c r="AG118" s="165">
        <f t="shared" si="142"/>
        <v>29596</v>
      </c>
      <c r="AH118" s="170">
        <f>AH49*IF(AH49&gt;$F$81,$F$82,IF(AH49&gt;$E$81,$E$82,$D$82))</f>
        <v>118384</v>
      </c>
      <c r="AI118" s="46"/>
      <c r="AJ118" s="27" t="s">
        <v>3</v>
      </c>
      <c r="AK118" s="87">
        <f>X91+X103+X117+X129+X144</f>
        <v>0</v>
      </c>
      <c r="AL118" s="87">
        <f>AC91+AC103+AC117+AC129+AC144</f>
        <v>273044.48446875002</v>
      </c>
      <c r="AM118" s="87">
        <f>AH91+AH103+AH117+AH129+AH144</f>
        <v>652392.70989000006</v>
      </c>
      <c r="AN118" s="46"/>
      <c r="AO118" s="46"/>
      <c r="AP118" s="46"/>
      <c r="AQ118" s="46"/>
      <c r="AR118" s="46"/>
      <c r="AS118" s="4"/>
    </row>
    <row r="119" spans="1:45" x14ac:dyDescent="0.2">
      <c r="A119"/>
      <c r="P119" s="8"/>
      <c r="Q119" s="46"/>
      <c r="R119" s="46"/>
      <c r="S119" s="27" t="s">
        <v>1</v>
      </c>
      <c r="T119" s="165">
        <f>$X$119*10%</f>
        <v>0</v>
      </c>
      <c r="U119" s="165">
        <f t="shared" ref="U119:W119" si="145">$X$119*10%</f>
        <v>0</v>
      </c>
      <c r="V119" s="165">
        <f t="shared" si="145"/>
        <v>0</v>
      </c>
      <c r="W119" s="165">
        <f t="shared" si="145"/>
        <v>0</v>
      </c>
      <c r="X119" s="165">
        <f>X50*IF(X50&gt;$F$81,$F$82,IF(X50&gt;$E$81,$E$82,$D$82))</f>
        <v>0</v>
      </c>
      <c r="Y119" s="165">
        <f>$AC$119*10%</f>
        <v>5351.3600000000006</v>
      </c>
      <c r="Z119" s="165">
        <f>$AC$119*20%</f>
        <v>10702.720000000001</v>
      </c>
      <c r="AA119" s="165">
        <f>$AC$119*30%</f>
        <v>16054.079999999998</v>
      </c>
      <c r="AB119" s="165">
        <f>$AC$119*40%</f>
        <v>21405.440000000002</v>
      </c>
      <c r="AC119" s="165">
        <f>AC50*IF(AC50&gt;$F$81,$F$82,IF(AC50&gt;$E$81,$E$82,$D$82))</f>
        <v>53513.599999999999</v>
      </c>
      <c r="AD119" s="165">
        <f t="shared" si="142"/>
        <v>48162.239999999998</v>
      </c>
      <c r="AE119" s="165">
        <f t="shared" si="142"/>
        <v>48162.239999999998</v>
      </c>
      <c r="AF119" s="165">
        <f t="shared" si="142"/>
        <v>48162.239999999998</v>
      </c>
      <c r="AG119" s="165">
        <f t="shared" si="142"/>
        <v>48162.239999999998</v>
      </c>
      <c r="AH119" s="170">
        <f>AH50*IF(AH50&gt;$F$81,$F$82,IF(AH50&gt;$E$81,$E$82,$D$82))</f>
        <v>192648.95999999999</v>
      </c>
      <c r="AI119" s="46"/>
      <c r="AJ119" s="27" t="s">
        <v>2</v>
      </c>
      <c r="AK119" s="87">
        <f>X92+X104+X118+X130+X145</f>
        <v>241212.35887699999</v>
      </c>
      <c r="AL119" s="87">
        <f>AC92+AC104+AC118+AC130+AC145</f>
        <v>501655.59403000004</v>
      </c>
      <c r="AM119" s="87">
        <f>AH92+AH104+AH118+AH130+AH145</f>
        <v>834764.43806000007</v>
      </c>
      <c r="AN119" s="46"/>
      <c r="AO119" s="46"/>
      <c r="AP119" s="46"/>
      <c r="AQ119" s="46"/>
      <c r="AR119" s="46"/>
      <c r="AS119" s="4"/>
    </row>
    <row r="120" spans="1:45" x14ac:dyDescent="0.2">
      <c r="A120"/>
      <c r="P120" s="8"/>
      <c r="Q120" s="46"/>
      <c r="R120" s="46"/>
      <c r="S120" s="27" t="s">
        <v>258</v>
      </c>
      <c r="T120" s="165">
        <f>T51*IF(T51&gt;$F$81,$F$82,IF(T51&gt;$E$81,$E$82,$D$82))</f>
        <v>0</v>
      </c>
      <c r="U120" s="165">
        <f>U51*IF(U51&gt;$F$81,$F$82,IF(U51&gt;$E$81,$E$82,$D$82))</f>
        <v>0</v>
      </c>
      <c r="V120" s="165">
        <f>V51*IF(V51&gt;$F$81,$F$82,IF(V51&gt;$E$81,$E$82,$D$82))</f>
        <v>0</v>
      </c>
      <c r="W120" s="165">
        <f>W51*IF(W51&gt;$F$81,$F$82,IF(W51&gt;$E$81,$E$82,$D$82))</f>
        <v>0</v>
      </c>
      <c r="X120" s="165">
        <f>X51*IF(X51&gt;$F$81,$F$82,IF(X51&gt;$E$81,$E$82,$D$82))</f>
        <v>0</v>
      </c>
      <c r="Y120" s="165">
        <f>$AC120*10%</f>
        <v>745.5</v>
      </c>
      <c r="Z120" s="165">
        <f>$AC120*20%</f>
        <v>1491</v>
      </c>
      <c r="AA120" s="165">
        <f>$AC120*30%</f>
        <v>2236.5</v>
      </c>
      <c r="AB120" s="165">
        <f>$AC120*40%</f>
        <v>2982</v>
      </c>
      <c r="AC120" s="165">
        <f>AC51*IF(AC51&gt;$F$81,$F$82,IF(AC51&gt;$E$81,$E$82,$D$82))</f>
        <v>7455</v>
      </c>
      <c r="AD120" s="165">
        <f t="shared" si="142"/>
        <v>3727.5</v>
      </c>
      <c r="AE120" s="165">
        <f t="shared" si="142"/>
        <v>3727.5</v>
      </c>
      <c r="AF120" s="165">
        <f t="shared" si="142"/>
        <v>3727.5</v>
      </c>
      <c r="AG120" s="165">
        <f t="shared" si="142"/>
        <v>3727.5</v>
      </c>
      <c r="AH120" s="165">
        <f>AH51*IF(AH51&gt;$F$81,$F$82,IF(AH51&gt;$E$81,$E$82,$D$82))</f>
        <v>14910</v>
      </c>
      <c r="AI120" s="46"/>
      <c r="AJ120" s="27" t="s">
        <v>1</v>
      </c>
      <c r="AK120" s="87">
        <f>X93+X105+X119+X131+X146</f>
        <v>0</v>
      </c>
      <c r="AL120" s="87">
        <f>AC93+AC105+AC119+AC131+AC146</f>
        <v>473008.35055099998</v>
      </c>
      <c r="AM120" s="87">
        <f>AH93+AH105+AH119+AH131+AH146</f>
        <v>1092881.6773235998</v>
      </c>
      <c r="AN120" s="46"/>
      <c r="AO120" s="46"/>
      <c r="AP120" s="46"/>
      <c r="AQ120" s="46"/>
      <c r="AR120" s="46"/>
      <c r="AS120" s="4"/>
    </row>
    <row r="121" spans="1:45" x14ac:dyDescent="0.2">
      <c r="A121"/>
      <c r="P121" s="8"/>
      <c r="Q121" s="46"/>
      <c r="R121" s="46"/>
      <c r="S121" s="27" t="s">
        <v>282</v>
      </c>
      <c r="T121" s="165">
        <f t="shared" ref="T121:W124" si="146">T52*IF(T52&gt;$F$81,$F$82,IF(T52&gt;$E$81,$E$82,$D$82))</f>
        <v>0</v>
      </c>
      <c r="U121" s="165">
        <f t="shared" si="146"/>
        <v>0</v>
      </c>
      <c r="V121" s="165">
        <f t="shared" si="146"/>
        <v>0</v>
      </c>
      <c r="W121" s="165">
        <f t="shared" si="146"/>
        <v>0</v>
      </c>
      <c r="X121" s="165">
        <f t="shared" ref="X121:X124" si="147">X52*IF(X52&gt;$F$81,$F$82,IF(X52&gt;$E$81,$E$82,$D$82))</f>
        <v>0</v>
      </c>
      <c r="Y121" s="165">
        <f t="shared" ref="Y121:Y124" si="148">$AC121*10%</f>
        <v>1260</v>
      </c>
      <c r="Z121" s="165">
        <f t="shared" ref="Z121:Z124" si="149">$AC121*20%</f>
        <v>2520</v>
      </c>
      <c r="AA121" s="165">
        <f t="shared" ref="AA121:AA124" si="150">$AC121*30%</f>
        <v>3780</v>
      </c>
      <c r="AB121" s="165">
        <f t="shared" ref="AB121:AB123" si="151">$AC121*40%</f>
        <v>5040</v>
      </c>
      <c r="AC121" s="165">
        <f t="shared" ref="AC121:AC124" si="152">AC52*IF(AC52&gt;$F$81,$F$82,IF(AC52&gt;$E$81,$E$82,$D$82))</f>
        <v>12600</v>
      </c>
      <c r="AD121" s="165">
        <f t="shared" si="142"/>
        <v>10080</v>
      </c>
      <c r="AE121" s="165">
        <f t="shared" si="142"/>
        <v>10080</v>
      </c>
      <c r="AF121" s="165">
        <f t="shared" si="142"/>
        <v>10080</v>
      </c>
      <c r="AG121" s="165">
        <f t="shared" si="142"/>
        <v>10080</v>
      </c>
      <c r="AH121" s="165">
        <f t="shared" ref="AH121:AH124" si="153">AH52*IF(AH52&gt;$F$81,$F$82,IF(AH52&gt;$E$81,$E$82,$D$82))</f>
        <v>40320</v>
      </c>
      <c r="AI121" s="46"/>
      <c r="AJ121" s="27" t="s">
        <v>102</v>
      </c>
      <c r="AK121" s="87">
        <f>X94+X106+X120+X132+X147</f>
        <v>0</v>
      </c>
      <c r="AL121" s="87">
        <f>AC94+AC106+AC120+AC132+AC147</f>
        <v>162772.93568499997</v>
      </c>
      <c r="AM121" s="87">
        <f>AH94+AH106+AH120+AH132+AH147</f>
        <v>197891.92190999998</v>
      </c>
      <c r="AN121" s="46"/>
      <c r="AO121" s="46"/>
      <c r="AP121" s="46"/>
      <c r="AQ121" s="46"/>
      <c r="AR121" s="46"/>
      <c r="AS121" s="4"/>
    </row>
    <row r="122" spans="1:45" x14ac:dyDescent="0.2">
      <c r="A122"/>
      <c r="N122" s="46"/>
      <c r="P122" s="8"/>
      <c r="Q122" s="46"/>
      <c r="R122" s="46"/>
      <c r="S122" s="27" t="s">
        <v>283</v>
      </c>
      <c r="T122" s="165">
        <f t="shared" si="146"/>
        <v>0</v>
      </c>
      <c r="U122" s="165">
        <f t="shared" si="146"/>
        <v>0</v>
      </c>
      <c r="V122" s="165">
        <f t="shared" si="146"/>
        <v>0</v>
      </c>
      <c r="W122" s="165">
        <f t="shared" si="146"/>
        <v>0</v>
      </c>
      <c r="X122" s="165">
        <f t="shared" si="147"/>
        <v>0</v>
      </c>
      <c r="Y122" s="165">
        <f t="shared" si="148"/>
        <v>0</v>
      </c>
      <c r="Z122" s="165">
        <f t="shared" si="149"/>
        <v>0</v>
      </c>
      <c r="AA122" s="165">
        <f t="shared" si="150"/>
        <v>0</v>
      </c>
      <c r="AB122" s="165">
        <f t="shared" si="151"/>
        <v>0</v>
      </c>
      <c r="AC122" s="165">
        <f t="shared" si="152"/>
        <v>0</v>
      </c>
      <c r="AD122" s="165">
        <f t="shared" si="142"/>
        <v>0</v>
      </c>
      <c r="AE122" s="165">
        <f t="shared" si="142"/>
        <v>0</v>
      </c>
      <c r="AF122" s="165">
        <f t="shared" si="142"/>
        <v>0</v>
      </c>
      <c r="AG122" s="165">
        <f t="shared" si="142"/>
        <v>0</v>
      </c>
      <c r="AH122" s="165">
        <f t="shared" si="153"/>
        <v>0</v>
      </c>
      <c r="AI122" s="46"/>
      <c r="AJ122" s="27" t="s">
        <v>282</v>
      </c>
      <c r="AK122" s="87">
        <f t="shared" ref="AK122:AK125" si="154">X95+X107+X121+X133+X148</f>
        <v>0</v>
      </c>
      <c r="AL122" s="87">
        <f t="shared" ref="AL122:AL125" si="155">AC95+AC107+AC121+AC133+AC148</f>
        <v>94624.863500000007</v>
      </c>
      <c r="AM122" s="87">
        <f t="shared" ref="AM122:AM125" si="156">AH95+AH107+AH121+AH133+AH148</f>
        <v>240013.122</v>
      </c>
      <c r="AN122" s="46"/>
      <c r="AO122" s="46"/>
      <c r="AP122" s="46"/>
      <c r="AQ122" s="46"/>
      <c r="AR122" s="46"/>
      <c r="AS122" s="4"/>
    </row>
    <row r="123" spans="1:45" x14ac:dyDescent="0.2">
      <c r="A123"/>
      <c r="P123" s="8"/>
      <c r="Q123" s="46"/>
      <c r="R123" s="46"/>
      <c r="S123" s="27" t="s">
        <v>284</v>
      </c>
      <c r="T123" s="165">
        <f t="shared" si="146"/>
        <v>0</v>
      </c>
      <c r="U123" s="165">
        <f t="shared" si="146"/>
        <v>0</v>
      </c>
      <c r="V123" s="165">
        <f t="shared" si="146"/>
        <v>0</v>
      </c>
      <c r="W123" s="165">
        <f t="shared" si="146"/>
        <v>0</v>
      </c>
      <c r="X123" s="165">
        <f t="shared" si="147"/>
        <v>0</v>
      </c>
      <c r="Y123" s="165">
        <f t="shared" si="148"/>
        <v>0</v>
      </c>
      <c r="Z123" s="165">
        <f t="shared" si="149"/>
        <v>0</v>
      </c>
      <c r="AA123" s="165">
        <f t="shared" si="150"/>
        <v>0</v>
      </c>
      <c r="AB123" s="165">
        <f t="shared" si="151"/>
        <v>0</v>
      </c>
      <c r="AC123" s="165">
        <f t="shared" si="152"/>
        <v>0</v>
      </c>
      <c r="AD123" s="165">
        <f t="shared" si="142"/>
        <v>0</v>
      </c>
      <c r="AE123" s="165">
        <f t="shared" si="142"/>
        <v>0</v>
      </c>
      <c r="AF123" s="165">
        <f t="shared" si="142"/>
        <v>0</v>
      </c>
      <c r="AG123" s="165">
        <f t="shared" si="142"/>
        <v>0</v>
      </c>
      <c r="AH123" s="165">
        <f t="shared" si="153"/>
        <v>0</v>
      </c>
      <c r="AI123" s="46"/>
      <c r="AJ123" s="27" t="s">
        <v>283</v>
      </c>
      <c r="AK123" s="87">
        <f t="shared" si="154"/>
        <v>0</v>
      </c>
      <c r="AL123" s="87">
        <f t="shared" si="155"/>
        <v>0</v>
      </c>
      <c r="AM123" s="87">
        <f t="shared" si="156"/>
        <v>0</v>
      </c>
      <c r="AN123" s="46"/>
      <c r="AO123" s="46"/>
      <c r="AP123" s="46"/>
      <c r="AQ123" s="46"/>
      <c r="AR123" s="46"/>
      <c r="AS123" s="4"/>
    </row>
    <row r="124" spans="1:45" x14ac:dyDescent="0.2">
      <c r="A124"/>
      <c r="P124" s="8"/>
      <c r="Q124" s="46"/>
      <c r="R124" s="46"/>
      <c r="S124" s="27" t="s">
        <v>285</v>
      </c>
      <c r="T124" s="165">
        <f t="shared" si="146"/>
        <v>0</v>
      </c>
      <c r="U124" s="165">
        <f t="shared" si="146"/>
        <v>0</v>
      </c>
      <c r="V124" s="165">
        <f t="shared" si="146"/>
        <v>0</v>
      </c>
      <c r="W124" s="165">
        <f t="shared" si="146"/>
        <v>0</v>
      </c>
      <c r="X124" s="165">
        <f t="shared" si="147"/>
        <v>0</v>
      </c>
      <c r="Y124" s="165">
        <f t="shared" si="148"/>
        <v>0</v>
      </c>
      <c r="Z124" s="165">
        <f t="shared" si="149"/>
        <v>0</v>
      </c>
      <c r="AA124" s="165">
        <f t="shared" si="150"/>
        <v>0</v>
      </c>
      <c r="AB124" s="165">
        <f>$AC124*40%</f>
        <v>0</v>
      </c>
      <c r="AC124" s="165">
        <f t="shared" si="152"/>
        <v>0</v>
      </c>
      <c r="AD124" s="165">
        <f t="shared" si="142"/>
        <v>0</v>
      </c>
      <c r="AE124" s="165">
        <f t="shared" si="142"/>
        <v>0</v>
      </c>
      <c r="AF124" s="165">
        <f t="shared" si="142"/>
        <v>0</v>
      </c>
      <c r="AG124" s="165">
        <f t="shared" si="142"/>
        <v>0</v>
      </c>
      <c r="AH124" s="165">
        <f t="shared" si="153"/>
        <v>0</v>
      </c>
      <c r="AI124" s="46"/>
      <c r="AJ124" s="27" t="s">
        <v>284</v>
      </c>
      <c r="AK124" s="87">
        <f t="shared" si="154"/>
        <v>0</v>
      </c>
      <c r="AL124" s="87">
        <f t="shared" si="155"/>
        <v>0</v>
      </c>
      <c r="AM124" s="87">
        <f t="shared" si="156"/>
        <v>0</v>
      </c>
      <c r="AN124" s="46"/>
      <c r="AO124" s="46"/>
      <c r="AP124" s="46"/>
      <c r="AQ124" s="46"/>
      <c r="AR124" s="46"/>
      <c r="AS124" s="4"/>
    </row>
    <row r="125" spans="1:45" x14ac:dyDescent="0.2">
      <c r="A125"/>
      <c r="P125" s="8"/>
      <c r="Q125" s="46"/>
      <c r="R125" s="46"/>
      <c r="S125" s="12" t="s">
        <v>0</v>
      </c>
      <c r="T125" s="166">
        <f>SUM(T116:T124)</f>
        <v>0</v>
      </c>
      <c r="U125" s="166">
        <f t="shared" ref="U125:AH125" si="157">SUM(U116:U124)</f>
        <v>0</v>
      </c>
      <c r="V125" s="166">
        <f t="shared" si="157"/>
        <v>25497.5</v>
      </c>
      <c r="W125" s="166">
        <f t="shared" si="157"/>
        <v>25497.5</v>
      </c>
      <c r="X125" s="166">
        <f t="shared" si="157"/>
        <v>50995</v>
      </c>
      <c r="Y125" s="166">
        <f t="shared" si="157"/>
        <v>27936.86</v>
      </c>
      <c r="Z125" s="166">
        <f t="shared" si="157"/>
        <v>37932.720000000001</v>
      </c>
      <c r="AA125" s="166">
        <f t="shared" si="157"/>
        <v>47928.58</v>
      </c>
      <c r="AB125" s="166">
        <f t="shared" si="157"/>
        <v>57924.44</v>
      </c>
      <c r="AC125" s="166">
        <f t="shared" si="157"/>
        <v>171722.6</v>
      </c>
      <c r="AD125" s="166">
        <f t="shared" si="157"/>
        <v>132624.94</v>
      </c>
      <c r="AE125" s="166">
        <f t="shared" si="157"/>
        <v>132624.94</v>
      </c>
      <c r="AF125" s="166">
        <f t="shared" si="157"/>
        <v>132624.94</v>
      </c>
      <c r="AG125" s="166">
        <f t="shared" si="157"/>
        <v>132624.94</v>
      </c>
      <c r="AH125" s="166">
        <f t="shared" si="157"/>
        <v>530499.76</v>
      </c>
      <c r="AI125" s="46"/>
      <c r="AJ125" s="27" t="s">
        <v>285</v>
      </c>
      <c r="AK125" s="87">
        <f t="shared" si="154"/>
        <v>0</v>
      </c>
      <c r="AL125" s="87">
        <f t="shared" si="155"/>
        <v>0</v>
      </c>
      <c r="AM125" s="87">
        <f t="shared" si="156"/>
        <v>0</v>
      </c>
      <c r="AN125" s="46"/>
      <c r="AO125" s="46"/>
      <c r="AP125" s="46"/>
      <c r="AQ125" s="46"/>
      <c r="AR125" s="46"/>
      <c r="AS125" s="4"/>
    </row>
    <row r="126" spans="1:45" x14ac:dyDescent="0.2">
      <c r="A126"/>
      <c r="P126" s="8"/>
      <c r="Q126" s="46"/>
      <c r="R126" s="27" t="s">
        <v>31</v>
      </c>
      <c r="S126" s="46"/>
      <c r="T126" s="273" t="s">
        <v>191</v>
      </c>
      <c r="U126" s="273"/>
      <c r="V126" s="273"/>
      <c r="W126" s="274"/>
      <c r="X126" s="167" t="s">
        <v>192</v>
      </c>
      <c r="Y126" s="275" t="s">
        <v>193</v>
      </c>
      <c r="Z126" s="273"/>
      <c r="AA126" s="273"/>
      <c r="AB126" s="274"/>
      <c r="AC126" s="167" t="s">
        <v>194</v>
      </c>
      <c r="AD126" s="275" t="s">
        <v>5</v>
      </c>
      <c r="AE126" s="273"/>
      <c r="AF126" s="273"/>
      <c r="AG126" s="274"/>
      <c r="AH126" s="167" t="s">
        <v>195</v>
      </c>
      <c r="AI126" s="46"/>
      <c r="AJ126" s="12" t="s">
        <v>0</v>
      </c>
      <c r="AK126" s="107">
        <f>SUM(AK117:AK124)</f>
        <v>430873.01767700003</v>
      </c>
      <c r="AL126" s="107">
        <f>SUM(AL117:AL124)</f>
        <v>1800160.6845147498</v>
      </c>
      <c r="AM126" s="107">
        <f>SUM(AM117:AM124)</f>
        <v>3470047.6739196</v>
      </c>
      <c r="AN126" s="46"/>
      <c r="AO126" s="46"/>
      <c r="AP126" s="46"/>
      <c r="AQ126" s="46"/>
      <c r="AR126" s="46"/>
      <c r="AS126" s="4"/>
    </row>
    <row r="127" spans="1:45" x14ac:dyDescent="0.2">
      <c r="A127"/>
      <c r="P127" s="8"/>
      <c r="Q127" s="46"/>
      <c r="R127" s="46"/>
      <c r="S127" s="46"/>
      <c r="T127" s="168" t="s">
        <v>92</v>
      </c>
      <c r="U127" s="168" t="s">
        <v>93</v>
      </c>
      <c r="V127" s="168" t="s">
        <v>94</v>
      </c>
      <c r="W127" s="168" t="s">
        <v>95</v>
      </c>
      <c r="X127" s="168" t="s">
        <v>7</v>
      </c>
      <c r="Y127" s="168" t="s">
        <v>92</v>
      </c>
      <c r="Z127" s="168" t="s">
        <v>93</v>
      </c>
      <c r="AA127" s="168" t="s">
        <v>94</v>
      </c>
      <c r="AB127" s="168" t="s">
        <v>95</v>
      </c>
      <c r="AC127" s="168" t="s">
        <v>6</v>
      </c>
      <c r="AD127" s="168" t="s">
        <v>92</v>
      </c>
      <c r="AE127" s="168" t="s">
        <v>93</v>
      </c>
      <c r="AF127" s="168" t="s">
        <v>94</v>
      </c>
      <c r="AG127" s="168" t="s">
        <v>95</v>
      </c>
      <c r="AH127" s="169" t="s">
        <v>5</v>
      </c>
      <c r="AI127" s="46"/>
      <c r="AJ127" s="46"/>
      <c r="AK127" s="46"/>
      <c r="AL127" s="46"/>
      <c r="AM127" s="46"/>
      <c r="AN127" s="46"/>
      <c r="AO127" s="46"/>
      <c r="AP127" s="46"/>
      <c r="AQ127" s="46"/>
      <c r="AR127" s="46"/>
      <c r="AS127" s="4"/>
    </row>
    <row r="128" spans="1:45" x14ac:dyDescent="0.2">
      <c r="A128"/>
      <c r="P128" s="8"/>
      <c r="Q128" s="46"/>
      <c r="R128" s="46"/>
      <c r="S128" s="27" t="s">
        <v>4</v>
      </c>
      <c r="T128" s="165">
        <f>$X$128*0%</f>
        <v>0</v>
      </c>
      <c r="U128" s="165">
        <f>$X$128*0%</f>
        <v>0</v>
      </c>
      <c r="V128" s="165">
        <f>$X$128*50%</f>
        <v>1570.7250000000001</v>
      </c>
      <c r="W128" s="165">
        <f>$X$128*50%</f>
        <v>1570.7250000000001</v>
      </c>
      <c r="X128" s="165">
        <f>IF(SUM(X60,X73)&gt;$F$85,$F$86,IF(SUM(X60,X73)&gt;$E$85,$E$86,$D$86))*SUM(X60,X73)</f>
        <v>3141.4500000000003</v>
      </c>
      <c r="Y128" s="165">
        <f>$AC128*25%</f>
        <v>2356.0875000000001</v>
      </c>
      <c r="Z128" s="165">
        <f t="shared" ref="Z128:AB128" si="158">$AC128*25%</f>
        <v>2356.0875000000001</v>
      </c>
      <c r="AA128" s="165">
        <f t="shared" si="158"/>
        <v>2356.0875000000001</v>
      </c>
      <c r="AB128" s="165">
        <f t="shared" si="158"/>
        <v>2356.0875000000001</v>
      </c>
      <c r="AC128" s="165">
        <f>IF(SUM(AC60,AC73)&gt;$F$85,$F$86,IF(SUM(AC60,AC73)&gt;$E$85,$E$86,$D$86))*SUM(AC60,AC73)</f>
        <v>9424.35</v>
      </c>
      <c r="AD128" s="165">
        <f>$AH128*25%</f>
        <v>6282.9000000000005</v>
      </c>
      <c r="AE128" s="165">
        <f t="shared" ref="AE128:AG128" si="159">$AH128*25%</f>
        <v>6282.9000000000005</v>
      </c>
      <c r="AF128" s="165">
        <f t="shared" si="159"/>
        <v>6282.9000000000005</v>
      </c>
      <c r="AG128" s="165">
        <f t="shared" si="159"/>
        <v>6282.9000000000005</v>
      </c>
      <c r="AH128" s="165">
        <f>IF(SUM(AH60,AH73)&gt;$F$85,$F$86,IF(SUM(AH60,AH73)&gt;$E$85,$E$86,$D$86))*SUM(AH60,AH73)</f>
        <v>25131.600000000002</v>
      </c>
      <c r="AI128" s="46"/>
      <c r="AJ128" s="46"/>
      <c r="AK128" s="46"/>
      <c r="AL128" s="46"/>
      <c r="AM128" s="46"/>
      <c r="AN128" s="46"/>
      <c r="AO128" s="46"/>
      <c r="AP128" s="46"/>
      <c r="AQ128" s="46"/>
      <c r="AR128" s="46"/>
      <c r="AS128" s="4"/>
    </row>
    <row r="129" spans="1:45" x14ac:dyDescent="0.2">
      <c r="A129"/>
      <c r="P129" s="8"/>
      <c r="Q129" s="46"/>
      <c r="R129" s="46"/>
      <c r="S129" s="27" t="s">
        <v>3</v>
      </c>
      <c r="T129" s="165">
        <f>$X$48*10%</f>
        <v>0</v>
      </c>
      <c r="U129" s="165">
        <f>$X$48*20%</f>
        <v>0</v>
      </c>
      <c r="V129" s="165">
        <f>$X$48*30%</f>
        <v>0</v>
      </c>
      <c r="W129" s="165">
        <f>$X$48*40%</f>
        <v>0</v>
      </c>
      <c r="X129" s="165">
        <f>IF(SUM(X61,X74)&gt;$F$85,$F$86,IF(SUM(X61,X74)&gt;$E$85,$E$86,$D$86))*SUM(X61,X74)</f>
        <v>0</v>
      </c>
      <c r="Y129" s="165">
        <f>$AC129*10%</f>
        <v>674.83</v>
      </c>
      <c r="Z129" s="165">
        <f>$AC129*20%</f>
        <v>1349.66</v>
      </c>
      <c r="AA129" s="165">
        <f>$AC129*30%</f>
        <v>2024.49</v>
      </c>
      <c r="AB129" s="165">
        <f>$AC129*40%</f>
        <v>2699.32</v>
      </c>
      <c r="AC129" s="165">
        <f>IF(SUM(AC61,AC74)&gt;$F$85,$F$86,IF(SUM(AC61,AC74)&gt;$E$85,$E$86,$D$86))*SUM(AC61,AC74)</f>
        <v>6748.3</v>
      </c>
      <c r="AD129" s="165">
        <f t="shared" ref="AD129:AG136" si="160">$AH129*25%</f>
        <v>9556.9499999999989</v>
      </c>
      <c r="AE129" s="165">
        <f t="shared" si="160"/>
        <v>9556.9499999999989</v>
      </c>
      <c r="AF129" s="165">
        <f t="shared" si="160"/>
        <v>9556.9499999999989</v>
      </c>
      <c r="AG129" s="165">
        <f t="shared" si="160"/>
        <v>9556.9499999999989</v>
      </c>
      <c r="AH129" s="165">
        <f>IF(SUM(AH61,AH74)&gt;$F$85,$F$86,IF(SUM(AH61,AH74)&gt;$E$85,$E$86,$D$86))*SUM(AH61,AH74)</f>
        <v>38227.799999999996</v>
      </c>
      <c r="AI129" s="46"/>
      <c r="AJ129" s="46"/>
      <c r="AK129" s="46"/>
      <c r="AL129" s="46"/>
      <c r="AM129" s="46"/>
      <c r="AN129" s="46"/>
      <c r="AO129" s="46"/>
      <c r="AP129" s="46"/>
      <c r="AQ129" s="46"/>
      <c r="AR129" s="46"/>
      <c r="AS129" s="4"/>
    </row>
    <row r="130" spans="1:45" x14ac:dyDescent="0.2">
      <c r="A130"/>
      <c r="P130" s="8"/>
      <c r="Q130" s="46"/>
      <c r="R130" s="46"/>
      <c r="S130" s="27" t="s">
        <v>2</v>
      </c>
      <c r="T130" s="165">
        <f>$X$49*0%</f>
        <v>0</v>
      </c>
      <c r="U130" s="165">
        <f>$X$49*0%</f>
        <v>0</v>
      </c>
      <c r="V130" s="165">
        <f>$X$130*50%</f>
        <v>1689.3125</v>
      </c>
      <c r="W130" s="165">
        <f>$X$130*50%</f>
        <v>1689.3125</v>
      </c>
      <c r="X130" s="165">
        <f>IF(SUM(X62,X75)&gt;$F$85,$F$86,IF(SUM(X62,X75)&gt;$E$85,$E$86,$D$86))*SUM(X62,X75)</f>
        <v>3378.625</v>
      </c>
      <c r="Y130" s="165">
        <f t="shared" ref="Y130:AB130" si="161">$AC130*25%</f>
        <v>3378.625</v>
      </c>
      <c r="Z130" s="165">
        <f t="shared" si="161"/>
        <v>3378.625</v>
      </c>
      <c r="AA130" s="165">
        <f t="shared" si="161"/>
        <v>3378.625</v>
      </c>
      <c r="AB130" s="165">
        <f t="shared" si="161"/>
        <v>3378.625</v>
      </c>
      <c r="AC130" s="165">
        <f>IF(SUM(AC62,AC75)&gt;$F$85,$F$86,IF(SUM(AC62,AC75)&gt;$E$85,$E$86,$D$86))*SUM(AC62,AC75)</f>
        <v>13514.5</v>
      </c>
      <c r="AD130" s="165">
        <f t="shared" si="160"/>
        <v>11164.5625</v>
      </c>
      <c r="AE130" s="165">
        <f t="shared" si="160"/>
        <v>11164.5625</v>
      </c>
      <c r="AF130" s="165">
        <f t="shared" si="160"/>
        <v>11164.5625</v>
      </c>
      <c r="AG130" s="165">
        <f t="shared" si="160"/>
        <v>11164.5625</v>
      </c>
      <c r="AH130" s="165">
        <f>IF(SUM(AH62,AH75)&gt;$F$85,$F$86,IF(SUM(AH62,AH75)&gt;$E$85,$E$86,$D$86))*SUM(AH62,AH75)</f>
        <v>44658.25</v>
      </c>
      <c r="AI130" s="46"/>
      <c r="AN130" s="46"/>
      <c r="AO130" s="46"/>
      <c r="AP130" s="46"/>
      <c r="AQ130" s="46"/>
      <c r="AR130" s="46"/>
      <c r="AS130" s="4"/>
    </row>
    <row r="131" spans="1:45" x14ac:dyDescent="0.2">
      <c r="A131"/>
      <c r="P131" s="8"/>
      <c r="Q131" s="46"/>
      <c r="R131" s="46"/>
      <c r="S131" s="27" t="s">
        <v>1</v>
      </c>
      <c r="T131" s="165">
        <f>$X$131*10%</f>
        <v>0</v>
      </c>
      <c r="U131" s="165">
        <f>$X$131*20%</f>
        <v>0</v>
      </c>
      <c r="V131" s="165">
        <f>$X$131*30%</f>
        <v>0</v>
      </c>
      <c r="W131" s="165">
        <f>$X$131*40%</f>
        <v>0</v>
      </c>
      <c r="X131" s="165">
        <f>IF(SUM(X63,X76)&gt;$F$85,$F$86,IF(SUM(X63,X76)&gt;$E$85,$E$86,$D$86))*SUM(X63,X76)</f>
        <v>0</v>
      </c>
      <c r="Y131" s="165">
        <f>$AC131*10%</f>
        <v>2138.1550000000002</v>
      </c>
      <c r="Z131" s="165">
        <f>$AC131*20%</f>
        <v>4276.3100000000004</v>
      </c>
      <c r="AA131" s="165">
        <f>$AC131*30%</f>
        <v>6414.4649999999992</v>
      </c>
      <c r="AB131" s="165">
        <f>$AC131*40%</f>
        <v>8552.6200000000008</v>
      </c>
      <c r="AC131" s="165">
        <f>IF(SUM(AC63,AC76)&gt;$F$85,$F$86,IF(SUM(AC63,AC76)&gt;$E$85,$E$86,$D$86))*SUM(AC63,AC76)</f>
        <v>21381.55</v>
      </c>
      <c r="AD131" s="165">
        <f t="shared" si="160"/>
        <v>18168.344999999998</v>
      </c>
      <c r="AE131" s="165">
        <f t="shared" si="160"/>
        <v>18168.344999999998</v>
      </c>
      <c r="AF131" s="165">
        <f t="shared" si="160"/>
        <v>18168.344999999998</v>
      </c>
      <c r="AG131" s="165">
        <f t="shared" si="160"/>
        <v>18168.344999999998</v>
      </c>
      <c r="AH131" s="165">
        <f>IF(SUM(AH63,AH76)&gt;$F$85,$F$86,IF(SUM(AH63,AH76)&gt;$E$85,$E$86,$D$86))*SUM(AH63,AH76)</f>
        <v>72673.37999999999</v>
      </c>
      <c r="AI131" s="46"/>
      <c r="AN131" s="46"/>
      <c r="AO131" s="46"/>
      <c r="AP131" s="46"/>
      <c r="AQ131" s="46"/>
      <c r="AR131" s="46"/>
      <c r="AS131" s="4"/>
    </row>
    <row r="132" spans="1:45" x14ac:dyDescent="0.2">
      <c r="A132"/>
      <c r="P132" s="8"/>
      <c r="Q132" s="46"/>
      <c r="R132" s="46"/>
      <c r="S132" s="27" t="s">
        <v>258</v>
      </c>
      <c r="T132" s="165">
        <f>IF(SUM(T64,T77)&gt;$F$85,$F$86,IF(SUM(T64,T77)&gt;$E$85,$E$86,$D$86))*SUM(T64,T77)</f>
        <v>0</v>
      </c>
      <c r="U132" s="165">
        <f>IF(SUM(U64,U77)&gt;$F$85,$F$86,IF(SUM(U64,U77)&gt;$E$85,$E$86,$D$86))*SUM(U64,U77)</f>
        <v>0</v>
      </c>
      <c r="V132" s="165">
        <f>IF(SUM(V64,V77)&gt;$F$85,$F$86,IF(SUM(V64,V77)&gt;$E$85,$E$86,$D$86))*SUM(V64,V77)</f>
        <v>0</v>
      </c>
      <c r="W132" s="165">
        <f>IF(SUM(W64,W77)&gt;$F$85,$F$86,IF(SUM(W64,W77)&gt;$E$85,$E$86,$D$86))*SUM(W64,W77)</f>
        <v>0</v>
      </c>
      <c r="X132" s="165">
        <f>IF(SUM(X64,X77)&gt;$F$85,$F$86,IF(SUM(X64,X77)&gt;$E$85,$E$86,$D$86))*SUM(X64,X77)</f>
        <v>0</v>
      </c>
      <c r="Y132" s="165">
        <f>$AC132*10%</f>
        <v>190.63500000000002</v>
      </c>
      <c r="Z132" s="165">
        <f>$AC132*20%</f>
        <v>381.27000000000004</v>
      </c>
      <c r="AA132" s="165">
        <f>$AC132*30%</f>
        <v>571.90499999999997</v>
      </c>
      <c r="AB132" s="165">
        <f>$AC132*40%</f>
        <v>762.54000000000008</v>
      </c>
      <c r="AC132" s="165">
        <f>IF(SUM(AC64,AC77)&gt;$F$85,$F$86,IF(SUM(AC64,AC77)&gt;$E$85,$E$86,$D$86))*SUM(AC64,AC77)</f>
        <v>1906.3500000000001</v>
      </c>
      <c r="AD132" s="165">
        <f t="shared" si="160"/>
        <v>953.17500000000007</v>
      </c>
      <c r="AE132" s="165">
        <f t="shared" si="160"/>
        <v>953.17500000000007</v>
      </c>
      <c r="AF132" s="165">
        <f t="shared" si="160"/>
        <v>953.17500000000007</v>
      </c>
      <c r="AG132" s="165">
        <f t="shared" si="160"/>
        <v>953.17500000000007</v>
      </c>
      <c r="AH132" s="165">
        <f>IF(SUM(AH64,AH77)&gt;$F$85,$F$86,IF(SUM(AH64,AH77)&gt;$E$85,$E$86,$D$86))*SUM(AH64,AH77)</f>
        <v>3812.7000000000003</v>
      </c>
      <c r="AI132" s="46"/>
      <c r="AN132" s="46"/>
      <c r="AO132" s="46"/>
      <c r="AP132" s="46"/>
      <c r="AQ132" s="46"/>
      <c r="AR132" s="46"/>
      <c r="AS132" s="4"/>
    </row>
    <row r="133" spans="1:45" x14ac:dyDescent="0.2">
      <c r="A133"/>
      <c r="P133" s="8"/>
      <c r="Q133" s="46"/>
      <c r="R133" s="46"/>
      <c r="S133" s="27" t="s">
        <v>282</v>
      </c>
      <c r="T133" s="165">
        <f t="shared" ref="T133:W136" si="162">IF(SUM(T65,T78)&gt;$F$85,$F$86,IF(SUM(T65,T78)&gt;$E$85,$E$86,$D$86))*SUM(T65,T78)</f>
        <v>0</v>
      </c>
      <c r="U133" s="165">
        <f t="shared" si="162"/>
        <v>0</v>
      </c>
      <c r="V133" s="165">
        <f t="shared" si="162"/>
        <v>0</v>
      </c>
      <c r="W133" s="165">
        <f t="shared" si="162"/>
        <v>0</v>
      </c>
      <c r="X133" s="165">
        <f t="shared" ref="X133:X136" si="163">IF(SUM(X65,X78)&gt;$F$85,$F$86,IF(SUM(X65,X78)&gt;$E$85,$E$86,$D$86))*SUM(X65,X78)</f>
        <v>0</v>
      </c>
      <c r="Y133" s="165">
        <f t="shared" ref="Y133:Y136" si="164">$AC133*10%</f>
        <v>322.20000000000005</v>
      </c>
      <c r="Z133" s="165">
        <f t="shared" ref="Z133:Z136" si="165">$AC133*20%</f>
        <v>644.40000000000009</v>
      </c>
      <c r="AA133" s="165">
        <f t="shared" ref="AA133:AA136" si="166">$AC133*30%</f>
        <v>966.59999999999991</v>
      </c>
      <c r="AB133" s="165">
        <f t="shared" ref="AB133:AB136" si="167">$AC133*40%</f>
        <v>1288.8000000000002</v>
      </c>
      <c r="AC133" s="165">
        <f t="shared" ref="AC133:AC136" si="168">IF(SUM(AC65,AC78)&gt;$F$85,$F$86,IF(SUM(AC65,AC78)&gt;$E$85,$E$86,$D$86))*SUM(AC65,AC78)</f>
        <v>3222</v>
      </c>
      <c r="AD133" s="165">
        <f t="shared" si="160"/>
        <v>3222</v>
      </c>
      <c r="AE133" s="165">
        <f t="shared" si="160"/>
        <v>3222</v>
      </c>
      <c r="AF133" s="165">
        <f t="shared" si="160"/>
        <v>3222</v>
      </c>
      <c r="AG133" s="165">
        <f t="shared" si="160"/>
        <v>3222</v>
      </c>
      <c r="AH133" s="165">
        <f t="shared" ref="AH133:AH136" si="169">IF(SUM(AH65,AH78)&gt;$F$85,$F$86,IF(SUM(AH65,AH78)&gt;$E$85,$E$86,$D$86))*SUM(AH65,AH78)</f>
        <v>12888</v>
      </c>
      <c r="AI133" s="46"/>
      <c r="AN133" s="46"/>
      <c r="AO133" s="46"/>
      <c r="AP133" s="46"/>
      <c r="AQ133" s="46"/>
      <c r="AR133" s="46"/>
      <c r="AS133" s="4"/>
    </row>
    <row r="134" spans="1:45" x14ac:dyDescent="0.2">
      <c r="P134" s="8"/>
      <c r="Q134" s="46"/>
      <c r="R134" s="46"/>
      <c r="S134" s="27" t="s">
        <v>283</v>
      </c>
      <c r="T134" s="165">
        <f t="shared" si="162"/>
        <v>0</v>
      </c>
      <c r="U134" s="165">
        <f t="shared" si="162"/>
        <v>0</v>
      </c>
      <c r="V134" s="165">
        <f t="shared" si="162"/>
        <v>0</v>
      </c>
      <c r="W134" s="165">
        <f t="shared" si="162"/>
        <v>0</v>
      </c>
      <c r="X134" s="165">
        <f t="shared" si="163"/>
        <v>0</v>
      </c>
      <c r="Y134" s="165">
        <f t="shared" si="164"/>
        <v>0</v>
      </c>
      <c r="Z134" s="165">
        <f t="shared" si="165"/>
        <v>0</v>
      </c>
      <c r="AA134" s="165">
        <f t="shared" si="166"/>
        <v>0</v>
      </c>
      <c r="AB134" s="165">
        <f t="shared" si="167"/>
        <v>0</v>
      </c>
      <c r="AC134" s="165">
        <f t="shared" si="168"/>
        <v>0</v>
      </c>
      <c r="AD134" s="165">
        <f t="shared" si="160"/>
        <v>0</v>
      </c>
      <c r="AE134" s="165">
        <f t="shared" si="160"/>
        <v>0</v>
      </c>
      <c r="AF134" s="165">
        <f t="shared" si="160"/>
        <v>0</v>
      </c>
      <c r="AG134" s="165">
        <f t="shared" si="160"/>
        <v>0</v>
      </c>
      <c r="AH134" s="165">
        <f t="shared" si="169"/>
        <v>0</v>
      </c>
      <c r="AI134" s="46"/>
      <c r="AN134" s="46"/>
      <c r="AO134" s="46"/>
      <c r="AP134" s="46"/>
      <c r="AQ134" s="46"/>
      <c r="AR134" s="46"/>
      <c r="AS134" s="4"/>
    </row>
    <row r="135" spans="1:45" x14ac:dyDescent="0.2">
      <c r="P135" s="8"/>
      <c r="Q135" s="46"/>
      <c r="R135" s="46"/>
      <c r="S135" s="27" t="s">
        <v>284</v>
      </c>
      <c r="T135" s="165">
        <f t="shared" si="162"/>
        <v>0</v>
      </c>
      <c r="U135" s="165">
        <f t="shared" si="162"/>
        <v>0</v>
      </c>
      <c r="V135" s="165">
        <f t="shared" si="162"/>
        <v>0</v>
      </c>
      <c r="W135" s="165">
        <f t="shared" si="162"/>
        <v>0</v>
      </c>
      <c r="X135" s="165">
        <f t="shared" si="163"/>
        <v>0</v>
      </c>
      <c r="Y135" s="165">
        <f t="shared" si="164"/>
        <v>0</v>
      </c>
      <c r="Z135" s="165">
        <f t="shared" si="165"/>
        <v>0</v>
      </c>
      <c r="AA135" s="165">
        <f t="shared" si="166"/>
        <v>0</v>
      </c>
      <c r="AB135" s="165">
        <f t="shared" si="167"/>
        <v>0</v>
      </c>
      <c r="AC135" s="165">
        <f t="shared" si="168"/>
        <v>0</v>
      </c>
      <c r="AD135" s="165">
        <f t="shared" si="160"/>
        <v>0</v>
      </c>
      <c r="AE135" s="165">
        <f t="shared" si="160"/>
        <v>0</v>
      </c>
      <c r="AF135" s="165">
        <f t="shared" si="160"/>
        <v>0</v>
      </c>
      <c r="AG135" s="165">
        <f t="shared" si="160"/>
        <v>0</v>
      </c>
      <c r="AH135" s="165">
        <f t="shared" si="169"/>
        <v>0</v>
      </c>
      <c r="AI135" s="46"/>
      <c r="AN135" s="46"/>
      <c r="AO135" s="46"/>
      <c r="AP135" s="46"/>
      <c r="AQ135" s="46"/>
      <c r="AR135" s="46"/>
      <c r="AS135" s="4"/>
    </row>
    <row r="136" spans="1:45" x14ac:dyDescent="0.2">
      <c r="P136" s="8"/>
      <c r="Q136" s="46"/>
      <c r="R136" s="46"/>
      <c r="S136" s="27" t="s">
        <v>285</v>
      </c>
      <c r="T136" s="165">
        <f t="shared" si="162"/>
        <v>0</v>
      </c>
      <c r="U136" s="165">
        <f t="shared" si="162"/>
        <v>0</v>
      </c>
      <c r="V136" s="165">
        <f t="shared" si="162"/>
        <v>0</v>
      </c>
      <c r="W136" s="165">
        <f t="shared" si="162"/>
        <v>0</v>
      </c>
      <c r="X136" s="165">
        <f t="shared" si="163"/>
        <v>0</v>
      </c>
      <c r="Y136" s="165">
        <f t="shared" si="164"/>
        <v>0</v>
      </c>
      <c r="Z136" s="165">
        <f t="shared" si="165"/>
        <v>0</v>
      </c>
      <c r="AA136" s="165">
        <f t="shared" si="166"/>
        <v>0</v>
      </c>
      <c r="AB136" s="165">
        <f t="shared" si="167"/>
        <v>0</v>
      </c>
      <c r="AC136" s="165">
        <f t="shared" si="168"/>
        <v>0</v>
      </c>
      <c r="AD136" s="165">
        <f t="shared" si="160"/>
        <v>0</v>
      </c>
      <c r="AE136" s="165">
        <f t="shared" si="160"/>
        <v>0</v>
      </c>
      <c r="AF136" s="165">
        <f t="shared" si="160"/>
        <v>0</v>
      </c>
      <c r="AG136" s="165">
        <f t="shared" si="160"/>
        <v>0</v>
      </c>
      <c r="AH136" s="165">
        <f t="shared" si="169"/>
        <v>0</v>
      </c>
      <c r="AI136" s="46"/>
      <c r="AN136" s="46"/>
      <c r="AO136" s="46"/>
      <c r="AP136" s="46"/>
      <c r="AQ136" s="46"/>
      <c r="AR136" s="46"/>
      <c r="AS136" s="4"/>
    </row>
    <row r="137" spans="1:45" x14ac:dyDescent="0.2">
      <c r="P137" s="8"/>
      <c r="Q137" s="46"/>
      <c r="R137" s="46"/>
      <c r="S137" s="12" t="s">
        <v>0</v>
      </c>
      <c r="T137" s="166">
        <f>SUM(T128:T136)</f>
        <v>0</v>
      </c>
      <c r="U137" s="166">
        <f t="shared" ref="U137:AH137" si="170">SUM(U128:U136)</f>
        <v>0</v>
      </c>
      <c r="V137" s="166">
        <f t="shared" si="170"/>
        <v>3260.0375000000004</v>
      </c>
      <c r="W137" s="166">
        <f t="shared" si="170"/>
        <v>3260.0375000000004</v>
      </c>
      <c r="X137" s="166">
        <f t="shared" si="170"/>
        <v>6520.0750000000007</v>
      </c>
      <c r="Y137" s="166">
        <f t="shared" si="170"/>
        <v>9060.5325000000012</v>
      </c>
      <c r="Z137" s="166">
        <f t="shared" si="170"/>
        <v>12386.352500000001</v>
      </c>
      <c r="AA137" s="166">
        <f t="shared" si="170"/>
        <v>15712.172500000001</v>
      </c>
      <c r="AB137" s="166">
        <f t="shared" si="170"/>
        <v>19037.992500000004</v>
      </c>
      <c r="AC137" s="166">
        <f t="shared" si="170"/>
        <v>56197.049999999996</v>
      </c>
      <c r="AD137" s="166">
        <f t="shared" si="170"/>
        <v>49347.932499999995</v>
      </c>
      <c r="AE137" s="166">
        <f t="shared" si="170"/>
        <v>49347.932499999995</v>
      </c>
      <c r="AF137" s="166">
        <f t="shared" si="170"/>
        <v>49347.932499999995</v>
      </c>
      <c r="AG137" s="166">
        <f t="shared" si="170"/>
        <v>49347.932499999995</v>
      </c>
      <c r="AH137" s="166">
        <f t="shared" si="170"/>
        <v>197391.72999999998</v>
      </c>
      <c r="AI137" s="46"/>
      <c r="AN137" s="46"/>
      <c r="AO137" s="46"/>
      <c r="AP137" s="46"/>
      <c r="AQ137" s="46"/>
      <c r="AR137" s="46"/>
      <c r="AS137" s="4"/>
    </row>
    <row r="138" spans="1:45" x14ac:dyDescent="0.2">
      <c r="P138" s="8"/>
      <c r="Q138" s="46"/>
      <c r="R138" s="46"/>
      <c r="S138" s="12" t="s">
        <v>178</v>
      </c>
      <c r="T138" s="166">
        <f t="shared" ref="T138:AH138" si="171">SUM(T125,T137)</f>
        <v>0</v>
      </c>
      <c r="U138" s="166">
        <f t="shared" si="171"/>
        <v>0</v>
      </c>
      <c r="V138" s="166">
        <f t="shared" si="171"/>
        <v>28757.537499999999</v>
      </c>
      <c r="W138" s="166">
        <f t="shared" si="171"/>
        <v>28757.537499999999</v>
      </c>
      <c r="X138" s="166">
        <f t="shared" si="171"/>
        <v>57515.074999999997</v>
      </c>
      <c r="Y138" s="166">
        <f t="shared" si="171"/>
        <v>36997.392500000002</v>
      </c>
      <c r="Z138" s="166">
        <f t="shared" si="171"/>
        <v>50319.072500000002</v>
      </c>
      <c r="AA138" s="166">
        <f t="shared" si="171"/>
        <v>63640.752500000002</v>
      </c>
      <c r="AB138" s="166">
        <f t="shared" si="171"/>
        <v>76962.43250000001</v>
      </c>
      <c r="AC138" s="166">
        <f t="shared" si="171"/>
        <v>227919.65</v>
      </c>
      <c r="AD138" s="166">
        <f t="shared" si="171"/>
        <v>181972.8725</v>
      </c>
      <c r="AE138" s="166">
        <f t="shared" si="171"/>
        <v>181972.8725</v>
      </c>
      <c r="AF138" s="166">
        <f t="shared" si="171"/>
        <v>181972.8725</v>
      </c>
      <c r="AG138" s="166">
        <f t="shared" si="171"/>
        <v>181972.8725</v>
      </c>
      <c r="AH138" s="166">
        <f t="shared" si="171"/>
        <v>727891.49</v>
      </c>
      <c r="AI138" s="46"/>
      <c r="AN138" s="46"/>
      <c r="AO138" s="46"/>
      <c r="AP138" s="46"/>
      <c r="AQ138" s="46"/>
      <c r="AR138" s="46"/>
      <c r="AS138" s="4"/>
    </row>
    <row r="139" spans="1:45" x14ac:dyDescent="0.2">
      <c r="P139" s="8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277" t="s">
        <v>197</v>
      </c>
      <c r="AK139" s="277"/>
      <c r="AL139" s="277"/>
      <c r="AM139" s="277"/>
      <c r="AN139" s="46"/>
      <c r="AO139" s="46"/>
      <c r="AP139" s="46"/>
      <c r="AQ139" s="46"/>
      <c r="AR139" s="46"/>
      <c r="AS139" s="4"/>
    </row>
    <row r="140" spans="1:45" x14ac:dyDescent="0.2">
      <c r="O140" s="46"/>
      <c r="P140" s="8"/>
      <c r="Q140" s="276" t="s">
        <v>171</v>
      </c>
      <c r="R140" s="27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  <c r="AE140" s="46"/>
      <c r="AF140" s="46"/>
      <c r="AG140" s="46"/>
      <c r="AH140" s="46"/>
      <c r="AI140" s="46"/>
      <c r="AJ140" s="27"/>
      <c r="AK140" s="75" t="s">
        <v>7</v>
      </c>
      <c r="AL140" s="75" t="s">
        <v>6</v>
      </c>
      <c r="AM140" s="75" t="s">
        <v>5</v>
      </c>
      <c r="AN140" s="46"/>
      <c r="AO140" s="46"/>
      <c r="AP140" s="46"/>
      <c r="AQ140" s="46"/>
      <c r="AR140" s="46"/>
      <c r="AS140" s="4"/>
    </row>
    <row r="141" spans="1:45" x14ac:dyDescent="0.2">
      <c r="P141" s="8"/>
      <c r="Q141" s="46"/>
      <c r="R141" s="46"/>
      <c r="S141" s="46"/>
      <c r="T141" s="253" t="s">
        <v>191</v>
      </c>
      <c r="U141" s="253"/>
      <c r="V141" s="253"/>
      <c r="W141" s="254"/>
      <c r="X141" s="123" t="s">
        <v>192</v>
      </c>
      <c r="Y141" s="252" t="s">
        <v>193</v>
      </c>
      <c r="Z141" s="253"/>
      <c r="AA141" s="253"/>
      <c r="AB141" s="254"/>
      <c r="AC141" s="123" t="s">
        <v>194</v>
      </c>
      <c r="AD141" s="252" t="s">
        <v>5</v>
      </c>
      <c r="AE141" s="253"/>
      <c r="AF141" s="253"/>
      <c r="AG141" s="254"/>
      <c r="AH141" s="123" t="s">
        <v>195</v>
      </c>
      <c r="AI141" s="46"/>
      <c r="AJ141" s="27" t="s">
        <v>123</v>
      </c>
      <c r="AK141" s="87">
        <f>X112</f>
        <v>235857.94267699998</v>
      </c>
      <c r="AL141" s="87">
        <f>AC112</f>
        <v>1077241.0345147499</v>
      </c>
      <c r="AM141" s="87">
        <f>AH112</f>
        <v>2742156.1839196002</v>
      </c>
      <c r="AN141" s="46"/>
      <c r="AO141" s="46"/>
      <c r="AP141" s="46"/>
      <c r="AQ141" s="46"/>
      <c r="AR141" s="46"/>
      <c r="AS141" s="4"/>
    </row>
    <row r="142" spans="1:45" x14ac:dyDescent="0.2">
      <c r="P142" s="8"/>
      <c r="Q142" s="46"/>
      <c r="R142" s="27" t="s">
        <v>85</v>
      </c>
      <c r="S142" s="130"/>
      <c r="T142" s="75" t="s">
        <v>92</v>
      </c>
      <c r="U142" s="75" t="s">
        <v>93</v>
      </c>
      <c r="V142" s="75" t="s">
        <v>94</v>
      </c>
      <c r="W142" s="75" t="s">
        <v>95</v>
      </c>
      <c r="X142" s="49" t="s">
        <v>7</v>
      </c>
      <c r="Y142" s="75" t="s">
        <v>92</v>
      </c>
      <c r="Z142" s="75" t="s">
        <v>93</v>
      </c>
      <c r="AA142" s="75" t="s">
        <v>94</v>
      </c>
      <c r="AB142" s="75" t="s">
        <v>95</v>
      </c>
      <c r="AC142" s="49" t="s">
        <v>6</v>
      </c>
      <c r="AD142" s="75" t="s">
        <v>92</v>
      </c>
      <c r="AE142" s="75" t="s">
        <v>93</v>
      </c>
      <c r="AF142" s="75" t="s">
        <v>94</v>
      </c>
      <c r="AG142" s="75" t="s">
        <v>95</v>
      </c>
      <c r="AH142" s="112" t="s">
        <v>5</v>
      </c>
      <c r="AI142" s="46"/>
      <c r="AJ142" s="27" t="s">
        <v>63</v>
      </c>
      <c r="AK142" s="87">
        <f>X138</f>
        <v>57515.074999999997</v>
      </c>
      <c r="AL142" s="87">
        <f>AC138</f>
        <v>227919.65</v>
      </c>
      <c r="AM142" s="87">
        <f>AH138</f>
        <v>727891.49</v>
      </c>
      <c r="AN142" s="46"/>
      <c r="AO142" s="46"/>
      <c r="AP142" s="46"/>
      <c r="AQ142" s="46"/>
      <c r="AR142" s="46"/>
      <c r="AS142" s="4"/>
    </row>
    <row r="143" spans="1:45" x14ac:dyDescent="0.2">
      <c r="P143" s="8"/>
      <c r="Q143" s="46"/>
      <c r="R143" s="46"/>
      <c r="S143" s="27" t="s">
        <v>4</v>
      </c>
      <c r="T143" s="87">
        <f>X143/AL7</f>
        <v>27500</v>
      </c>
      <c r="U143" s="87">
        <v>0</v>
      </c>
      <c r="V143" s="87">
        <f>X143/AL7</f>
        <v>27500</v>
      </c>
      <c r="W143" s="87">
        <v>0</v>
      </c>
      <c r="X143" s="87">
        <f>MAX(AL7,AL47)*$G$90</f>
        <v>55000</v>
      </c>
      <c r="Y143" s="87">
        <f>$AC$143*25%</f>
        <v>13750</v>
      </c>
      <c r="Z143" s="87">
        <f t="shared" ref="Z143:AB143" si="172">$AC$143*25%</f>
        <v>13750</v>
      </c>
      <c r="AA143" s="87">
        <f t="shared" si="172"/>
        <v>13750</v>
      </c>
      <c r="AB143" s="87">
        <f t="shared" si="172"/>
        <v>13750</v>
      </c>
      <c r="AC143" s="87">
        <f>(MAX(AM7,AM47)-AL7)*$G$90</f>
        <v>55000</v>
      </c>
      <c r="AD143" s="17">
        <v>0</v>
      </c>
      <c r="AE143" s="17">
        <v>0</v>
      </c>
      <c r="AF143" s="17">
        <v>0</v>
      </c>
      <c r="AG143" s="17">
        <v>0</v>
      </c>
      <c r="AH143" s="87">
        <v>0</v>
      </c>
      <c r="AI143" s="46"/>
      <c r="AJ143" s="27" t="str">
        <f>Q140</f>
        <v xml:space="preserve">Operations </v>
      </c>
      <c r="AK143" s="87">
        <f>X152</f>
        <v>137500</v>
      </c>
      <c r="AL143" s="87">
        <f>AC152</f>
        <v>495000</v>
      </c>
      <c r="AM143" s="87">
        <f>AH152</f>
        <v>0</v>
      </c>
      <c r="AN143" s="46"/>
      <c r="AO143" s="46"/>
      <c r="AP143" s="46"/>
      <c r="AQ143" s="46"/>
      <c r="AR143" s="46"/>
      <c r="AS143" s="4"/>
    </row>
    <row r="144" spans="1:45" x14ac:dyDescent="0.2">
      <c r="P144" s="8"/>
      <c r="Q144" s="46"/>
      <c r="R144" s="46"/>
      <c r="S144" s="27" t="s">
        <v>3</v>
      </c>
      <c r="T144" s="87">
        <v>0</v>
      </c>
      <c r="U144" s="87">
        <v>0</v>
      </c>
      <c r="V144" s="87">
        <v>0</v>
      </c>
      <c r="W144" s="87">
        <v>0</v>
      </c>
      <c r="X144" s="87">
        <f>MAX(AL8,AL48)*$G$90</f>
        <v>0</v>
      </c>
      <c r="Y144" s="87">
        <f>$AC$144*10%</f>
        <v>8250</v>
      </c>
      <c r="Z144" s="87">
        <f>$AC$144*20%</f>
        <v>16500</v>
      </c>
      <c r="AA144" s="87">
        <f>$AC$144*30%</f>
        <v>24750</v>
      </c>
      <c r="AB144" s="87">
        <f>$AC$144*40%</f>
        <v>33000</v>
      </c>
      <c r="AC144" s="87">
        <f>MAX(AM8,AM48)*$G$90</f>
        <v>82500</v>
      </c>
      <c r="AD144" s="17">
        <v>0</v>
      </c>
      <c r="AE144" s="17">
        <v>0</v>
      </c>
      <c r="AF144" s="17">
        <v>0</v>
      </c>
      <c r="AG144" s="17">
        <v>0</v>
      </c>
      <c r="AH144" s="87">
        <v>0</v>
      </c>
      <c r="AI144" s="46"/>
      <c r="AJ144" s="12" t="s">
        <v>0</v>
      </c>
      <c r="AK144" s="107">
        <f>SUM(AK141:AK143)</f>
        <v>430873.01767699997</v>
      </c>
      <c r="AL144" s="107">
        <f>SUM(AL141:AL143)</f>
        <v>1800160.6845147498</v>
      </c>
      <c r="AM144" s="107">
        <f>SUM(AM141:AM143)</f>
        <v>3470047.6739196004</v>
      </c>
      <c r="AN144" s="46"/>
      <c r="AO144" s="46"/>
      <c r="AP144" s="46"/>
      <c r="AQ144" s="46"/>
      <c r="AR144" s="46"/>
      <c r="AS144" s="4"/>
    </row>
    <row r="145" spans="2:45" x14ac:dyDescent="0.2">
      <c r="P145" s="8"/>
      <c r="Q145" s="46"/>
      <c r="R145" s="46"/>
      <c r="S145" s="27" t="s">
        <v>2</v>
      </c>
      <c r="T145" s="87">
        <f>$X$145*25%</f>
        <v>20625</v>
      </c>
      <c r="U145" s="87">
        <f t="shared" ref="U145:W145" si="173">$X$145*25%</f>
        <v>20625</v>
      </c>
      <c r="V145" s="87">
        <f t="shared" si="173"/>
        <v>20625</v>
      </c>
      <c r="W145" s="87">
        <f t="shared" si="173"/>
        <v>20625</v>
      </c>
      <c r="X145" s="87">
        <f>MAX(AL9,AL49)*$G$90</f>
        <v>82500</v>
      </c>
      <c r="Y145" s="87">
        <f>$AC$145*25%</f>
        <v>27500</v>
      </c>
      <c r="Z145" s="87">
        <f t="shared" ref="Z145:AB145" si="174">$AC$145*25%</f>
        <v>27500</v>
      </c>
      <c r="AA145" s="87">
        <f t="shared" si="174"/>
        <v>27500</v>
      </c>
      <c r="AB145" s="87">
        <f t="shared" si="174"/>
        <v>27500</v>
      </c>
      <c r="AC145" s="87">
        <f>(MAX(AM9,AM49)-AL9)*$G$90</f>
        <v>110000</v>
      </c>
      <c r="AD145" s="17">
        <v>0</v>
      </c>
      <c r="AE145" s="17">
        <v>0</v>
      </c>
      <c r="AF145" s="17">
        <v>0</v>
      </c>
      <c r="AG145" s="17">
        <v>0</v>
      </c>
      <c r="AH145" s="87">
        <v>0</v>
      </c>
      <c r="AI145" s="46"/>
      <c r="AJ145" s="46"/>
      <c r="AK145" s="46"/>
      <c r="AL145" s="46"/>
      <c r="AM145" s="46"/>
      <c r="AN145" s="46"/>
      <c r="AO145" s="46"/>
      <c r="AP145" s="46"/>
      <c r="AQ145" s="46"/>
      <c r="AR145" s="46"/>
      <c r="AS145" s="4"/>
    </row>
    <row r="146" spans="2:45" x14ac:dyDescent="0.2">
      <c r="P146" s="8"/>
      <c r="Q146" s="46"/>
      <c r="R146" s="46"/>
      <c r="S146" s="27" t="s">
        <v>1</v>
      </c>
      <c r="T146" s="87">
        <v>0</v>
      </c>
      <c r="U146" s="87">
        <v>0</v>
      </c>
      <c r="V146" s="87">
        <v>0</v>
      </c>
      <c r="W146" s="87">
        <v>0</v>
      </c>
      <c r="X146" s="87">
        <f>MAX(AL10,AL50)*$G$90</f>
        <v>0</v>
      </c>
      <c r="Y146" s="87">
        <f>$AC$146*10%</f>
        <v>16500</v>
      </c>
      <c r="Z146" s="87">
        <f>$AC$146*20%</f>
        <v>33000</v>
      </c>
      <c r="AA146" s="87">
        <f>$AC$146*30%</f>
        <v>49500</v>
      </c>
      <c r="AB146" s="87">
        <f>$AC$146*40%</f>
        <v>66000</v>
      </c>
      <c r="AC146" s="87">
        <f>MAX(AM10,AM50)*$G$90</f>
        <v>165000</v>
      </c>
      <c r="AD146" s="17">
        <v>0</v>
      </c>
      <c r="AE146" s="17">
        <v>0</v>
      </c>
      <c r="AF146" s="17">
        <v>0</v>
      </c>
      <c r="AG146" s="17">
        <v>0</v>
      </c>
      <c r="AH146" s="87">
        <v>0</v>
      </c>
      <c r="AI146" s="46"/>
      <c r="AJ146" s="46"/>
      <c r="AK146" s="46"/>
      <c r="AL146" s="46"/>
      <c r="AM146" s="46"/>
      <c r="AN146" s="46"/>
      <c r="AO146" s="46"/>
      <c r="AP146" s="46"/>
      <c r="AQ146" s="46"/>
      <c r="AR146" s="46"/>
      <c r="AS146" s="4"/>
    </row>
    <row r="147" spans="2:45" x14ac:dyDescent="0.2">
      <c r="P147" s="8"/>
      <c r="Q147" s="46"/>
      <c r="R147" s="46"/>
      <c r="S147" s="27" t="s">
        <v>258</v>
      </c>
      <c r="T147" s="87">
        <v>0</v>
      </c>
      <c r="U147" s="87">
        <v>0</v>
      </c>
      <c r="V147" s="87">
        <v>0</v>
      </c>
      <c r="W147" s="87">
        <v>0</v>
      </c>
      <c r="X147" s="87">
        <f>MAX(AL11,AL51)*$G$90</f>
        <v>0</v>
      </c>
      <c r="Y147" s="87">
        <f>$AC147*10%</f>
        <v>5500</v>
      </c>
      <c r="Z147" s="87">
        <f>$AC147*20%</f>
        <v>11000</v>
      </c>
      <c r="AA147" s="87">
        <f>$AC147*30%</f>
        <v>16500</v>
      </c>
      <c r="AB147" s="87">
        <f>$AC147*40%</f>
        <v>22000</v>
      </c>
      <c r="AC147" s="87">
        <f>MAX(AM11,AM51)*$G$90</f>
        <v>55000</v>
      </c>
      <c r="AD147" s="17">
        <v>0</v>
      </c>
      <c r="AE147" s="17">
        <v>0</v>
      </c>
      <c r="AF147" s="17">
        <v>0</v>
      </c>
      <c r="AG147" s="17">
        <v>0</v>
      </c>
      <c r="AH147" s="17">
        <v>0</v>
      </c>
      <c r="AI147" s="46"/>
      <c r="AJ147" s="46"/>
      <c r="AK147" s="46"/>
      <c r="AL147" s="46"/>
      <c r="AM147" s="46"/>
      <c r="AN147" s="46"/>
      <c r="AO147" s="46"/>
      <c r="AP147" s="46"/>
      <c r="AQ147" s="46"/>
      <c r="AR147" s="46"/>
      <c r="AS147" s="4"/>
    </row>
    <row r="148" spans="2:45" x14ac:dyDescent="0.2">
      <c r="P148" s="8"/>
      <c r="Q148" s="46"/>
      <c r="R148" s="46"/>
      <c r="S148" s="27" t="s">
        <v>282</v>
      </c>
      <c r="T148" s="87">
        <v>0</v>
      </c>
      <c r="U148" s="87">
        <v>0</v>
      </c>
      <c r="V148" s="87">
        <v>0</v>
      </c>
      <c r="W148" s="87">
        <v>0</v>
      </c>
      <c r="X148" s="87">
        <f t="shared" ref="X148:X151" si="175">MAX(AL12,AL52)*$G$90</f>
        <v>0</v>
      </c>
      <c r="Y148" s="87">
        <f t="shared" ref="Y148:Y151" si="176">$AC148*10%</f>
        <v>2750</v>
      </c>
      <c r="Z148" s="87">
        <f t="shared" ref="Z148:Z151" si="177">$AC148*20%</f>
        <v>5500</v>
      </c>
      <c r="AA148" s="87">
        <f t="shared" ref="AA148:AA151" si="178">$AC148*30%</f>
        <v>8250</v>
      </c>
      <c r="AB148" s="87">
        <f t="shared" ref="AB148:AB151" si="179">$AC148*40%</f>
        <v>11000</v>
      </c>
      <c r="AC148" s="87">
        <f t="shared" ref="AC148:AC151" si="180">MAX(AM12,AM52)*$G$90</f>
        <v>27500</v>
      </c>
      <c r="AD148" s="17">
        <v>0</v>
      </c>
      <c r="AE148" s="17">
        <v>0</v>
      </c>
      <c r="AF148" s="17">
        <v>0</v>
      </c>
      <c r="AG148" s="17">
        <v>0</v>
      </c>
      <c r="AH148" s="17">
        <v>0</v>
      </c>
      <c r="AI148" s="46"/>
      <c r="AJ148" s="46"/>
      <c r="AK148" s="46"/>
      <c r="AL148" s="46"/>
      <c r="AM148" s="46"/>
      <c r="AN148" s="46"/>
      <c r="AO148" s="46"/>
      <c r="AP148" s="46"/>
      <c r="AQ148" s="46"/>
      <c r="AR148" s="46"/>
      <c r="AS148" s="4"/>
    </row>
    <row r="149" spans="2:45" x14ac:dyDescent="0.2">
      <c r="P149" s="8"/>
      <c r="Q149" s="46"/>
      <c r="R149" s="46"/>
      <c r="S149" s="27" t="s">
        <v>283</v>
      </c>
      <c r="T149" s="87">
        <v>0</v>
      </c>
      <c r="U149" s="87">
        <v>0</v>
      </c>
      <c r="V149" s="87">
        <v>0</v>
      </c>
      <c r="W149" s="87">
        <v>0</v>
      </c>
      <c r="X149" s="87">
        <f t="shared" si="175"/>
        <v>0</v>
      </c>
      <c r="Y149" s="87">
        <f t="shared" si="176"/>
        <v>0</v>
      </c>
      <c r="Z149" s="87">
        <f t="shared" si="177"/>
        <v>0</v>
      </c>
      <c r="AA149" s="87">
        <f t="shared" si="178"/>
        <v>0</v>
      </c>
      <c r="AB149" s="87">
        <f t="shared" si="179"/>
        <v>0</v>
      </c>
      <c r="AC149" s="87">
        <f t="shared" si="180"/>
        <v>0</v>
      </c>
      <c r="AD149" s="17">
        <v>0</v>
      </c>
      <c r="AE149" s="17">
        <v>0</v>
      </c>
      <c r="AF149" s="17">
        <v>0</v>
      </c>
      <c r="AG149" s="17">
        <v>0</v>
      </c>
      <c r="AH149" s="17">
        <v>0</v>
      </c>
      <c r="AI149" s="46"/>
      <c r="AJ149" s="46"/>
      <c r="AK149" s="46"/>
      <c r="AL149" s="46"/>
      <c r="AM149" s="46"/>
      <c r="AN149" s="46"/>
      <c r="AO149" s="46"/>
      <c r="AP149" s="46"/>
      <c r="AQ149" s="46"/>
      <c r="AR149" s="46"/>
      <c r="AS149" s="4"/>
    </row>
    <row r="150" spans="2:45" x14ac:dyDescent="0.2">
      <c r="P150" s="8"/>
      <c r="Q150" s="46"/>
      <c r="R150" s="46"/>
      <c r="S150" s="27" t="s">
        <v>284</v>
      </c>
      <c r="T150" s="87">
        <v>0</v>
      </c>
      <c r="U150" s="87">
        <v>0</v>
      </c>
      <c r="V150" s="87">
        <v>0</v>
      </c>
      <c r="W150" s="87">
        <v>0</v>
      </c>
      <c r="X150" s="87">
        <f t="shared" si="175"/>
        <v>0</v>
      </c>
      <c r="Y150" s="87">
        <f t="shared" si="176"/>
        <v>0</v>
      </c>
      <c r="Z150" s="87">
        <f t="shared" si="177"/>
        <v>0</v>
      </c>
      <c r="AA150" s="87">
        <f t="shared" si="178"/>
        <v>0</v>
      </c>
      <c r="AB150" s="87">
        <f t="shared" si="179"/>
        <v>0</v>
      </c>
      <c r="AC150" s="87">
        <f t="shared" si="180"/>
        <v>0</v>
      </c>
      <c r="AD150" s="17">
        <v>0</v>
      </c>
      <c r="AE150" s="17">
        <v>0</v>
      </c>
      <c r="AF150" s="17">
        <v>0</v>
      </c>
      <c r="AG150" s="17">
        <v>0</v>
      </c>
      <c r="AH150" s="17">
        <v>0</v>
      </c>
      <c r="AI150" s="46"/>
      <c r="AJ150" s="46"/>
      <c r="AK150" s="46"/>
      <c r="AL150" s="46"/>
      <c r="AM150" s="46"/>
      <c r="AN150" s="46"/>
      <c r="AO150" s="46"/>
      <c r="AP150" s="46"/>
      <c r="AQ150" s="46"/>
      <c r="AR150" s="46"/>
      <c r="AS150" s="4"/>
    </row>
    <row r="151" spans="2:45" x14ac:dyDescent="0.2">
      <c r="P151" s="8"/>
      <c r="Q151" s="46"/>
      <c r="R151" s="46"/>
      <c r="S151" s="27" t="s">
        <v>285</v>
      </c>
      <c r="T151" s="87">
        <v>0</v>
      </c>
      <c r="U151" s="87">
        <v>0</v>
      </c>
      <c r="V151" s="87">
        <v>0</v>
      </c>
      <c r="W151" s="87">
        <v>0</v>
      </c>
      <c r="X151" s="87">
        <f t="shared" si="175"/>
        <v>0</v>
      </c>
      <c r="Y151" s="87">
        <f t="shared" si="176"/>
        <v>0</v>
      </c>
      <c r="Z151" s="87">
        <f t="shared" si="177"/>
        <v>0</v>
      </c>
      <c r="AA151" s="87">
        <f t="shared" si="178"/>
        <v>0</v>
      </c>
      <c r="AB151" s="87">
        <f t="shared" si="179"/>
        <v>0</v>
      </c>
      <c r="AC151" s="87">
        <f t="shared" si="180"/>
        <v>0</v>
      </c>
      <c r="AD151" s="17">
        <v>0</v>
      </c>
      <c r="AE151" s="17">
        <v>0</v>
      </c>
      <c r="AF151" s="17">
        <v>0</v>
      </c>
      <c r="AG151" s="17">
        <v>0</v>
      </c>
      <c r="AH151" s="17">
        <v>0</v>
      </c>
      <c r="AI151" s="46"/>
      <c r="AJ151" s="46"/>
      <c r="AK151" s="46"/>
      <c r="AL151" s="46"/>
      <c r="AM151" s="46"/>
      <c r="AN151" s="46"/>
      <c r="AO151" s="46"/>
      <c r="AP151" s="46"/>
      <c r="AQ151" s="46"/>
      <c r="AR151" s="46"/>
      <c r="AS151" s="4"/>
    </row>
    <row r="152" spans="2:45" ht="14.25" customHeight="1" x14ac:dyDescent="0.2">
      <c r="P152" s="8"/>
      <c r="Q152" s="46"/>
      <c r="R152" s="46"/>
      <c r="S152" s="12" t="s">
        <v>0</v>
      </c>
      <c r="T152" s="107">
        <f>SUM(T143:T151)</f>
        <v>48125</v>
      </c>
      <c r="U152" s="107">
        <f t="shared" ref="U152:AH152" si="181">SUM(U143:U151)</f>
        <v>20625</v>
      </c>
      <c r="V152" s="107">
        <f t="shared" si="181"/>
        <v>48125</v>
      </c>
      <c r="W152" s="107">
        <f t="shared" si="181"/>
        <v>20625</v>
      </c>
      <c r="X152" s="107">
        <f t="shared" si="181"/>
        <v>137500</v>
      </c>
      <c r="Y152" s="107">
        <f t="shared" si="181"/>
        <v>74250</v>
      </c>
      <c r="Z152" s="107">
        <f t="shared" si="181"/>
        <v>107250</v>
      </c>
      <c r="AA152" s="107">
        <f t="shared" si="181"/>
        <v>140250</v>
      </c>
      <c r="AB152" s="107">
        <f t="shared" si="181"/>
        <v>173250</v>
      </c>
      <c r="AC152" s="107">
        <f t="shared" si="181"/>
        <v>495000</v>
      </c>
      <c r="AD152" s="107">
        <f t="shared" si="181"/>
        <v>0</v>
      </c>
      <c r="AE152" s="107">
        <f t="shared" si="181"/>
        <v>0</v>
      </c>
      <c r="AF152" s="107">
        <f t="shared" si="181"/>
        <v>0</v>
      </c>
      <c r="AG152" s="107">
        <f t="shared" si="181"/>
        <v>0</v>
      </c>
      <c r="AH152" s="107">
        <f t="shared" si="181"/>
        <v>0</v>
      </c>
      <c r="AI152" s="46"/>
      <c r="AJ152" s="46"/>
      <c r="AK152" s="46"/>
      <c r="AL152" s="46"/>
      <c r="AM152" s="46"/>
      <c r="AN152" s="46"/>
      <c r="AO152" s="46"/>
      <c r="AP152" s="46"/>
      <c r="AQ152" s="46"/>
      <c r="AR152" s="46"/>
      <c r="AS152" s="4"/>
    </row>
    <row r="153" spans="2:45" x14ac:dyDescent="0.2">
      <c r="P153" s="8"/>
      <c r="Q153" s="115"/>
      <c r="R153" s="115"/>
      <c r="S153" s="115"/>
      <c r="T153" s="115"/>
      <c r="U153" s="115"/>
      <c r="V153" s="115"/>
      <c r="W153" s="115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  <c r="AI153" s="46"/>
      <c r="AJ153" s="46"/>
      <c r="AK153" s="46"/>
      <c r="AL153" s="46"/>
      <c r="AM153" s="46"/>
      <c r="AN153" s="46"/>
      <c r="AO153" s="46"/>
      <c r="AP153" s="46"/>
      <c r="AQ153" s="46"/>
      <c r="AR153" s="46"/>
      <c r="AS153" s="4"/>
    </row>
    <row r="154" spans="2:45" ht="16" thickBot="1" x14ac:dyDescent="0.25">
      <c r="P154" s="7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2"/>
    </row>
    <row r="155" spans="2:45" x14ac:dyDescent="0.2">
      <c r="B155" s="97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</row>
    <row r="156" spans="2:45" x14ac:dyDescent="0.2">
      <c r="B156" s="97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P156" s="46"/>
    </row>
    <row r="157" spans="2:45" x14ac:dyDescent="0.2">
      <c r="B157" s="97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</row>
    <row r="169" spans="2:17" x14ac:dyDescent="0.2">
      <c r="B169" s="104"/>
      <c r="C169" s="104"/>
      <c r="D169" s="104"/>
      <c r="E169" s="104"/>
      <c r="F169" s="104"/>
      <c r="G169" s="104"/>
      <c r="H169" s="104"/>
      <c r="I169" s="104"/>
      <c r="J169" s="104"/>
      <c r="K169" s="104"/>
      <c r="L169" s="104"/>
      <c r="M169" s="104"/>
      <c r="N169" s="104"/>
    </row>
    <row r="171" spans="2:17" x14ac:dyDescent="0.2">
      <c r="C171" s="78"/>
      <c r="D171" s="78"/>
    </row>
    <row r="174" spans="2:17" x14ac:dyDescent="0.2">
      <c r="Q174" s="27"/>
    </row>
    <row r="181" spans="2:14" x14ac:dyDescent="0.2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</sheetData>
  <mergeCells count="46">
    <mergeCell ref="Q140:R140"/>
    <mergeCell ref="AJ93:AM93"/>
    <mergeCell ref="AJ115:AM115"/>
    <mergeCell ref="P3:AT3"/>
    <mergeCell ref="AJ139:AM139"/>
    <mergeCell ref="P86:AS86"/>
    <mergeCell ref="Y114:AB114"/>
    <mergeCell ref="T114:W114"/>
    <mergeCell ref="AD114:AG114"/>
    <mergeCell ref="AD126:AG126"/>
    <mergeCell ref="T88:W88"/>
    <mergeCell ref="T100:W100"/>
    <mergeCell ref="AD88:AG88"/>
    <mergeCell ref="AD100:AG100"/>
    <mergeCell ref="Y88:AB88"/>
    <mergeCell ref="Y100:AB100"/>
    <mergeCell ref="T141:W141"/>
    <mergeCell ref="Y141:AB141"/>
    <mergeCell ref="AD141:AG141"/>
    <mergeCell ref="T126:W126"/>
    <mergeCell ref="Y126:AB126"/>
    <mergeCell ref="AD18:AG18"/>
    <mergeCell ref="AD5:AG5"/>
    <mergeCell ref="AD32:AG32"/>
    <mergeCell ref="T45:W45"/>
    <mergeCell ref="T58:W58"/>
    <mergeCell ref="Y45:AB45"/>
    <mergeCell ref="Y58:AB58"/>
    <mergeCell ref="AD45:AG45"/>
    <mergeCell ref="AD58:AG58"/>
    <mergeCell ref="Y71:AB71"/>
    <mergeCell ref="AD71:AG71"/>
    <mergeCell ref="AI4:AN4"/>
    <mergeCell ref="C4:N4"/>
    <mergeCell ref="C5:N5"/>
    <mergeCell ref="C10:N10"/>
    <mergeCell ref="C16:N16"/>
    <mergeCell ref="P45:Q45"/>
    <mergeCell ref="P5:Q5"/>
    <mergeCell ref="T5:W5"/>
    <mergeCell ref="T18:W18"/>
    <mergeCell ref="T32:W32"/>
    <mergeCell ref="T71:W71"/>
    <mergeCell ref="Y5:AB5"/>
    <mergeCell ref="Y18:AB18"/>
    <mergeCell ref="Y32:AB32"/>
  </mergeCells>
  <phoneticPr fontId="7" type="noConversion"/>
  <hyperlinks>
    <hyperlink ref="E51" r:id="rId1" xr:uid="{FF103B85-2ADD-4E70-A07C-CB98D1CEFAD4}"/>
    <hyperlink ref="E49" r:id="rId2" display="https://ec.europa.eu/eurostat/statistics-explained/images/9/98/Hospital_beds_by_type_of_care%2C_2017_Health2019.png" xr:uid="{AFE14631-A42A-4644-9212-F6BBE6EA2365}"/>
    <hyperlink ref="E53" r:id="rId3" xr:uid="{DA99C8FB-50DA-4286-9F52-6AA80F0A791E}"/>
    <hyperlink ref="E50" r:id="rId4" xr:uid="{5C14BEFD-C47F-4993-B610-E1021218E85A}"/>
    <hyperlink ref="E52" r:id="rId5" xr:uid="{E5FD06A6-D748-458D-A16C-9D279A7A8B1F}"/>
    <hyperlink ref="E48" r:id="rId6" location="b6-medscimonit-21-2969" xr:uid="{E0B33CAE-E0C3-437E-A953-C21D70AB63B8}"/>
    <hyperlink ref="E57" r:id="rId7" xr:uid="{E1D7FE6A-49B5-4CBB-8A52-A3629DD35BC9}"/>
  </hyperlinks>
  <pageMargins left="0.7" right="0.7" top="0.75" bottom="0.75" header="0.3" footer="0.3"/>
  <pageSetup orientation="portrait" r:id="rId8"/>
  <ignoredErrors>
    <ignoredError sqref="V8 Y22:AB22 AA129:AB129 Y129:Z129 AC144" formula="1"/>
  </ignoredErrors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EC3B2-4E5C-4859-865D-B9FAC5C2100B}">
  <dimension ref="B2:BD88"/>
  <sheetViews>
    <sheetView topLeftCell="AL2" zoomScale="80" zoomScaleNormal="80" workbookViewId="0">
      <selection activeCell="C76" sqref="C76"/>
    </sheetView>
  </sheetViews>
  <sheetFormatPr baseColWidth="10" defaultColWidth="10.83203125" defaultRowHeight="15" x14ac:dyDescent="0.2"/>
  <cols>
    <col min="2" max="2" width="3.33203125" customWidth="1"/>
    <col min="3" max="3" width="12.1640625" customWidth="1"/>
    <col min="13" max="13" width="38.6640625" customWidth="1"/>
    <col min="15" max="15" width="32.1640625" customWidth="1"/>
    <col min="16" max="16" width="12.1640625" bestFit="1" customWidth="1"/>
    <col min="21" max="21" width="30.6640625" customWidth="1"/>
    <col min="24" max="24" width="14" customWidth="1"/>
    <col min="27" max="33" width="8.6640625" customWidth="1"/>
    <col min="34" max="34" width="10" customWidth="1"/>
    <col min="35" max="35" width="8.6640625" customWidth="1"/>
    <col min="36" max="36" width="10.1640625" customWidth="1"/>
    <col min="37" max="38" width="8.6640625" customWidth="1"/>
    <col min="39" max="39" width="9.6640625" customWidth="1"/>
    <col min="40" max="43" width="8.6640625" customWidth="1"/>
    <col min="44" max="44" width="13" customWidth="1"/>
  </cols>
  <sheetData>
    <row r="2" spans="2:56" ht="16" thickBot="1" x14ac:dyDescent="0.25">
      <c r="BA2" s="46"/>
      <c r="BB2" s="54" t="s">
        <v>98</v>
      </c>
      <c r="BC2" s="54" t="s">
        <v>99</v>
      </c>
      <c r="BD2" s="9" t="s">
        <v>100</v>
      </c>
    </row>
    <row r="3" spans="2:56" ht="16" thickBot="1" x14ac:dyDescent="0.25">
      <c r="Z3" s="284" t="s">
        <v>211</v>
      </c>
      <c r="AA3" s="28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4"/>
      <c r="BA3" s="6" t="s">
        <v>4</v>
      </c>
      <c r="BB3" s="5">
        <f>AH23</f>
        <v>4769.9364000000005</v>
      </c>
      <c r="BC3" s="5">
        <f>AM23</f>
        <v>23849.682000000001</v>
      </c>
      <c r="BD3" s="5">
        <f>AR23</f>
        <v>47699.364000000001</v>
      </c>
    </row>
    <row r="4" spans="2:56" x14ac:dyDescent="0.2">
      <c r="B4" s="293" t="s">
        <v>29</v>
      </c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9"/>
      <c r="O4" s="293" t="s">
        <v>28</v>
      </c>
      <c r="P4" s="258"/>
      <c r="Q4" s="258"/>
      <c r="R4" s="258"/>
      <c r="S4" s="258"/>
      <c r="T4" s="258"/>
      <c r="U4" s="258"/>
      <c r="V4" s="258"/>
      <c r="W4" s="258"/>
      <c r="X4" s="259"/>
      <c r="Z4" s="288" t="s">
        <v>226</v>
      </c>
      <c r="AA4" s="289"/>
      <c r="AB4" s="289"/>
      <c r="AC4" s="289"/>
      <c r="AD4" s="289"/>
      <c r="AE4" s="289"/>
      <c r="AF4" s="289"/>
      <c r="AG4" s="289"/>
      <c r="AH4" s="289"/>
      <c r="AI4" s="289"/>
      <c r="AJ4" s="289"/>
      <c r="AK4" s="289"/>
      <c r="AL4" s="289"/>
      <c r="AM4" s="289"/>
      <c r="AN4" s="289"/>
      <c r="AO4" s="289"/>
      <c r="AP4" s="289"/>
      <c r="AQ4" s="289"/>
      <c r="AR4" s="290"/>
      <c r="BA4" s="6" t="s">
        <v>3</v>
      </c>
      <c r="BB4" s="5">
        <f t="shared" ref="BB4:BB6" si="0">AH24</f>
        <v>52922.224800000004</v>
      </c>
      <c r="BC4" s="5">
        <f t="shared" ref="BC4:BC6" si="1">AM24</f>
        <v>264611.12400000001</v>
      </c>
      <c r="BD4" s="5">
        <f t="shared" ref="BD4:BD6" si="2">AR24</f>
        <v>643648.68000000005</v>
      </c>
    </row>
    <row r="5" spans="2:56" x14ac:dyDescent="0.2">
      <c r="B5" s="294" t="s">
        <v>27</v>
      </c>
      <c r="C5" s="262"/>
      <c r="D5" s="262"/>
      <c r="E5" s="262"/>
      <c r="F5" s="262"/>
      <c r="G5" s="262"/>
      <c r="H5" s="262"/>
      <c r="I5" s="262"/>
      <c r="J5" s="262"/>
      <c r="K5" s="262"/>
      <c r="L5" s="262"/>
      <c r="M5" s="263"/>
      <c r="O5" s="138" t="s">
        <v>211</v>
      </c>
      <c r="P5" s="46"/>
      <c r="Q5" s="46"/>
      <c r="R5" s="46"/>
      <c r="S5" s="46"/>
      <c r="T5" s="46"/>
      <c r="U5" s="46"/>
      <c r="V5" s="46"/>
      <c r="W5" s="46"/>
      <c r="X5" s="4"/>
      <c r="Z5" s="23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"/>
      <c r="BA5" s="6" t="s">
        <v>2</v>
      </c>
      <c r="BB5" s="5">
        <f t="shared" si="0"/>
        <v>120181.6756224</v>
      </c>
      <c r="BC5" s="5">
        <f t="shared" si="1"/>
        <v>450681.28358399996</v>
      </c>
      <c r="BD5" s="5">
        <f t="shared" si="2"/>
        <v>609028.76159999997</v>
      </c>
    </row>
    <row r="6" spans="2:56" ht="16" x14ac:dyDescent="0.2">
      <c r="B6" s="8"/>
      <c r="C6" s="46" t="s">
        <v>26</v>
      </c>
      <c r="D6" s="46"/>
      <c r="E6" s="46"/>
      <c r="F6" s="46"/>
      <c r="G6" s="46"/>
      <c r="H6" s="46"/>
      <c r="I6" s="46"/>
      <c r="J6" s="46"/>
      <c r="K6" s="46"/>
      <c r="L6" s="46"/>
      <c r="M6" s="4"/>
      <c r="O6" s="8"/>
      <c r="P6" s="46"/>
      <c r="Q6" s="46"/>
      <c r="R6" s="46"/>
      <c r="S6" s="46"/>
      <c r="T6" s="46"/>
      <c r="U6" s="46"/>
      <c r="V6" s="46"/>
      <c r="W6" s="46"/>
      <c r="X6" s="4"/>
      <c r="Z6" s="10" t="s">
        <v>8</v>
      </c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"/>
      <c r="BA6" s="6" t="s">
        <v>1</v>
      </c>
      <c r="BB6" s="5">
        <f t="shared" si="0"/>
        <v>0</v>
      </c>
      <c r="BC6" s="5">
        <f t="shared" si="1"/>
        <v>154413.33333333331</v>
      </c>
      <c r="BD6" s="5">
        <f t="shared" si="2"/>
        <v>463239.99999999988</v>
      </c>
    </row>
    <row r="7" spans="2:56" x14ac:dyDescent="0.2">
      <c r="B7" s="8"/>
      <c r="C7" s="46" t="s">
        <v>25</v>
      </c>
      <c r="D7" s="46"/>
      <c r="E7" s="46"/>
      <c r="F7" s="46"/>
      <c r="G7" s="46"/>
      <c r="H7" s="46"/>
      <c r="I7" s="46"/>
      <c r="J7" s="46"/>
      <c r="K7" s="46"/>
      <c r="L7" s="46"/>
      <c r="M7" s="4"/>
      <c r="O7" s="26" t="s">
        <v>24</v>
      </c>
      <c r="P7" s="24">
        <v>100000</v>
      </c>
      <c r="Q7" s="24">
        <v>250000</v>
      </c>
      <c r="R7" s="24">
        <v>500000</v>
      </c>
      <c r="S7" s="24"/>
      <c r="T7" s="46"/>
      <c r="U7" s="26" t="s">
        <v>90</v>
      </c>
      <c r="V7" s="24">
        <v>25000</v>
      </c>
      <c r="W7" s="24">
        <v>100000</v>
      </c>
      <c r="X7" s="144">
        <v>200000</v>
      </c>
      <c r="Z7" s="8"/>
      <c r="AA7" s="46"/>
      <c r="AB7" s="46"/>
      <c r="AC7" s="46"/>
      <c r="AD7" s="291" t="s">
        <v>97</v>
      </c>
      <c r="AE7" s="291"/>
      <c r="AF7" s="291"/>
      <c r="AG7" s="291"/>
      <c r="AH7" s="291"/>
      <c r="AI7" s="291" t="s">
        <v>96</v>
      </c>
      <c r="AJ7" s="291"/>
      <c r="AK7" s="291"/>
      <c r="AL7" s="291"/>
      <c r="AM7" s="291"/>
      <c r="AN7" s="291" t="s">
        <v>15</v>
      </c>
      <c r="AO7" s="291"/>
      <c r="AP7" s="291"/>
      <c r="AQ7" s="291"/>
      <c r="AR7" s="292"/>
    </row>
    <row r="8" spans="2:56" x14ac:dyDescent="0.2">
      <c r="B8" s="8"/>
      <c r="C8" s="46"/>
      <c r="D8" s="46"/>
      <c r="E8" s="46"/>
      <c r="F8" s="46"/>
      <c r="G8" s="46"/>
      <c r="H8" s="46"/>
      <c r="I8" s="46"/>
      <c r="J8" s="46"/>
      <c r="K8" s="46"/>
      <c r="L8" s="46"/>
      <c r="M8" s="4"/>
      <c r="O8" s="8" t="s">
        <v>203</v>
      </c>
      <c r="P8" s="60">
        <v>0.22</v>
      </c>
      <c r="Q8" s="60">
        <v>0.2</v>
      </c>
      <c r="R8" s="60">
        <v>0.19</v>
      </c>
      <c r="S8" s="60"/>
      <c r="T8" s="46"/>
      <c r="U8" s="8" t="s">
        <v>23</v>
      </c>
      <c r="V8" s="94">
        <f>P8*5</f>
        <v>1.1000000000000001</v>
      </c>
      <c r="W8" s="94">
        <f t="shared" ref="W8:X9" si="3">Q8*5</f>
        <v>1</v>
      </c>
      <c r="X8" s="145">
        <f t="shared" si="3"/>
        <v>0.95</v>
      </c>
      <c r="Z8" s="8"/>
      <c r="AA8" s="58" t="s">
        <v>7</v>
      </c>
      <c r="AB8" s="55" t="s">
        <v>6</v>
      </c>
      <c r="AC8" s="58" t="s">
        <v>5</v>
      </c>
      <c r="AD8" s="17" t="s">
        <v>92</v>
      </c>
      <c r="AE8" s="17" t="s">
        <v>93</v>
      </c>
      <c r="AF8" s="17" t="s">
        <v>94</v>
      </c>
      <c r="AG8" s="17" t="s">
        <v>95</v>
      </c>
      <c r="AH8" s="54" t="s">
        <v>98</v>
      </c>
      <c r="AI8" s="17" t="s">
        <v>92</v>
      </c>
      <c r="AJ8" s="17" t="s">
        <v>93</v>
      </c>
      <c r="AK8" s="17" t="s">
        <v>94</v>
      </c>
      <c r="AL8" s="17" t="s">
        <v>95</v>
      </c>
      <c r="AM8" s="54" t="s">
        <v>99</v>
      </c>
      <c r="AN8" s="17" t="s">
        <v>92</v>
      </c>
      <c r="AO8" s="17" t="s">
        <v>93</v>
      </c>
      <c r="AP8" s="17" t="s">
        <v>94</v>
      </c>
      <c r="AQ8" s="17" t="s">
        <v>95</v>
      </c>
      <c r="AR8" s="219" t="s">
        <v>100</v>
      </c>
    </row>
    <row r="9" spans="2:56" x14ac:dyDescent="0.2">
      <c r="B9" s="8"/>
      <c r="C9" s="262" t="s">
        <v>22</v>
      </c>
      <c r="D9" s="262"/>
      <c r="E9" s="262"/>
      <c r="F9" s="262"/>
      <c r="G9" s="262"/>
      <c r="H9" s="262"/>
      <c r="I9" s="262"/>
      <c r="J9" s="262"/>
      <c r="K9" s="262"/>
      <c r="L9" s="262"/>
      <c r="M9" s="263"/>
      <c r="O9" s="8" t="s">
        <v>21</v>
      </c>
      <c r="P9" s="60">
        <v>0.15</v>
      </c>
      <c r="Q9" s="60">
        <v>0.14000000000000001</v>
      </c>
      <c r="R9" s="60">
        <v>0.11</v>
      </c>
      <c r="S9" s="60"/>
      <c r="T9" s="46"/>
      <c r="U9" s="8" t="s">
        <v>21</v>
      </c>
      <c r="V9" s="94">
        <f>P9*5</f>
        <v>0.75</v>
      </c>
      <c r="W9" s="94">
        <f t="shared" si="3"/>
        <v>0.70000000000000007</v>
      </c>
      <c r="X9" s="145">
        <f t="shared" si="3"/>
        <v>0.55000000000000004</v>
      </c>
      <c r="Z9" s="6" t="s">
        <v>4</v>
      </c>
      <c r="AA9" s="202">
        <v>0.02</v>
      </c>
      <c r="AB9" s="248">
        <v>0.1</v>
      </c>
      <c r="AC9" s="249">
        <v>0.2</v>
      </c>
      <c r="AD9" s="59">
        <f>0%*AH9</f>
        <v>0</v>
      </c>
      <c r="AE9" s="59">
        <f>20%*AH9</f>
        <v>2578.3440000000005</v>
      </c>
      <c r="AF9" s="59">
        <f>30%*AH9</f>
        <v>3867.5160000000001</v>
      </c>
      <c r="AG9" s="59">
        <f>50%*AH9</f>
        <v>6445.8600000000006</v>
      </c>
      <c r="AH9" s="5">
        <f t="shared" ref="AH9:AH16" si="4">AA9*H20</f>
        <v>12891.720000000001</v>
      </c>
      <c r="AI9" s="5">
        <f>25%*$AM9</f>
        <v>16114.650000000001</v>
      </c>
      <c r="AJ9" s="5">
        <f t="shared" ref="AJ9:AL9" si="5">25%*$AM$9</f>
        <v>16114.650000000001</v>
      </c>
      <c r="AK9" s="5">
        <f t="shared" si="5"/>
        <v>16114.650000000001</v>
      </c>
      <c r="AL9" s="5">
        <f t="shared" si="5"/>
        <v>16114.650000000001</v>
      </c>
      <c r="AM9" s="5">
        <f t="shared" ref="AM9:AM16" si="6">AB9*H20</f>
        <v>64458.600000000006</v>
      </c>
      <c r="AN9" s="5">
        <f>25%*$AR$9</f>
        <v>32229.300000000003</v>
      </c>
      <c r="AO9" s="5">
        <f t="shared" ref="AO9:AQ9" si="7">25%*$AR$9</f>
        <v>32229.300000000003</v>
      </c>
      <c r="AP9" s="5">
        <f t="shared" si="7"/>
        <v>32229.300000000003</v>
      </c>
      <c r="AQ9" s="5">
        <f t="shared" si="7"/>
        <v>32229.300000000003</v>
      </c>
      <c r="AR9" s="22">
        <f t="shared" ref="AR9:AR16" si="8">AC9*H20</f>
        <v>128917.20000000001</v>
      </c>
    </row>
    <row r="10" spans="2:56" x14ac:dyDescent="0.2">
      <c r="B10" s="8"/>
      <c r="C10" s="46" t="s">
        <v>136</v>
      </c>
      <c r="D10" s="46"/>
      <c r="E10" s="46"/>
      <c r="F10" s="46"/>
      <c r="G10" s="46"/>
      <c r="H10" s="46"/>
      <c r="I10" s="46"/>
      <c r="J10" s="46"/>
      <c r="K10" s="46"/>
      <c r="L10" s="46"/>
      <c r="M10" s="4"/>
      <c r="O10" s="26" t="s">
        <v>20</v>
      </c>
      <c r="P10" s="24">
        <f>SUM(P8:P9)</f>
        <v>0.37</v>
      </c>
      <c r="Q10" s="24">
        <f>SUM(Q8:Q9)</f>
        <v>0.34</v>
      </c>
      <c r="R10" s="24">
        <f>SUM(R8:R9)</f>
        <v>0.3</v>
      </c>
      <c r="S10" s="24"/>
      <c r="T10" s="46"/>
      <c r="U10" s="26" t="s">
        <v>20</v>
      </c>
      <c r="V10" s="132">
        <f>SUM(V8:V9)</f>
        <v>1.85</v>
      </c>
      <c r="W10" s="132">
        <f t="shared" ref="W10:X10" si="9">SUM(W8:W9)</f>
        <v>1.7000000000000002</v>
      </c>
      <c r="X10" s="146">
        <f t="shared" si="9"/>
        <v>1.5</v>
      </c>
      <c r="Z10" s="6" t="s">
        <v>3</v>
      </c>
      <c r="AA10" s="202">
        <v>0.01</v>
      </c>
      <c r="AB10" s="248">
        <v>0.05</v>
      </c>
      <c r="AC10" s="249">
        <v>0.15</v>
      </c>
      <c r="AD10" s="59">
        <f>0%*AH10</f>
        <v>0</v>
      </c>
      <c r="AE10" s="59">
        <f>20%*AH10</f>
        <v>28606.608000000004</v>
      </c>
      <c r="AF10" s="59">
        <f>30%*AH10</f>
        <v>42909.912000000004</v>
      </c>
      <c r="AG10" s="59">
        <f>50%*AH10</f>
        <v>71516.52</v>
      </c>
      <c r="AH10" s="5">
        <f t="shared" si="4"/>
        <v>143033.04</v>
      </c>
      <c r="AI10" s="5">
        <f>25%*$AM$10</f>
        <v>178791.30000000002</v>
      </c>
      <c r="AJ10" s="5">
        <f t="shared" ref="AJ10:AL10" si="10">25%*$AM$10</f>
        <v>178791.30000000002</v>
      </c>
      <c r="AK10" s="5">
        <f t="shared" si="10"/>
        <v>178791.30000000002</v>
      </c>
      <c r="AL10" s="5">
        <f t="shared" si="10"/>
        <v>178791.30000000002</v>
      </c>
      <c r="AM10" s="5">
        <f t="shared" si="6"/>
        <v>715165.20000000007</v>
      </c>
      <c r="AN10" s="5">
        <f>25%*$AR$10</f>
        <v>536373.9</v>
      </c>
      <c r="AO10" s="5">
        <f t="shared" ref="AO10:AP10" si="11">25%*$AR$10</f>
        <v>536373.9</v>
      </c>
      <c r="AP10" s="5">
        <f t="shared" si="11"/>
        <v>536373.9</v>
      </c>
      <c r="AQ10" s="5">
        <f>25%*$AR$10</f>
        <v>536373.9</v>
      </c>
      <c r="AR10" s="22">
        <f t="shared" si="8"/>
        <v>2145495.6</v>
      </c>
    </row>
    <row r="11" spans="2:56" x14ac:dyDescent="0.2">
      <c r="B11" s="8"/>
      <c r="C11" s="46" t="s">
        <v>137</v>
      </c>
      <c r="D11" s="46"/>
      <c r="E11" s="46"/>
      <c r="F11" s="46"/>
      <c r="G11" s="46"/>
      <c r="H11" s="46"/>
      <c r="I11" s="46"/>
      <c r="J11" s="46"/>
      <c r="K11" s="46"/>
      <c r="L11" s="46"/>
      <c r="M11" s="4"/>
      <c r="O11" s="8"/>
      <c r="P11" s="46"/>
      <c r="Q11" s="46"/>
      <c r="R11" s="46"/>
      <c r="S11" s="46"/>
      <c r="T11" s="46"/>
      <c r="U11" s="46"/>
      <c r="V11" s="46"/>
      <c r="W11" s="46"/>
      <c r="X11" s="4"/>
      <c r="Z11" s="6" t="s">
        <v>2</v>
      </c>
      <c r="AA11" s="202">
        <v>0.04</v>
      </c>
      <c r="AB11" s="248">
        <v>0.15</v>
      </c>
      <c r="AC11" s="249">
        <v>0.25</v>
      </c>
      <c r="AD11" s="59">
        <f>10%*AH11</f>
        <v>32481.533951999998</v>
      </c>
      <c r="AE11" s="59">
        <f>20%*AH11</f>
        <v>64963.067903999996</v>
      </c>
      <c r="AF11" s="59">
        <f>30%*AH11</f>
        <v>97444.601855999994</v>
      </c>
      <c r="AG11" s="59">
        <f>40%*AH11</f>
        <v>129926.13580799999</v>
      </c>
      <c r="AH11" s="5">
        <f t="shared" si="4"/>
        <v>324815.33951999998</v>
      </c>
      <c r="AI11" s="5">
        <f t="shared" ref="AI11:AL16" si="12">25%*$AM11</f>
        <v>304514.38079999998</v>
      </c>
      <c r="AJ11" s="5">
        <f t="shared" si="12"/>
        <v>304514.38079999998</v>
      </c>
      <c r="AK11" s="5">
        <f t="shared" si="12"/>
        <v>304514.38079999998</v>
      </c>
      <c r="AL11" s="5">
        <f t="shared" si="12"/>
        <v>304514.38079999998</v>
      </c>
      <c r="AM11" s="5">
        <f t="shared" si="6"/>
        <v>1218057.5231999999</v>
      </c>
      <c r="AN11" s="5">
        <f>25%*$AR$11</f>
        <v>507523.96799999999</v>
      </c>
      <c r="AO11" s="5">
        <f t="shared" ref="AO11:AQ11" si="13">25%*$AR$11</f>
        <v>507523.96799999999</v>
      </c>
      <c r="AP11" s="5">
        <f t="shared" si="13"/>
        <v>507523.96799999999</v>
      </c>
      <c r="AQ11" s="5">
        <f t="shared" si="13"/>
        <v>507523.96799999999</v>
      </c>
      <c r="AR11" s="22">
        <f t="shared" si="8"/>
        <v>2030095.872</v>
      </c>
    </row>
    <row r="12" spans="2:56" x14ac:dyDescent="0.2">
      <c r="B12" s="8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"/>
      <c r="O12" s="8"/>
      <c r="P12" s="46"/>
      <c r="Q12" s="46"/>
      <c r="R12" s="46"/>
      <c r="S12" s="46"/>
      <c r="T12" s="46"/>
      <c r="U12" s="46"/>
      <c r="V12" s="46"/>
      <c r="W12" s="46"/>
      <c r="X12" s="4"/>
      <c r="Z12" s="6" t="s">
        <v>1</v>
      </c>
      <c r="AA12" s="202">
        <v>0</v>
      </c>
      <c r="AB12" s="248">
        <v>0.02</v>
      </c>
      <c r="AC12" s="249">
        <v>0.06</v>
      </c>
      <c r="AD12" s="59">
        <f>0%*AH12</f>
        <v>0</v>
      </c>
      <c r="AE12" s="59">
        <f>20%*AH12</f>
        <v>0</v>
      </c>
      <c r="AF12" s="59">
        <f>30%*AH12</f>
        <v>0</v>
      </c>
      <c r="AG12" s="59">
        <f>50%*AH12</f>
        <v>0</v>
      </c>
      <c r="AH12" s="5">
        <f t="shared" si="4"/>
        <v>0</v>
      </c>
      <c r="AI12" s="5">
        <f t="shared" si="12"/>
        <v>104333.33333333333</v>
      </c>
      <c r="AJ12" s="5">
        <f t="shared" si="12"/>
        <v>104333.33333333333</v>
      </c>
      <c r="AK12" s="5">
        <f t="shared" si="12"/>
        <v>104333.33333333333</v>
      </c>
      <c r="AL12" s="5">
        <f t="shared" si="12"/>
        <v>104333.33333333333</v>
      </c>
      <c r="AM12" s="5">
        <f t="shared" si="6"/>
        <v>417333.33333333331</v>
      </c>
      <c r="AN12" s="5">
        <f>25%*$AR12</f>
        <v>312999.99999999994</v>
      </c>
      <c r="AO12" s="5">
        <f>25%*$AR12</f>
        <v>312999.99999999994</v>
      </c>
      <c r="AP12" s="5">
        <f>25%*$AR12</f>
        <v>312999.99999999994</v>
      </c>
      <c r="AQ12" s="5">
        <f>25%*$AR12</f>
        <v>312999.99999999994</v>
      </c>
      <c r="AR12" s="22">
        <f t="shared" si="8"/>
        <v>1251999.9999999998</v>
      </c>
    </row>
    <row r="13" spans="2:56" x14ac:dyDescent="0.2">
      <c r="B13" s="8"/>
      <c r="I13" s="46"/>
      <c r="J13" s="46"/>
      <c r="K13" s="46"/>
      <c r="L13" s="46"/>
      <c r="M13" s="4"/>
      <c r="O13" s="8"/>
      <c r="P13" s="46"/>
      <c r="Q13" s="46"/>
      <c r="R13" s="46"/>
      <c r="S13" s="46"/>
      <c r="T13" s="46"/>
      <c r="U13" s="46"/>
      <c r="V13" s="46"/>
      <c r="W13" s="46"/>
      <c r="X13" s="4"/>
      <c r="Z13" s="6" t="str">
        <f>C24</f>
        <v xml:space="preserve">Country 1 </v>
      </c>
      <c r="AA13" s="202">
        <v>0</v>
      </c>
      <c r="AB13" s="248">
        <v>0.02</v>
      </c>
      <c r="AC13" s="249">
        <v>0.06</v>
      </c>
      <c r="AD13" s="59">
        <f t="shared" ref="AD13:AD16" si="14">0%*AH13</f>
        <v>0</v>
      </c>
      <c r="AE13" s="59">
        <f t="shared" ref="AE13:AE16" si="15">20%*AH13</f>
        <v>0</v>
      </c>
      <c r="AF13" s="59">
        <f t="shared" ref="AF13:AF16" si="16">30%*AH13</f>
        <v>0</v>
      </c>
      <c r="AG13" s="59">
        <f t="shared" ref="AG13:AG16" si="17">50%*AH13</f>
        <v>0</v>
      </c>
      <c r="AH13" s="5">
        <f t="shared" si="4"/>
        <v>0</v>
      </c>
      <c r="AI13" s="5">
        <f t="shared" si="12"/>
        <v>40000</v>
      </c>
      <c r="AJ13" s="5">
        <f t="shared" si="12"/>
        <v>40000</v>
      </c>
      <c r="AK13" s="5">
        <f t="shared" si="12"/>
        <v>40000</v>
      </c>
      <c r="AL13" s="5">
        <f t="shared" si="12"/>
        <v>40000</v>
      </c>
      <c r="AM13" s="5">
        <f t="shared" si="6"/>
        <v>160000</v>
      </c>
      <c r="AN13" s="5">
        <f t="shared" ref="AN13:AQ16" si="18">25%*$AR13</f>
        <v>120000</v>
      </c>
      <c r="AO13" s="5">
        <f t="shared" si="18"/>
        <v>120000</v>
      </c>
      <c r="AP13" s="5">
        <f t="shared" si="18"/>
        <v>120000</v>
      </c>
      <c r="AQ13" s="5">
        <f t="shared" si="18"/>
        <v>120000</v>
      </c>
      <c r="AR13" s="22">
        <f t="shared" si="8"/>
        <v>480000</v>
      </c>
    </row>
    <row r="14" spans="2:56" x14ac:dyDescent="0.2">
      <c r="B14" s="8"/>
      <c r="I14" s="46"/>
      <c r="J14" s="46"/>
      <c r="K14" s="46"/>
      <c r="L14" s="46"/>
      <c r="M14" s="4"/>
      <c r="O14" s="8"/>
      <c r="P14" s="46"/>
      <c r="Q14" s="46"/>
      <c r="R14" s="46"/>
      <c r="S14" s="46"/>
      <c r="T14" s="46"/>
      <c r="U14" s="46"/>
      <c r="V14" s="46"/>
      <c r="W14" s="46"/>
      <c r="X14" s="4"/>
      <c r="Z14" s="6" t="str">
        <f>C25</f>
        <v>Country 2</v>
      </c>
      <c r="AA14" s="202"/>
      <c r="AB14" s="248"/>
      <c r="AC14" s="249"/>
      <c r="AD14" s="59">
        <f t="shared" si="14"/>
        <v>0</v>
      </c>
      <c r="AE14" s="59">
        <f t="shared" si="15"/>
        <v>0</v>
      </c>
      <c r="AF14" s="59">
        <f t="shared" si="16"/>
        <v>0</v>
      </c>
      <c r="AG14" s="59">
        <f t="shared" si="17"/>
        <v>0</v>
      </c>
      <c r="AH14" s="5">
        <f t="shared" si="4"/>
        <v>0</v>
      </c>
      <c r="AI14" s="5">
        <f t="shared" si="12"/>
        <v>0</v>
      </c>
      <c r="AJ14" s="5">
        <f t="shared" si="12"/>
        <v>0</v>
      </c>
      <c r="AK14" s="5">
        <f t="shared" si="12"/>
        <v>0</v>
      </c>
      <c r="AL14" s="5">
        <f t="shared" si="12"/>
        <v>0</v>
      </c>
      <c r="AM14" s="5">
        <f t="shared" si="6"/>
        <v>0</v>
      </c>
      <c r="AN14" s="5">
        <f t="shared" si="18"/>
        <v>0</v>
      </c>
      <c r="AO14" s="5">
        <f t="shared" si="18"/>
        <v>0</v>
      </c>
      <c r="AP14" s="5">
        <f t="shared" si="18"/>
        <v>0</v>
      </c>
      <c r="AQ14" s="5">
        <f t="shared" si="18"/>
        <v>0</v>
      </c>
      <c r="AR14" s="22">
        <f t="shared" si="8"/>
        <v>0</v>
      </c>
    </row>
    <row r="15" spans="2:56" x14ac:dyDescent="0.2">
      <c r="B15" s="8"/>
      <c r="I15" s="46"/>
      <c r="J15" s="46"/>
      <c r="K15" s="46"/>
      <c r="L15" s="46"/>
      <c r="M15" s="4"/>
      <c r="O15" s="8"/>
      <c r="P15" s="46"/>
      <c r="Q15" s="46"/>
      <c r="R15" s="46"/>
      <c r="S15" s="46"/>
      <c r="T15" s="46"/>
      <c r="U15" s="46"/>
      <c r="V15" s="46"/>
      <c r="W15" s="46"/>
      <c r="X15" s="4"/>
      <c r="Z15" s="6" t="str">
        <f>C26</f>
        <v>Country 3</v>
      </c>
      <c r="AA15" s="202"/>
      <c r="AB15" s="248"/>
      <c r="AC15" s="249"/>
      <c r="AD15" s="59">
        <f t="shared" si="14"/>
        <v>0</v>
      </c>
      <c r="AE15" s="59">
        <f t="shared" si="15"/>
        <v>0</v>
      </c>
      <c r="AF15" s="59">
        <f t="shared" si="16"/>
        <v>0</v>
      </c>
      <c r="AG15" s="59">
        <f t="shared" si="17"/>
        <v>0</v>
      </c>
      <c r="AH15" s="5">
        <f t="shared" si="4"/>
        <v>0</v>
      </c>
      <c r="AI15" s="5">
        <f t="shared" si="12"/>
        <v>0</v>
      </c>
      <c r="AJ15" s="5">
        <f t="shared" si="12"/>
        <v>0</v>
      </c>
      <c r="AK15" s="5">
        <f t="shared" si="12"/>
        <v>0</v>
      </c>
      <c r="AL15" s="5">
        <f t="shared" si="12"/>
        <v>0</v>
      </c>
      <c r="AM15" s="5">
        <f t="shared" si="6"/>
        <v>0</v>
      </c>
      <c r="AN15" s="5">
        <f t="shared" si="18"/>
        <v>0</v>
      </c>
      <c r="AO15" s="5">
        <f t="shared" si="18"/>
        <v>0</v>
      </c>
      <c r="AP15" s="5">
        <f t="shared" si="18"/>
        <v>0</v>
      </c>
      <c r="AQ15" s="5">
        <f t="shared" si="18"/>
        <v>0</v>
      </c>
      <c r="AR15" s="22">
        <f t="shared" si="8"/>
        <v>0</v>
      </c>
    </row>
    <row r="16" spans="2:56" x14ac:dyDescent="0.2">
      <c r="B16" s="8"/>
      <c r="I16" s="46"/>
      <c r="J16" s="46"/>
      <c r="K16" s="46"/>
      <c r="L16" s="46"/>
      <c r="M16" s="4"/>
      <c r="O16" s="8"/>
      <c r="P16" s="46"/>
      <c r="Q16" s="46"/>
      <c r="R16" s="46"/>
      <c r="S16" s="46"/>
      <c r="T16" s="46"/>
      <c r="U16" s="46"/>
      <c r="V16" s="46"/>
      <c r="W16" s="46"/>
      <c r="X16" s="4"/>
      <c r="Z16" s="6" t="str">
        <f>C27</f>
        <v>Country 4</v>
      </c>
      <c r="AA16" s="202"/>
      <c r="AB16" s="248"/>
      <c r="AC16" s="249"/>
      <c r="AD16" s="59">
        <f t="shared" si="14"/>
        <v>0</v>
      </c>
      <c r="AE16" s="59">
        <f t="shared" si="15"/>
        <v>0</v>
      </c>
      <c r="AF16" s="59">
        <f t="shared" si="16"/>
        <v>0</v>
      </c>
      <c r="AG16" s="59">
        <f t="shared" si="17"/>
        <v>0</v>
      </c>
      <c r="AH16" s="5">
        <f t="shared" si="4"/>
        <v>0</v>
      </c>
      <c r="AI16" s="5">
        <f t="shared" si="12"/>
        <v>0</v>
      </c>
      <c r="AJ16" s="5">
        <f t="shared" si="12"/>
        <v>0</v>
      </c>
      <c r="AK16" s="5">
        <f t="shared" si="12"/>
        <v>0</v>
      </c>
      <c r="AL16" s="5">
        <f t="shared" si="12"/>
        <v>0</v>
      </c>
      <c r="AM16" s="5">
        <f t="shared" si="6"/>
        <v>0</v>
      </c>
      <c r="AN16" s="5">
        <f t="shared" si="18"/>
        <v>0</v>
      </c>
      <c r="AO16" s="5">
        <f t="shared" si="18"/>
        <v>0</v>
      </c>
      <c r="AP16" s="5">
        <f t="shared" si="18"/>
        <v>0</v>
      </c>
      <c r="AQ16" s="5">
        <f t="shared" si="18"/>
        <v>0</v>
      </c>
      <c r="AR16" s="22">
        <f t="shared" si="8"/>
        <v>0</v>
      </c>
    </row>
    <row r="17" spans="2:44" ht="15" customHeight="1" x14ac:dyDescent="0.2">
      <c r="B17" s="8"/>
      <c r="C17" s="142" t="s">
        <v>19</v>
      </c>
      <c r="D17" s="46"/>
      <c r="E17" s="46"/>
      <c r="F17" s="46"/>
      <c r="G17" s="46"/>
      <c r="H17" s="46"/>
      <c r="I17" s="46"/>
      <c r="J17" s="46"/>
      <c r="K17" s="46"/>
      <c r="L17" s="46"/>
      <c r="M17" s="4"/>
      <c r="O17" s="8"/>
      <c r="P17" s="46"/>
      <c r="Q17" s="46"/>
      <c r="R17" s="46"/>
      <c r="S17" s="46"/>
      <c r="T17" s="46"/>
      <c r="U17" s="46"/>
      <c r="V17" s="46"/>
      <c r="W17" s="46"/>
      <c r="X17" s="4"/>
      <c r="Z17" s="6" t="s">
        <v>101</v>
      </c>
      <c r="AA17" s="27"/>
      <c r="AB17" s="27"/>
      <c r="AC17" s="27"/>
      <c r="AD17" s="5">
        <f>SUM(AD9:AD16)</f>
        <v>32481.533951999998</v>
      </c>
      <c r="AE17" s="5">
        <f t="shared" ref="AE17:AR17" si="19">SUM(AE9:AE16)</f>
        <v>96148.019904000001</v>
      </c>
      <c r="AF17" s="5">
        <f t="shared" si="19"/>
        <v>144222.02985600001</v>
      </c>
      <c r="AG17" s="5">
        <f t="shared" si="19"/>
        <v>207888.515808</v>
      </c>
      <c r="AH17" s="5">
        <f t="shared" si="19"/>
        <v>480740.09951999999</v>
      </c>
      <c r="AI17" s="5">
        <f t="shared" si="19"/>
        <v>643753.66413333337</v>
      </c>
      <c r="AJ17" s="5">
        <f t="shared" si="19"/>
        <v>643753.66413333337</v>
      </c>
      <c r="AK17" s="5">
        <f t="shared" si="19"/>
        <v>643753.66413333337</v>
      </c>
      <c r="AL17" s="5">
        <f t="shared" si="19"/>
        <v>643753.66413333337</v>
      </c>
      <c r="AM17" s="5">
        <f t="shared" si="19"/>
        <v>2575014.6565333335</v>
      </c>
      <c r="AN17" s="5">
        <f t="shared" si="19"/>
        <v>1509127.1680000001</v>
      </c>
      <c r="AO17" s="5">
        <f t="shared" si="19"/>
        <v>1509127.1680000001</v>
      </c>
      <c r="AP17" s="5">
        <f t="shared" si="19"/>
        <v>1509127.1680000001</v>
      </c>
      <c r="AQ17" s="5">
        <f t="shared" si="19"/>
        <v>1509127.1680000001</v>
      </c>
      <c r="AR17" s="22">
        <f t="shared" si="19"/>
        <v>6036508.6720000003</v>
      </c>
    </row>
    <row r="18" spans="2:44" ht="15" customHeight="1" x14ac:dyDescent="0.2">
      <c r="B18" s="8"/>
      <c r="C18" s="211"/>
      <c r="D18" s="46"/>
      <c r="E18" s="46"/>
      <c r="F18" s="46"/>
      <c r="G18" s="46"/>
      <c r="H18" s="46"/>
      <c r="I18" s="46"/>
      <c r="J18" s="46"/>
      <c r="K18" s="46"/>
      <c r="L18" s="46"/>
      <c r="M18" s="4"/>
      <c r="O18" s="8"/>
      <c r="P18" s="46"/>
      <c r="Q18" s="46"/>
      <c r="R18" s="46"/>
      <c r="S18" s="46"/>
      <c r="T18" s="46"/>
      <c r="U18" s="46"/>
      <c r="V18" s="46"/>
      <c r="W18" s="46"/>
      <c r="X18" s="4"/>
      <c r="Z18" s="6" t="s">
        <v>268</v>
      </c>
      <c r="AA18" s="27"/>
      <c r="AB18" s="27"/>
      <c r="AC18" s="27"/>
      <c r="AD18" s="5">
        <f>AD17/1000</f>
        <v>32.481533951999999</v>
      </c>
      <c r="AE18" s="5">
        <f t="shared" ref="AE18:AR18" si="20">AE17/1000</f>
        <v>96.148019903999995</v>
      </c>
      <c r="AF18" s="5">
        <f t="shared" si="20"/>
        <v>144.22202985600001</v>
      </c>
      <c r="AG18" s="5">
        <f t="shared" si="20"/>
        <v>207.88851580799999</v>
      </c>
      <c r="AH18" s="5">
        <f t="shared" si="20"/>
        <v>480.74009952</v>
      </c>
      <c r="AI18" s="5">
        <f t="shared" si="20"/>
        <v>643.75366413333336</v>
      </c>
      <c r="AJ18" s="5">
        <f t="shared" si="20"/>
        <v>643.75366413333336</v>
      </c>
      <c r="AK18" s="5">
        <f t="shared" si="20"/>
        <v>643.75366413333336</v>
      </c>
      <c r="AL18" s="5">
        <f t="shared" si="20"/>
        <v>643.75366413333336</v>
      </c>
      <c r="AM18" s="5">
        <f t="shared" si="20"/>
        <v>2575.0146565333334</v>
      </c>
      <c r="AN18" s="5">
        <f t="shared" si="20"/>
        <v>1509.127168</v>
      </c>
      <c r="AO18" s="5">
        <f t="shared" si="20"/>
        <v>1509.127168</v>
      </c>
      <c r="AP18" s="5">
        <f t="shared" si="20"/>
        <v>1509.127168</v>
      </c>
      <c r="AQ18" s="5">
        <f t="shared" si="20"/>
        <v>1509.127168</v>
      </c>
      <c r="AR18" s="22">
        <f t="shared" si="20"/>
        <v>6036.5086719999999</v>
      </c>
    </row>
    <row r="19" spans="2:44" ht="48" x14ac:dyDescent="0.2">
      <c r="B19" s="8"/>
      <c r="C19" s="46"/>
      <c r="D19" s="21" t="s">
        <v>13</v>
      </c>
      <c r="E19" s="21" t="s">
        <v>18</v>
      </c>
      <c r="F19" s="21" t="s">
        <v>17</v>
      </c>
      <c r="G19" s="21" t="s">
        <v>10</v>
      </c>
      <c r="H19" s="21" t="s">
        <v>9</v>
      </c>
      <c r="I19" s="46"/>
      <c r="J19" s="46"/>
      <c r="K19" s="46"/>
      <c r="L19" s="46"/>
      <c r="M19" s="4"/>
      <c r="O19" s="8"/>
      <c r="P19" s="46"/>
      <c r="Q19" s="46"/>
      <c r="R19" s="46"/>
      <c r="S19" s="46"/>
      <c r="T19" s="46"/>
      <c r="U19" s="46"/>
      <c r="V19" s="46"/>
      <c r="W19" s="46"/>
      <c r="X19" s="4"/>
      <c r="Z19" s="8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"/>
    </row>
    <row r="20" spans="2:44" ht="17" x14ac:dyDescent="0.2">
      <c r="B20" s="8"/>
      <c r="C20" s="27" t="s">
        <v>199</v>
      </c>
      <c r="D20" s="14">
        <v>11.4</v>
      </c>
      <c r="E20" s="15">
        <f>F20/(D20*10)</f>
        <v>53.342105263157897</v>
      </c>
      <c r="F20" s="14">
        <v>6081</v>
      </c>
      <c r="G20" s="14">
        <v>106</v>
      </c>
      <c r="H20" s="14">
        <f>F20*G20</f>
        <v>644586</v>
      </c>
      <c r="I20" s="46"/>
      <c r="J20" s="46"/>
      <c r="K20" s="46"/>
      <c r="L20" s="46"/>
      <c r="M20" s="4"/>
      <c r="O20" s="8"/>
      <c r="P20" s="46"/>
      <c r="Q20" s="46"/>
      <c r="R20" s="46"/>
      <c r="S20" s="46"/>
      <c r="T20" s="46"/>
      <c r="U20" s="46"/>
      <c r="V20" s="46"/>
      <c r="W20" s="46"/>
      <c r="X20" s="4"/>
      <c r="Z20" s="288" t="s">
        <v>227</v>
      </c>
      <c r="AA20" s="289"/>
      <c r="AB20" s="289"/>
      <c r="AC20" s="289"/>
      <c r="AD20" s="289"/>
      <c r="AE20" s="289"/>
      <c r="AF20" s="289"/>
      <c r="AG20" s="289"/>
      <c r="AH20" s="289"/>
      <c r="AI20" s="289"/>
      <c r="AJ20" s="289"/>
      <c r="AK20" s="289"/>
      <c r="AL20" s="289"/>
      <c r="AM20" s="289"/>
      <c r="AN20" s="289"/>
      <c r="AO20" s="289"/>
      <c r="AP20" s="289"/>
      <c r="AQ20" s="289"/>
      <c r="AR20" s="290"/>
    </row>
    <row r="21" spans="2:44" ht="17" x14ac:dyDescent="0.2">
      <c r="B21" s="8"/>
      <c r="C21" s="27" t="s">
        <v>200</v>
      </c>
      <c r="D21" s="14">
        <v>66.989999999999995</v>
      </c>
      <c r="E21" s="15">
        <v>65.900000000000006</v>
      </c>
      <c r="F21" s="14">
        <v>44146</v>
      </c>
      <c r="G21" s="14">
        <v>324</v>
      </c>
      <c r="H21" s="14">
        <f>F21*G21</f>
        <v>14303304</v>
      </c>
      <c r="I21" s="46"/>
      <c r="J21" s="46"/>
      <c r="K21" s="46"/>
      <c r="L21" s="46"/>
      <c r="M21" s="4"/>
      <c r="O21" s="8"/>
      <c r="P21" s="46"/>
      <c r="Q21" s="46"/>
      <c r="R21" s="46"/>
      <c r="S21" s="46"/>
      <c r="T21" s="46"/>
      <c r="U21" s="46"/>
      <c r="V21" s="46"/>
      <c r="W21" s="46"/>
      <c r="X21" s="4"/>
      <c r="Z21" s="8"/>
      <c r="AA21" s="46"/>
      <c r="AB21" s="46"/>
      <c r="AC21" s="46"/>
      <c r="AD21" s="268" t="s">
        <v>97</v>
      </c>
      <c r="AE21" s="269"/>
      <c r="AF21" s="269"/>
      <c r="AG21" s="269"/>
      <c r="AH21" s="286"/>
      <c r="AI21" s="268" t="s">
        <v>96</v>
      </c>
      <c r="AJ21" s="269"/>
      <c r="AK21" s="269"/>
      <c r="AL21" s="269"/>
      <c r="AM21" s="286"/>
      <c r="AN21" s="268" t="s">
        <v>15</v>
      </c>
      <c r="AO21" s="269"/>
      <c r="AP21" s="269"/>
      <c r="AQ21" s="269"/>
      <c r="AR21" s="287"/>
    </row>
    <row r="22" spans="2:44" ht="17" x14ac:dyDescent="0.2">
      <c r="B22" s="8"/>
      <c r="C22" s="27" t="s">
        <v>201</v>
      </c>
      <c r="D22" s="14">
        <v>60.48</v>
      </c>
      <c r="E22" s="15">
        <f>F22/(D22*10)</f>
        <v>68.502857142857152</v>
      </c>
      <c r="F22" s="15">
        <f>16650*(1.2^5)</f>
        <v>41430.527999999998</v>
      </c>
      <c r="G22" s="14">
        <v>196</v>
      </c>
      <c r="H22" s="15">
        <f>F22*G22</f>
        <v>8120383.4879999999</v>
      </c>
      <c r="I22" s="46"/>
      <c r="J22" s="46"/>
      <c r="K22" s="46"/>
      <c r="L22" s="46"/>
      <c r="M22" s="4"/>
      <c r="O22" s="8"/>
      <c r="P22" s="46"/>
      <c r="Q22" s="46"/>
      <c r="R22" s="46"/>
      <c r="S22" s="46"/>
      <c r="T22" s="46"/>
      <c r="U22" s="46"/>
      <c r="V22" s="46"/>
      <c r="W22" s="46"/>
      <c r="X22" s="4"/>
      <c r="Z22" s="8"/>
      <c r="AA22" s="46"/>
      <c r="AB22" s="46"/>
      <c r="AC22" s="46"/>
      <c r="AD22" s="17" t="s">
        <v>92</v>
      </c>
      <c r="AE22" s="17" t="s">
        <v>93</v>
      </c>
      <c r="AF22" s="17" t="s">
        <v>94</v>
      </c>
      <c r="AG22" s="17" t="s">
        <v>95</v>
      </c>
      <c r="AH22" s="54" t="s">
        <v>98</v>
      </c>
      <c r="AI22" s="17" t="s">
        <v>92</v>
      </c>
      <c r="AJ22" s="17" t="s">
        <v>93</v>
      </c>
      <c r="AK22" s="17" t="s">
        <v>94</v>
      </c>
      <c r="AL22" s="17" t="s">
        <v>95</v>
      </c>
      <c r="AM22" s="54" t="s">
        <v>99</v>
      </c>
      <c r="AN22" s="17" t="s">
        <v>92</v>
      </c>
      <c r="AO22" s="17" t="s">
        <v>93</v>
      </c>
      <c r="AP22" s="17" t="s">
        <v>94</v>
      </c>
      <c r="AQ22" s="17" t="s">
        <v>95</v>
      </c>
      <c r="AR22" s="219" t="s">
        <v>100</v>
      </c>
    </row>
    <row r="23" spans="2:44" ht="17" x14ac:dyDescent="0.2">
      <c r="B23" s="8"/>
      <c r="C23" s="27" t="s">
        <v>202</v>
      </c>
      <c r="D23" s="14">
        <v>82.79</v>
      </c>
      <c r="E23" s="15">
        <f>F23/(D23*10)</f>
        <v>120.78753472641623</v>
      </c>
      <c r="F23" s="14">
        <v>100000</v>
      </c>
      <c r="G23" s="15">
        <f>AVERAGE(G20:G22)</f>
        <v>208.66666666666666</v>
      </c>
      <c r="H23" s="15">
        <f>F23*G23</f>
        <v>20866666.666666664</v>
      </c>
      <c r="I23" s="46"/>
      <c r="J23" s="46"/>
      <c r="K23" s="46"/>
      <c r="L23" s="46"/>
      <c r="M23" s="4"/>
      <c r="O23" s="8"/>
      <c r="P23" s="46"/>
      <c r="Q23" s="46"/>
      <c r="R23" s="46"/>
      <c r="S23" s="46"/>
      <c r="T23" s="46"/>
      <c r="U23" s="46"/>
      <c r="V23" s="46"/>
      <c r="W23" s="46"/>
      <c r="X23" s="4"/>
      <c r="Z23" s="6" t="s">
        <v>4</v>
      </c>
      <c r="AA23" s="122"/>
      <c r="AB23" s="122"/>
      <c r="AC23" s="122"/>
      <c r="AD23" s="5">
        <f t="shared" ref="AD23:AL23" si="21">IF(AD9&lt;$R$7,$P$10,$R$10)*AD9</f>
        <v>0</v>
      </c>
      <c r="AE23" s="5">
        <f t="shared" si="21"/>
        <v>953.98728000000017</v>
      </c>
      <c r="AF23" s="5">
        <f t="shared" si="21"/>
        <v>1430.98092</v>
      </c>
      <c r="AG23" s="5">
        <f t="shared" si="21"/>
        <v>2384.9682000000003</v>
      </c>
      <c r="AH23" s="5">
        <f t="shared" si="21"/>
        <v>4769.9364000000005</v>
      </c>
      <c r="AI23" s="5">
        <f t="shared" si="21"/>
        <v>5962.4205000000002</v>
      </c>
      <c r="AJ23" s="5">
        <f t="shared" si="21"/>
        <v>5962.4205000000002</v>
      </c>
      <c r="AK23" s="5">
        <f t="shared" si="21"/>
        <v>5962.4205000000002</v>
      </c>
      <c r="AL23" s="5">
        <f t="shared" si="21"/>
        <v>5962.4205000000002</v>
      </c>
      <c r="AM23" s="5">
        <f>SUM(AI23:AL23)</f>
        <v>23849.682000000001</v>
      </c>
      <c r="AN23" s="5">
        <f t="shared" ref="AN23:AQ26" si="22">IF(AN9&lt;$R$7,$P$10,$R$10)*AN9</f>
        <v>11924.841</v>
      </c>
      <c r="AO23" s="5">
        <f t="shared" si="22"/>
        <v>11924.841</v>
      </c>
      <c r="AP23" s="5">
        <f t="shared" si="22"/>
        <v>11924.841</v>
      </c>
      <c r="AQ23" s="5">
        <f t="shared" si="22"/>
        <v>11924.841</v>
      </c>
      <c r="AR23" s="22">
        <f>SUM(AN23:AQ23)</f>
        <v>47699.364000000001</v>
      </c>
    </row>
    <row r="24" spans="2:44" x14ac:dyDescent="0.2">
      <c r="B24" s="8"/>
      <c r="C24" s="27" t="s">
        <v>287</v>
      </c>
      <c r="D24" s="27"/>
      <c r="E24" s="27"/>
      <c r="F24" s="235">
        <v>40000</v>
      </c>
      <c r="G24" s="250">
        <v>200</v>
      </c>
      <c r="H24" s="15">
        <f t="shared" ref="H24:H27" si="23">F24*G24</f>
        <v>8000000</v>
      </c>
      <c r="I24" s="46"/>
      <c r="J24" s="46"/>
      <c r="K24" s="46"/>
      <c r="L24" s="46"/>
      <c r="M24" s="4"/>
      <c r="O24" s="8"/>
      <c r="P24" s="46"/>
      <c r="Q24" s="46"/>
      <c r="R24" s="46"/>
      <c r="S24" s="46"/>
      <c r="T24" s="46"/>
      <c r="U24" s="46"/>
      <c r="V24" s="46"/>
      <c r="W24" s="46"/>
      <c r="X24" s="4"/>
      <c r="Z24" s="6" t="s">
        <v>3</v>
      </c>
      <c r="AA24" s="122"/>
      <c r="AB24" s="122"/>
      <c r="AC24" s="122"/>
      <c r="AD24" s="5">
        <f t="shared" ref="AD24:AL24" si="24">IF(AD10&lt;$R$7,$P$10,$R$10)*AD10</f>
        <v>0</v>
      </c>
      <c r="AE24" s="5">
        <f t="shared" si="24"/>
        <v>10584.444960000001</v>
      </c>
      <c r="AF24" s="5">
        <f t="shared" si="24"/>
        <v>15876.667440000001</v>
      </c>
      <c r="AG24" s="5">
        <f t="shared" si="24"/>
        <v>26461.112400000002</v>
      </c>
      <c r="AH24" s="5">
        <f t="shared" si="24"/>
        <v>52922.224800000004</v>
      </c>
      <c r="AI24" s="5">
        <f t="shared" si="24"/>
        <v>66152.781000000003</v>
      </c>
      <c r="AJ24" s="5">
        <f t="shared" si="24"/>
        <v>66152.781000000003</v>
      </c>
      <c r="AK24" s="5">
        <f t="shared" si="24"/>
        <v>66152.781000000003</v>
      </c>
      <c r="AL24" s="5">
        <f t="shared" si="24"/>
        <v>66152.781000000003</v>
      </c>
      <c r="AM24" s="5">
        <f t="shared" ref="AM24:AM25" si="25">SUM(AI24:AL24)</f>
        <v>264611.12400000001</v>
      </c>
      <c r="AN24" s="5">
        <f t="shared" si="22"/>
        <v>160912.17000000001</v>
      </c>
      <c r="AO24" s="5">
        <f t="shared" si="22"/>
        <v>160912.17000000001</v>
      </c>
      <c r="AP24" s="5">
        <f t="shared" si="22"/>
        <v>160912.17000000001</v>
      </c>
      <c r="AQ24" s="5">
        <f t="shared" si="22"/>
        <v>160912.17000000001</v>
      </c>
      <c r="AR24" s="22">
        <f t="shared" ref="AR24:AR25" si="26">SUM(AN24:AQ24)</f>
        <v>643648.68000000005</v>
      </c>
    </row>
    <row r="25" spans="2:44" x14ac:dyDescent="0.2">
      <c r="B25" s="8"/>
      <c r="C25" s="27" t="s">
        <v>283</v>
      </c>
      <c r="D25" s="27"/>
      <c r="E25" s="27"/>
      <c r="F25" s="235"/>
      <c r="G25" s="250">
        <v>200</v>
      </c>
      <c r="H25" s="15">
        <f t="shared" si="23"/>
        <v>0</v>
      </c>
      <c r="I25" s="46"/>
      <c r="J25" s="46"/>
      <c r="K25" s="46"/>
      <c r="L25" s="46"/>
      <c r="M25" s="4"/>
      <c r="O25" s="8"/>
      <c r="P25" s="46"/>
      <c r="Q25" s="46"/>
      <c r="R25" s="46"/>
      <c r="S25" s="46"/>
      <c r="T25" s="46"/>
      <c r="U25" s="46"/>
      <c r="V25" s="46"/>
      <c r="W25" s="46"/>
      <c r="X25" s="4"/>
      <c r="Z25" s="6" t="s">
        <v>2</v>
      </c>
      <c r="AA25" s="122"/>
      <c r="AB25" s="122"/>
      <c r="AC25" s="122"/>
      <c r="AD25" s="5">
        <f t="shared" ref="AD25:AL25" si="27">IF(AD11&lt;$R$7,$P$10,$R$10)*AD11</f>
        <v>12018.16756224</v>
      </c>
      <c r="AE25" s="5">
        <f t="shared" si="27"/>
        <v>24036.33512448</v>
      </c>
      <c r="AF25" s="5">
        <f t="shared" si="27"/>
        <v>36054.502686719999</v>
      </c>
      <c r="AG25" s="5">
        <f t="shared" si="27"/>
        <v>48072.670248959999</v>
      </c>
      <c r="AH25" s="5">
        <f t="shared" si="27"/>
        <v>120181.6756224</v>
      </c>
      <c r="AI25" s="5">
        <f t="shared" si="27"/>
        <v>112670.32089599999</v>
      </c>
      <c r="AJ25" s="5">
        <f t="shared" si="27"/>
        <v>112670.32089599999</v>
      </c>
      <c r="AK25" s="5">
        <f t="shared" si="27"/>
        <v>112670.32089599999</v>
      </c>
      <c r="AL25" s="5">
        <f t="shared" si="27"/>
        <v>112670.32089599999</v>
      </c>
      <c r="AM25" s="5">
        <f t="shared" si="25"/>
        <v>450681.28358399996</v>
      </c>
      <c r="AN25" s="5">
        <f t="shared" si="22"/>
        <v>152257.19039999999</v>
      </c>
      <c r="AO25" s="5">
        <f t="shared" si="22"/>
        <v>152257.19039999999</v>
      </c>
      <c r="AP25" s="5">
        <f t="shared" si="22"/>
        <v>152257.19039999999</v>
      </c>
      <c r="AQ25" s="5">
        <f t="shared" si="22"/>
        <v>152257.19039999999</v>
      </c>
      <c r="AR25" s="22">
        <f t="shared" si="26"/>
        <v>609028.76159999997</v>
      </c>
    </row>
    <row r="26" spans="2:44" x14ac:dyDescent="0.2">
      <c r="B26" s="8"/>
      <c r="C26" s="27" t="s">
        <v>284</v>
      </c>
      <c r="D26" s="27"/>
      <c r="E26" s="27"/>
      <c r="F26" s="235"/>
      <c r="G26" s="250">
        <v>200</v>
      </c>
      <c r="H26" s="15">
        <f t="shared" si="23"/>
        <v>0</v>
      </c>
      <c r="I26" s="46"/>
      <c r="J26" s="46"/>
      <c r="K26" s="46"/>
      <c r="L26" s="46"/>
      <c r="M26" s="4"/>
      <c r="O26" s="8"/>
      <c r="P26" s="46"/>
      <c r="Q26" s="46"/>
      <c r="R26" s="46"/>
      <c r="S26" s="46"/>
      <c r="T26" s="46"/>
      <c r="U26" s="46"/>
      <c r="V26" s="46"/>
      <c r="W26" s="46"/>
      <c r="X26" s="4"/>
      <c r="Z26" s="6" t="s">
        <v>1</v>
      </c>
      <c r="AA26" s="122"/>
      <c r="AB26" s="122"/>
      <c r="AC26" s="122"/>
      <c r="AD26" s="5">
        <f t="shared" ref="AD26:AL26" si="28">IF(AD12&lt;$R$7,$P$10,$R$10)*AD12</f>
        <v>0</v>
      </c>
      <c r="AE26" s="5">
        <f t="shared" si="28"/>
        <v>0</v>
      </c>
      <c r="AF26" s="5">
        <f t="shared" si="28"/>
        <v>0</v>
      </c>
      <c r="AG26" s="5">
        <f t="shared" si="28"/>
        <v>0</v>
      </c>
      <c r="AH26" s="5">
        <f t="shared" si="28"/>
        <v>0</v>
      </c>
      <c r="AI26" s="5">
        <f t="shared" si="28"/>
        <v>38603.333333333328</v>
      </c>
      <c r="AJ26" s="5">
        <f t="shared" si="28"/>
        <v>38603.333333333328</v>
      </c>
      <c r="AK26" s="5">
        <f t="shared" si="28"/>
        <v>38603.333333333328</v>
      </c>
      <c r="AL26" s="5">
        <f t="shared" si="28"/>
        <v>38603.333333333328</v>
      </c>
      <c r="AM26" s="5">
        <f>SUM(AI26:AL26)</f>
        <v>154413.33333333331</v>
      </c>
      <c r="AN26" s="5">
        <f t="shared" si="22"/>
        <v>115809.99999999997</v>
      </c>
      <c r="AO26" s="5">
        <f t="shared" si="22"/>
        <v>115809.99999999997</v>
      </c>
      <c r="AP26" s="5">
        <f t="shared" si="22"/>
        <v>115809.99999999997</v>
      </c>
      <c r="AQ26" s="5">
        <f t="shared" si="22"/>
        <v>115809.99999999997</v>
      </c>
      <c r="AR26" s="22">
        <f>SUM(AN26:AQ26)</f>
        <v>463239.99999999988</v>
      </c>
    </row>
    <row r="27" spans="2:44" x14ac:dyDescent="0.2">
      <c r="B27" s="8"/>
      <c r="C27" s="27" t="s">
        <v>285</v>
      </c>
      <c r="D27" s="27"/>
      <c r="E27" s="27"/>
      <c r="F27" s="235"/>
      <c r="G27" s="250">
        <v>200</v>
      </c>
      <c r="H27" s="15">
        <f t="shared" si="23"/>
        <v>0</v>
      </c>
      <c r="I27" s="46"/>
      <c r="J27" s="46"/>
      <c r="K27" s="46"/>
      <c r="L27" s="46"/>
      <c r="M27" s="4"/>
      <c r="O27" s="8"/>
      <c r="P27" s="46"/>
      <c r="Q27" s="46"/>
      <c r="R27" s="46"/>
      <c r="S27" s="46"/>
      <c r="T27" s="46"/>
      <c r="U27" s="46"/>
      <c r="V27" s="46"/>
      <c r="W27" s="46"/>
      <c r="X27" s="4"/>
      <c r="Z27" s="6" t="str">
        <f>C24</f>
        <v xml:space="preserve">Country 1 </v>
      </c>
      <c r="AA27" s="122"/>
      <c r="AB27" s="122"/>
      <c r="AC27" s="122"/>
      <c r="AD27" s="5">
        <f t="shared" ref="AD27:AG30" si="29">IF(AD13&lt;$R$7,$P$10,$R$10)*AD13</f>
        <v>0</v>
      </c>
      <c r="AE27" s="5">
        <f t="shared" si="29"/>
        <v>0</v>
      </c>
      <c r="AF27" s="5">
        <f t="shared" si="29"/>
        <v>0</v>
      </c>
      <c r="AG27" s="5">
        <f t="shared" si="29"/>
        <v>0</v>
      </c>
      <c r="AH27" s="5">
        <f t="shared" ref="AH27:AL30" si="30">IF(AH13&lt;$R$7,$P$10,$R$10)*AH13</f>
        <v>0</v>
      </c>
      <c r="AI27" s="5">
        <f t="shared" si="30"/>
        <v>14800</v>
      </c>
      <c r="AJ27" s="5">
        <f t="shared" si="30"/>
        <v>14800</v>
      </c>
      <c r="AK27" s="5">
        <f t="shared" si="30"/>
        <v>14800</v>
      </c>
      <c r="AL27" s="5">
        <f t="shared" si="30"/>
        <v>14800</v>
      </c>
      <c r="AM27" s="5">
        <f t="shared" ref="AM27:AM30" si="31">SUM(AI27:AL27)</f>
        <v>59200</v>
      </c>
      <c r="AN27" s="5">
        <f t="shared" ref="AN27:AQ30" si="32">IF(AN13&lt;$R$7,$P$10,$R$10)*AN13</f>
        <v>44400</v>
      </c>
      <c r="AO27" s="5">
        <f t="shared" si="32"/>
        <v>44400</v>
      </c>
      <c r="AP27" s="5">
        <f t="shared" si="32"/>
        <v>44400</v>
      </c>
      <c r="AQ27" s="5">
        <f t="shared" si="32"/>
        <v>44400</v>
      </c>
      <c r="AR27" s="22">
        <f t="shared" ref="AR27:AR30" si="33">SUM(AN27:AQ27)</f>
        <v>177600</v>
      </c>
    </row>
    <row r="28" spans="2:44" x14ac:dyDescent="0.2">
      <c r="B28" s="8"/>
      <c r="C28" s="12" t="s">
        <v>0</v>
      </c>
      <c r="D28" s="12"/>
      <c r="E28" s="12"/>
      <c r="F28" s="11">
        <f>SUM(F20:F27)</f>
        <v>231657.52799999999</v>
      </c>
      <c r="G28" s="11"/>
      <c r="H28" s="11">
        <f>SUM(H20:H27)</f>
        <v>51934940.154666662</v>
      </c>
      <c r="I28" s="46"/>
      <c r="J28" s="46"/>
      <c r="K28" s="46"/>
      <c r="L28" s="46"/>
      <c r="M28" s="4"/>
      <c r="O28" s="8"/>
      <c r="P28" s="46"/>
      <c r="Q28" s="46"/>
      <c r="R28" s="46"/>
      <c r="S28" s="46"/>
      <c r="T28" s="46"/>
      <c r="U28" s="46"/>
      <c r="V28" s="46"/>
      <c r="W28" s="46"/>
      <c r="X28" s="4"/>
      <c r="Z28" s="6" t="str">
        <f>C25</f>
        <v>Country 2</v>
      </c>
      <c r="AA28" s="122"/>
      <c r="AB28" s="122"/>
      <c r="AC28" s="122"/>
      <c r="AD28" s="5">
        <f t="shared" si="29"/>
        <v>0</v>
      </c>
      <c r="AE28" s="5">
        <f t="shared" si="29"/>
        <v>0</v>
      </c>
      <c r="AF28" s="5">
        <f t="shared" si="29"/>
        <v>0</v>
      </c>
      <c r="AG28" s="5">
        <f t="shared" si="29"/>
        <v>0</v>
      </c>
      <c r="AH28" s="5">
        <f t="shared" si="30"/>
        <v>0</v>
      </c>
      <c r="AI28" s="5">
        <f t="shared" si="30"/>
        <v>0</v>
      </c>
      <c r="AJ28" s="5">
        <f t="shared" si="30"/>
        <v>0</v>
      </c>
      <c r="AK28" s="5">
        <f t="shared" si="30"/>
        <v>0</v>
      </c>
      <c r="AL28" s="5">
        <f t="shared" si="30"/>
        <v>0</v>
      </c>
      <c r="AM28" s="5">
        <f t="shared" si="31"/>
        <v>0</v>
      </c>
      <c r="AN28" s="5">
        <f t="shared" si="32"/>
        <v>0</v>
      </c>
      <c r="AO28" s="5">
        <f t="shared" si="32"/>
        <v>0</v>
      </c>
      <c r="AP28" s="5">
        <f t="shared" si="32"/>
        <v>0</v>
      </c>
      <c r="AQ28" s="5">
        <f t="shared" si="32"/>
        <v>0</v>
      </c>
      <c r="AR28" s="22">
        <f t="shared" si="33"/>
        <v>0</v>
      </c>
    </row>
    <row r="29" spans="2:44" x14ac:dyDescent="0.2">
      <c r="B29" s="8"/>
      <c r="I29" s="46"/>
      <c r="J29" s="46"/>
      <c r="K29" s="46"/>
      <c r="L29" s="46"/>
      <c r="M29" s="4"/>
      <c r="O29" s="8"/>
      <c r="P29" s="46"/>
      <c r="Q29" s="46"/>
      <c r="R29" s="46"/>
      <c r="S29" s="46"/>
      <c r="T29" s="46"/>
      <c r="U29" s="46"/>
      <c r="V29" s="46"/>
      <c r="W29" s="46"/>
      <c r="X29" s="4"/>
      <c r="Z29" s="6" t="str">
        <f>C26</f>
        <v>Country 3</v>
      </c>
      <c r="AA29" s="122"/>
      <c r="AB29" s="122"/>
      <c r="AC29" s="122"/>
      <c r="AD29" s="5">
        <f t="shared" si="29"/>
        <v>0</v>
      </c>
      <c r="AE29" s="5">
        <f t="shared" si="29"/>
        <v>0</v>
      </c>
      <c r="AF29" s="5">
        <f t="shared" si="29"/>
        <v>0</v>
      </c>
      <c r="AG29" s="5">
        <f t="shared" si="29"/>
        <v>0</v>
      </c>
      <c r="AH29" s="5">
        <f t="shared" si="30"/>
        <v>0</v>
      </c>
      <c r="AI29" s="5">
        <f t="shared" si="30"/>
        <v>0</v>
      </c>
      <c r="AJ29" s="5">
        <f t="shared" si="30"/>
        <v>0</v>
      </c>
      <c r="AK29" s="5">
        <f t="shared" si="30"/>
        <v>0</v>
      </c>
      <c r="AL29" s="5">
        <f t="shared" si="30"/>
        <v>0</v>
      </c>
      <c r="AM29" s="5">
        <f t="shared" si="31"/>
        <v>0</v>
      </c>
      <c r="AN29" s="5">
        <f t="shared" si="32"/>
        <v>0</v>
      </c>
      <c r="AO29" s="5">
        <f t="shared" si="32"/>
        <v>0</v>
      </c>
      <c r="AP29" s="5">
        <f t="shared" si="32"/>
        <v>0</v>
      </c>
      <c r="AQ29" s="5">
        <f t="shared" si="32"/>
        <v>0</v>
      </c>
      <c r="AR29" s="22">
        <f t="shared" si="33"/>
        <v>0</v>
      </c>
    </row>
    <row r="30" spans="2:44" x14ac:dyDescent="0.2">
      <c r="B30" s="8"/>
      <c r="I30" s="46"/>
      <c r="J30" s="46"/>
      <c r="K30" s="46"/>
      <c r="L30" s="46"/>
      <c r="M30" s="4"/>
      <c r="O30" s="8"/>
      <c r="P30" s="46"/>
      <c r="Q30" s="46"/>
      <c r="R30" s="46"/>
      <c r="S30" s="46"/>
      <c r="T30" s="46"/>
      <c r="U30" s="46"/>
      <c r="V30" s="46"/>
      <c r="W30" s="46"/>
      <c r="X30" s="4"/>
      <c r="Z30" s="6" t="str">
        <f>C27</f>
        <v>Country 4</v>
      </c>
      <c r="AA30" s="122"/>
      <c r="AB30" s="122"/>
      <c r="AC30" s="122"/>
      <c r="AD30" s="5">
        <f t="shared" si="29"/>
        <v>0</v>
      </c>
      <c r="AE30" s="5">
        <f t="shared" si="29"/>
        <v>0</v>
      </c>
      <c r="AF30" s="27"/>
      <c r="AG30" s="5">
        <f t="shared" ref="AG30" si="34">IF(AG16&lt;$R$7,$P$10,$R$10)*AG16</f>
        <v>0</v>
      </c>
      <c r="AH30" s="5">
        <f t="shared" si="30"/>
        <v>0</v>
      </c>
      <c r="AI30" s="5">
        <f>IF(AI16&lt;$R$7,$P$10,$R$10)*AI16</f>
        <v>0</v>
      </c>
      <c r="AJ30" s="5">
        <f t="shared" ref="AJ30:AL30" si="35">IF(AJ16&lt;$R$7,$P$10,$R$10)*AJ16</f>
        <v>0</v>
      </c>
      <c r="AK30" s="5">
        <f t="shared" si="35"/>
        <v>0</v>
      </c>
      <c r="AL30" s="5">
        <f t="shared" si="35"/>
        <v>0</v>
      </c>
      <c r="AM30" s="5">
        <f t="shared" si="31"/>
        <v>0</v>
      </c>
      <c r="AN30" s="5">
        <f t="shared" si="32"/>
        <v>0</v>
      </c>
      <c r="AO30" s="5">
        <f t="shared" si="32"/>
        <v>0</v>
      </c>
      <c r="AP30" s="5">
        <f t="shared" si="32"/>
        <v>0</v>
      </c>
      <c r="AQ30" s="5">
        <f t="shared" si="32"/>
        <v>0</v>
      </c>
      <c r="AR30" s="22">
        <f t="shared" si="33"/>
        <v>0</v>
      </c>
    </row>
    <row r="31" spans="2:44" x14ac:dyDescent="0.2">
      <c r="B31" s="8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"/>
      <c r="O31" s="138" t="s">
        <v>213</v>
      </c>
      <c r="P31" s="46"/>
      <c r="Q31" s="46"/>
      <c r="R31" s="46"/>
      <c r="S31" s="46"/>
      <c r="T31" s="46"/>
      <c r="U31" s="46"/>
      <c r="V31" s="46"/>
      <c r="W31" s="46"/>
      <c r="X31" s="4"/>
      <c r="Z31" s="13" t="s">
        <v>0</v>
      </c>
      <c r="AA31" s="46"/>
      <c r="AB31" s="46"/>
      <c r="AC31" s="46"/>
      <c r="AD31" s="5">
        <f>SUM(AD23:AD30)</f>
        <v>12018.16756224</v>
      </c>
      <c r="AE31" s="5">
        <f t="shared" ref="AE31:AR31" si="36">SUM(AE23:AE30)</f>
        <v>35574.767364480002</v>
      </c>
      <c r="AF31" s="5">
        <f t="shared" si="36"/>
        <v>53362.151046719999</v>
      </c>
      <c r="AG31" s="5">
        <f t="shared" si="36"/>
        <v>76918.75084896</v>
      </c>
      <c r="AH31" s="5">
        <f t="shared" si="36"/>
        <v>177873.83682239999</v>
      </c>
      <c r="AI31" s="5">
        <f t="shared" si="36"/>
        <v>238188.8557293333</v>
      </c>
      <c r="AJ31" s="5">
        <f t="shared" si="36"/>
        <v>238188.8557293333</v>
      </c>
      <c r="AK31" s="5">
        <f t="shared" si="36"/>
        <v>238188.8557293333</v>
      </c>
      <c r="AL31" s="5">
        <f t="shared" si="36"/>
        <v>238188.8557293333</v>
      </c>
      <c r="AM31" s="5">
        <f t="shared" si="36"/>
        <v>952755.4229173332</v>
      </c>
      <c r="AN31" s="5">
        <f t="shared" si="36"/>
        <v>485304.20140000002</v>
      </c>
      <c r="AO31" s="5">
        <f t="shared" si="36"/>
        <v>485304.20140000002</v>
      </c>
      <c r="AP31" s="5">
        <f t="shared" si="36"/>
        <v>485304.20140000002</v>
      </c>
      <c r="AQ31" s="5">
        <f t="shared" si="36"/>
        <v>485304.20140000002</v>
      </c>
      <c r="AR31" s="22">
        <f t="shared" si="36"/>
        <v>1941216.8056000001</v>
      </c>
    </row>
    <row r="32" spans="2:44" ht="15" customHeight="1" thickBot="1" x14ac:dyDescent="0.25">
      <c r="B32" s="8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"/>
      <c r="O32" s="8"/>
      <c r="P32" s="46"/>
      <c r="Q32" s="46"/>
      <c r="R32" s="46"/>
      <c r="S32" s="46"/>
      <c r="T32" s="46"/>
      <c r="U32" s="46"/>
      <c r="V32" s="46"/>
      <c r="W32" s="46"/>
      <c r="X32" s="4"/>
      <c r="Z32" s="8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"/>
    </row>
    <row r="33" spans="2:44" ht="17" thickBot="1" x14ac:dyDescent="0.25">
      <c r="B33" s="8"/>
      <c r="C33" s="142" t="s">
        <v>14</v>
      </c>
      <c r="D33" s="46"/>
      <c r="E33" s="46"/>
      <c r="F33" s="46"/>
      <c r="G33" s="46"/>
      <c r="H33" s="46"/>
      <c r="I33" s="46"/>
      <c r="J33" s="46"/>
      <c r="K33" s="46"/>
      <c r="L33" s="46"/>
      <c r="M33" s="4"/>
      <c r="O33" s="139" t="s">
        <v>204</v>
      </c>
      <c r="P33" s="46"/>
      <c r="Q33" s="46"/>
      <c r="R33" s="46"/>
      <c r="S33" s="46"/>
      <c r="T33" s="46"/>
      <c r="U33" s="139" t="s">
        <v>217</v>
      </c>
      <c r="V33" s="46"/>
      <c r="W33" s="46"/>
      <c r="X33" s="4"/>
      <c r="Z33" s="8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"/>
    </row>
    <row r="34" spans="2:44" ht="48" x14ac:dyDescent="0.2">
      <c r="B34" s="8"/>
      <c r="C34" s="46"/>
      <c r="D34" s="21" t="s">
        <v>13</v>
      </c>
      <c r="E34" s="21" t="s">
        <v>12</v>
      </c>
      <c r="F34" s="21" t="s">
        <v>11</v>
      </c>
      <c r="G34" s="21" t="s">
        <v>10</v>
      </c>
      <c r="H34" s="21" t="s">
        <v>9</v>
      </c>
      <c r="I34" s="46"/>
      <c r="J34" s="46"/>
      <c r="K34" s="46"/>
      <c r="L34" s="46"/>
      <c r="M34" s="4"/>
      <c r="O34" s="8"/>
      <c r="P34" s="134" t="s">
        <v>205</v>
      </c>
      <c r="Q34" s="135" t="s">
        <v>206</v>
      </c>
      <c r="R34" s="135" t="s">
        <v>210</v>
      </c>
      <c r="S34" s="133"/>
      <c r="T34" s="46"/>
      <c r="U34" s="8"/>
      <c r="V34" s="134" t="s">
        <v>205</v>
      </c>
      <c r="W34" s="135" t="s">
        <v>206</v>
      </c>
      <c r="X34" s="147" t="s">
        <v>210</v>
      </c>
      <c r="Z34" s="8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"/>
    </row>
    <row r="35" spans="2:44" ht="17" x14ac:dyDescent="0.2">
      <c r="B35" s="8"/>
      <c r="C35" s="27" t="s">
        <v>199</v>
      </c>
      <c r="D35" s="14">
        <v>11.4</v>
      </c>
      <c r="E35" s="18">
        <f>F35/(D35*10)</f>
        <v>11.473684210526315</v>
      </c>
      <c r="F35" s="17">
        <v>1308</v>
      </c>
      <c r="G35" s="17">
        <v>33</v>
      </c>
      <c r="H35" s="14">
        <f>G35*F35</f>
        <v>43164</v>
      </c>
      <c r="I35" s="46"/>
      <c r="J35" s="46"/>
      <c r="K35" s="46"/>
      <c r="L35" s="46"/>
      <c r="M35" s="4"/>
      <c r="O35" s="6" t="s">
        <v>212</v>
      </c>
      <c r="P35" s="17">
        <v>5.66</v>
      </c>
      <c r="Q35" s="17">
        <v>11.85</v>
      </c>
      <c r="R35" s="42">
        <f>P35*$P$40</f>
        <v>0.33960000000000001</v>
      </c>
      <c r="S35" s="94"/>
      <c r="T35" s="46"/>
      <c r="U35" s="6" t="s">
        <v>223</v>
      </c>
      <c r="V35" s="17">
        <v>28</v>
      </c>
      <c r="W35" s="17">
        <v>0.62</v>
      </c>
      <c r="X35" s="148">
        <f>V40*V35</f>
        <v>1.68</v>
      </c>
      <c r="Z35" s="8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"/>
    </row>
    <row r="36" spans="2:44" ht="17" x14ac:dyDescent="0.2">
      <c r="B36" s="8"/>
      <c r="C36" s="27" t="s">
        <v>200</v>
      </c>
      <c r="D36" s="14">
        <v>66.989999999999995</v>
      </c>
      <c r="E36" s="18">
        <v>24.4</v>
      </c>
      <c r="F36" s="17">
        <v>16345</v>
      </c>
      <c r="G36" s="17">
        <v>33</v>
      </c>
      <c r="H36" s="14">
        <f>F36*G36</f>
        <v>539385</v>
      </c>
      <c r="I36" s="46"/>
      <c r="J36" s="46"/>
      <c r="K36" s="46"/>
      <c r="L36" s="46"/>
      <c r="M36" s="4"/>
      <c r="O36" s="6" t="s">
        <v>214</v>
      </c>
      <c r="P36" s="42">
        <f>82/7</f>
        <v>11.714285714285714</v>
      </c>
      <c r="Q36" s="17">
        <v>0</v>
      </c>
      <c r="R36" s="42">
        <f t="shared" ref="R36:R37" si="37">P36*$P$40</f>
        <v>0.70285714285714274</v>
      </c>
      <c r="S36" s="94"/>
      <c r="T36" s="46"/>
      <c r="U36" s="6" t="s">
        <v>224</v>
      </c>
      <c r="V36" s="42">
        <f>190/7</f>
        <v>27.142857142857142</v>
      </c>
      <c r="W36" s="17">
        <v>0</v>
      </c>
      <c r="X36" s="148">
        <f>V40*V36</f>
        <v>1.6285714285714286</v>
      </c>
      <c r="Z36" s="8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"/>
    </row>
    <row r="37" spans="2:44" ht="17" x14ac:dyDescent="0.2">
      <c r="B37" s="8"/>
      <c r="C37" s="27" t="s">
        <v>201</v>
      </c>
      <c r="D37" s="14">
        <v>60.48</v>
      </c>
      <c r="E37" s="16">
        <v>5.0199999999999996</v>
      </c>
      <c r="F37" s="15">
        <f>E37*10*D37*(1.2^5)</f>
        <v>7554.7783987199982</v>
      </c>
      <c r="G37" s="17">
        <v>33</v>
      </c>
      <c r="H37" s="15">
        <f>F37*G37</f>
        <v>249307.68715775994</v>
      </c>
      <c r="I37" s="46"/>
      <c r="J37" s="46"/>
      <c r="K37" s="46"/>
      <c r="L37" s="46"/>
      <c r="M37" s="4"/>
      <c r="O37" s="6" t="s">
        <v>2</v>
      </c>
      <c r="P37" s="17">
        <v>5</v>
      </c>
      <c r="Q37" s="17">
        <v>0</v>
      </c>
      <c r="R37" s="42">
        <f t="shared" si="37"/>
        <v>0.3</v>
      </c>
      <c r="S37" s="94"/>
      <c r="T37" s="46"/>
      <c r="U37" s="6" t="s">
        <v>2</v>
      </c>
      <c r="V37" s="17"/>
      <c r="W37" s="17"/>
      <c r="X37" s="148"/>
      <c r="Z37" s="8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"/>
    </row>
    <row r="38" spans="2:44" x14ac:dyDescent="0.2">
      <c r="B38" s="8"/>
      <c r="C38" s="27" t="s">
        <v>1</v>
      </c>
      <c r="D38" s="14">
        <v>82.79</v>
      </c>
      <c r="E38" s="15"/>
      <c r="F38" s="14"/>
      <c r="G38" s="14"/>
      <c r="H38" s="14"/>
      <c r="I38" s="46"/>
      <c r="J38" s="46"/>
      <c r="K38" s="46"/>
      <c r="L38" s="46"/>
      <c r="M38" s="4"/>
      <c r="O38" s="6" t="s">
        <v>1</v>
      </c>
      <c r="P38" s="17" t="s">
        <v>208</v>
      </c>
      <c r="Q38" s="17" t="s">
        <v>207</v>
      </c>
      <c r="R38" s="42" t="s">
        <v>207</v>
      </c>
      <c r="S38" s="94"/>
      <c r="T38" s="46"/>
      <c r="U38" s="6" t="s">
        <v>1</v>
      </c>
      <c r="V38" s="17"/>
      <c r="W38" s="17"/>
      <c r="X38" s="148"/>
      <c r="Z38" s="8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"/>
    </row>
    <row r="39" spans="2:44" x14ac:dyDescent="0.2">
      <c r="B39" s="8"/>
      <c r="C39" s="12" t="s">
        <v>0</v>
      </c>
      <c r="D39" s="12"/>
      <c r="E39" s="12"/>
      <c r="F39" s="11">
        <f>SUM(F35:F38)</f>
        <v>25207.778398719998</v>
      </c>
      <c r="G39" s="11"/>
      <c r="H39" s="11">
        <f>SUM(H35:H38)</f>
        <v>831856.68715775991</v>
      </c>
      <c r="I39" s="46"/>
      <c r="J39" s="46"/>
      <c r="K39" s="46"/>
      <c r="L39" s="46"/>
      <c r="M39" s="4"/>
      <c r="O39" s="8"/>
      <c r="P39" s="46"/>
      <c r="Q39" s="46"/>
      <c r="R39" s="46"/>
      <c r="S39" s="46"/>
      <c r="T39" s="46"/>
      <c r="U39" s="46"/>
      <c r="V39" s="46"/>
      <c r="W39" s="46"/>
      <c r="X39" s="4"/>
      <c r="Z39" s="8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"/>
    </row>
    <row r="40" spans="2:44" x14ac:dyDescent="0.2">
      <c r="B40" s="8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"/>
      <c r="O40" s="6" t="s">
        <v>209</v>
      </c>
      <c r="P40" s="137">
        <v>0.06</v>
      </c>
      <c r="Q40" s="46"/>
      <c r="R40" s="46"/>
      <c r="S40" s="46"/>
      <c r="T40" s="46"/>
      <c r="U40" s="27" t="s">
        <v>209</v>
      </c>
      <c r="V40" s="137">
        <v>0.06</v>
      </c>
      <c r="W40" s="46"/>
      <c r="X40" s="4"/>
      <c r="Z40" s="8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"/>
    </row>
    <row r="41" spans="2:44" ht="16" thickBot="1" x14ac:dyDescent="0.25">
      <c r="B41" s="8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"/>
      <c r="O41" s="7"/>
      <c r="P41" s="3"/>
      <c r="Q41" s="3"/>
      <c r="R41" s="3"/>
      <c r="S41" s="3"/>
      <c r="T41" s="3"/>
      <c r="U41" s="3"/>
      <c r="V41" s="3"/>
      <c r="W41" s="3"/>
      <c r="X41" s="2"/>
      <c r="Z41" s="8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"/>
    </row>
    <row r="42" spans="2:44" x14ac:dyDescent="0.2">
      <c r="B42" s="8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"/>
      <c r="Z42" s="8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"/>
    </row>
    <row r="43" spans="2:44" x14ac:dyDescent="0.2">
      <c r="B43" s="8"/>
      <c r="C43" s="140" t="s">
        <v>40</v>
      </c>
      <c r="D43" s="46"/>
      <c r="E43" s="46"/>
      <c r="F43" s="46"/>
      <c r="G43" s="46"/>
      <c r="H43" s="46"/>
      <c r="I43" s="46"/>
      <c r="J43" s="46"/>
      <c r="K43" s="46"/>
      <c r="L43" s="46"/>
      <c r="M43" s="4"/>
      <c r="Z43" s="8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  <c r="AO43" s="46"/>
      <c r="AP43" s="46"/>
      <c r="AQ43" s="46"/>
      <c r="AR43" s="4"/>
    </row>
    <row r="44" spans="2:44" x14ac:dyDescent="0.2">
      <c r="B44" s="8">
        <v>1</v>
      </c>
      <c r="C44" s="46" t="s">
        <v>155</v>
      </c>
      <c r="D44" s="46"/>
      <c r="E44" s="46"/>
      <c r="F44" s="46"/>
      <c r="G44" s="46"/>
      <c r="H44" s="46"/>
      <c r="I44" s="46"/>
      <c r="J44" s="46"/>
      <c r="K44" s="46"/>
      <c r="L44" s="46"/>
      <c r="M44" s="4"/>
      <c r="Z44" s="8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"/>
    </row>
    <row r="45" spans="2:44" x14ac:dyDescent="0.2">
      <c r="B45" s="8">
        <v>2</v>
      </c>
      <c r="C45" s="46" t="s">
        <v>220</v>
      </c>
      <c r="D45" s="46"/>
      <c r="E45" s="46"/>
      <c r="F45" s="46"/>
      <c r="G45" s="46"/>
      <c r="H45" s="46"/>
      <c r="I45" s="46"/>
      <c r="J45" s="46"/>
      <c r="K45" s="46"/>
      <c r="L45" s="46"/>
      <c r="M45" s="4"/>
      <c r="Z45" s="8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6"/>
      <c r="AN45" s="46"/>
      <c r="AO45" s="46"/>
      <c r="AP45" s="46"/>
      <c r="AQ45" s="46"/>
      <c r="AR45" s="4"/>
    </row>
    <row r="46" spans="2:44" ht="16" thickBot="1" x14ac:dyDescent="0.25">
      <c r="B46" s="8">
        <v>3</v>
      </c>
      <c r="C46" s="46" t="s">
        <v>215</v>
      </c>
      <c r="D46" s="46"/>
      <c r="E46" s="46"/>
      <c r="F46" s="46"/>
      <c r="G46" s="46"/>
      <c r="H46" s="46"/>
      <c r="I46" s="46"/>
      <c r="J46" s="46"/>
      <c r="K46" s="46"/>
      <c r="L46" s="46"/>
      <c r="M46" s="4"/>
      <c r="Z46" s="7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2"/>
    </row>
    <row r="47" spans="2:44" ht="16" thickBot="1" x14ac:dyDescent="0.25">
      <c r="B47" s="8">
        <v>4</v>
      </c>
      <c r="C47" s="98" t="s">
        <v>219</v>
      </c>
      <c r="D47" s="46"/>
      <c r="E47" s="46"/>
      <c r="F47" s="46"/>
      <c r="G47" s="46"/>
      <c r="H47" s="46"/>
      <c r="I47" s="46"/>
      <c r="J47" s="46"/>
      <c r="K47" s="46"/>
      <c r="L47" s="46"/>
      <c r="M47" s="4"/>
    </row>
    <row r="48" spans="2:44" x14ac:dyDescent="0.2">
      <c r="B48" s="8">
        <v>5</v>
      </c>
      <c r="C48" s="46" t="s">
        <v>216</v>
      </c>
      <c r="D48" s="46"/>
      <c r="E48" s="46"/>
      <c r="F48" s="46"/>
      <c r="G48" s="46"/>
      <c r="H48" s="46"/>
      <c r="I48" s="46"/>
      <c r="J48" s="46"/>
      <c r="K48" s="46"/>
      <c r="L48" s="46"/>
      <c r="M48" s="4"/>
      <c r="Z48" s="284" t="s">
        <v>213</v>
      </c>
      <c r="AA48" s="285"/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  <c r="AM48" s="45"/>
      <c r="AN48" s="45"/>
      <c r="AO48" s="45"/>
      <c r="AP48" s="45"/>
      <c r="AQ48" s="45"/>
      <c r="AR48" s="44"/>
    </row>
    <row r="49" spans="2:44" ht="16" thickBot="1" x14ac:dyDescent="0.25">
      <c r="B49" s="7">
        <v>6</v>
      </c>
      <c r="C49" s="141" t="s">
        <v>221</v>
      </c>
      <c r="D49" s="3"/>
      <c r="E49" s="3"/>
      <c r="F49" s="3"/>
      <c r="G49" s="3"/>
      <c r="H49" s="3"/>
      <c r="I49" s="3"/>
      <c r="J49" s="3"/>
      <c r="K49" s="3"/>
      <c r="L49" s="3"/>
      <c r="M49" s="2"/>
      <c r="Z49" s="288" t="s">
        <v>16</v>
      </c>
      <c r="AA49" s="289"/>
      <c r="AB49" s="289"/>
      <c r="AC49" s="289"/>
      <c r="AD49" s="289"/>
      <c r="AE49" s="289"/>
      <c r="AF49" s="289"/>
      <c r="AG49" s="289"/>
      <c r="AH49" s="289"/>
      <c r="AI49" s="289"/>
      <c r="AJ49" s="289"/>
      <c r="AK49" s="289"/>
      <c r="AL49" s="289"/>
      <c r="AM49" s="289"/>
      <c r="AN49" s="289"/>
      <c r="AO49" s="289"/>
      <c r="AP49" s="289"/>
      <c r="AQ49" s="289"/>
      <c r="AR49" s="290"/>
    </row>
    <row r="50" spans="2:44" ht="16" thickBot="1" x14ac:dyDescent="0.25">
      <c r="Z50" s="23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"/>
    </row>
    <row r="51" spans="2:44" ht="16" x14ac:dyDescent="0.2">
      <c r="B51" s="116" t="s">
        <v>139</v>
      </c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80"/>
      <c r="Z51" s="10" t="s">
        <v>8</v>
      </c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"/>
    </row>
    <row r="52" spans="2:44" x14ac:dyDescent="0.2">
      <c r="B52" s="81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3"/>
      <c r="Z52" s="8"/>
      <c r="AA52" s="46"/>
      <c r="AB52" s="46"/>
      <c r="AC52" s="46"/>
      <c r="AD52" s="291" t="s">
        <v>97</v>
      </c>
      <c r="AE52" s="291"/>
      <c r="AF52" s="291"/>
      <c r="AG52" s="291"/>
      <c r="AH52" s="291"/>
      <c r="AI52" s="291" t="s">
        <v>96</v>
      </c>
      <c r="AJ52" s="291"/>
      <c r="AK52" s="291"/>
      <c r="AL52" s="291"/>
      <c r="AM52" s="291"/>
      <c r="AN52" s="291" t="s">
        <v>15</v>
      </c>
      <c r="AO52" s="291"/>
      <c r="AP52" s="291"/>
      <c r="AQ52" s="291"/>
      <c r="AR52" s="292"/>
    </row>
    <row r="53" spans="2:44" x14ac:dyDescent="0.2">
      <c r="B53" s="118" t="s">
        <v>189</v>
      </c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3"/>
      <c r="Z53" s="8"/>
      <c r="AA53" s="58" t="s">
        <v>7</v>
      </c>
      <c r="AB53" s="55" t="s">
        <v>6</v>
      </c>
      <c r="AC53" s="58" t="s">
        <v>5</v>
      </c>
      <c r="AD53" s="17" t="s">
        <v>92</v>
      </c>
      <c r="AE53" s="17" t="s">
        <v>93</v>
      </c>
      <c r="AF53" s="17" t="s">
        <v>94</v>
      </c>
      <c r="AG53" s="17" t="s">
        <v>95</v>
      </c>
      <c r="AH53" s="54" t="s">
        <v>98</v>
      </c>
      <c r="AI53" s="17" t="s">
        <v>92</v>
      </c>
      <c r="AJ53" s="17" t="s">
        <v>93</v>
      </c>
      <c r="AK53" s="17" t="s">
        <v>94</v>
      </c>
      <c r="AL53" s="17" t="s">
        <v>95</v>
      </c>
      <c r="AM53" s="54" t="s">
        <v>99</v>
      </c>
      <c r="AN53" s="17" t="s">
        <v>92</v>
      </c>
      <c r="AO53" s="17" t="s">
        <v>93</v>
      </c>
      <c r="AP53" s="17" t="s">
        <v>94</v>
      </c>
      <c r="AQ53" s="17" t="s">
        <v>95</v>
      </c>
      <c r="AR53" s="76" t="s">
        <v>100</v>
      </c>
    </row>
    <row r="54" spans="2:44" x14ac:dyDescent="0.2">
      <c r="B54" s="81" t="s">
        <v>233</v>
      </c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3"/>
      <c r="Z54" s="6" t="s">
        <v>4</v>
      </c>
      <c r="AA54" s="28">
        <v>0.02</v>
      </c>
      <c r="AB54" s="56">
        <v>0.1</v>
      </c>
      <c r="AC54" s="20">
        <v>0.2</v>
      </c>
      <c r="AD54" s="59">
        <f>0%*AH54</f>
        <v>0</v>
      </c>
      <c r="AE54" s="59">
        <f>20%*AH54</f>
        <v>2578.3440000000005</v>
      </c>
      <c r="AF54" s="59">
        <f>30%*AH54</f>
        <v>3867.5160000000001</v>
      </c>
      <c r="AG54" s="59">
        <f>50%*AH54</f>
        <v>6445.8600000000006</v>
      </c>
      <c r="AH54" s="5">
        <f>AA54*H20</f>
        <v>12891.720000000001</v>
      </c>
      <c r="AI54" s="5">
        <f>25%*$AM54</f>
        <v>16114.650000000001</v>
      </c>
      <c r="AJ54" s="5">
        <f t="shared" ref="AJ54:AL54" si="38">25%*$AM$9</f>
        <v>16114.650000000001</v>
      </c>
      <c r="AK54" s="5">
        <f t="shared" si="38"/>
        <v>16114.650000000001</v>
      </c>
      <c r="AL54" s="5">
        <f t="shared" si="38"/>
        <v>16114.650000000001</v>
      </c>
      <c r="AM54" s="5">
        <f>AB54*H20</f>
        <v>64458.600000000006</v>
      </c>
      <c r="AN54" s="5">
        <f>25%*$AR$9</f>
        <v>32229.300000000003</v>
      </c>
      <c r="AO54" s="5">
        <f t="shared" ref="AO54:AQ54" si="39">25%*$AR$9</f>
        <v>32229.300000000003</v>
      </c>
      <c r="AP54" s="5">
        <f t="shared" si="39"/>
        <v>32229.300000000003</v>
      </c>
      <c r="AQ54" s="5">
        <f t="shared" si="39"/>
        <v>32229.300000000003</v>
      </c>
      <c r="AR54" s="22">
        <f>AC54*H20</f>
        <v>128917.20000000001</v>
      </c>
    </row>
    <row r="55" spans="2:44" x14ac:dyDescent="0.2">
      <c r="B55" s="81" t="s">
        <v>256</v>
      </c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3"/>
      <c r="Z55" s="6" t="s">
        <v>3</v>
      </c>
      <c r="AA55" s="28">
        <v>0.01</v>
      </c>
      <c r="AB55" s="56">
        <v>0.05</v>
      </c>
      <c r="AC55" s="20">
        <v>0.15</v>
      </c>
      <c r="AD55" s="59">
        <f>0%*AH55</f>
        <v>0</v>
      </c>
      <c r="AE55" s="59">
        <f>20%*AH55</f>
        <v>28606.608000000004</v>
      </c>
      <c r="AF55" s="59">
        <f>30%*AH55</f>
        <v>42909.912000000004</v>
      </c>
      <c r="AG55" s="59">
        <f>50%*AH55</f>
        <v>71516.52</v>
      </c>
      <c r="AH55" s="5">
        <f>AA55*H21</f>
        <v>143033.04</v>
      </c>
      <c r="AI55" s="5">
        <f>25%*$AM$10</f>
        <v>178791.30000000002</v>
      </c>
      <c r="AJ55" s="5">
        <f t="shared" ref="AJ55:AL55" si="40">25%*$AM$10</f>
        <v>178791.30000000002</v>
      </c>
      <c r="AK55" s="5">
        <f t="shared" si="40"/>
        <v>178791.30000000002</v>
      </c>
      <c r="AL55" s="5">
        <f t="shared" si="40"/>
        <v>178791.30000000002</v>
      </c>
      <c r="AM55" s="5">
        <f>AB55*H21</f>
        <v>715165.20000000007</v>
      </c>
      <c r="AN55" s="5">
        <f>25%*$AR$10</f>
        <v>536373.9</v>
      </c>
      <c r="AO55" s="5">
        <f t="shared" ref="AO55:AP55" si="41">25%*$AR$10</f>
        <v>536373.9</v>
      </c>
      <c r="AP55" s="5">
        <f t="shared" si="41"/>
        <v>536373.9</v>
      </c>
      <c r="AQ55" s="5">
        <f>25%*$AR$10</f>
        <v>536373.9</v>
      </c>
      <c r="AR55" s="22">
        <f>AC55*H21</f>
        <v>2145495.6</v>
      </c>
    </row>
    <row r="56" spans="2:44" x14ac:dyDescent="0.2">
      <c r="B56" s="81" t="s">
        <v>231</v>
      </c>
      <c r="C56" s="82"/>
      <c r="D56" s="82"/>
      <c r="E56" s="82"/>
      <c r="F56" s="82"/>
      <c r="G56" s="82"/>
      <c r="H56" s="82"/>
      <c r="I56" s="82"/>
      <c r="J56" s="82"/>
      <c r="K56" s="82"/>
      <c r="L56" s="82"/>
      <c r="M56" s="83"/>
      <c r="Z56" s="6" t="s">
        <v>2</v>
      </c>
      <c r="AA56" s="28">
        <v>0.05</v>
      </c>
      <c r="AB56" s="56">
        <v>0.12</v>
      </c>
      <c r="AC56" s="20">
        <v>0.25</v>
      </c>
      <c r="AD56" s="59">
        <f>10%*AH56</f>
        <v>40601.917440000005</v>
      </c>
      <c r="AE56" s="59">
        <f>20%*AH56</f>
        <v>81203.834880000009</v>
      </c>
      <c r="AF56" s="59">
        <f>30%*AH56</f>
        <v>121805.75232</v>
      </c>
      <c r="AG56" s="59">
        <f>40%*AH56</f>
        <v>162407.66976000002</v>
      </c>
      <c r="AH56" s="5">
        <f>AA56*H22</f>
        <v>406019.17440000002</v>
      </c>
      <c r="AI56" s="5">
        <f t="shared" ref="AI56:AL57" si="42">25%*$AM56</f>
        <v>243611.50464</v>
      </c>
      <c r="AJ56" s="5">
        <f t="shared" si="42"/>
        <v>243611.50464</v>
      </c>
      <c r="AK56" s="5">
        <f t="shared" si="42"/>
        <v>243611.50464</v>
      </c>
      <c r="AL56" s="5">
        <f t="shared" si="42"/>
        <v>243611.50464</v>
      </c>
      <c r="AM56" s="5">
        <f>AB56*H22</f>
        <v>974446.01856</v>
      </c>
      <c r="AN56" s="5">
        <f>25%*$AR$11</f>
        <v>507523.96799999999</v>
      </c>
      <c r="AO56" s="5">
        <f t="shared" ref="AO56:AQ56" si="43">25%*$AR$11</f>
        <v>507523.96799999999</v>
      </c>
      <c r="AP56" s="5">
        <f t="shared" si="43"/>
        <v>507523.96799999999</v>
      </c>
      <c r="AQ56" s="5">
        <f t="shared" si="43"/>
        <v>507523.96799999999</v>
      </c>
      <c r="AR56" s="22">
        <f>AC56*H22</f>
        <v>2030095.872</v>
      </c>
    </row>
    <row r="57" spans="2:44" x14ac:dyDescent="0.2">
      <c r="B57" s="81" t="s">
        <v>232</v>
      </c>
      <c r="C57" s="82"/>
      <c r="D57" s="82"/>
      <c r="E57" s="82"/>
      <c r="F57" s="82"/>
      <c r="G57" s="82"/>
      <c r="H57" s="82"/>
      <c r="I57" s="82"/>
      <c r="J57" s="82"/>
      <c r="K57" s="82"/>
      <c r="L57" s="82"/>
      <c r="M57" s="83"/>
      <c r="Z57" s="6" t="s">
        <v>1</v>
      </c>
      <c r="AA57" s="28">
        <v>0.01</v>
      </c>
      <c r="AB57" s="56">
        <v>0.03</v>
      </c>
      <c r="AC57" s="20">
        <v>0.08</v>
      </c>
      <c r="AD57" s="59">
        <f>0%*AH57</f>
        <v>0</v>
      </c>
      <c r="AE57" s="59">
        <f>20%*AH57</f>
        <v>41733.333333333336</v>
      </c>
      <c r="AF57" s="59">
        <f>30%*AH57</f>
        <v>62599.999999999993</v>
      </c>
      <c r="AG57" s="59">
        <f>50%*AH57</f>
        <v>104333.33333333333</v>
      </c>
      <c r="AH57" s="5">
        <f>AA57*H23</f>
        <v>208666.66666666666</v>
      </c>
      <c r="AI57" s="5">
        <f t="shared" si="42"/>
        <v>156499.99999999997</v>
      </c>
      <c r="AJ57" s="5">
        <f t="shared" si="42"/>
        <v>156499.99999999997</v>
      </c>
      <c r="AK57" s="5">
        <f t="shared" si="42"/>
        <v>156499.99999999997</v>
      </c>
      <c r="AL57" s="5">
        <f t="shared" si="42"/>
        <v>156499.99999999997</v>
      </c>
      <c r="AM57" s="5">
        <f>AB57*H23</f>
        <v>625999.99999999988</v>
      </c>
      <c r="AN57" s="5">
        <f>25%*$AR$12</f>
        <v>312999.99999999994</v>
      </c>
      <c r="AO57" s="5">
        <f t="shared" ref="AO57:AQ57" si="44">25%*$AR$12</f>
        <v>312999.99999999994</v>
      </c>
      <c r="AP57" s="5">
        <f t="shared" si="44"/>
        <v>312999.99999999994</v>
      </c>
      <c r="AQ57" s="5">
        <f t="shared" si="44"/>
        <v>312999.99999999994</v>
      </c>
      <c r="AR57" s="22">
        <f>AC57*H23</f>
        <v>1669333.3333333333</v>
      </c>
    </row>
    <row r="58" spans="2:44" x14ac:dyDescent="0.2">
      <c r="B58" s="81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3"/>
      <c r="Z58" s="6" t="s">
        <v>101</v>
      </c>
      <c r="AA58" s="46"/>
      <c r="AB58" s="46"/>
      <c r="AC58" s="46"/>
      <c r="AD58" s="57"/>
      <c r="AE58" s="57"/>
      <c r="AF58" s="57"/>
      <c r="AG58" s="57"/>
      <c r="AH58" s="5">
        <f>SUM(AH54:AH57)</f>
        <v>770610.60106666666</v>
      </c>
      <c r="AI58" s="57"/>
      <c r="AJ58" s="57"/>
      <c r="AK58" s="57"/>
      <c r="AL58" s="57"/>
      <c r="AM58" s="5">
        <f>SUM(AM54:AM57)</f>
        <v>2380069.81856</v>
      </c>
      <c r="AN58" s="57"/>
      <c r="AO58" s="57"/>
      <c r="AP58" s="57"/>
      <c r="AQ58" s="57"/>
      <c r="AR58" s="22">
        <f>SUM(AR54:AR57)</f>
        <v>5973842.0053333333</v>
      </c>
    </row>
    <row r="59" spans="2:44" x14ac:dyDescent="0.2">
      <c r="B59" s="81"/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3"/>
      <c r="Z59" s="8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"/>
    </row>
    <row r="60" spans="2:44" x14ac:dyDescent="0.2">
      <c r="B60" s="118" t="s">
        <v>218</v>
      </c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3"/>
      <c r="Z60" s="288" t="s">
        <v>225</v>
      </c>
      <c r="AA60" s="289"/>
      <c r="AB60" s="289"/>
      <c r="AC60" s="289"/>
      <c r="AD60" s="289"/>
      <c r="AE60" s="289"/>
      <c r="AF60" s="289"/>
      <c r="AG60" s="289"/>
      <c r="AH60" s="289"/>
      <c r="AI60" s="289"/>
      <c r="AJ60" s="289"/>
      <c r="AK60" s="289"/>
      <c r="AL60" s="289"/>
      <c r="AM60" s="289"/>
      <c r="AN60" s="289"/>
      <c r="AO60" s="289"/>
      <c r="AP60" s="289"/>
      <c r="AQ60" s="289"/>
      <c r="AR60" s="290"/>
    </row>
    <row r="61" spans="2:44" x14ac:dyDescent="0.2">
      <c r="B61" s="81" t="s">
        <v>222</v>
      </c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3"/>
      <c r="Z61" s="8"/>
      <c r="AA61" s="46"/>
      <c r="AB61" s="46"/>
      <c r="AC61" s="46"/>
      <c r="AD61" s="268" t="s">
        <v>97</v>
      </c>
      <c r="AE61" s="269"/>
      <c r="AF61" s="269"/>
      <c r="AG61" s="269"/>
      <c r="AH61" s="286"/>
      <c r="AI61" s="268" t="s">
        <v>96</v>
      </c>
      <c r="AJ61" s="269"/>
      <c r="AK61" s="269"/>
      <c r="AL61" s="269"/>
      <c r="AM61" s="286"/>
      <c r="AN61" s="268" t="s">
        <v>15</v>
      </c>
      <c r="AO61" s="269"/>
      <c r="AP61" s="269"/>
      <c r="AQ61" s="269"/>
      <c r="AR61" s="287"/>
    </row>
    <row r="62" spans="2:44" x14ac:dyDescent="0.2">
      <c r="B62" s="81" t="s">
        <v>250</v>
      </c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3"/>
      <c r="Z62" s="8"/>
      <c r="AA62" s="46"/>
      <c r="AB62" s="46"/>
      <c r="AC62" s="46"/>
      <c r="AD62" s="17" t="s">
        <v>92</v>
      </c>
      <c r="AE62" s="17" t="s">
        <v>93</v>
      </c>
      <c r="AF62" s="17" t="s">
        <v>94</v>
      </c>
      <c r="AG62" s="17" t="s">
        <v>95</v>
      </c>
      <c r="AH62" s="54" t="s">
        <v>98</v>
      </c>
      <c r="AI62" s="17" t="s">
        <v>92</v>
      </c>
      <c r="AJ62" s="17" t="s">
        <v>93</v>
      </c>
      <c r="AK62" s="17" t="s">
        <v>94</v>
      </c>
      <c r="AL62" s="17" t="s">
        <v>95</v>
      </c>
      <c r="AM62" s="54" t="s">
        <v>99</v>
      </c>
      <c r="AN62" s="17" t="s">
        <v>92</v>
      </c>
      <c r="AO62" s="17" t="s">
        <v>93</v>
      </c>
      <c r="AP62" s="17" t="s">
        <v>94</v>
      </c>
      <c r="AQ62" s="17" t="s">
        <v>95</v>
      </c>
      <c r="AR62" s="76" t="s">
        <v>100</v>
      </c>
    </row>
    <row r="63" spans="2:44" ht="16" thickBot="1" x14ac:dyDescent="0.25">
      <c r="B63" s="84" t="s">
        <v>257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2"/>
      <c r="Z63" s="6" t="s">
        <v>4</v>
      </c>
      <c r="AA63" s="122"/>
      <c r="AB63" s="122"/>
      <c r="AC63" s="122"/>
      <c r="AD63" s="5">
        <f>AD54*$R35</f>
        <v>0</v>
      </c>
      <c r="AE63" s="5">
        <f t="shared" ref="AE63:AG63" si="45">AE54*$R35</f>
        <v>875.60562240000024</v>
      </c>
      <c r="AF63" s="5">
        <f t="shared" si="45"/>
        <v>1313.4084336000001</v>
      </c>
      <c r="AG63" s="5">
        <f t="shared" si="45"/>
        <v>2189.0140560000004</v>
      </c>
      <c r="AH63" s="5">
        <f>AH54*R35</f>
        <v>4378.0281120000009</v>
      </c>
      <c r="AI63" s="5">
        <f>AI54*$R$35</f>
        <v>5472.5351400000009</v>
      </c>
      <c r="AJ63" s="5">
        <f t="shared" ref="AJ63:AL63" si="46">AJ54*$R$35</f>
        <v>5472.5351400000009</v>
      </c>
      <c r="AK63" s="5">
        <f t="shared" si="46"/>
        <v>5472.5351400000009</v>
      </c>
      <c r="AL63" s="5">
        <f t="shared" si="46"/>
        <v>5472.5351400000009</v>
      </c>
      <c r="AM63" s="5">
        <f>SUM(AI63:AL63)</f>
        <v>21890.140560000003</v>
      </c>
      <c r="AN63" s="5">
        <f>AN54*$R$35</f>
        <v>10945.070280000002</v>
      </c>
      <c r="AO63" s="5">
        <f t="shared" ref="AO63:AQ63" si="47">AO54*$R$35</f>
        <v>10945.070280000002</v>
      </c>
      <c r="AP63" s="5">
        <f t="shared" si="47"/>
        <v>10945.070280000002</v>
      </c>
      <c r="AQ63" s="5">
        <f t="shared" si="47"/>
        <v>10945.070280000002</v>
      </c>
      <c r="AR63" s="22">
        <f>SUM(AN63:AQ63)</f>
        <v>43780.281120000007</v>
      </c>
    </row>
    <row r="64" spans="2:44" x14ac:dyDescent="0.2">
      <c r="Z64" s="6" t="s">
        <v>3</v>
      </c>
      <c r="AA64" s="122"/>
      <c r="AB64" s="122"/>
      <c r="AC64" s="122"/>
      <c r="AD64" s="5">
        <f>AD55*$R36</f>
        <v>0</v>
      </c>
      <c r="AE64" s="5">
        <f t="shared" ref="AE64:AG64" si="48">AE55*$R36</f>
        <v>20106.358765714285</v>
      </c>
      <c r="AF64" s="5">
        <f t="shared" si="48"/>
        <v>30159.538148571428</v>
      </c>
      <c r="AG64" s="5">
        <f t="shared" si="48"/>
        <v>50265.896914285709</v>
      </c>
      <c r="AH64" s="5">
        <f>AH55*R36</f>
        <v>100531.79382857142</v>
      </c>
      <c r="AI64" s="5">
        <f>AI55*$R$36</f>
        <v>125664.74228571428</v>
      </c>
      <c r="AJ64" s="5">
        <f t="shared" ref="AJ64:AL64" si="49">AJ55*$R$36</f>
        <v>125664.74228571428</v>
      </c>
      <c r="AK64" s="5">
        <f t="shared" si="49"/>
        <v>125664.74228571428</v>
      </c>
      <c r="AL64" s="5">
        <f t="shared" si="49"/>
        <v>125664.74228571428</v>
      </c>
      <c r="AM64" s="5">
        <f t="shared" ref="AM64:AM66" si="50">SUM(AI64:AL64)</f>
        <v>502658.96914285712</v>
      </c>
      <c r="AN64" s="5">
        <f>AN55*$R$36</f>
        <v>376994.22685714281</v>
      </c>
      <c r="AO64" s="5">
        <f t="shared" ref="AO64:AQ64" si="51">AO55*$R$36</f>
        <v>376994.22685714281</v>
      </c>
      <c r="AP64" s="5">
        <f t="shared" si="51"/>
        <v>376994.22685714281</v>
      </c>
      <c r="AQ64" s="5">
        <f t="shared" si="51"/>
        <v>376994.22685714281</v>
      </c>
      <c r="AR64" s="22">
        <f t="shared" ref="AR64:AR66" si="52">SUM(AN64:AQ64)</f>
        <v>1507976.9074285713</v>
      </c>
    </row>
    <row r="65" spans="26:44" x14ac:dyDescent="0.2">
      <c r="Z65" s="6" t="s">
        <v>2</v>
      </c>
      <c r="AA65" s="122"/>
      <c r="AB65" s="122"/>
      <c r="AC65" s="122"/>
      <c r="AD65" s="5">
        <f>AD56*$R37</f>
        <v>12180.575232000001</v>
      </c>
      <c r="AE65" s="5">
        <f>AE56*$R37</f>
        <v>24361.150464000002</v>
      </c>
      <c r="AF65" s="5">
        <f>AF56*$R37</f>
        <v>36541.725696000001</v>
      </c>
      <c r="AG65" s="5">
        <f>AG56*$R37</f>
        <v>48722.300928000004</v>
      </c>
      <c r="AH65" s="5">
        <f>AH56*R37</f>
        <v>121805.75232</v>
      </c>
      <c r="AI65" s="5">
        <f>AI56*$R$37</f>
        <v>73083.451392000003</v>
      </c>
      <c r="AJ65" s="5">
        <f t="shared" ref="AJ65:AL65" si="53">AJ56*$R$37</f>
        <v>73083.451392000003</v>
      </c>
      <c r="AK65" s="5">
        <f t="shared" si="53"/>
        <v>73083.451392000003</v>
      </c>
      <c r="AL65" s="5">
        <f t="shared" si="53"/>
        <v>73083.451392000003</v>
      </c>
      <c r="AM65" s="5">
        <f t="shared" si="50"/>
        <v>292333.80556800001</v>
      </c>
      <c r="AN65" s="5">
        <f>AN56*$R$37</f>
        <v>152257.19039999999</v>
      </c>
      <c r="AO65" s="5">
        <f t="shared" ref="AO65:AQ65" si="54">AO56*$R$37</f>
        <v>152257.19039999999</v>
      </c>
      <c r="AP65" s="5">
        <f t="shared" si="54"/>
        <v>152257.19039999999</v>
      </c>
      <c r="AQ65" s="5">
        <f t="shared" si="54"/>
        <v>152257.19039999999</v>
      </c>
      <c r="AR65" s="22">
        <f t="shared" si="52"/>
        <v>609028.76159999997</v>
      </c>
    </row>
    <row r="66" spans="26:44" x14ac:dyDescent="0.2">
      <c r="Z66" s="6" t="s">
        <v>1</v>
      </c>
      <c r="AA66" s="122"/>
      <c r="AB66" s="122"/>
      <c r="AC66" s="122"/>
      <c r="AD66" s="5"/>
      <c r="AE66" s="5"/>
      <c r="AF66" s="5"/>
      <c r="AG66" s="5"/>
      <c r="AH66" s="5"/>
      <c r="AI66" s="5"/>
      <c r="AJ66" s="5"/>
      <c r="AK66" s="5"/>
      <c r="AL66" s="5"/>
      <c r="AM66" s="5">
        <f t="shared" si="50"/>
        <v>0</v>
      </c>
      <c r="AN66" s="5"/>
      <c r="AO66" s="5"/>
      <c r="AP66" s="5"/>
      <c r="AQ66" s="5"/>
      <c r="AR66" s="22">
        <f t="shared" si="52"/>
        <v>0</v>
      </c>
    </row>
    <row r="67" spans="26:44" x14ac:dyDescent="0.2">
      <c r="Z67" s="13" t="s">
        <v>0</v>
      </c>
      <c r="AA67" s="46"/>
      <c r="AB67" s="46"/>
      <c r="AC67" s="46"/>
      <c r="AD67" s="46"/>
      <c r="AE67" s="46"/>
      <c r="AF67" s="46"/>
      <c r="AG67" s="46"/>
      <c r="AH67" s="5">
        <f>SUM(AH63:AH66)</f>
        <v>226715.57426057142</v>
      </c>
      <c r="AI67" s="46"/>
      <c r="AJ67" s="46"/>
      <c r="AK67" s="46"/>
      <c r="AL67" s="46"/>
      <c r="AM67" s="5">
        <f>SUM(AM63:AM66)</f>
        <v>816882.91527085705</v>
      </c>
      <c r="AN67" s="46"/>
      <c r="AO67" s="46"/>
      <c r="AP67" s="46"/>
      <c r="AQ67" s="46"/>
      <c r="AR67" s="22">
        <f>SUM(AR63:AR66)</f>
        <v>2160785.9501485713</v>
      </c>
    </row>
    <row r="68" spans="26:44" x14ac:dyDescent="0.2">
      <c r="Z68" s="8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6"/>
      <c r="AM68" s="46"/>
      <c r="AN68" s="46"/>
      <c r="AO68" s="46"/>
      <c r="AP68" s="46"/>
      <c r="AQ68" s="46"/>
      <c r="AR68" s="4"/>
    </row>
    <row r="69" spans="26:44" x14ac:dyDescent="0.2">
      <c r="Z69" s="8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46"/>
      <c r="AQ69" s="46"/>
      <c r="AR69" s="4"/>
    </row>
    <row r="70" spans="26:44" x14ac:dyDescent="0.2">
      <c r="Z70" s="8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6"/>
      <c r="AM70" s="46"/>
      <c r="AN70" s="46"/>
      <c r="AO70" s="46"/>
      <c r="AP70" s="46"/>
      <c r="AQ70" s="46"/>
      <c r="AR70" s="4"/>
    </row>
    <row r="71" spans="26:44" x14ac:dyDescent="0.2">
      <c r="Z71" s="8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46"/>
      <c r="AQ71" s="46"/>
      <c r="AR71" s="4"/>
    </row>
    <row r="72" spans="26:44" x14ac:dyDescent="0.2">
      <c r="Z72" s="8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O72" s="46"/>
      <c r="AP72" s="46"/>
      <c r="AQ72" s="46"/>
      <c r="AR72" s="4"/>
    </row>
    <row r="73" spans="26:44" x14ac:dyDescent="0.2">
      <c r="Z73" s="8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6"/>
      <c r="AR73" s="4"/>
    </row>
    <row r="74" spans="26:44" x14ac:dyDescent="0.2">
      <c r="Z74" s="8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  <c r="AQ74" s="46"/>
      <c r="AR74" s="4"/>
    </row>
    <row r="75" spans="26:44" x14ac:dyDescent="0.2">
      <c r="Z75" s="8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  <c r="AQ75" s="46"/>
      <c r="AR75" s="4"/>
    </row>
    <row r="76" spans="26:44" x14ac:dyDescent="0.2">
      <c r="Z76" s="8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"/>
    </row>
    <row r="77" spans="26:44" x14ac:dyDescent="0.2">
      <c r="Z77" s="8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"/>
    </row>
    <row r="78" spans="26:44" x14ac:dyDescent="0.2">
      <c r="Z78" s="8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"/>
    </row>
    <row r="79" spans="26:44" x14ac:dyDescent="0.2">
      <c r="Z79" s="8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"/>
    </row>
    <row r="80" spans="26:44" x14ac:dyDescent="0.2">
      <c r="Z80" s="8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"/>
    </row>
    <row r="81" spans="26:44" x14ac:dyDescent="0.2">
      <c r="Z81" s="8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"/>
    </row>
    <row r="82" spans="26:44" ht="16" thickBot="1" x14ac:dyDescent="0.25">
      <c r="Z82" s="7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2"/>
    </row>
    <row r="86" spans="26:44" x14ac:dyDescent="0.2">
      <c r="Z86" s="288" t="s">
        <v>228</v>
      </c>
      <c r="AA86" s="289"/>
      <c r="AB86" s="289"/>
      <c r="AC86" s="289"/>
      <c r="AD86" s="289"/>
      <c r="AE86" s="289"/>
      <c r="AF86" s="289"/>
      <c r="AG86" s="289"/>
      <c r="AH86" s="289"/>
      <c r="AI86" s="289"/>
      <c r="AJ86" s="289"/>
      <c r="AK86" s="289"/>
      <c r="AL86" s="289"/>
      <c r="AM86" s="289"/>
      <c r="AN86" s="289"/>
      <c r="AO86" s="289"/>
      <c r="AP86" s="289"/>
      <c r="AQ86" s="289"/>
      <c r="AR86" s="290"/>
    </row>
    <row r="88" spans="26:44" x14ac:dyDescent="0.2">
      <c r="Z88" s="288" t="s">
        <v>229</v>
      </c>
      <c r="AA88" s="289"/>
      <c r="AB88" s="289"/>
      <c r="AC88" s="289"/>
      <c r="AD88" s="289"/>
      <c r="AE88" s="289"/>
      <c r="AF88" s="289"/>
      <c r="AG88" s="289"/>
      <c r="AH88" s="289"/>
      <c r="AI88" s="289"/>
      <c r="AJ88" s="289"/>
      <c r="AK88" s="289"/>
      <c r="AL88" s="289"/>
      <c r="AM88" s="289"/>
      <c r="AN88" s="289"/>
      <c r="AO88" s="289"/>
      <c r="AP88" s="289"/>
      <c r="AQ88" s="289"/>
      <c r="AR88" s="290"/>
    </row>
  </sheetData>
  <mergeCells count="24">
    <mergeCell ref="Z88:AR88"/>
    <mergeCell ref="B4:M4"/>
    <mergeCell ref="B5:M5"/>
    <mergeCell ref="Z86:AR86"/>
    <mergeCell ref="AN61:AR61"/>
    <mergeCell ref="AI61:AM61"/>
    <mergeCell ref="AD61:AH61"/>
    <mergeCell ref="Z49:AR49"/>
    <mergeCell ref="AD52:AH52"/>
    <mergeCell ref="AI52:AM52"/>
    <mergeCell ref="AN52:AR52"/>
    <mergeCell ref="Z60:AR60"/>
    <mergeCell ref="C9:M9"/>
    <mergeCell ref="O4:X4"/>
    <mergeCell ref="Z3:AA3"/>
    <mergeCell ref="Z48:AA48"/>
    <mergeCell ref="AD21:AH21"/>
    <mergeCell ref="AI21:AM21"/>
    <mergeCell ref="AN21:AR21"/>
    <mergeCell ref="Z20:AR20"/>
    <mergeCell ref="AN7:AR7"/>
    <mergeCell ref="AI7:AM7"/>
    <mergeCell ref="AD7:AH7"/>
    <mergeCell ref="Z4:AR4"/>
  </mergeCells>
  <phoneticPr fontId="7" type="noConversion"/>
  <hyperlinks>
    <hyperlink ref="C47" r:id="rId1" xr:uid="{5BD086CA-2FAA-44BA-877F-2A98F567C843}"/>
    <hyperlink ref="C49" r:id="rId2" xr:uid="{CFFC8B52-5D7C-412D-A2E2-64950172A063}"/>
  </hyperlinks>
  <pageMargins left="0.7" right="0.7" top="0.75" bottom="0.75" header="0.3" footer="0.3"/>
  <pageSetup orientation="portrait" r:id="rId3"/>
  <ignoredErrors>
    <ignoredError sqref="AE9 AD11 AG11 AI10 AM23:AM26 AM27" formula="1"/>
  </ignoredError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1B650-7D52-4A10-ABBB-0716E414F4B0}">
  <dimension ref="B2:AY48"/>
  <sheetViews>
    <sheetView topLeftCell="P1" zoomScale="85" zoomScaleNormal="85" workbookViewId="0">
      <selection activeCell="X36" sqref="X36"/>
    </sheetView>
  </sheetViews>
  <sheetFormatPr baseColWidth="10" defaultColWidth="10.83203125" defaultRowHeight="15" x14ac:dyDescent="0.2"/>
  <cols>
    <col min="3" max="3" width="14.33203125" customWidth="1"/>
    <col min="14" max="14" width="25" customWidth="1"/>
    <col min="22" max="22" width="31.33203125" bestFit="1" customWidth="1"/>
    <col min="23" max="26" width="8.6640625" customWidth="1"/>
    <col min="27" max="27" width="11.6640625" bestFit="1" customWidth="1"/>
    <col min="28" max="28" width="8.6640625" customWidth="1"/>
    <col min="29" max="29" width="11.6640625" customWidth="1"/>
    <col min="30" max="31" width="8.6640625" customWidth="1"/>
    <col min="32" max="32" width="11.6640625" bestFit="1" customWidth="1"/>
    <col min="33" max="36" width="8.6640625" customWidth="1"/>
    <col min="37" max="37" width="11.6640625" bestFit="1" customWidth="1"/>
  </cols>
  <sheetData>
    <row r="2" spans="2:45" ht="16" thickBot="1" x14ac:dyDescent="0.25"/>
    <row r="3" spans="2:45" ht="16" thickBot="1" x14ac:dyDescent="0.25">
      <c r="B3" s="293" t="s">
        <v>29</v>
      </c>
      <c r="C3" s="258"/>
      <c r="D3" s="258"/>
      <c r="E3" s="258"/>
      <c r="F3" s="258"/>
      <c r="G3" s="258"/>
      <c r="H3" s="258"/>
      <c r="I3" s="258"/>
      <c r="J3" s="258"/>
      <c r="K3" s="258"/>
      <c r="L3" s="259"/>
      <c r="N3" s="293" t="s">
        <v>83</v>
      </c>
      <c r="O3" s="258"/>
      <c r="P3" s="258"/>
      <c r="Q3" s="258"/>
      <c r="R3" s="258"/>
      <c r="S3" s="258"/>
      <c r="T3" s="259"/>
      <c r="V3" s="278" t="s">
        <v>122</v>
      </c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80"/>
    </row>
    <row r="4" spans="2:45" x14ac:dyDescent="0.2">
      <c r="B4" s="294" t="s">
        <v>27</v>
      </c>
      <c r="C4" s="262"/>
      <c r="D4" s="262"/>
      <c r="E4" s="262"/>
      <c r="F4" s="262"/>
      <c r="G4" s="262"/>
      <c r="H4" s="262"/>
      <c r="I4" s="262"/>
      <c r="J4" s="262"/>
      <c r="K4" s="262"/>
      <c r="L4" s="263"/>
      <c r="N4" s="8" t="s">
        <v>116</v>
      </c>
      <c r="O4" s="46"/>
      <c r="P4" s="46"/>
      <c r="Q4" s="46"/>
      <c r="R4" s="46"/>
      <c r="S4" s="46"/>
      <c r="T4" s="4"/>
      <c r="V4" s="8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"/>
    </row>
    <row r="5" spans="2:45" x14ac:dyDescent="0.2">
      <c r="B5" s="8"/>
      <c r="C5" s="46"/>
      <c r="D5" s="46"/>
      <c r="E5" s="46"/>
      <c r="F5" s="46"/>
      <c r="G5" s="46"/>
      <c r="H5" s="46"/>
      <c r="I5" s="46"/>
      <c r="J5" s="46"/>
      <c r="K5" s="46"/>
      <c r="L5" s="4"/>
      <c r="N5" s="8"/>
      <c r="O5" s="46"/>
      <c r="P5" s="46"/>
      <c r="Q5" s="46"/>
      <c r="R5" s="46"/>
      <c r="S5" s="46"/>
      <c r="T5" s="4"/>
      <c r="V5" s="8"/>
      <c r="W5" s="252" t="s">
        <v>191</v>
      </c>
      <c r="X5" s="253"/>
      <c r="Y5" s="253"/>
      <c r="Z5" s="254"/>
      <c r="AA5" s="123" t="s">
        <v>192</v>
      </c>
      <c r="AB5" s="252" t="s">
        <v>193</v>
      </c>
      <c r="AC5" s="253"/>
      <c r="AD5" s="253"/>
      <c r="AE5" s="254"/>
      <c r="AF5" s="123" t="s">
        <v>194</v>
      </c>
      <c r="AG5" s="268" t="s">
        <v>5</v>
      </c>
      <c r="AH5" s="269"/>
      <c r="AI5" s="269"/>
      <c r="AJ5" s="269"/>
      <c r="AK5" s="123" t="s">
        <v>195</v>
      </c>
      <c r="AL5" s="46"/>
      <c r="AM5" s="46"/>
      <c r="AN5" s="46"/>
      <c r="AO5" s="46"/>
      <c r="AP5" s="46"/>
      <c r="AQ5" s="46"/>
      <c r="AR5" s="46"/>
      <c r="AS5" s="4"/>
    </row>
    <row r="6" spans="2:45" x14ac:dyDescent="0.2">
      <c r="B6" s="8" t="s">
        <v>78</v>
      </c>
      <c r="C6" s="46"/>
      <c r="D6" s="46"/>
      <c r="E6" s="46"/>
      <c r="F6" s="46"/>
      <c r="G6" s="46"/>
      <c r="H6" s="46"/>
      <c r="I6" s="46"/>
      <c r="J6" s="46"/>
      <c r="K6" s="46"/>
      <c r="L6" s="4"/>
      <c r="N6" s="295" t="s">
        <v>118</v>
      </c>
      <c r="O6" s="296"/>
      <c r="P6" s="296"/>
      <c r="Q6" s="296"/>
      <c r="R6" s="296"/>
      <c r="S6" s="296"/>
      <c r="T6" s="297"/>
      <c r="V6" s="8"/>
      <c r="W6" s="77" t="s">
        <v>92</v>
      </c>
      <c r="X6" s="77" t="s">
        <v>93</v>
      </c>
      <c r="Y6" s="77" t="s">
        <v>94</v>
      </c>
      <c r="Z6" s="77" t="s">
        <v>95</v>
      </c>
      <c r="AA6" s="49" t="s">
        <v>7</v>
      </c>
      <c r="AB6" s="77" t="s">
        <v>92</v>
      </c>
      <c r="AC6" s="77" t="s">
        <v>93</v>
      </c>
      <c r="AD6" s="77" t="s">
        <v>94</v>
      </c>
      <c r="AE6" s="77" t="s">
        <v>95</v>
      </c>
      <c r="AF6" s="49" t="s">
        <v>6</v>
      </c>
      <c r="AG6" s="77" t="s">
        <v>92</v>
      </c>
      <c r="AH6" s="77" t="s">
        <v>93</v>
      </c>
      <c r="AI6" s="77" t="s">
        <v>94</v>
      </c>
      <c r="AJ6" s="77" t="s">
        <v>95</v>
      </c>
      <c r="AK6" s="49" t="s">
        <v>5</v>
      </c>
      <c r="AL6" s="9" t="s">
        <v>0</v>
      </c>
      <c r="AM6" s="46"/>
      <c r="AN6" s="46"/>
      <c r="AO6" s="46"/>
      <c r="AP6" s="46"/>
      <c r="AQ6" s="46"/>
      <c r="AR6" s="46"/>
      <c r="AS6" s="4"/>
    </row>
    <row r="7" spans="2:45" ht="17" x14ac:dyDescent="0.2">
      <c r="B7" s="8" t="s">
        <v>79</v>
      </c>
      <c r="C7" s="46"/>
      <c r="D7" s="46"/>
      <c r="E7" s="46"/>
      <c r="F7" s="46"/>
      <c r="G7" s="46"/>
      <c r="H7" s="46"/>
      <c r="I7" s="46"/>
      <c r="J7" s="46"/>
      <c r="K7" s="46"/>
      <c r="L7" s="4"/>
      <c r="N7" s="32"/>
      <c r="O7" s="17" t="s">
        <v>238</v>
      </c>
      <c r="P7" s="46"/>
      <c r="Q7" s="46"/>
      <c r="R7" s="46"/>
      <c r="S7" s="46"/>
      <c r="T7" s="4"/>
      <c r="V7" s="6" t="s">
        <v>113</v>
      </c>
      <c r="W7" s="100">
        <v>0</v>
      </c>
      <c r="X7" s="100">
        <v>1</v>
      </c>
      <c r="Y7" s="100">
        <v>0</v>
      </c>
      <c r="Z7" s="100">
        <v>1</v>
      </c>
      <c r="AA7" s="87">
        <v>2</v>
      </c>
      <c r="AB7" s="87"/>
      <c r="AC7" s="87">
        <v>1</v>
      </c>
      <c r="AD7" s="87">
        <v>1</v>
      </c>
      <c r="AE7" s="87">
        <v>1</v>
      </c>
      <c r="AF7" s="87">
        <v>3</v>
      </c>
      <c r="AG7" s="87">
        <v>1</v>
      </c>
      <c r="AH7" s="87">
        <v>1</v>
      </c>
      <c r="AI7" s="87">
        <v>1</v>
      </c>
      <c r="AJ7" s="87">
        <v>1</v>
      </c>
      <c r="AK7" s="87">
        <v>4</v>
      </c>
      <c r="AL7" s="110">
        <f>AA7+AF7+AK7</f>
        <v>9</v>
      </c>
      <c r="AM7" s="46"/>
      <c r="AN7" s="46"/>
      <c r="AO7" s="46"/>
      <c r="AP7" s="46"/>
      <c r="AQ7" s="46"/>
      <c r="AR7" s="46"/>
      <c r="AS7" s="4"/>
    </row>
    <row r="8" spans="2:45" x14ac:dyDescent="0.2">
      <c r="B8" s="8" t="s">
        <v>115</v>
      </c>
      <c r="C8" s="46"/>
      <c r="D8" s="46"/>
      <c r="E8" s="46"/>
      <c r="F8" s="46"/>
      <c r="G8" s="46"/>
      <c r="H8" s="46"/>
      <c r="I8" s="46"/>
      <c r="J8" s="46"/>
      <c r="K8" s="46"/>
      <c r="L8" s="4"/>
      <c r="M8" s="46"/>
      <c r="N8" s="65" t="s">
        <v>117</v>
      </c>
      <c r="O8" s="17">
        <v>45000</v>
      </c>
      <c r="P8" s="47"/>
      <c r="Q8" s="46"/>
      <c r="R8" s="46"/>
      <c r="S8" s="46"/>
      <c r="T8" s="4"/>
      <c r="V8" s="6" t="s">
        <v>114</v>
      </c>
      <c r="W8" s="100">
        <v>0</v>
      </c>
      <c r="X8" s="100">
        <v>0</v>
      </c>
      <c r="Y8" s="100">
        <v>0</v>
      </c>
      <c r="Z8" s="100">
        <f>AA8*100%</f>
        <v>2000</v>
      </c>
      <c r="AA8" s="87">
        <f>2000</f>
        <v>2000</v>
      </c>
      <c r="AB8" s="87">
        <f>$AF$8*25%</f>
        <v>1250</v>
      </c>
      <c r="AC8" s="87">
        <f t="shared" ref="AC8:AE8" si="0">$AF$8*25%</f>
        <v>1250</v>
      </c>
      <c r="AD8" s="87">
        <f t="shared" si="0"/>
        <v>1250</v>
      </c>
      <c r="AE8" s="87">
        <f t="shared" si="0"/>
        <v>1250</v>
      </c>
      <c r="AF8" s="87">
        <v>5000</v>
      </c>
      <c r="AG8" s="87">
        <f>$AK$8*25%</f>
        <v>2000</v>
      </c>
      <c r="AH8" s="87">
        <f t="shared" ref="AH8:AJ8" si="1">$AK$8*25%</f>
        <v>2000</v>
      </c>
      <c r="AI8" s="87">
        <f t="shared" si="1"/>
        <v>2000</v>
      </c>
      <c r="AJ8" s="87">
        <f t="shared" si="1"/>
        <v>2000</v>
      </c>
      <c r="AK8" s="87">
        <v>8000</v>
      </c>
      <c r="AL8" s="110">
        <f>AA8+AF8+AK8</f>
        <v>15000</v>
      </c>
      <c r="AM8" s="46"/>
      <c r="AN8" s="46"/>
      <c r="AO8" s="46"/>
      <c r="AP8" s="46"/>
      <c r="AQ8" s="46"/>
      <c r="AR8" s="46"/>
      <c r="AS8" s="4"/>
    </row>
    <row r="9" spans="2:45" ht="16" thickBot="1" x14ac:dyDescent="0.25">
      <c r="B9" s="8"/>
      <c r="C9" s="46"/>
      <c r="D9" s="46"/>
      <c r="E9" s="46"/>
      <c r="F9" s="46"/>
      <c r="G9" s="46"/>
      <c r="H9" s="46"/>
      <c r="I9" s="46"/>
      <c r="J9" s="46"/>
      <c r="K9" s="46"/>
      <c r="L9" s="4"/>
      <c r="N9" s="8"/>
      <c r="O9" s="47"/>
      <c r="P9" s="47"/>
      <c r="Q9" s="47"/>
      <c r="R9" s="46"/>
      <c r="S9" s="46"/>
      <c r="T9" s="4"/>
      <c r="V9" s="69" t="s">
        <v>121</v>
      </c>
      <c r="W9" s="152">
        <v>0</v>
      </c>
      <c r="X9" s="152">
        <v>0</v>
      </c>
      <c r="Y9" s="152">
        <v>0</v>
      </c>
      <c r="Z9" s="152">
        <f>Z8*20%</f>
        <v>400</v>
      </c>
      <c r="AA9" s="114">
        <f>AA8*20%</f>
        <v>400</v>
      </c>
      <c r="AB9" s="114">
        <f>AB8*20%</f>
        <v>250</v>
      </c>
      <c r="AC9" s="114">
        <f t="shared" ref="AC9:AE9" si="2">AC8*20%</f>
        <v>250</v>
      </c>
      <c r="AD9" s="114">
        <f t="shared" si="2"/>
        <v>250</v>
      </c>
      <c r="AE9" s="114">
        <f t="shared" si="2"/>
        <v>250</v>
      </c>
      <c r="AF9" s="114">
        <f t="shared" ref="AF9:AK9" si="3">AF8*20%</f>
        <v>1000</v>
      </c>
      <c r="AG9" s="114">
        <f>AG8*20%</f>
        <v>400</v>
      </c>
      <c r="AH9" s="114">
        <f t="shared" ref="AH9:AJ9" si="4">AH8*20%</f>
        <v>400</v>
      </c>
      <c r="AI9" s="114">
        <f t="shared" si="4"/>
        <v>400</v>
      </c>
      <c r="AJ9" s="114">
        <f t="shared" si="4"/>
        <v>400</v>
      </c>
      <c r="AK9" s="114">
        <f t="shared" si="3"/>
        <v>1600</v>
      </c>
      <c r="AL9" s="113">
        <f>AA9+AF9+AK9</f>
        <v>3000</v>
      </c>
      <c r="AM9" s="3"/>
      <c r="AN9" s="3"/>
      <c r="AO9" s="3"/>
      <c r="AP9" s="3"/>
      <c r="AQ9" s="3"/>
      <c r="AR9" s="3"/>
      <c r="AS9" s="2"/>
    </row>
    <row r="10" spans="2:45" ht="16" thickBot="1" x14ac:dyDescent="0.25">
      <c r="B10" s="8"/>
      <c r="C10" s="46"/>
      <c r="D10" s="46"/>
      <c r="E10" s="46"/>
      <c r="F10" s="46"/>
      <c r="G10" s="46"/>
      <c r="H10" s="46"/>
      <c r="I10" s="46"/>
      <c r="J10" s="46"/>
      <c r="K10" s="46"/>
      <c r="L10" s="4"/>
      <c r="N10" s="26" t="s">
        <v>91</v>
      </c>
      <c r="O10" s="24"/>
      <c r="P10" s="24"/>
      <c r="Q10" s="24"/>
      <c r="R10" s="25"/>
      <c r="S10" s="25"/>
      <c r="T10" s="149"/>
    </row>
    <row r="11" spans="2:45" ht="18" thickBot="1" x14ac:dyDescent="0.25">
      <c r="B11" s="8"/>
      <c r="C11" s="66" t="s">
        <v>234</v>
      </c>
      <c r="D11" s="46" t="s">
        <v>82</v>
      </c>
      <c r="E11" s="46"/>
      <c r="F11" s="46"/>
      <c r="G11" s="46"/>
      <c r="H11" s="46"/>
      <c r="J11" s="46"/>
      <c r="K11" s="46"/>
      <c r="L11" s="4"/>
      <c r="N11" s="6" t="s">
        <v>84</v>
      </c>
      <c r="O11" s="17">
        <v>1000</v>
      </c>
      <c r="P11" s="17">
        <v>5000</v>
      </c>
      <c r="Q11" s="17">
        <v>10000</v>
      </c>
      <c r="R11" s="46"/>
      <c r="S11" s="46"/>
      <c r="T11" s="4"/>
      <c r="V11" s="278" t="s">
        <v>119</v>
      </c>
      <c r="W11" s="279"/>
      <c r="X11" s="279"/>
      <c r="Y11" s="279"/>
      <c r="Z11" s="279"/>
      <c r="AA11" s="279"/>
      <c r="AB11" s="279"/>
      <c r="AC11" s="279"/>
      <c r="AD11" s="279"/>
      <c r="AE11" s="279"/>
      <c r="AF11" s="279"/>
      <c r="AG11" s="279"/>
      <c r="AH11" s="279"/>
      <c r="AI11" s="279"/>
      <c r="AJ11" s="279"/>
      <c r="AK11" s="279"/>
      <c r="AL11" s="279"/>
      <c r="AM11" s="279"/>
      <c r="AN11" s="279"/>
      <c r="AO11" s="279"/>
      <c r="AP11" s="279"/>
      <c r="AQ11" s="279"/>
      <c r="AR11" s="279"/>
      <c r="AS11" s="280"/>
    </row>
    <row r="12" spans="2:45" ht="17" x14ac:dyDescent="0.2">
      <c r="B12" s="8" t="s">
        <v>235</v>
      </c>
      <c r="C12" s="67">
        <v>6.8000000000000005E-2</v>
      </c>
      <c r="D12" s="46" t="s">
        <v>81</v>
      </c>
      <c r="E12" s="46"/>
      <c r="F12" s="46"/>
      <c r="G12" s="46"/>
      <c r="H12" s="46"/>
      <c r="I12" s="46"/>
      <c r="J12" s="46"/>
      <c r="K12" s="46"/>
      <c r="L12" s="4"/>
      <c r="N12" s="6" t="s">
        <v>57</v>
      </c>
      <c r="O12" s="17">
        <f>149</f>
        <v>149</v>
      </c>
      <c r="P12" s="17">
        <f>MEDIAN(O12,Q12)</f>
        <v>134</v>
      </c>
      <c r="Q12" s="17">
        <v>119</v>
      </c>
      <c r="R12" s="46"/>
      <c r="S12" s="46"/>
      <c r="T12" s="4"/>
      <c r="V12" s="8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"/>
    </row>
    <row r="13" spans="2:45" ht="17" x14ac:dyDescent="0.2">
      <c r="B13" s="8" t="s">
        <v>236</v>
      </c>
      <c r="C13" s="67">
        <v>0.11700000000000001</v>
      </c>
      <c r="D13" s="46" t="s">
        <v>81</v>
      </c>
      <c r="E13" s="46"/>
      <c r="F13" s="46"/>
      <c r="G13" s="46"/>
      <c r="H13" s="46"/>
      <c r="I13" s="46"/>
      <c r="J13" s="46"/>
      <c r="K13" s="46"/>
      <c r="L13" s="4"/>
      <c r="N13" s="8"/>
      <c r="O13" s="47"/>
      <c r="P13" s="47"/>
      <c r="Q13" s="47"/>
      <c r="R13" s="46"/>
      <c r="S13" s="46"/>
      <c r="T13" s="4"/>
      <c r="V13" s="8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"/>
    </row>
    <row r="14" spans="2:45" x14ac:dyDescent="0.2">
      <c r="B14" s="8"/>
      <c r="C14" s="46"/>
      <c r="D14" s="46"/>
      <c r="E14" s="46"/>
      <c r="F14" s="46"/>
      <c r="G14" s="46"/>
      <c r="H14" s="46"/>
      <c r="I14" s="46"/>
      <c r="J14" s="46"/>
      <c r="K14" s="46"/>
      <c r="L14" s="4"/>
      <c r="N14" s="72" t="s">
        <v>120</v>
      </c>
      <c r="O14" s="74"/>
      <c r="P14" s="74"/>
      <c r="Q14" s="74"/>
      <c r="R14" s="73"/>
      <c r="S14" s="73"/>
      <c r="T14" s="61"/>
      <c r="V14" s="8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"/>
    </row>
    <row r="15" spans="2:45" ht="15.75" customHeight="1" x14ac:dyDescent="0.2">
      <c r="B15" s="8"/>
      <c r="C15" s="46"/>
      <c r="D15" s="46"/>
      <c r="E15" s="46"/>
      <c r="F15" s="46"/>
      <c r="G15" s="46"/>
      <c r="H15" s="46"/>
      <c r="I15" s="46"/>
      <c r="J15" s="46"/>
      <c r="K15" s="46"/>
      <c r="L15" s="4"/>
      <c r="N15" s="41"/>
      <c r="O15" s="17">
        <v>500</v>
      </c>
      <c r="P15" s="17">
        <v>5000</v>
      </c>
      <c r="Q15" s="17">
        <v>10000</v>
      </c>
      <c r="R15" s="46"/>
      <c r="S15" s="46"/>
      <c r="T15" s="4"/>
      <c r="V15" s="8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"/>
    </row>
    <row r="16" spans="2:45" ht="15.75" customHeight="1" x14ac:dyDescent="0.2">
      <c r="B16" s="34" t="s">
        <v>230</v>
      </c>
      <c r="C16" s="46"/>
      <c r="D16" s="46"/>
      <c r="E16" s="46"/>
      <c r="F16" s="46"/>
      <c r="G16" s="46"/>
      <c r="H16" s="46"/>
      <c r="I16" s="46"/>
      <c r="J16" s="46"/>
      <c r="K16" s="46"/>
      <c r="L16" s="4"/>
      <c r="N16" s="41"/>
      <c r="O16" s="17">
        <v>159</v>
      </c>
      <c r="P16" s="17">
        <v>139</v>
      </c>
      <c r="Q16" s="68">
        <v>129</v>
      </c>
      <c r="R16" s="46"/>
      <c r="S16" s="46"/>
      <c r="T16" s="4"/>
      <c r="V16" s="8"/>
      <c r="W16" s="252" t="s">
        <v>191</v>
      </c>
      <c r="X16" s="253"/>
      <c r="Y16" s="253"/>
      <c r="Z16" s="254"/>
      <c r="AA16" s="123" t="s">
        <v>192</v>
      </c>
      <c r="AB16" s="252" t="s">
        <v>193</v>
      </c>
      <c r="AC16" s="253"/>
      <c r="AD16" s="253"/>
      <c r="AE16" s="254"/>
      <c r="AF16" s="123" t="s">
        <v>194</v>
      </c>
      <c r="AG16" s="268" t="s">
        <v>5</v>
      </c>
      <c r="AH16" s="269"/>
      <c r="AI16" s="269"/>
      <c r="AJ16" s="269"/>
      <c r="AK16" s="123" t="s">
        <v>195</v>
      </c>
      <c r="AL16" s="46"/>
      <c r="AM16" s="46"/>
      <c r="AN16" s="46"/>
      <c r="AO16" s="46"/>
      <c r="AP16" s="46"/>
      <c r="AQ16" s="46"/>
      <c r="AR16" s="46"/>
      <c r="AS16" s="4"/>
    </row>
    <row r="17" spans="2:45" x14ac:dyDescent="0.2">
      <c r="B17" s="8">
        <v>1</v>
      </c>
      <c r="C17" s="46" t="s">
        <v>247</v>
      </c>
      <c r="D17" s="46"/>
      <c r="E17" s="46"/>
      <c r="F17" s="46"/>
      <c r="G17" s="46"/>
      <c r="H17" s="46"/>
      <c r="I17" s="46"/>
      <c r="J17" s="46"/>
      <c r="K17" s="46"/>
      <c r="L17" s="4"/>
      <c r="N17" s="65" t="s">
        <v>237</v>
      </c>
      <c r="O17" s="68">
        <f>O16*$R$17</f>
        <v>23.849999999999998</v>
      </c>
      <c r="P17" s="68">
        <f t="shared" ref="P17:Q17" si="5">P16*$R$17</f>
        <v>20.849999999999998</v>
      </c>
      <c r="Q17" s="68">
        <f t="shared" si="5"/>
        <v>19.349999999999998</v>
      </c>
      <c r="R17" s="136">
        <f>15%</f>
        <v>0.15</v>
      </c>
      <c r="S17" s="46"/>
      <c r="T17" s="4"/>
      <c r="V17" s="8"/>
      <c r="W17" s="77" t="s">
        <v>92</v>
      </c>
      <c r="X17" s="77" t="s">
        <v>93</v>
      </c>
      <c r="Y17" s="77" t="s">
        <v>94</v>
      </c>
      <c r="Z17" s="77" t="s">
        <v>95</v>
      </c>
      <c r="AA17" s="49" t="s">
        <v>7</v>
      </c>
      <c r="AB17" s="77" t="s">
        <v>92</v>
      </c>
      <c r="AC17" s="77" t="s">
        <v>93</v>
      </c>
      <c r="AD17" s="77" t="s">
        <v>94</v>
      </c>
      <c r="AE17" s="77" t="s">
        <v>95</v>
      </c>
      <c r="AF17" s="49" t="s">
        <v>6</v>
      </c>
      <c r="AG17" s="77" t="s">
        <v>92</v>
      </c>
      <c r="AH17" s="77" t="s">
        <v>93</v>
      </c>
      <c r="AI17" s="77" t="s">
        <v>94</v>
      </c>
      <c r="AJ17" s="77" t="s">
        <v>95</v>
      </c>
      <c r="AK17" s="49" t="s">
        <v>5</v>
      </c>
      <c r="AL17" s="46"/>
      <c r="AM17" s="46"/>
      <c r="AN17" s="46"/>
      <c r="AO17" s="46"/>
      <c r="AP17" s="46"/>
      <c r="AQ17" s="46"/>
      <c r="AR17" s="46"/>
      <c r="AS17" s="4"/>
    </row>
    <row r="18" spans="2:45" x14ac:dyDescent="0.2">
      <c r="B18" s="8">
        <v>2</v>
      </c>
      <c r="C18" s="46" t="s">
        <v>248</v>
      </c>
      <c r="D18" s="46"/>
      <c r="E18" s="46"/>
      <c r="F18" s="46"/>
      <c r="G18" s="46"/>
      <c r="H18" s="46"/>
      <c r="I18" s="46"/>
      <c r="J18" s="46"/>
      <c r="K18" s="46"/>
      <c r="L18" s="4"/>
      <c r="N18" s="8"/>
      <c r="O18" s="46"/>
      <c r="P18" s="46"/>
      <c r="Q18" s="46"/>
      <c r="R18" s="46"/>
      <c r="S18" s="46"/>
      <c r="T18" s="4"/>
      <c r="V18" s="6" t="s">
        <v>113</v>
      </c>
      <c r="W18" s="87">
        <f t="shared" ref="W18:Z18" si="6">W7*$O$8</f>
        <v>0</v>
      </c>
      <c r="X18" s="87">
        <f t="shared" si="6"/>
        <v>45000</v>
      </c>
      <c r="Y18" s="87">
        <f t="shared" si="6"/>
        <v>0</v>
      </c>
      <c r="Z18" s="87">
        <f t="shared" si="6"/>
        <v>45000</v>
      </c>
      <c r="AA18" s="87">
        <f>AA7*$O$8</f>
        <v>90000</v>
      </c>
      <c r="AB18" s="87">
        <f t="shared" ref="AB18:AJ18" si="7">AB7*$O$8</f>
        <v>0</v>
      </c>
      <c r="AC18" s="87">
        <f t="shared" si="7"/>
        <v>45000</v>
      </c>
      <c r="AD18" s="87">
        <f t="shared" si="7"/>
        <v>45000</v>
      </c>
      <c r="AE18" s="87">
        <f t="shared" si="7"/>
        <v>45000</v>
      </c>
      <c r="AF18" s="87">
        <f t="shared" si="7"/>
        <v>135000</v>
      </c>
      <c r="AG18" s="87">
        <f t="shared" si="7"/>
        <v>45000</v>
      </c>
      <c r="AH18" s="87">
        <f t="shared" si="7"/>
        <v>45000</v>
      </c>
      <c r="AI18" s="87">
        <f t="shared" si="7"/>
        <v>45000</v>
      </c>
      <c r="AJ18" s="87">
        <f t="shared" si="7"/>
        <v>45000</v>
      </c>
      <c r="AK18" s="87">
        <f>AK7*O8</f>
        <v>180000</v>
      </c>
      <c r="AL18" s="46"/>
      <c r="AM18" s="46"/>
      <c r="AN18" s="46"/>
      <c r="AO18" s="46"/>
      <c r="AP18" s="46"/>
      <c r="AQ18" s="46"/>
      <c r="AR18" s="46"/>
      <c r="AS18" s="4"/>
    </row>
    <row r="19" spans="2:45" x14ac:dyDescent="0.2">
      <c r="B19" s="8"/>
      <c r="C19" s="46"/>
      <c r="D19" s="46"/>
      <c r="E19" s="46"/>
      <c r="F19" s="46"/>
      <c r="G19" s="46"/>
      <c r="H19" s="46"/>
      <c r="I19" s="46"/>
      <c r="J19" s="46"/>
      <c r="K19" s="46"/>
      <c r="L19" s="4"/>
      <c r="N19" s="8"/>
      <c r="O19" s="46"/>
      <c r="P19" s="46"/>
      <c r="Q19" s="46"/>
      <c r="R19" s="46"/>
      <c r="S19" s="46"/>
      <c r="T19" s="4"/>
      <c r="V19" s="6" t="s">
        <v>114</v>
      </c>
      <c r="W19" s="87">
        <f t="shared" ref="W19:Z19" si="8">W8*$O$12</f>
        <v>0</v>
      </c>
      <c r="X19" s="87">
        <f t="shared" si="8"/>
        <v>0</v>
      </c>
      <c r="Y19" s="87">
        <f t="shared" si="8"/>
        <v>0</v>
      </c>
      <c r="Z19" s="87">
        <f t="shared" si="8"/>
        <v>298000</v>
      </c>
      <c r="AA19" s="87">
        <f>AA8*$O$12</f>
        <v>298000</v>
      </c>
      <c r="AB19" s="87">
        <f t="shared" ref="AB19:AK19" si="9">AB8*$O$12</f>
        <v>186250</v>
      </c>
      <c r="AC19" s="87">
        <f t="shared" si="9"/>
        <v>186250</v>
      </c>
      <c r="AD19" s="87">
        <f t="shared" si="9"/>
        <v>186250</v>
      </c>
      <c r="AE19" s="87">
        <f t="shared" si="9"/>
        <v>186250</v>
      </c>
      <c r="AF19" s="87">
        <f t="shared" si="9"/>
        <v>745000</v>
      </c>
      <c r="AG19" s="87">
        <f t="shared" si="9"/>
        <v>298000</v>
      </c>
      <c r="AH19" s="87">
        <f t="shared" si="9"/>
        <v>298000</v>
      </c>
      <c r="AI19" s="87">
        <f t="shared" si="9"/>
        <v>298000</v>
      </c>
      <c r="AJ19" s="87">
        <f t="shared" si="9"/>
        <v>298000</v>
      </c>
      <c r="AK19" s="87">
        <f t="shared" si="9"/>
        <v>1192000</v>
      </c>
      <c r="AL19" s="46"/>
      <c r="AM19" s="46"/>
      <c r="AN19" s="46"/>
      <c r="AO19" s="46"/>
      <c r="AP19" s="46"/>
      <c r="AQ19" s="46"/>
      <c r="AR19" s="46"/>
      <c r="AS19" s="4"/>
    </row>
    <row r="20" spans="2:45" x14ac:dyDescent="0.2">
      <c r="B20" s="8"/>
      <c r="C20" s="46"/>
      <c r="D20" s="46"/>
      <c r="E20" s="46"/>
      <c r="F20" s="46"/>
      <c r="G20" s="46"/>
      <c r="H20" s="46"/>
      <c r="I20" s="46"/>
      <c r="J20" s="46"/>
      <c r="K20" s="46"/>
      <c r="L20" s="4"/>
      <c r="N20" s="8"/>
      <c r="O20" s="46"/>
      <c r="P20" s="46"/>
      <c r="Q20" s="46"/>
      <c r="R20" s="46"/>
      <c r="S20" s="46"/>
      <c r="T20" s="4"/>
      <c r="V20" s="6" t="s">
        <v>121</v>
      </c>
      <c r="W20" s="87">
        <f>W9*$Q$16</f>
        <v>0</v>
      </c>
      <c r="X20" s="87">
        <f t="shared" ref="X20:AK20" si="10">X9*$Q$16</f>
        <v>0</v>
      </c>
      <c r="Y20" s="87">
        <f t="shared" si="10"/>
        <v>0</v>
      </c>
      <c r="Z20" s="87">
        <f t="shared" si="10"/>
        <v>51600</v>
      </c>
      <c r="AA20" s="87">
        <f t="shared" si="10"/>
        <v>51600</v>
      </c>
      <c r="AB20" s="87">
        <f t="shared" si="10"/>
        <v>32250</v>
      </c>
      <c r="AC20" s="87">
        <f t="shared" si="10"/>
        <v>32250</v>
      </c>
      <c r="AD20" s="87">
        <f t="shared" si="10"/>
        <v>32250</v>
      </c>
      <c r="AE20" s="87">
        <f t="shared" si="10"/>
        <v>32250</v>
      </c>
      <c r="AF20" s="87">
        <f t="shared" si="10"/>
        <v>129000</v>
      </c>
      <c r="AG20" s="87">
        <f t="shared" si="10"/>
        <v>51600</v>
      </c>
      <c r="AH20" s="87">
        <f t="shared" si="10"/>
        <v>51600</v>
      </c>
      <c r="AI20" s="87">
        <f t="shared" si="10"/>
        <v>51600</v>
      </c>
      <c r="AJ20" s="87">
        <f t="shared" si="10"/>
        <v>51600</v>
      </c>
      <c r="AK20" s="87">
        <f t="shared" si="10"/>
        <v>206400</v>
      </c>
      <c r="AL20" s="46"/>
      <c r="AM20" s="46"/>
      <c r="AN20" s="46"/>
      <c r="AO20" s="46"/>
      <c r="AP20" s="46"/>
      <c r="AQ20" s="46"/>
      <c r="AR20" s="46"/>
      <c r="AS20" s="4"/>
    </row>
    <row r="21" spans="2:45" ht="16" thickBot="1" x14ac:dyDescent="0.25">
      <c r="B21" s="7"/>
      <c r="C21" s="3"/>
      <c r="D21" s="3"/>
      <c r="E21" s="3"/>
      <c r="F21" s="3"/>
      <c r="G21" s="3"/>
      <c r="H21" s="3"/>
      <c r="I21" s="3"/>
      <c r="J21" s="3"/>
      <c r="K21" s="3"/>
      <c r="L21" s="2"/>
      <c r="N21" s="7"/>
      <c r="O21" s="3"/>
      <c r="P21" s="3"/>
      <c r="Q21" s="3"/>
      <c r="R21" s="3"/>
      <c r="S21" s="3"/>
      <c r="T21" s="2"/>
      <c r="V21" s="111" t="s">
        <v>0</v>
      </c>
      <c r="W21" s="87">
        <f t="shared" ref="W21:Z21" si="11">SUM(W18:W20)</f>
        <v>0</v>
      </c>
      <c r="X21" s="87">
        <f t="shared" si="11"/>
        <v>45000</v>
      </c>
      <c r="Y21" s="87">
        <f t="shared" si="11"/>
        <v>0</v>
      </c>
      <c r="Z21" s="87">
        <f t="shared" si="11"/>
        <v>394600</v>
      </c>
      <c r="AA21" s="87">
        <f t="shared" ref="AA21:AJ21" si="12">SUM(AA18:AA20)</f>
        <v>439600</v>
      </c>
      <c r="AB21" s="87">
        <f t="shared" si="12"/>
        <v>218500</v>
      </c>
      <c r="AC21" s="87">
        <f t="shared" si="12"/>
        <v>263500</v>
      </c>
      <c r="AD21" s="87">
        <f t="shared" si="12"/>
        <v>263500</v>
      </c>
      <c r="AE21" s="87">
        <f t="shared" si="12"/>
        <v>263500</v>
      </c>
      <c r="AF21" s="87">
        <f t="shared" si="12"/>
        <v>1009000</v>
      </c>
      <c r="AG21" s="87">
        <f t="shared" si="12"/>
        <v>394600</v>
      </c>
      <c r="AH21" s="87">
        <f t="shared" si="12"/>
        <v>394600</v>
      </c>
      <c r="AI21" s="87">
        <f t="shared" si="12"/>
        <v>394600</v>
      </c>
      <c r="AJ21" s="87">
        <f t="shared" si="12"/>
        <v>394600</v>
      </c>
      <c r="AK21" s="87">
        <f>SUM(AK18:AK20)</f>
        <v>1578400</v>
      </c>
      <c r="AL21" s="46"/>
      <c r="AM21" s="46"/>
      <c r="AN21" s="46"/>
      <c r="AO21" s="46"/>
      <c r="AP21" s="46"/>
      <c r="AQ21" s="46"/>
      <c r="AR21" s="46"/>
      <c r="AS21" s="4"/>
    </row>
    <row r="22" spans="2:45" x14ac:dyDescent="0.2">
      <c r="V22" s="8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"/>
    </row>
    <row r="23" spans="2:45" x14ac:dyDescent="0.2">
      <c r="V23" s="8"/>
      <c r="W23" s="17" t="s">
        <v>7</v>
      </c>
      <c r="X23" s="17" t="s">
        <v>6</v>
      </c>
      <c r="Y23" s="17" t="s">
        <v>5</v>
      </c>
      <c r="Z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"/>
    </row>
    <row r="24" spans="2:45" x14ac:dyDescent="0.2">
      <c r="V24" s="6" t="s">
        <v>113</v>
      </c>
      <c r="W24" s="5">
        <f>AA18</f>
        <v>90000</v>
      </c>
      <c r="X24" s="5">
        <f>AF18</f>
        <v>135000</v>
      </c>
      <c r="Y24" s="5">
        <f>AK18</f>
        <v>180000</v>
      </c>
      <c r="Z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"/>
    </row>
    <row r="25" spans="2:45" x14ac:dyDescent="0.2">
      <c r="V25" s="6" t="s">
        <v>114</v>
      </c>
      <c r="W25" s="5">
        <f>AA19</f>
        <v>298000</v>
      </c>
      <c r="X25" s="5">
        <f>AF19</f>
        <v>745000</v>
      </c>
      <c r="Y25" s="5">
        <f>AK19</f>
        <v>1192000</v>
      </c>
      <c r="Z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"/>
    </row>
    <row r="26" spans="2:45" x14ac:dyDescent="0.2">
      <c r="V26" s="6" t="s">
        <v>121</v>
      </c>
      <c r="W26" s="5">
        <f>AA20</f>
        <v>51600</v>
      </c>
      <c r="X26" s="5">
        <f>AF20</f>
        <v>129000</v>
      </c>
      <c r="Y26" s="5">
        <f>AK20</f>
        <v>206400</v>
      </c>
      <c r="Z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"/>
    </row>
    <row r="27" spans="2:45" x14ac:dyDescent="0.2">
      <c r="V27" s="8"/>
      <c r="W27" s="5">
        <f>SUM(W24:W26)</f>
        <v>439600</v>
      </c>
      <c r="X27" s="5">
        <f t="shared" ref="X27:Y27" si="13">SUM(X24:X26)</f>
        <v>1009000</v>
      </c>
      <c r="Y27" s="5">
        <f t="shared" si="13"/>
        <v>1578400</v>
      </c>
      <c r="Z27" s="46"/>
      <c r="AA27" s="188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"/>
    </row>
    <row r="28" spans="2:45" ht="16" thickBot="1" x14ac:dyDescent="0.25">
      <c r="V28" s="7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2"/>
    </row>
    <row r="29" spans="2:45" ht="69" thickBot="1" x14ac:dyDescent="0.25">
      <c r="C29" s="190" t="s">
        <v>167</v>
      </c>
      <c r="D29" s="190" t="s">
        <v>54</v>
      </c>
      <c r="E29" s="190" t="s">
        <v>166</v>
      </c>
      <c r="F29" s="190" t="s">
        <v>53</v>
      </c>
      <c r="G29" s="190" t="s">
        <v>165</v>
      </c>
      <c r="H29" s="190" t="s">
        <v>52</v>
      </c>
      <c r="I29" s="190" t="s">
        <v>51</v>
      </c>
      <c r="J29" s="39" t="s">
        <v>50</v>
      </c>
      <c r="L29" s="195" t="s">
        <v>265</v>
      </c>
    </row>
    <row r="30" spans="2:45" ht="16" thickBot="1" x14ac:dyDescent="0.25">
      <c r="B30" s="27" t="s">
        <v>259</v>
      </c>
      <c r="C30" s="192">
        <v>924107</v>
      </c>
      <c r="D30" s="191">
        <f>(C30-E30)*'Hospital '!F13</f>
        <v>295633.44999999995</v>
      </c>
      <c r="E30" s="27">
        <v>79440</v>
      </c>
      <c r="F30" s="191">
        <f>D30+E30</f>
        <v>375073.44999999995</v>
      </c>
      <c r="G30" s="27">
        <v>6146</v>
      </c>
      <c r="H30" s="191">
        <f>C30/G30</f>
        <v>150.35909534656687</v>
      </c>
      <c r="I30" s="191">
        <f>H30*('Hospital '!F13-'Hospital '!F14)</f>
        <v>45.10772860397006</v>
      </c>
      <c r="J30" s="191">
        <f>E30/G30</f>
        <v>12.925479986983405</v>
      </c>
      <c r="L30" s="196">
        <f>750*'Hospital '!F13</f>
        <v>262.5</v>
      </c>
      <c r="V30" s="278" t="s">
        <v>124</v>
      </c>
      <c r="W30" s="279"/>
      <c r="X30" s="279"/>
      <c r="Y30" s="279"/>
      <c r="Z30" s="279"/>
      <c r="AA30" s="279"/>
      <c r="AB30" s="279"/>
      <c r="AC30" s="279"/>
      <c r="AD30" s="279"/>
      <c r="AE30" s="279"/>
      <c r="AF30" s="279"/>
      <c r="AG30" s="279"/>
      <c r="AH30" s="279"/>
      <c r="AI30" s="279"/>
      <c r="AJ30" s="279"/>
      <c r="AK30" s="279"/>
      <c r="AL30" s="279"/>
      <c r="AM30" s="279"/>
      <c r="AN30" s="279"/>
      <c r="AO30" s="279"/>
      <c r="AP30" s="279"/>
      <c r="AQ30" s="279"/>
      <c r="AR30" s="279"/>
      <c r="AS30" s="280"/>
    </row>
    <row r="31" spans="2:45" ht="16" thickBot="1" x14ac:dyDescent="0.25">
      <c r="V31" s="53" t="s">
        <v>128</v>
      </c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4"/>
    </row>
    <row r="32" spans="2:45" x14ac:dyDescent="0.2">
      <c r="B32" s="116" t="s">
        <v>139</v>
      </c>
      <c r="C32" s="79"/>
      <c r="D32" s="79"/>
      <c r="E32" s="79"/>
      <c r="F32" s="79"/>
      <c r="G32" s="79"/>
      <c r="H32" s="79"/>
      <c r="I32" s="79"/>
      <c r="J32" s="79"/>
      <c r="K32" s="79"/>
      <c r="L32" s="80"/>
      <c r="V32" s="8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"/>
    </row>
    <row r="33" spans="2:51" x14ac:dyDescent="0.2">
      <c r="B33" s="8"/>
      <c r="C33" s="82"/>
      <c r="D33" s="82"/>
      <c r="E33" s="82"/>
      <c r="F33" s="82"/>
      <c r="G33" s="82"/>
      <c r="H33" s="82"/>
      <c r="I33" s="82"/>
      <c r="J33" s="82"/>
      <c r="K33" s="82"/>
      <c r="L33" s="83"/>
      <c r="V33" s="6" t="s">
        <v>125</v>
      </c>
      <c r="W33" s="180" t="s">
        <v>7</v>
      </c>
      <c r="X33" s="180" t="s">
        <v>6</v>
      </c>
      <c r="Y33" s="180" t="s">
        <v>5</v>
      </c>
      <c r="Z33" s="177" t="s">
        <v>191</v>
      </c>
      <c r="AA33" s="175"/>
      <c r="AB33" s="175"/>
      <c r="AC33" s="176"/>
      <c r="AD33" s="123" t="s">
        <v>192</v>
      </c>
      <c r="AE33" s="177" t="s">
        <v>193</v>
      </c>
      <c r="AF33" s="175"/>
      <c r="AG33" s="175"/>
      <c r="AH33" s="176"/>
      <c r="AI33" s="123" t="s">
        <v>194</v>
      </c>
      <c r="AJ33" s="178" t="s">
        <v>5</v>
      </c>
      <c r="AK33" s="179"/>
      <c r="AL33" s="179"/>
      <c r="AM33" s="179"/>
      <c r="AN33" s="123" t="s">
        <v>195</v>
      </c>
      <c r="AO33" s="46"/>
      <c r="AP33" s="46"/>
      <c r="AQ33" s="46"/>
      <c r="AR33" s="46"/>
      <c r="AS33" s="4"/>
    </row>
    <row r="34" spans="2:51" x14ac:dyDescent="0.2">
      <c r="B34" s="118" t="s">
        <v>189</v>
      </c>
      <c r="C34" s="82"/>
      <c r="D34" s="82"/>
      <c r="E34" s="82"/>
      <c r="F34" s="82"/>
      <c r="G34" s="82"/>
      <c r="H34" s="82"/>
      <c r="I34" s="82"/>
      <c r="J34" s="82"/>
      <c r="K34" s="82"/>
      <c r="L34" s="83"/>
      <c r="V34" s="32"/>
      <c r="W34" s="37"/>
      <c r="X34" s="37"/>
      <c r="Y34" s="37"/>
      <c r="Z34" s="180" t="s">
        <v>92</v>
      </c>
      <c r="AA34" s="180" t="s">
        <v>93</v>
      </c>
      <c r="AB34" s="180" t="s">
        <v>94</v>
      </c>
      <c r="AC34" s="180" t="s">
        <v>95</v>
      </c>
      <c r="AD34" s="180" t="s">
        <v>7</v>
      </c>
      <c r="AE34" s="180" t="s">
        <v>92</v>
      </c>
      <c r="AF34" s="180" t="s">
        <v>93</v>
      </c>
      <c r="AG34" s="180" t="s">
        <v>94</v>
      </c>
      <c r="AH34" s="180" t="s">
        <v>95</v>
      </c>
      <c r="AI34" s="180" t="s">
        <v>6</v>
      </c>
      <c r="AJ34" s="180" t="s">
        <v>92</v>
      </c>
      <c r="AK34" s="180" t="s">
        <v>93</v>
      </c>
      <c r="AL34" s="180" t="s">
        <v>94</v>
      </c>
      <c r="AM34" s="180" t="s">
        <v>95</v>
      </c>
      <c r="AN34" s="180" t="s">
        <v>5</v>
      </c>
      <c r="AO34" s="46"/>
      <c r="AP34" s="46"/>
      <c r="AQ34" s="46"/>
      <c r="AR34" s="46"/>
      <c r="AS34" s="4"/>
    </row>
    <row r="35" spans="2:51" x14ac:dyDescent="0.2">
      <c r="B35" s="118" t="s">
        <v>242</v>
      </c>
      <c r="C35" s="46"/>
      <c r="D35" s="82"/>
      <c r="E35" s="82"/>
      <c r="F35" s="82"/>
      <c r="G35" s="82"/>
      <c r="H35" s="82"/>
      <c r="I35" s="82"/>
      <c r="J35" s="82"/>
      <c r="K35" s="82"/>
      <c r="L35" s="83"/>
      <c r="V35" s="65" t="s">
        <v>123</v>
      </c>
      <c r="W35" s="37">
        <v>0</v>
      </c>
      <c r="X35" s="37">
        <v>4.0000000000000001E-3</v>
      </c>
      <c r="Y35" s="37">
        <v>0.01</v>
      </c>
      <c r="Z35" s="153">
        <v>0</v>
      </c>
      <c r="AA35" s="153">
        <v>0</v>
      </c>
      <c r="AB35" s="153">
        <v>0</v>
      </c>
      <c r="AC35" s="153">
        <v>0</v>
      </c>
      <c r="AD35" s="87">
        <f>W35*D30</f>
        <v>0</v>
      </c>
      <c r="AE35" s="87"/>
      <c r="AF35" s="87"/>
      <c r="AG35" s="87"/>
      <c r="AH35" s="87"/>
      <c r="AI35" s="87">
        <f>X35*D30</f>
        <v>1182.5337999999999</v>
      </c>
      <c r="AJ35" s="87"/>
      <c r="AK35" s="87"/>
      <c r="AL35" s="87"/>
      <c r="AM35" s="87"/>
      <c r="AN35" s="87">
        <f>D30*Y35</f>
        <v>2956.3344999999995</v>
      </c>
      <c r="AO35" s="46"/>
      <c r="AP35" s="46"/>
      <c r="AQ35" s="46"/>
      <c r="AR35" s="46"/>
      <c r="AS35" s="4"/>
    </row>
    <row r="36" spans="2:51" x14ac:dyDescent="0.2">
      <c r="B36" s="81" t="s">
        <v>132</v>
      </c>
      <c r="C36" s="82"/>
      <c r="D36" s="82"/>
      <c r="E36" s="82"/>
      <c r="F36" s="82"/>
      <c r="G36" s="82"/>
      <c r="H36" s="82"/>
      <c r="I36" s="82"/>
      <c r="J36" s="82"/>
      <c r="K36" s="82"/>
      <c r="L36" s="83"/>
      <c r="V36" s="65" t="s">
        <v>63</v>
      </c>
      <c r="W36" s="37">
        <v>0</v>
      </c>
      <c r="X36" s="37">
        <v>4.0000000000000001E-3</v>
      </c>
      <c r="Y36" s="37">
        <v>0.01</v>
      </c>
      <c r="Z36" s="153">
        <v>0</v>
      </c>
      <c r="AA36" s="153">
        <v>0</v>
      </c>
      <c r="AB36" s="153">
        <v>0</v>
      </c>
      <c r="AC36" s="153">
        <v>0</v>
      </c>
      <c r="AD36" s="87">
        <f>W36*E30</f>
        <v>0</v>
      </c>
      <c r="AE36" s="87"/>
      <c r="AF36" s="87"/>
      <c r="AG36" s="87"/>
      <c r="AH36" s="87"/>
      <c r="AI36" s="87">
        <f>X36*E30</f>
        <v>317.76</v>
      </c>
      <c r="AJ36" s="87"/>
      <c r="AK36" s="87"/>
      <c r="AL36" s="87"/>
      <c r="AM36" s="87"/>
      <c r="AN36" s="87">
        <f>E30*Y36</f>
        <v>794.4</v>
      </c>
      <c r="AO36" s="46"/>
      <c r="AP36" s="46"/>
      <c r="AQ36" s="46"/>
      <c r="AR36" s="46"/>
      <c r="AS36" s="4"/>
    </row>
    <row r="37" spans="2:51" x14ac:dyDescent="0.2">
      <c r="B37" s="81" t="s">
        <v>241</v>
      </c>
      <c r="C37" s="82"/>
      <c r="D37" s="82"/>
      <c r="E37" s="82"/>
      <c r="F37" s="82"/>
      <c r="G37" s="82"/>
      <c r="H37" s="82"/>
      <c r="I37" s="82"/>
      <c r="J37" s="82"/>
      <c r="K37" s="82"/>
      <c r="L37" s="83"/>
      <c r="V37" s="181" t="s">
        <v>31</v>
      </c>
      <c r="W37" s="37"/>
      <c r="X37" s="37"/>
      <c r="Y37" s="37"/>
      <c r="Z37" s="154"/>
      <c r="AA37" s="154"/>
      <c r="AB37" s="154"/>
      <c r="AC37" s="154"/>
      <c r="AD37" s="87">
        <v>0</v>
      </c>
      <c r="AE37" s="87"/>
      <c r="AF37" s="87"/>
      <c r="AG37" s="87"/>
      <c r="AH37" s="87"/>
      <c r="AI37" s="87">
        <f>AI36+(AI35*'Hospital '!J27)</f>
        <v>436.01337999999998</v>
      </c>
      <c r="AJ37" s="87"/>
      <c r="AK37" s="87"/>
      <c r="AL37" s="87"/>
      <c r="AM37" s="87"/>
      <c r="AN37" s="87">
        <f>AN36+(AN35*'Hospital '!J27)</f>
        <v>1090.0334499999999</v>
      </c>
      <c r="AO37" s="46"/>
      <c r="AP37" s="46"/>
      <c r="AQ37" s="46"/>
      <c r="AR37" s="46"/>
      <c r="AS37" s="4"/>
      <c r="AW37" s="173" t="s">
        <v>7</v>
      </c>
      <c r="AX37" s="173" t="s">
        <v>6</v>
      </c>
      <c r="AY37" s="173" t="s">
        <v>5</v>
      </c>
    </row>
    <row r="38" spans="2:51" x14ac:dyDescent="0.2">
      <c r="B38" s="81" t="s">
        <v>249</v>
      </c>
      <c r="C38" s="82"/>
      <c r="D38" s="82"/>
      <c r="E38" s="82"/>
      <c r="F38" s="82"/>
      <c r="G38" s="82"/>
      <c r="H38" s="82"/>
      <c r="I38" s="82"/>
      <c r="J38" s="82"/>
      <c r="K38" s="82"/>
      <c r="L38" s="83"/>
      <c r="V38" s="6" t="s">
        <v>262</v>
      </c>
      <c r="W38" s="46"/>
      <c r="X38" s="183"/>
      <c r="Y38" s="183"/>
      <c r="Z38" s="183"/>
      <c r="AA38" s="46"/>
      <c r="AB38" s="46"/>
      <c r="AC38" s="46"/>
      <c r="AD38" s="87">
        <f>SUM(AD35:AD36)</f>
        <v>0</v>
      </c>
      <c r="AE38" s="46"/>
      <c r="AF38" s="46"/>
      <c r="AG38" s="46"/>
      <c r="AH38" s="46"/>
      <c r="AI38" s="87">
        <f>AI36+AI35</f>
        <v>1500.2937999999999</v>
      </c>
      <c r="AJ38" s="46"/>
      <c r="AK38" s="46"/>
      <c r="AL38" s="46"/>
      <c r="AM38" s="46"/>
      <c r="AN38" s="87">
        <f t="shared" ref="AN38" si="14">AN36+AN35</f>
        <v>3750.7344999999996</v>
      </c>
      <c r="AO38" s="46"/>
      <c r="AP38" s="46"/>
      <c r="AQ38" s="46"/>
      <c r="AR38" s="46"/>
      <c r="AS38" s="4"/>
      <c r="AV38" s="6" t="s">
        <v>127</v>
      </c>
      <c r="AW38" s="87">
        <v>250000</v>
      </c>
      <c r="AX38" s="87">
        <f>AI44</f>
        <v>0</v>
      </c>
      <c r="AY38" s="87">
        <f>AN44</f>
        <v>0</v>
      </c>
    </row>
    <row r="39" spans="2:51" x14ac:dyDescent="0.2">
      <c r="B39" s="34" t="s">
        <v>240</v>
      </c>
      <c r="C39" s="82"/>
      <c r="D39" s="82"/>
      <c r="E39" s="82"/>
      <c r="F39" s="82"/>
      <c r="G39" s="82"/>
      <c r="H39" s="82"/>
      <c r="I39" s="82"/>
      <c r="J39" s="82"/>
      <c r="K39" s="82"/>
      <c r="L39" s="83"/>
      <c r="V39" s="8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"/>
      <c r="AV39" s="6" t="s">
        <v>263</v>
      </c>
      <c r="AW39" s="87">
        <f>AD48*'Hospital '!E94</f>
        <v>0</v>
      </c>
      <c r="AX39" s="87">
        <f t="shared" ref="AX39:AX41" si="15">AI45</f>
        <v>305024.73247799999</v>
      </c>
      <c r="AY39" s="87">
        <f t="shared" ref="AY39:AY41" si="16">AN45</f>
        <v>762561.83119499998</v>
      </c>
    </row>
    <row r="40" spans="2:51" x14ac:dyDescent="0.2">
      <c r="B40" s="8" t="s">
        <v>128</v>
      </c>
      <c r="C40" s="82"/>
      <c r="D40" s="82"/>
      <c r="E40" s="82"/>
      <c r="F40" s="82"/>
      <c r="G40" s="82"/>
      <c r="H40" s="82"/>
      <c r="I40" s="82"/>
      <c r="J40" s="82"/>
      <c r="K40" s="82"/>
      <c r="L40" s="83"/>
      <c r="V40" s="65" t="s">
        <v>264</v>
      </c>
      <c r="W40" s="126"/>
      <c r="X40" s="126"/>
      <c r="Y40" s="126"/>
      <c r="Z40" s="126"/>
      <c r="AA40" s="126"/>
      <c r="AB40" s="126"/>
      <c r="AC40" s="126"/>
      <c r="AD40" s="17">
        <f>AD38/L30</f>
        <v>0</v>
      </c>
      <c r="AE40" s="47"/>
      <c r="AF40" s="47"/>
      <c r="AG40" s="47"/>
      <c r="AH40" s="47"/>
      <c r="AI40" s="17">
        <f>ROUNDUP(AI38/L30,0)</f>
        <v>6</v>
      </c>
      <c r="AJ40" s="47"/>
      <c r="AK40" s="47"/>
      <c r="AL40" s="47"/>
      <c r="AM40" s="47"/>
      <c r="AN40" s="17">
        <f>ROUNDUP(AN38/L30,0)</f>
        <v>15</v>
      </c>
      <c r="AO40" s="46"/>
      <c r="AP40" s="46"/>
      <c r="AQ40" s="46"/>
      <c r="AR40" s="46"/>
      <c r="AS40" s="4"/>
      <c r="AV40" s="6" t="s">
        <v>31</v>
      </c>
      <c r="AW40" s="87">
        <f>AD46</f>
        <v>0</v>
      </c>
      <c r="AX40" s="87">
        <f t="shared" si="15"/>
        <v>78046.395019999996</v>
      </c>
      <c r="AY40" s="87">
        <f t="shared" si="16"/>
        <v>195115.98754999999</v>
      </c>
    </row>
    <row r="41" spans="2:51" x14ac:dyDescent="0.2">
      <c r="B41" s="151" t="s">
        <v>260</v>
      </c>
      <c r="C41" s="82"/>
      <c r="D41" s="82"/>
      <c r="E41" s="82"/>
      <c r="F41" s="82"/>
      <c r="G41" s="82"/>
      <c r="H41" s="82"/>
      <c r="I41" s="82"/>
      <c r="J41" s="82"/>
      <c r="K41" s="82"/>
      <c r="L41" s="83"/>
      <c r="V41" s="8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"/>
      <c r="AV41" s="6" t="s">
        <v>138</v>
      </c>
      <c r="AW41" s="87">
        <f>0</f>
        <v>0</v>
      </c>
      <c r="AX41" s="87">
        <f t="shared" si="15"/>
        <v>165000</v>
      </c>
      <c r="AY41" s="87">
        <f t="shared" si="16"/>
        <v>412500</v>
      </c>
    </row>
    <row r="42" spans="2:51" x14ac:dyDescent="0.2">
      <c r="B42" s="151" t="s">
        <v>243</v>
      </c>
      <c r="C42" s="82"/>
      <c r="D42" s="82"/>
      <c r="E42" s="82"/>
      <c r="F42" s="82"/>
      <c r="G42" s="82"/>
      <c r="H42" s="82"/>
      <c r="I42" s="82"/>
      <c r="J42" s="82"/>
      <c r="K42" s="82"/>
      <c r="L42" s="83"/>
      <c r="V42" s="194" t="s">
        <v>126</v>
      </c>
      <c r="W42" s="46"/>
      <c r="X42" s="46"/>
      <c r="Y42" s="46"/>
      <c r="Z42" s="253" t="s">
        <v>191</v>
      </c>
      <c r="AA42" s="253"/>
      <c r="AB42" s="253"/>
      <c r="AC42" s="254"/>
      <c r="AD42" s="123" t="s">
        <v>192</v>
      </c>
      <c r="AE42" s="252" t="s">
        <v>193</v>
      </c>
      <c r="AF42" s="253"/>
      <c r="AG42" s="253"/>
      <c r="AH42" s="254"/>
      <c r="AI42" s="123" t="s">
        <v>194</v>
      </c>
      <c r="AJ42" s="268" t="s">
        <v>5</v>
      </c>
      <c r="AK42" s="269"/>
      <c r="AL42" s="269"/>
      <c r="AM42" s="269"/>
      <c r="AN42" s="123" t="s">
        <v>261</v>
      </c>
      <c r="AO42" s="46"/>
      <c r="AP42" s="46"/>
      <c r="AQ42" s="46"/>
      <c r="AR42" s="46"/>
      <c r="AS42" s="4"/>
    </row>
    <row r="43" spans="2:51" x14ac:dyDescent="0.2">
      <c r="B43" s="81" t="s">
        <v>244</v>
      </c>
      <c r="C43" s="82"/>
      <c r="D43" s="82"/>
      <c r="E43" s="82"/>
      <c r="F43" s="82"/>
      <c r="G43" s="82"/>
      <c r="H43" s="82"/>
      <c r="I43" s="82"/>
      <c r="J43" s="82"/>
      <c r="K43" s="82"/>
      <c r="L43" s="83"/>
      <c r="V43" s="8"/>
      <c r="W43" s="46"/>
      <c r="X43" s="46"/>
      <c r="Y43" s="46"/>
      <c r="Z43" s="176" t="s">
        <v>92</v>
      </c>
      <c r="AA43" s="180" t="s">
        <v>93</v>
      </c>
      <c r="AB43" s="180" t="s">
        <v>94</v>
      </c>
      <c r="AC43" s="180" t="s">
        <v>95</v>
      </c>
      <c r="AD43" s="180" t="s">
        <v>7</v>
      </c>
      <c r="AE43" s="180" t="s">
        <v>92</v>
      </c>
      <c r="AF43" s="180" t="s">
        <v>93</v>
      </c>
      <c r="AG43" s="180" t="s">
        <v>94</v>
      </c>
      <c r="AH43" s="180" t="s">
        <v>95</v>
      </c>
      <c r="AI43" s="180" t="s">
        <v>6</v>
      </c>
      <c r="AJ43" s="180" t="s">
        <v>92</v>
      </c>
      <c r="AK43" s="180" t="s">
        <v>93</v>
      </c>
      <c r="AL43" s="180" t="s">
        <v>94</v>
      </c>
      <c r="AM43" s="180" t="s">
        <v>95</v>
      </c>
      <c r="AN43" s="180" t="s">
        <v>5</v>
      </c>
      <c r="AO43" s="46"/>
      <c r="AP43" s="46"/>
      <c r="AQ43" s="46"/>
      <c r="AR43" s="46"/>
      <c r="AS43" s="4"/>
    </row>
    <row r="44" spans="2:51" ht="16" thickBot="1" x14ac:dyDescent="0.25">
      <c r="B44" s="84" t="s">
        <v>246</v>
      </c>
      <c r="C44" s="85"/>
      <c r="D44" s="85"/>
      <c r="E44" s="85"/>
      <c r="F44" s="85"/>
      <c r="G44" s="85"/>
      <c r="H44" s="85"/>
      <c r="I44" s="85"/>
      <c r="J44" s="85"/>
      <c r="K44" s="85"/>
      <c r="L44" s="86"/>
      <c r="V44" s="6" t="s">
        <v>127</v>
      </c>
      <c r="W44" s="122"/>
      <c r="X44" s="122"/>
      <c r="Y44" s="122"/>
      <c r="Z44" s="100">
        <v>0</v>
      </c>
      <c r="AA44" s="100">
        <v>0</v>
      </c>
      <c r="AB44" s="100">
        <v>0</v>
      </c>
      <c r="AC44" s="100">
        <f>250000</f>
        <v>250000</v>
      </c>
      <c r="AD44" s="87">
        <v>250000</v>
      </c>
      <c r="AE44" s="87">
        <v>0</v>
      </c>
      <c r="AF44" s="87">
        <v>0</v>
      </c>
      <c r="AG44" s="87">
        <v>0</v>
      </c>
      <c r="AH44" s="87">
        <v>0</v>
      </c>
      <c r="AI44" s="87">
        <v>0</v>
      </c>
      <c r="AJ44" s="87">
        <v>0</v>
      </c>
      <c r="AK44" s="87">
        <v>0</v>
      </c>
      <c r="AL44" s="87">
        <v>0</v>
      </c>
      <c r="AM44" s="87">
        <v>0</v>
      </c>
      <c r="AN44" s="87">
        <v>0</v>
      </c>
      <c r="AO44" s="46"/>
      <c r="AP44" s="46"/>
      <c r="AQ44" s="46"/>
      <c r="AR44" s="46"/>
      <c r="AS44" s="4"/>
    </row>
    <row r="45" spans="2:51" x14ac:dyDescent="0.2">
      <c r="V45" s="6" t="s">
        <v>263</v>
      </c>
      <c r="W45" s="122"/>
      <c r="X45" s="122"/>
      <c r="Y45" s="122"/>
      <c r="Z45" s="100">
        <v>0</v>
      </c>
      <c r="AA45" s="100">
        <v>0</v>
      </c>
      <c r="AB45" s="100">
        <v>0</v>
      </c>
      <c r="AC45" s="100">
        <v>0</v>
      </c>
      <c r="AD45" s="87">
        <v>0</v>
      </c>
      <c r="AE45" s="87">
        <f>AI45*10%</f>
        <v>30502.473247800001</v>
      </c>
      <c r="AF45" s="87">
        <f>AI45*20%</f>
        <v>61004.946495600001</v>
      </c>
      <c r="AG45" s="87">
        <f>AI45*30%</f>
        <v>91507.419743399994</v>
      </c>
      <c r="AH45" s="87">
        <f>AI45*40%</f>
        <v>122009.8929912</v>
      </c>
      <c r="AI45" s="87">
        <f>IF(AI38&gt;'Hospital '!I72,IF(AI38&gt;'Hospital '!H68,'Hospital '!H72,IF(AI38&gt;'Hospital '!G68,'Hospital '!G72,IF(AI38&gt;'Hospital '!F68,'Hospital '!F72,IF(AI38&gt;'Hospital '!E68,'Hospital '!E72,0)))))*AI38</f>
        <v>305024.73247799999</v>
      </c>
      <c r="AJ45" s="87">
        <f>AN45*25%</f>
        <v>190640.45779874999</v>
      </c>
      <c r="AK45" s="87">
        <f>AN45*25%</f>
        <v>190640.45779874999</v>
      </c>
      <c r="AL45" s="87">
        <f>AN45*25%</f>
        <v>190640.45779874999</v>
      </c>
      <c r="AM45" s="87">
        <f>AN45*25%</f>
        <v>190640.45779874999</v>
      </c>
      <c r="AN45" s="87">
        <f>IF(AN38&gt;'Hospital '!I72,IF(AN38&gt;'Hospital '!H68,'Hospital '!H72,IF(AN38&gt;'Hospital '!G68,'Hospital '!G72,IF(AN38&gt;'Hospital '!F68,'Hospital '!F72,IF(AN38&gt;'Hospital '!E68,'Hospital '!E72,0)))))*AN38</f>
        <v>762561.83119499998</v>
      </c>
      <c r="AO45" s="46"/>
      <c r="AP45" s="46"/>
      <c r="AQ45" s="46"/>
      <c r="AR45" s="46"/>
      <c r="AS45" s="4"/>
    </row>
    <row r="46" spans="2:51" x14ac:dyDescent="0.2">
      <c r="V46" s="6" t="s">
        <v>31</v>
      </c>
      <c r="W46" s="122"/>
      <c r="X46" s="122"/>
      <c r="Y46" s="122"/>
      <c r="Z46" s="100">
        <v>0</v>
      </c>
      <c r="AA46" s="100">
        <v>0</v>
      </c>
      <c r="AB46" s="100">
        <v>0</v>
      </c>
      <c r="AC46" s="100">
        <v>0</v>
      </c>
      <c r="AD46" s="87">
        <f>AD37*'Hospital '!D86</f>
        <v>0</v>
      </c>
      <c r="AE46" s="87">
        <f>$AI$46*10%</f>
        <v>7804.639502</v>
      </c>
      <c r="AF46" s="87">
        <f>$AI$46*20%</f>
        <v>15609.279004</v>
      </c>
      <c r="AG46" s="87">
        <f>$AI$46*30%</f>
        <v>23413.918505999998</v>
      </c>
      <c r="AH46" s="87">
        <f>$AI$46*40%</f>
        <v>31218.558008</v>
      </c>
      <c r="AI46" s="87">
        <f>AI37*'Hospital '!D86</f>
        <v>78046.395019999996</v>
      </c>
      <c r="AJ46" s="87">
        <f>$AN$46*25%</f>
        <v>48778.996887499998</v>
      </c>
      <c r="AK46" s="87">
        <f>$AN$46*25%</f>
        <v>48778.996887499998</v>
      </c>
      <c r="AL46" s="87">
        <f>$AN$46*25%</f>
        <v>48778.996887499998</v>
      </c>
      <c r="AM46" s="87">
        <f>$AN$46*25%</f>
        <v>48778.996887499998</v>
      </c>
      <c r="AN46" s="87">
        <f>AN37*'Hospital '!D86</f>
        <v>195115.98754999999</v>
      </c>
      <c r="AO46" s="197"/>
      <c r="AP46" s="46"/>
      <c r="AQ46" s="46"/>
      <c r="AR46" s="46"/>
      <c r="AS46" s="4"/>
    </row>
    <row r="47" spans="2:51" x14ac:dyDescent="0.2">
      <c r="V47" s="6" t="s">
        <v>138</v>
      </c>
      <c r="W47" s="122"/>
      <c r="X47" s="122"/>
      <c r="Y47" s="122"/>
      <c r="Z47" s="100">
        <v>0</v>
      </c>
      <c r="AA47" s="100">
        <v>0</v>
      </c>
      <c r="AB47" s="100">
        <v>0</v>
      </c>
      <c r="AC47" s="100">
        <v>0</v>
      </c>
      <c r="AD47" s="87">
        <f>AD40*'Hospital '!G90</f>
        <v>0</v>
      </c>
      <c r="AE47" s="87">
        <f>AI47*10%</f>
        <v>16500</v>
      </c>
      <c r="AF47" s="87">
        <f>AI47*20%</f>
        <v>33000</v>
      </c>
      <c r="AG47" s="87">
        <f>AI47*30%</f>
        <v>49500</v>
      </c>
      <c r="AH47" s="87">
        <f>AI47*40%</f>
        <v>66000</v>
      </c>
      <c r="AI47" s="87">
        <f>AI40*'Hospital '!G90</f>
        <v>165000</v>
      </c>
      <c r="AJ47" s="87">
        <f>$AN$47*25%</f>
        <v>103125</v>
      </c>
      <c r="AK47" s="87">
        <f t="shared" ref="AK47:AM47" si="17">$AN$47*25%</f>
        <v>103125</v>
      </c>
      <c r="AL47" s="87">
        <f t="shared" si="17"/>
        <v>103125</v>
      </c>
      <c r="AM47" s="87">
        <f t="shared" si="17"/>
        <v>103125</v>
      </c>
      <c r="AN47" s="87">
        <f>AN40*'Hospital '!G90</f>
        <v>412500</v>
      </c>
      <c r="AO47" s="46"/>
      <c r="AP47" s="46"/>
      <c r="AQ47" s="46"/>
      <c r="AR47" s="46"/>
      <c r="AS47" s="4"/>
    </row>
    <row r="48" spans="2:51" ht="16" thickBot="1" x14ac:dyDescent="0.25">
      <c r="V48" s="193" t="s">
        <v>0</v>
      </c>
      <c r="W48" s="70"/>
      <c r="X48" s="70"/>
      <c r="Y48" s="70"/>
      <c r="Z48" s="163">
        <f t="shared" ref="Z48:AN48" si="18">SUM(Z44:Z47)</f>
        <v>0</v>
      </c>
      <c r="AA48" s="163">
        <f t="shared" si="18"/>
        <v>0</v>
      </c>
      <c r="AB48" s="163">
        <f t="shared" si="18"/>
        <v>0</v>
      </c>
      <c r="AC48" s="163">
        <f t="shared" si="18"/>
        <v>250000</v>
      </c>
      <c r="AD48" s="114">
        <f t="shared" si="18"/>
        <v>250000</v>
      </c>
      <c r="AE48" s="114">
        <f t="shared" si="18"/>
        <v>54807.112749799999</v>
      </c>
      <c r="AF48" s="114">
        <f t="shared" si="18"/>
        <v>109614.2254996</v>
      </c>
      <c r="AG48" s="114">
        <f t="shared" si="18"/>
        <v>164421.3382494</v>
      </c>
      <c r="AH48" s="114">
        <f t="shared" si="18"/>
        <v>219228.45099919999</v>
      </c>
      <c r="AI48" s="114">
        <f t="shared" si="18"/>
        <v>548071.12749799993</v>
      </c>
      <c r="AJ48" s="114">
        <f t="shared" si="18"/>
        <v>342544.45468624996</v>
      </c>
      <c r="AK48" s="114">
        <f t="shared" si="18"/>
        <v>342544.45468624996</v>
      </c>
      <c r="AL48" s="114">
        <f t="shared" si="18"/>
        <v>342544.45468624996</v>
      </c>
      <c r="AM48" s="114">
        <f t="shared" si="18"/>
        <v>342544.45468624996</v>
      </c>
      <c r="AN48" s="114">
        <f t="shared" si="18"/>
        <v>1370177.8187449998</v>
      </c>
      <c r="AO48" s="3"/>
      <c r="AP48" s="3"/>
      <c r="AQ48" s="3"/>
      <c r="AR48" s="3"/>
      <c r="AS48" s="2"/>
    </row>
  </sheetData>
  <mergeCells count="16">
    <mergeCell ref="N6:T6"/>
    <mergeCell ref="V11:AS11"/>
    <mergeCell ref="V30:AS30"/>
    <mergeCell ref="B3:L3"/>
    <mergeCell ref="B4:L4"/>
    <mergeCell ref="N3:T3"/>
    <mergeCell ref="V3:AS3"/>
    <mergeCell ref="W5:Z5"/>
    <mergeCell ref="W16:Z16"/>
    <mergeCell ref="AG5:AJ5"/>
    <mergeCell ref="AG16:AJ16"/>
    <mergeCell ref="AJ42:AM42"/>
    <mergeCell ref="Z42:AC42"/>
    <mergeCell ref="AB5:AE5"/>
    <mergeCell ref="AB16:AE16"/>
    <mergeCell ref="AE42:AH42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68D31-A6C9-405A-9B6E-0EA5383A23E5}">
  <dimension ref="B3:AP18"/>
  <sheetViews>
    <sheetView zoomScale="90" zoomScaleNormal="90" workbookViewId="0">
      <selection activeCell="L9" sqref="L9"/>
    </sheetView>
  </sheetViews>
  <sheetFormatPr baseColWidth="10" defaultColWidth="10.83203125" defaultRowHeight="15" x14ac:dyDescent="0.2"/>
  <cols>
    <col min="1" max="1" width="6.6640625" customWidth="1"/>
    <col min="2" max="2" width="27.1640625" customWidth="1"/>
    <col min="3" max="6" width="10.6640625" customWidth="1"/>
    <col min="7" max="7" width="11.83203125" bestFit="1" customWidth="1"/>
    <col min="8" max="11" width="11.6640625" bestFit="1" customWidth="1"/>
    <col min="12" max="13" width="11.83203125" bestFit="1" customWidth="1"/>
    <col min="14" max="16" width="11.6640625" bestFit="1" customWidth="1"/>
    <col min="17" max="17" width="12.83203125" bestFit="1" customWidth="1"/>
    <col min="19" max="19" width="40.6640625" customWidth="1"/>
    <col min="20" max="21" width="14.6640625" bestFit="1" customWidth="1"/>
    <col min="23" max="23" width="17.1640625" customWidth="1"/>
    <col min="24" max="24" width="15.1640625" customWidth="1"/>
    <col min="25" max="25" width="23.33203125" customWidth="1"/>
    <col min="39" max="39" width="11.33203125" customWidth="1"/>
  </cols>
  <sheetData>
    <row r="3" spans="2:42" x14ac:dyDescent="0.2">
      <c r="B3" s="155"/>
      <c r="C3" s="298" t="s">
        <v>191</v>
      </c>
      <c r="D3" s="299"/>
      <c r="E3" s="299"/>
      <c r="F3" s="300"/>
      <c r="G3" s="156" t="s">
        <v>192</v>
      </c>
      <c r="H3" s="298" t="s">
        <v>193</v>
      </c>
      <c r="I3" s="299"/>
      <c r="J3" s="299"/>
      <c r="K3" s="300"/>
      <c r="L3" s="156" t="s">
        <v>194</v>
      </c>
      <c r="M3" s="301" t="s">
        <v>5</v>
      </c>
      <c r="N3" s="302"/>
      <c r="O3" s="302"/>
      <c r="P3" s="302"/>
      <c r="Q3" s="156" t="s">
        <v>195</v>
      </c>
    </row>
    <row r="4" spans="2:42" x14ac:dyDescent="0.2">
      <c r="B4" s="155"/>
      <c r="C4" s="157" t="s">
        <v>92</v>
      </c>
      <c r="D4" s="157" t="s">
        <v>93</v>
      </c>
      <c r="E4" s="157" t="s">
        <v>94</v>
      </c>
      <c r="F4" s="157" t="s">
        <v>95</v>
      </c>
      <c r="G4" s="158" t="s">
        <v>7</v>
      </c>
      <c r="H4" s="157" t="s">
        <v>92</v>
      </c>
      <c r="I4" s="157" t="s">
        <v>93</v>
      </c>
      <c r="J4" s="157" t="s">
        <v>94</v>
      </c>
      <c r="K4" s="157" t="s">
        <v>95</v>
      </c>
      <c r="L4" s="158" t="s">
        <v>6</v>
      </c>
      <c r="M4" s="157" t="s">
        <v>92</v>
      </c>
      <c r="N4" s="157" t="s">
        <v>93</v>
      </c>
      <c r="O4" s="157" t="s">
        <v>94</v>
      </c>
      <c r="P4" s="157" t="s">
        <v>95</v>
      </c>
      <c r="Q4" s="158" t="s">
        <v>5</v>
      </c>
    </row>
    <row r="5" spans="2:42" x14ac:dyDescent="0.2">
      <c r="B5" s="159" t="s">
        <v>30</v>
      </c>
      <c r="C5" s="110">
        <f>'Hospital '!T112+'Hospital '!T138</f>
        <v>23585.794267699999</v>
      </c>
      <c r="D5" s="110">
        <f>'Hospital '!U112+'Hospital '!U138</f>
        <v>47171.588535399998</v>
      </c>
      <c r="E5" s="110">
        <f>'Hospital '!V112+'Hospital '!V138</f>
        <v>99514.920303099992</v>
      </c>
      <c r="F5" s="110">
        <f>'Hospital '!W112+'Hospital '!W138</f>
        <v>123100.71457079999</v>
      </c>
      <c r="G5" s="110">
        <f>SUM('Hospital '!AK95:AK96)</f>
        <v>293373.01767699997</v>
      </c>
      <c r="H5" s="110">
        <f>'Hospital '!Y112+'Hospital '!Y138</f>
        <v>225272.57599797501</v>
      </c>
      <c r="I5" s="110">
        <f>'Hospital '!Z112+'Hospital '!Z138</f>
        <v>292617.63941845001</v>
      </c>
      <c r="J5" s="110">
        <f>'Hospital '!AA112+'Hospital '!AA138</f>
        <v>359962.702838925</v>
      </c>
      <c r="K5" s="110">
        <f>'Hospital '!AB112+'Hospital '!AB138</f>
        <v>427307.76625940006</v>
      </c>
      <c r="L5" s="110">
        <f>SUM('Hospital '!AL95:AL96)</f>
        <v>1305160.6845147498</v>
      </c>
      <c r="M5" s="110">
        <f>'Hospital '!AD112+'Hospital '!AD138</f>
        <v>867511.91847990011</v>
      </c>
      <c r="N5" s="110">
        <f>'Hospital '!AE112+'Hospital '!AE138</f>
        <v>867511.91847990011</v>
      </c>
      <c r="O5" s="110">
        <f>'Hospital '!AF112+'Hospital '!AF138</f>
        <v>867511.91847990011</v>
      </c>
      <c r="P5" s="110">
        <f>'Hospital '!AG112+'Hospital '!AG138</f>
        <v>867511.91847990011</v>
      </c>
      <c r="Q5" s="110">
        <f>SUM('Hospital '!AM95:AM96)</f>
        <v>3470047.6739196</v>
      </c>
      <c r="AN5" t="s">
        <v>7</v>
      </c>
      <c r="AO5" t="s">
        <v>6</v>
      </c>
      <c r="AP5" t="s">
        <v>5</v>
      </c>
    </row>
    <row r="6" spans="2:42" x14ac:dyDescent="0.2">
      <c r="B6" s="159" t="s">
        <v>124</v>
      </c>
      <c r="C6" s="110">
        <f>'OEM-B2B '!Z48</f>
        <v>0</v>
      </c>
      <c r="D6" s="110">
        <f>'OEM-B2B '!AA48</f>
        <v>0</v>
      </c>
      <c r="E6" s="110">
        <f>'OEM-B2B '!AB48</f>
        <v>0</v>
      </c>
      <c r="F6" s="110">
        <f>'OEM-B2B '!AC48</f>
        <v>250000</v>
      </c>
      <c r="G6" s="110">
        <f>'OEM-B2B '!AD48</f>
        <v>250000</v>
      </c>
      <c r="H6" s="110">
        <f>'OEM-B2B '!AE48</f>
        <v>54807.112749799999</v>
      </c>
      <c r="I6" s="110">
        <f>'OEM-B2B '!AF48</f>
        <v>109614.2254996</v>
      </c>
      <c r="J6" s="110">
        <f>'OEM-B2B '!AG48</f>
        <v>164421.3382494</v>
      </c>
      <c r="K6" s="110">
        <f>'OEM-B2B '!AH48</f>
        <v>219228.45099919999</v>
      </c>
      <c r="L6" s="110">
        <f>'OEM-B2B '!AI48</f>
        <v>548071.12749799993</v>
      </c>
      <c r="M6" s="110">
        <f>'OEM-B2B '!AJ48</f>
        <v>342544.45468624996</v>
      </c>
      <c r="N6" s="110">
        <f>'OEM-B2B '!AK48</f>
        <v>342544.45468624996</v>
      </c>
      <c r="O6" s="110">
        <f>'OEM-B2B '!AL48</f>
        <v>342544.45468624996</v>
      </c>
      <c r="P6" s="110">
        <f>'OEM-B2B '!AM48</f>
        <v>342544.45468624996</v>
      </c>
      <c r="Q6" s="110">
        <f>'OEM-B2B '!AN48</f>
        <v>1370177.8187449998</v>
      </c>
      <c r="AL6" t="s">
        <v>130</v>
      </c>
      <c r="AN6" s="174">
        <f>G8</f>
        <v>439600</v>
      </c>
      <c r="AO6" s="110">
        <f>L8</f>
        <v>1009000</v>
      </c>
      <c r="AP6" s="110">
        <f>Q8</f>
        <v>1578400</v>
      </c>
    </row>
    <row r="7" spans="2:42" x14ac:dyDescent="0.2">
      <c r="B7" s="159" t="s">
        <v>129</v>
      </c>
      <c r="C7" s="110">
        <f>Homecare!AD31</f>
        <v>12018.16756224</v>
      </c>
      <c r="D7" s="110">
        <f>Homecare!AE31</f>
        <v>35574.767364480002</v>
      </c>
      <c r="E7" s="110">
        <f>Homecare!AF31</f>
        <v>53362.151046719999</v>
      </c>
      <c r="F7" s="110">
        <f>Homecare!AG31</f>
        <v>76918.75084896</v>
      </c>
      <c r="G7" s="110">
        <f>Homecare!AH31</f>
        <v>177873.83682239999</v>
      </c>
      <c r="H7" s="110">
        <f>Homecare!AI31</f>
        <v>238188.8557293333</v>
      </c>
      <c r="I7" s="110">
        <f>Homecare!AJ31</f>
        <v>238188.8557293333</v>
      </c>
      <c r="J7" s="110">
        <f>Homecare!AK31</f>
        <v>238188.8557293333</v>
      </c>
      <c r="K7" s="110">
        <f>Homecare!AL31</f>
        <v>238188.8557293333</v>
      </c>
      <c r="L7" s="110">
        <f>Homecare!AM31</f>
        <v>952755.4229173332</v>
      </c>
      <c r="M7" s="110">
        <f>Homecare!AN31</f>
        <v>485304.20140000002</v>
      </c>
      <c r="N7" s="110">
        <f>Homecare!AO31</f>
        <v>485304.20140000002</v>
      </c>
      <c r="O7" s="110">
        <f>Homecare!AP31</f>
        <v>485304.20140000002</v>
      </c>
      <c r="P7" s="110">
        <f>Homecare!AQ31</f>
        <v>485304.20140000002</v>
      </c>
      <c r="Q7" s="110">
        <f>Homecare!AR31</f>
        <v>1941216.8056000001</v>
      </c>
      <c r="AL7" t="s">
        <v>30</v>
      </c>
      <c r="AN7" s="174">
        <f>G5</f>
        <v>293373.01767699997</v>
      </c>
      <c r="AO7" s="110">
        <f>L5</f>
        <v>1305160.6845147498</v>
      </c>
      <c r="AP7" s="110">
        <f>Q5</f>
        <v>3470047.6739196</v>
      </c>
    </row>
    <row r="8" spans="2:42" x14ac:dyDescent="0.2">
      <c r="B8" s="159" t="s">
        <v>130</v>
      </c>
      <c r="C8" s="110">
        <f>'OEM-B2B '!W21</f>
        <v>0</v>
      </c>
      <c r="D8" s="110">
        <f>'OEM-B2B '!X21</f>
        <v>45000</v>
      </c>
      <c r="E8" s="110">
        <f>'OEM-B2B '!Y21</f>
        <v>0</v>
      </c>
      <c r="F8" s="110">
        <f>'OEM-B2B '!Z21</f>
        <v>394600</v>
      </c>
      <c r="G8" s="110">
        <f>'OEM-B2B '!AA21</f>
        <v>439600</v>
      </c>
      <c r="H8" s="110">
        <f>'OEM-B2B '!AB21</f>
        <v>218500</v>
      </c>
      <c r="I8" s="110">
        <f>'OEM-B2B '!AC21</f>
        <v>263500</v>
      </c>
      <c r="J8" s="110">
        <f>'OEM-B2B '!AD21</f>
        <v>263500</v>
      </c>
      <c r="K8" s="110">
        <f>'OEM-B2B '!AE21</f>
        <v>263500</v>
      </c>
      <c r="L8" s="110">
        <f>'OEM-B2B '!AF21</f>
        <v>1009000</v>
      </c>
      <c r="M8" s="110">
        <f>'OEM-B2B '!AG21</f>
        <v>394600</v>
      </c>
      <c r="N8" s="110">
        <f>'OEM-B2B '!AH21</f>
        <v>394600</v>
      </c>
      <c r="O8" s="110">
        <f>'OEM-B2B '!AI21</f>
        <v>394600</v>
      </c>
      <c r="P8" s="110">
        <f>'OEM-B2B '!AJ21</f>
        <v>394600</v>
      </c>
      <c r="Q8" s="110">
        <f>'OEM-B2B '!AK21</f>
        <v>1578400</v>
      </c>
      <c r="AL8" t="s">
        <v>129</v>
      </c>
      <c r="AN8" s="174">
        <f>G7</f>
        <v>177873.83682239999</v>
      </c>
      <c r="AO8" s="110">
        <f>L7</f>
        <v>952755.4229173332</v>
      </c>
      <c r="AP8" s="110">
        <f t="shared" ref="AP8:AP10" si="0">Q7</f>
        <v>1941216.8056000001</v>
      </c>
    </row>
    <row r="9" spans="2:42" x14ac:dyDescent="0.2">
      <c r="B9" s="159" t="s">
        <v>138</v>
      </c>
      <c r="C9" s="110">
        <f>'Hospital '!T152+'OEM-B2B '!Z47</f>
        <v>48125</v>
      </c>
      <c r="D9" s="110">
        <f>'Hospital '!U152+'OEM-B2B '!AA47</f>
        <v>20625</v>
      </c>
      <c r="E9" s="110">
        <f>'Hospital '!V152+'OEM-B2B '!AB47</f>
        <v>48125</v>
      </c>
      <c r="F9" s="110">
        <f>'Hospital '!W152+'OEM-B2B '!AC47</f>
        <v>20625</v>
      </c>
      <c r="G9" s="110">
        <f>'Hospital '!X152+'OEM-B2B '!AD47</f>
        <v>137500</v>
      </c>
      <c r="H9" s="110">
        <f>'Hospital '!Y152+'OEM-B2B '!AE47</f>
        <v>90750</v>
      </c>
      <c r="I9" s="110">
        <f>'Hospital '!Z152+'OEM-B2B '!AF47</f>
        <v>140250</v>
      </c>
      <c r="J9" s="110">
        <f>'Hospital '!AA152+'OEM-B2B '!AG47</f>
        <v>189750</v>
      </c>
      <c r="K9" s="110">
        <f>'Hospital '!AB152+'OEM-B2B '!AH47</f>
        <v>239250</v>
      </c>
      <c r="L9" s="110">
        <f>'Hospital '!AC152+'OEM-B2B '!AI47</f>
        <v>660000</v>
      </c>
      <c r="M9" s="110">
        <f>'Hospital '!AD152+'OEM-B2B '!AJ47</f>
        <v>103125</v>
      </c>
      <c r="N9" s="110">
        <f>'Hospital '!AE152+'OEM-B2B '!AK47</f>
        <v>103125</v>
      </c>
      <c r="O9" s="110">
        <f>'Hospital '!AF152+'OEM-B2B '!AL47</f>
        <v>103125</v>
      </c>
      <c r="P9" s="110">
        <f>'Hospital '!AG152+'OEM-B2B '!AM47</f>
        <v>103125</v>
      </c>
      <c r="Q9" s="110">
        <f>'Hospital '!AH152+'OEM-B2B '!AN47</f>
        <v>412500</v>
      </c>
      <c r="AL9" t="s">
        <v>124</v>
      </c>
      <c r="AN9" s="174">
        <f>G6</f>
        <v>250000</v>
      </c>
      <c r="AO9" s="110">
        <f>L6</f>
        <v>548071.12749799993</v>
      </c>
      <c r="AP9" s="110">
        <f>Q6</f>
        <v>1370177.8187449998</v>
      </c>
    </row>
    <row r="10" spans="2:42" x14ac:dyDescent="0.2">
      <c r="B10" s="160" t="s">
        <v>131</v>
      </c>
      <c r="C10" s="110">
        <f t="shared" ref="C10:Q10" si="1">SUM(C5:C9)</f>
        <v>83728.961829940003</v>
      </c>
      <c r="D10" s="110">
        <f t="shared" si="1"/>
        <v>148371.35589988</v>
      </c>
      <c r="E10" s="110">
        <f t="shared" si="1"/>
        <v>201002.07134982001</v>
      </c>
      <c r="F10" s="110">
        <f t="shared" si="1"/>
        <v>865244.46541975997</v>
      </c>
      <c r="G10" s="110">
        <f t="shared" si="1"/>
        <v>1298346.8544994001</v>
      </c>
      <c r="H10" s="110">
        <f t="shared" si="1"/>
        <v>827518.5444771084</v>
      </c>
      <c r="I10" s="110">
        <f t="shared" si="1"/>
        <v>1044170.7206473832</v>
      </c>
      <c r="J10" s="110">
        <f t="shared" si="1"/>
        <v>1215822.8968176583</v>
      </c>
      <c r="K10" s="110">
        <f t="shared" si="1"/>
        <v>1387475.0729879334</v>
      </c>
      <c r="L10" s="110">
        <f t="shared" si="1"/>
        <v>4474987.2349300832</v>
      </c>
      <c r="M10" s="110">
        <f t="shared" si="1"/>
        <v>2193085.5745661501</v>
      </c>
      <c r="N10" s="110">
        <f t="shared" si="1"/>
        <v>2193085.5745661501</v>
      </c>
      <c r="O10" s="110">
        <f t="shared" si="1"/>
        <v>2193085.5745661501</v>
      </c>
      <c r="P10" s="110">
        <f t="shared" si="1"/>
        <v>2193085.5745661501</v>
      </c>
      <c r="Q10" s="110">
        <f t="shared" si="1"/>
        <v>8772342.2982646003</v>
      </c>
      <c r="AL10" t="s">
        <v>138</v>
      </c>
      <c r="AN10" s="174">
        <f>G9</f>
        <v>137500</v>
      </c>
      <c r="AO10" s="110">
        <f>L9</f>
        <v>660000</v>
      </c>
      <c r="AP10" s="110">
        <f t="shared" si="0"/>
        <v>412500</v>
      </c>
    </row>
    <row r="11" spans="2:42" x14ac:dyDescent="0.2"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AN11" s="174">
        <f>SUM(AN7:AN10)</f>
        <v>858746.85449939989</v>
      </c>
      <c r="AO11" s="174">
        <f>SUM(AO7:AO10)</f>
        <v>3465987.2349300832</v>
      </c>
      <c r="AP11" s="174">
        <f>SUM(AP7:AP10)</f>
        <v>7193942.2982646003</v>
      </c>
    </row>
    <row r="12" spans="2:42" x14ac:dyDescent="0.2">
      <c r="B12" s="161" t="s">
        <v>245</v>
      </c>
      <c r="G12" s="162">
        <f>'Hospital '!AL57</f>
        <v>5</v>
      </c>
      <c r="H12" s="155"/>
      <c r="I12" s="155"/>
      <c r="J12" s="155"/>
      <c r="K12" s="155"/>
      <c r="L12" s="162">
        <f>'Hospital '!AM57+'OEM-B2B '!AI40</f>
        <v>23</v>
      </c>
      <c r="M12" s="155"/>
      <c r="N12" s="155"/>
      <c r="O12" s="155"/>
      <c r="P12" s="155"/>
      <c r="Q12" s="162">
        <f>'OEM-B2B '!AN40</f>
        <v>15</v>
      </c>
    </row>
    <row r="14" spans="2:42" x14ac:dyDescent="0.2">
      <c r="B14" s="51" t="s">
        <v>269</v>
      </c>
      <c r="C14" s="5">
        <f ca="1">'Hospital '!T84</f>
        <v>10.214197</v>
      </c>
      <c r="D14" s="5">
        <f>'Hospital '!U84</f>
        <v>20.428394000000001</v>
      </c>
      <c r="E14" s="5">
        <f>'Hospital '!V84</f>
        <v>48.855090999999994</v>
      </c>
      <c r="F14" s="5">
        <f>'Hospital '!W84</f>
        <v>54.350538</v>
      </c>
      <c r="G14" s="5">
        <f>'Hospital '!X84</f>
        <v>138.56696999999997</v>
      </c>
      <c r="H14" s="5">
        <f>'Hospital '!Y84</f>
        <v>159.00475537500003</v>
      </c>
      <c r="I14" s="5">
        <f>'Hospital '!Z84</f>
        <v>223.56989824999999</v>
      </c>
      <c r="J14" s="5">
        <f>'Hospital '!AA84</f>
        <v>288.13504112500004</v>
      </c>
      <c r="K14" s="5">
        <f>'Hospital '!AB84</f>
        <v>352.70018400000004</v>
      </c>
      <c r="L14" s="5">
        <f>'Hospital '!AC84</f>
        <v>1023.4098787500001</v>
      </c>
      <c r="M14" s="5">
        <f>'Hospital '!AD84</f>
        <v>762.57381387500004</v>
      </c>
      <c r="N14" s="5">
        <f>'Hospital '!AE84</f>
        <v>762.57381387500004</v>
      </c>
      <c r="O14" s="5">
        <f>'Hospital '!AF84</f>
        <v>762.57381387500004</v>
      </c>
      <c r="P14" s="5">
        <f>'Hospital '!AG84</f>
        <v>762.57381387500004</v>
      </c>
      <c r="Q14" s="5">
        <f>'Hospital '!AH84</f>
        <v>3050.2952555000002</v>
      </c>
    </row>
    <row r="15" spans="2:42" x14ac:dyDescent="0.2">
      <c r="B15" s="51" t="s">
        <v>270</v>
      </c>
      <c r="C15" s="5">
        <f>Homecare!AD18</f>
        <v>32.481533951999999</v>
      </c>
      <c r="D15" s="5">
        <f>Homecare!AE18</f>
        <v>96.148019903999995</v>
      </c>
      <c r="E15" s="5">
        <f>Homecare!AF18</f>
        <v>144.22202985600001</v>
      </c>
      <c r="F15" s="5">
        <f>Homecare!AG18</f>
        <v>207.88851580799999</v>
      </c>
      <c r="G15" s="5">
        <f>Homecare!AH18</f>
        <v>480.74009952</v>
      </c>
      <c r="H15" s="5">
        <f>Homecare!AI18</f>
        <v>643.75366413333336</v>
      </c>
      <c r="I15" s="5">
        <f>Homecare!AJ18</f>
        <v>643.75366413333336</v>
      </c>
      <c r="J15" s="5">
        <f>Homecare!AK18</f>
        <v>643.75366413333336</v>
      </c>
      <c r="K15" s="5">
        <f>Homecare!AL18</f>
        <v>643.75366413333336</v>
      </c>
      <c r="L15" s="5">
        <f>Homecare!AM18</f>
        <v>2575.0146565333334</v>
      </c>
      <c r="M15" s="5">
        <f>Homecare!AN18</f>
        <v>1509.127168</v>
      </c>
      <c r="N15" s="5">
        <f>Homecare!AO18</f>
        <v>1509.127168</v>
      </c>
      <c r="O15" s="5">
        <f>Homecare!AP18</f>
        <v>1509.127168</v>
      </c>
      <c r="P15" s="5">
        <f>Homecare!AQ18</f>
        <v>1509.127168</v>
      </c>
      <c r="Q15" s="5">
        <f>Homecare!AR18</f>
        <v>6036.5086719999999</v>
      </c>
    </row>
    <row r="16" spans="2:42" x14ac:dyDescent="0.2">
      <c r="B16" s="27" t="s">
        <v>271</v>
      </c>
      <c r="C16" s="17">
        <f>'OEM-B2B '!W8</f>
        <v>0</v>
      </c>
      <c r="D16" s="17">
        <f>'OEM-B2B '!X8</f>
        <v>0</v>
      </c>
      <c r="E16" s="17">
        <f>'OEM-B2B '!Y8</f>
        <v>0</v>
      </c>
      <c r="F16" s="17">
        <f>'OEM-B2B '!Z8</f>
        <v>2000</v>
      </c>
      <c r="G16" s="17">
        <f>'OEM-B2B '!AA8</f>
        <v>2000</v>
      </c>
      <c r="H16" s="17">
        <f>'OEM-B2B '!AB8</f>
        <v>1250</v>
      </c>
      <c r="I16" s="17">
        <f>'OEM-B2B '!AC8</f>
        <v>1250</v>
      </c>
      <c r="J16" s="17">
        <f>'OEM-B2B '!AD8</f>
        <v>1250</v>
      </c>
      <c r="K16" s="17">
        <f>'OEM-B2B '!AE8</f>
        <v>1250</v>
      </c>
      <c r="L16" s="17">
        <f>'OEM-B2B '!AF8</f>
        <v>5000</v>
      </c>
      <c r="M16" s="17">
        <f>'OEM-B2B '!AG8</f>
        <v>2000</v>
      </c>
      <c r="N16" s="17">
        <f>'OEM-B2B '!AH8</f>
        <v>2000</v>
      </c>
      <c r="O16" s="17">
        <f>'OEM-B2B '!AI8</f>
        <v>2000</v>
      </c>
      <c r="P16" s="17">
        <f>'OEM-B2B '!AJ8</f>
        <v>2000</v>
      </c>
      <c r="Q16" s="17">
        <f>'OEM-B2B '!AK8</f>
        <v>8000</v>
      </c>
    </row>
    <row r="18" spans="2:17" x14ac:dyDescent="0.2">
      <c r="B18" s="27" t="s">
        <v>268</v>
      </c>
      <c r="C18" s="5">
        <f ca="1">SUM(C14:C16)</f>
        <v>42.695730951999998</v>
      </c>
      <c r="D18" s="5">
        <f t="shared" ref="D18:Q18" si="2">SUM(D14:D16)</f>
        <v>116.57641390399999</v>
      </c>
      <c r="E18" s="5">
        <f t="shared" si="2"/>
        <v>193.07712085599999</v>
      </c>
      <c r="F18" s="5">
        <f t="shared" si="2"/>
        <v>2262.2390538079999</v>
      </c>
      <c r="G18" s="5">
        <f t="shared" si="2"/>
        <v>2619.3070695199999</v>
      </c>
      <c r="H18" s="5">
        <f t="shared" si="2"/>
        <v>2052.7584195083336</v>
      </c>
      <c r="I18" s="5">
        <f t="shared" si="2"/>
        <v>2117.3235623833334</v>
      </c>
      <c r="J18" s="5">
        <f t="shared" si="2"/>
        <v>2181.8887052583332</v>
      </c>
      <c r="K18" s="5">
        <f t="shared" si="2"/>
        <v>2246.4538481333334</v>
      </c>
      <c r="L18" s="5">
        <f t="shared" si="2"/>
        <v>8598.4245352833332</v>
      </c>
      <c r="M18" s="5">
        <f t="shared" si="2"/>
        <v>4271.7009818750003</v>
      </c>
      <c r="N18" s="5">
        <f t="shared" si="2"/>
        <v>4271.7009818750003</v>
      </c>
      <c r="O18" s="5">
        <f t="shared" si="2"/>
        <v>4271.7009818750003</v>
      </c>
      <c r="P18" s="5">
        <f t="shared" si="2"/>
        <v>4271.7009818750003</v>
      </c>
      <c r="Q18" s="5">
        <f t="shared" si="2"/>
        <v>17086.803927500001</v>
      </c>
    </row>
  </sheetData>
  <mergeCells count="3">
    <mergeCell ref="C3:F3"/>
    <mergeCell ref="H3:K3"/>
    <mergeCell ref="M3:P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E8A8F-946E-4E4F-91B8-5BFD401247A1}">
  <dimension ref="B3:H12"/>
  <sheetViews>
    <sheetView workbookViewId="0">
      <selection activeCell="N16" sqref="N16"/>
    </sheetView>
  </sheetViews>
  <sheetFormatPr baseColWidth="10" defaultColWidth="10.83203125" defaultRowHeight="15" x14ac:dyDescent="0.2"/>
  <cols>
    <col min="2" max="2" width="40.83203125" customWidth="1"/>
  </cols>
  <sheetData>
    <row r="3" spans="2:8" x14ac:dyDescent="0.2">
      <c r="B3" s="122" t="s">
        <v>281</v>
      </c>
      <c r="C3" s="122" t="s">
        <v>7</v>
      </c>
      <c r="D3" s="122" t="s">
        <v>6</v>
      </c>
      <c r="E3" s="122" t="s">
        <v>5</v>
      </c>
      <c r="F3" s="122" t="s">
        <v>274</v>
      </c>
      <c r="G3" s="122" t="s">
        <v>275</v>
      </c>
      <c r="H3" s="122" t="s">
        <v>276</v>
      </c>
    </row>
    <row r="4" spans="2:8" x14ac:dyDescent="0.2">
      <c r="B4" t="s">
        <v>277</v>
      </c>
      <c r="C4" s="87">
        <v>1046734.2098874</v>
      </c>
      <c r="D4" s="87">
        <v>3074489.1746924585</v>
      </c>
      <c r="E4" s="87">
        <v>6285371.059567688</v>
      </c>
      <c r="F4" s="87">
        <f t="shared" ref="F4:F12" si="0">SUM(C4:E4)</f>
        <v>10406594.444147546</v>
      </c>
      <c r="G4" s="17"/>
      <c r="H4" s="17"/>
    </row>
    <row r="5" spans="2:8" x14ac:dyDescent="0.2">
      <c r="B5" s="220" t="s">
        <v>272</v>
      </c>
      <c r="C5" s="87">
        <v>1221534.2098874</v>
      </c>
      <c r="D5" s="87">
        <v>3424089.1746924585</v>
      </c>
      <c r="E5" s="87">
        <v>6809771.059567688</v>
      </c>
      <c r="F5" s="87">
        <f t="shared" si="0"/>
        <v>11455394.444147546</v>
      </c>
      <c r="G5" s="222">
        <f t="shared" ref="G5:G12" si="1">F5-F4</f>
        <v>1048800</v>
      </c>
      <c r="H5" s="87">
        <f t="shared" ref="H5:H12" si="2">F5-$F$4</f>
        <v>1048800</v>
      </c>
    </row>
    <row r="6" spans="2:8" x14ac:dyDescent="0.2">
      <c r="B6" s="220" t="s">
        <v>273</v>
      </c>
      <c r="C6" s="87">
        <v>1221534.2098874</v>
      </c>
      <c r="D6" s="87">
        <v>3559573.6511630835</v>
      </c>
      <c r="E6" s="87">
        <v>7135740.0125089381</v>
      </c>
      <c r="F6" s="87">
        <f t="shared" si="0"/>
        <v>11916847.873559423</v>
      </c>
      <c r="G6" s="222">
        <f t="shared" si="1"/>
        <v>461453.42941187695</v>
      </c>
      <c r="H6" s="87">
        <f t="shared" si="2"/>
        <v>1510253.4294118769</v>
      </c>
    </row>
    <row r="7" spans="2:8" x14ac:dyDescent="0.2">
      <c r="B7" s="221" t="s">
        <v>278</v>
      </c>
      <c r="C7" s="87">
        <v>1259401.38218365</v>
      </c>
      <c r="D7" s="87">
        <v>3894464.2923402707</v>
      </c>
      <c r="E7" s="87">
        <v>7303529.2901745625</v>
      </c>
      <c r="F7" s="87">
        <f t="shared" si="0"/>
        <v>12457394.964698482</v>
      </c>
      <c r="G7" s="222">
        <f t="shared" si="1"/>
        <v>540547.09113905951</v>
      </c>
      <c r="H7" s="87">
        <f t="shared" si="2"/>
        <v>2050800.5205509365</v>
      </c>
    </row>
    <row r="8" spans="2:8" x14ac:dyDescent="0.2">
      <c r="B8" s="221" t="s">
        <v>279</v>
      </c>
      <c r="C8" s="87">
        <v>1280042.9621881498</v>
      </c>
      <c r="D8" s="87">
        <v>3999083.1312541459</v>
      </c>
      <c r="E8" s="87">
        <v>7550600.0280537875</v>
      </c>
      <c r="F8" s="87">
        <f t="shared" si="0"/>
        <v>12829726.121496083</v>
      </c>
      <c r="G8" s="222">
        <f t="shared" si="1"/>
        <v>372331.15679760091</v>
      </c>
      <c r="H8" s="87">
        <f t="shared" si="2"/>
        <v>2423131.6773485374</v>
      </c>
    </row>
    <row r="9" spans="2:8" x14ac:dyDescent="0.2">
      <c r="B9" s="221" t="s">
        <v>280</v>
      </c>
      <c r="C9" s="87">
        <v>1280042.9621881498</v>
      </c>
      <c r="D9" s="87">
        <v>3999083.1312541459</v>
      </c>
      <c r="E9" s="87">
        <v>7592355.9427737873</v>
      </c>
      <c r="F9" s="87">
        <f t="shared" si="0"/>
        <v>12871482.036216084</v>
      </c>
      <c r="G9" s="222">
        <f t="shared" si="1"/>
        <v>41755.914720000699</v>
      </c>
      <c r="H9" s="87">
        <f t="shared" si="2"/>
        <v>2464887.5920685381</v>
      </c>
    </row>
    <row r="10" spans="2:8" x14ac:dyDescent="0.2">
      <c r="B10" s="221"/>
      <c r="C10" s="87">
        <v>1280042.9621881498</v>
      </c>
      <c r="D10" s="87">
        <v>4086759.3472541459</v>
      </c>
      <c r="E10" s="87">
        <v>7794998.8197737876</v>
      </c>
      <c r="F10" s="87">
        <f t="shared" si="0"/>
        <v>13161801.129216082</v>
      </c>
      <c r="G10" s="222">
        <f t="shared" si="1"/>
        <v>290319.09299999848</v>
      </c>
      <c r="H10" s="87">
        <f t="shared" si="2"/>
        <v>2755206.6850685365</v>
      </c>
    </row>
    <row r="11" spans="2:8" x14ac:dyDescent="0.2">
      <c r="C11" s="87">
        <v>1280042.9621881498</v>
      </c>
      <c r="D11" s="87">
        <v>4145959.3472541459</v>
      </c>
      <c r="E11" s="87">
        <v>7972598.8197737876</v>
      </c>
      <c r="F11" s="87">
        <f t="shared" si="0"/>
        <v>13398601.129216082</v>
      </c>
      <c r="G11" s="222">
        <f t="shared" si="1"/>
        <v>236800</v>
      </c>
      <c r="H11" s="87">
        <f t="shared" si="2"/>
        <v>2992006.6850685365</v>
      </c>
    </row>
    <row r="12" spans="2:8" x14ac:dyDescent="0.2">
      <c r="C12" s="87">
        <v>1280042.9621881498</v>
      </c>
      <c r="D12" s="87">
        <v>4321384.7476418335</v>
      </c>
      <c r="E12" s="87">
        <v>8323885.7165907128</v>
      </c>
      <c r="F12" s="87">
        <f t="shared" si="0"/>
        <v>13925313.426420696</v>
      </c>
      <c r="G12" s="222">
        <f t="shared" si="1"/>
        <v>526712.29720461369</v>
      </c>
      <c r="H12" s="87">
        <f t="shared" si="2"/>
        <v>3518718.9822731502</v>
      </c>
    </row>
  </sheetData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9A23B-C118-4589-86D7-48AEED9D3361}">
  <dimension ref="A1:P15"/>
  <sheetViews>
    <sheetView tabSelected="1" workbookViewId="0">
      <selection activeCell="F27" sqref="F27"/>
    </sheetView>
  </sheetViews>
  <sheetFormatPr baseColWidth="10" defaultColWidth="10.83203125" defaultRowHeight="15" x14ac:dyDescent="0.2"/>
  <sheetData>
    <row r="1" spans="1:16" x14ac:dyDescent="0.2">
      <c r="B1" t="s">
        <v>191</v>
      </c>
      <c r="F1" t="s">
        <v>192</v>
      </c>
      <c r="G1" t="s">
        <v>193</v>
      </c>
      <c r="K1" t="s">
        <v>194</v>
      </c>
      <c r="L1" t="s">
        <v>5</v>
      </c>
      <c r="P1" t="s">
        <v>195</v>
      </c>
    </row>
    <row r="2" spans="1:16" x14ac:dyDescent="0.2">
      <c r="B2" t="s">
        <v>92</v>
      </c>
      <c r="C2" t="s">
        <v>93</v>
      </c>
      <c r="D2" t="s">
        <v>94</v>
      </c>
      <c r="E2" t="s">
        <v>95</v>
      </c>
      <c r="F2" t="s">
        <v>7</v>
      </c>
      <c r="G2" t="s">
        <v>92</v>
      </c>
      <c r="H2" t="s">
        <v>93</v>
      </c>
      <c r="I2" t="s">
        <v>94</v>
      </c>
      <c r="J2" t="s">
        <v>95</v>
      </c>
      <c r="K2" t="s">
        <v>6</v>
      </c>
      <c r="L2" t="s">
        <v>92</v>
      </c>
      <c r="M2" t="s">
        <v>93</v>
      </c>
      <c r="N2" t="s">
        <v>94</v>
      </c>
      <c r="O2" t="s">
        <v>95</v>
      </c>
      <c r="P2" t="s">
        <v>5</v>
      </c>
    </row>
    <row r="3" spans="1:16" x14ac:dyDescent="0.2">
      <c r="A3" t="s">
        <v>30</v>
      </c>
      <c r="B3">
        <v>18654.529806499999</v>
      </c>
      <c r="C3">
        <v>37309.059612999998</v>
      </c>
      <c r="D3">
        <v>84721.126919500006</v>
      </c>
      <c r="E3">
        <v>103375.65672599999</v>
      </c>
      <c r="F3">
        <v>244060.37306499999</v>
      </c>
      <c r="G3">
        <v>134152.43107001251</v>
      </c>
      <c r="H3">
        <v>167843.45046846251</v>
      </c>
      <c r="I3">
        <v>201534.46986691252</v>
      </c>
      <c r="J3">
        <v>235225.4892653625</v>
      </c>
      <c r="K3">
        <v>694796.80317075015</v>
      </c>
      <c r="L3">
        <v>539323.65463442192</v>
      </c>
      <c r="M3">
        <v>539323.65463442192</v>
      </c>
      <c r="N3">
        <v>539323.65463442192</v>
      </c>
      <c r="O3">
        <v>539323.65463442192</v>
      </c>
      <c r="P3">
        <v>2082564.2547876874</v>
      </c>
    </row>
    <row r="4" spans="1:16" x14ac:dyDescent="0.2">
      <c r="A4" t="s">
        <v>129</v>
      </c>
      <c r="B4">
        <v>12018.16756224</v>
      </c>
      <c r="C4">
        <v>35574.767364480002</v>
      </c>
      <c r="D4">
        <v>53362.151046719999</v>
      </c>
      <c r="E4">
        <v>76918.75084896</v>
      </c>
      <c r="F4">
        <v>177873.83682239999</v>
      </c>
      <c r="G4">
        <v>223388.8557293333</v>
      </c>
      <c r="H4">
        <v>223388.8557293333</v>
      </c>
      <c r="I4">
        <v>223388.8557293333</v>
      </c>
      <c r="J4">
        <v>223388.8557293333</v>
      </c>
      <c r="K4">
        <v>893555.4229173332</v>
      </c>
      <c r="L4">
        <v>430465.22271999996</v>
      </c>
      <c r="M4">
        <v>430465.22271999996</v>
      </c>
      <c r="N4">
        <v>430465.22271999996</v>
      </c>
      <c r="O4">
        <v>430465.22271999996</v>
      </c>
      <c r="P4">
        <v>1721860.8908799998</v>
      </c>
    </row>
    <row r="5" spans="1:16" x14ac:dyDescent="0.2">
      <c r="A5" t="s">
        <v>130</v>
      </c>
      <c r="B5">
        <v>0</v>
      </c>
      <c r="C5">
        <v>45000</v>
      </c>
      <c r="D5">
        <v>0</v>
      </c>
      <c r="E5">
        <v>219800</v>
      </c>
      <c r="F5">
        <v>264800</v>
      </c>
      <c r="G5">
        <v>87400</v>
      </c>
      <c r="H5">
        <v>132400</v>
      </c>
      <c r="I5">
        <v>219800</v>
      </c>
      <c r="J5">
        <v>219800</v>
      </c>
      <c r="K5">
        <v>659400</v>
      </c>
      <c r="L5">
        <v>219800</v>
      </c>
      <c r="M5">
        <v>219800</v>
      </c>
      <c r="N5">
        <v>219800</v>
      </c>
      <c r="O5">
        <v>394600</v>
      </c>
      <c r="P5">
        <v>1054000</v>
      </c>
    </row>
    <row r="6" spans="1:16" x14ac:dyDescent="0.2">
      <c r="A6" t="s">
        <v>124</v>
      </c>
      <c r="B6">
        <v>0</v>
      </c>
      <c r="C6">
        <v>0</v>
      </c>
      <c r="D6">
        <v>0</v>
      </c>
      <c r="E6">
        <v>250000</v>
      </c>
      <c r="F6">
        <v>250000</v>
      </c>
      <c r="G6">
        <v>37895.342941187497</v>
      </c>
      <c r="H6">
        <v>75790.685882374994</v>
      </c>
      <c r="I6">
        <v>113686.02882356249</v>
      </c>
      <c r="J6">
        <v>151581.37176474999</v>
      </c>
      <c r="K6">
        <v>378953.42941187497</v>
      </c>
      <c r="L6">
        <v>243468.95294125</v>
      </c>
      <c r="M6">
        <v>243468.95294125</v>
      </c>
      <c r="N6">
        <v>243468.95294125</v>
      </c>
      <c r="O6">
        <v>243468.95294125</v>
      </c>
      <c r="P6">
        <v>973875.81176499999</v>
      </c>
    </row>
    <row r="7" spans="1:16" x14ac:dyDescent="0.2">
      <c r="A7" t="s">
        <v>138</v>
      </c>
      <c r="B7">
        <v>55000</v>
      </c>
      <c r="C7">
        <v>0</v>
      </c>
      <c r="D7">
        <v>55000</v>
      </c>
      <c r="E7">
        <v>0</v>
      </c>
      <c r="F7">
        <v>110000</v>
      </c>
      <c r="G7">
        <v>42625</v>
      </c>
      <c r="H7">
        <v>75625</v>
      </c>
      <c r="I7">
        <v>103125</v>
      </c>
      <c r="J7">
        <v>130625</v>
      </c>
      <c r="K7">
        <v>357500</v>
      </c>
      <c r="L7">
        <v>82500</v>
      </c>
      <c r="M7">
        <v>82500</v>
      </c>
      <c r="N7">
        <v>82500</v>
      </c>
      <c r="O7">
        <v>82500</v>
      </c>
      <c r="P7">
        <v>330000</v>
      </c>
    </row>
    <row r="8" spans="1:16" x14ac:dyDescent="0.2">
      <c r="A8" t="s">
        <v>131</v>
      </c>
      <c r="B8">
        <v>85672.697368740002</v>
      </c>
      <c r="C8">
        <v>117883.82697748</v>
      </c>
      <c r="D8">
        <v>193083.27796621999</v>
      </c>
      <c r="E8">
        <v>650094.40757496003</v>
      </c>
      <c r="F8">
        <v>1046734.2098874</v>
      </c>
      <c r="G8">
        <v>525461.6297405333</v>
      </c>
      <c r="H8">
        <v>675047.99208017078</v>
      </c>
      <c r="I8">
        <v>861534.35441980837</v>
      </c>
      <c r="J8">
        <v>960620.71675944584</v>
      </c>
      <c r="K8">
        <v>2984205.6554999584</v>
      </c>
      <c r="L8">
        <v>1515557.8302956719</v>
      </c>
      <c r="M8">
        <v>1515557.8302956719</v>
      </c>
      <c r="N8">
        <v>1515557.8302956719</v>
      </c>
      <c r="O8">
        <v>1690357.8302956719</v>
      </c>
      <c r="P8">
        <v>6162300.9574326873</v>
      </c>
    </row>
    <row r="10" spans="1:16" x14ac:dyDescent="0.2">
      <c r="A10" t="s">
        <v>30</v>
      </c>
      <c r="B10">
        <f>B3/1000</f>
        <v>18.654529806499998</v>
      </c>
      <c r="C10">
        <f t="shared" ref="C10:P10" si="0">C3/1000</f>
        <v>37.309059612999995</v>
      </c>
      <c r="D10">
        <f t="shared" si="0"/>
        <v>84.721126919500009</v>
      </c>
      <c r="E10">
        <f t="shared" si="0"/>
        <v>103.37565672599999</v>
      </c>
      <c r="F10">
        <f t="shared" si="0"/>
        <v>244.06037306499999</v>
      </c>
      <c r="G10">
        <f t="shared" si="0"/>
        <v>134.15243107001251</v>
      </c>
      <c r="H10">
        <f t="shared" si="0"/>
        <v>167.84345046846252</v>
      </c>
      <c r="I10">
        <f t="shared" si="0"/>
        <v>201.53446986691253</v>
      </c>
      <c r="J10">
        <f t="shared" si="0"/>
        <v>235.22548926536251</v>
      </c>
      <c r="K10">
        <f t="shared" si="0"/>
        <v>694.7968031707502</v>
      </c>
      <c r="L10">
        <f t="shared" si="0"/>
        <v>539.32365463442193</v>
      </c>
      <c r="M10">
        <f t="shared" si="0"/>
        <v>539.32365463442193</v>
      </c>
      <c r="N10">
        <f t="shared" si="0"/>
        <v>539.32365463442193</v>
      </c>
      <c r="O10">
        <f t="shared" si="0"/>
        <v>539.32365463442193</v>
      </c>
      <c r="P10">
        <f t="shared" si="0"/>
        <v>2082.5642547876873</v>
      </c>
    </row>
    <row r="11" spans="1:16" x14ac:dyDescent="0.2">
      <c r="A11" t="s">
        <v>129</v>
      </c>
      <c r="B11">
        <f t="shared" ref="B11:P15" si="1">B4/1000</f>
        <v>12.01816756224</v>
      </c>
      <c r="C11">
        <f t="shared" si="1"/>
        <v>35.574767364480003</v>
      </c>
      <c r="D11">
        <f t="shared" si="1"/>
        <v>53.362151046720001</v>
      </c>
      <c r="E11">
        <f t="shared" si="1"/>
        <v>76.918750848960002</v>
      </c>
      <c r="F11">
        <f t="shared" si="1"/>
        <v>177.87383682239999</v>
      </c>
      <c r="G11">
        <f t="shared" si="1"/>
        <v>223.3888557293333</v>
      </c>
      <c r="H11">
        <f t="shared" si="1"/>
        <v>223.3888557293333</v>
      </c>
      <c r="I11">
        <f t="shared" si="1"/>
        <v>223.3888557293333</v>
      </c>
      <c r="J11">
        <f t="shared" si="1"/>
        <v>223.3888557293333</v>
      </c>
      <c r="K11">
        <f t="shared" si="1"/>
        <v>893.5554229173332</v>
      </c>
      <c r="L11">
        <f t="shared" si="1"/>
        <v>430.46522271999999</v>
      </c>
      <c r="M11">
        <f t="shared" si="1"/>
        <v>430.46522271999999</v>
      </c>
      <c r="N11">
        <f t="shared" si="1"/>
        <v>430.46522271999999</v>
      </c>
      <c r="O11">
        <f t="shared" si="1"/>
        <v>430.46522271999999</v>
      </c>
      <c r="P11">
        <f t="shared" si="1"/>
        <v>1721.8608908799999</v>
      </c>
    </row>
    <row r="12" spans="1:16" x14ac:dyDescent="0.2">
      <c r="A12" t="s">
        <v>130</v>
      </c>
      <c r="B12">
        <f t="shared" si="1"/>
        <v>0</v>
      </c>
      <c r="C12">
        <f t="shared" si="1"/>
        <v>45</v>
      </c>
      <c r="D12">
        <f t="shared" si="1"/>
        <v>0</v>
      </c>
      <c r="E12">
        <f t="shared" si="1"/>
        <v>219.8</v>
      </c>
      <c r="F12">
        <f t="shared" si="1"/>
        <v>264.8</v>
      </c>
      <c r="G12">
        <f t="shared" si="1"/>
        <v>87.4</v>
      </c>
      <c r="H12">
        <f t="shared" si="1"/>
        <v>132.4</v>
      </c>
      <c r="I12">
        <f t="shared" si="1"/>
        <v>219.8</v>
      </c>
      <c r="J12">
        <f t="shared" si="1"/>
        <v>219.8</v>
      </c>
      <c r="K12">
        <f t="shared" si="1"/>
        <v>659.4</v>
      </c>
      <c r="L12">
        <f t="shared" si="1"/>
        <v>219.8</v>
      </c>
      <c r="M12">
        <f t="shared" si="1"/>
        <v>219.8</v>
      </c>
      <c r="N12">
        <f t="shared" si="1"/>
        <v>219.8</v>
      </c>
      <c r="O12">
        <f t="shared" si="1"/>
        <v>394.6</v>
      </c>
      <c r="P12">
        <f t="shared" si="1"/>
        <v>1054</v>
      </c>
    </row>
    <row r="13" spans="1:16" x14ac:dyDescent="0.2">
      <c r="A13" t="s">
        <v>124</v>
      </c>
      <c r="B13">
        <f t="shared" si="1"/>
        <v>0</v>
      </c>
      <c r="C13">
        <f t="shared" si="1"/>
        <v>0</v>
      </c>
      <c r="D13">
        <f t="shared" si="1"/>
        <v>0</v>
      </c>
      <c r="E13">
        <f t="shared" si="1"/>
        <v>250</v>
      </c>
      <c r="F13">
        <f t="shared" si="1"/>
        <v>250</v>
      </c>
      <c r="G13">
        <f t="shared" si="1"/>
        <v>37.895342941187494</v>
      </c>
      <c r="H13">
        <f t="shared" si="1"/>
        <v>75.790685882374987</v>
      </c>
      <c r="I13">
        <f t="shared" si="1"/>
        <v>113.68602882356249</v>
      </c>
      <c r="J13">
        <f t="shared" si="1"/>
        <v>151.58137176474997</v>
      </c>
      <c r="K13">
        <f t="shared" si="1"/>
        <v>378.95342941187499</v>
      </c>
      <c r="L13">
        <f t="shared" si="1"/>
        <v>243.46895294125</v>
      </c>
      <c r="M13">
        <f t="shared" si="1"/>
        <v>243.46895294125</v>
      </c>
      <c r="N13">
        <f t="shared" si="1"/>
        <v>243.46895294125</v>
      </c>
      <c r="O13">
        <f t="shared" si="1"/>
        <v>243.46895294125</v>
      </c>
      <c r="P13">
        <f t="shared" si="1"/>
        <v>973.87581176499998</v>
      </c>
    </row>
    <row r="14" spans="1:16" x14ac:dyDescent="0.2">
      <c r="A14" t="s">
        <v>138</v>
      </c>
      <c r="B14">
        <f t="shared" si="1"/>
        <v>55</v>
      </c>
      <c r="C14">
        <f t="shared" si="1"/>
        <v>0</v>
      </c>
      <c r="D14">
        <f t="shared" si="1"/>
        <v>55</v>
      </c>
      <c r="E14">
        <f t="shared" si="1"/>
        <v>0</v>
      </c>
      <c r="F14">
        <f t="shared" si="1"/>
        <v>110</v>
      </c>
      <c r="G14">
        <f t="shared" si="1"/>
        <v>42.625</v>
      </c>
      <c r="H14">
        <f t="shared" si="1"/>
        <v>75.625</v>
      </c>
      <c r="I14">
        <f t="shared" si="1"/>
        <v>103.125</v>
      </c>
      <c r="J14">
        <f t="shared" si="1"/>
        <v>130.625</v>
      </c>
      <c r="K14">
        <f t="shared" si="1"/>
        <v>357.5</v>
      </c>
      <c r="L14">
        <f t="shared" si="1"/>
        <v>82.5</v>
      </c>
      <c r="M14">
        <f t="shared" si="1"/>
        <v>82.5</v>
      </c>
      <c r="N14">
        <f t="shared" si="1"/>
        <v>82.5</v>
      </c>
      <c r="O14">
        <f t="shared" si="1"/>
        <v>82.5</v>
      </c>
      <c r="P14">
        <f t="shared" si="1"/>
        <v>330</v>
      </c>
    </row>
    <row r="15" spans="1:16" x14ac:dyDescent="0.2">
      <c r="A15" t="s">
        <v>131</v>
      </c>
      <c r="B15">
        <f t="shared" si="1"/>
        <v>85.672697368740003</v>
      </c>
      <c r="C15">
        <f t="shared" si="1"/>
        <v>117.88382697748</v>
      </c>
      <c r="D15">
        <f t="shared" si="1"/>
        <v>193.08327796621998</v>
      </c>
      <c r="E15">
        <f t="shared" si="1"/>
        <v>650.09440757496009</v>
      </c>
      <c r="F15">
        <f t="shared" si="1"/>
        <v>1046.7342098874001</v>
      </c>
      <c r="G15">
        <f t="shared" si="1"/>
        <v>525.46162974053334</v>
      </c>
      <c r="H15">
        <f t="shared" si="1"/>
        <v>675.04799208017073</v>
      </c>
      <c r="I15">
        <f t="shared" si="1"/>
        <v>861.53435441980832</v>
      </c>
      <c r="J15">
        <f t="shared" si="1"/>
        <v>960.62071675944583</v>
      </c>
      <c r="K15">
        <f t="shared" si="1"/>
        <v>2984.2056554999585</v>
      </c>
      <c r="L15">
        <f t="shared" si="1"/>
        <v>1515.5578302956719</v>
      </c>
      <c r="M15">
        <f t="shared" si="1"/>
        <v>1515.5578302956719</v>
      </c>
      <c r="N15">
        <f t="shared" si="1"/>
        <v>1515.5578302956719</v>
      </c>
      <c r="O15">
        <f t="shared" si="1"/>
        <v>1690.3578302956719</v>
      </c>
      <c r="P15">
        <f t="shared" si="1"/>
        <v>6162.300957432687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A8DE40EB5CA54A94A7300EFAC0E23D" ma:contentTypeVersion="8" ma:contentTypeDescription="Create a new document." ma:contentTypeScope="" ma:versionID="d3f068f2696f3674244096842605d635">
  <xsd:schema xmlns:xsd="http://www.w3.org/2001/XMLSchema" xmlns:xs="http://www.w3.org/2001/XMLSchema" xmlns:p="http://schemas.microsoft.com/office/2006/metadata/properties" xmlns:ns2="243e5e7c-de05-4ab9-bf0c-c329e68c3011" targetNamespace="http://schemas.microsoft.com/office/2006/metadata/properties" ma:root="true" ma:fieldsID="7719a9a0e846ef64efe7dadcba6af2c5" ns2:_="">
    <xsd:import namespace="243e5e7c-de05-4ab9-bf0c-c329e68c30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3e5e7c-de05-4ab9-bf0c-c329e68c30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DD33FAE-5106-4AE6-88E9-BB73AD8B3CA9}">
  <ds:schemaRefs>
    <ds:schemaRef ds:uri="http://purl.org/dc/dcmitype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terms/"/>
    <ds:schemaRef ds:uri="243e5e7c-de05-4ab9-bf0c-c329e68c3011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D6FB09E4-2E24-4728-BA9F-AB7CC198E5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3e5e7c-de05-4ab9-bf0c-c329e68c30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BC645A2-89F4-495A-A504-6F05533E792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Hospital </vt:lpstr>
      <vt:lpstr>Homecare</vt:lpstr>
      <vt:lpstr>OEM-B2B </vt:lpstr>
      <vt:lpstr>Summary</vt:lpstr>
      <vt:lpstr>Changes 8.2 -&gt; 8.3</vt:lpstr>
      <vt:lpstr>For BP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</dc:creator>
  <cp:lastModifiedBy>Jean-Claude Havaux</cp:lastModifiedBy>
  <dcterms:created xsi:type="dcterms:W3CDTF">2020-07-28T15:25:43Z</dcterms:created>
  <dcterms:modified xsi:type="dcterms:W3CDTF">2022-09-13T11:54:24Z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0x01010017A8DE40EB5CA54A94A7300EFAC0E23D</vt:lpwstr>
  </property>
</Properties>
</file>