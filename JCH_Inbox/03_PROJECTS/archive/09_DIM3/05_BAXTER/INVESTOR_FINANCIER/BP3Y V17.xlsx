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ch/Dropbox/B - DIM3/BAXTER MEETING/"/>
    </mc:Choice>
  </mc:AlternateContent>
  <xr:revisionPtr revIDLastSave="0" documentId="13_ncr:1_{8A156713-7631-024A-972B-C5D11A3479D6}" xr6:coauthVersionLast="47" xr6:coauthVersionMax="47" xr10:uidLastSave="{00000000-0000-0000-0000-000000000000}"/>
  <bookViews>
    <workbookView xWindow="0" yWindow="760" windowWidth="23260" windowHeight="18880" tabRatio="814" activeTab="1" xr2:uid="{00000000-000D-0000-FFFF-FFFF00000000}"/>
  </bookViews>
  <sheets>
    <sheet name="1 Balance sheet" sheetId="20" r:id="rId1"/>
    <sheet name="2 P&amp;L" sheetId="16" r:id="rId2"/>
    <sheet name="3 Cash Flow" sheetId="19" r:id="rId3"/>
    <sheet name="Tableau recap" sheetId="3" r:id="rId4"/>
    <sheet name="PT Recap costs" sheetId="13" r:id="rId5"/>
    <sheet name="Recap costs" sheetId="12" r:id="rId6"/>
    <sheet name="Target allocation" sheetId="14" r:id="rId7"/>
    <sheet name="COGS" sheetId="18" r:id="rId8"/>
  </sheets>
  <externalReferences>
    <externalReference r:id="rId9"/>
    <externalReference r:id="rId10"/>
  </externalReferences>
  <definedNames>
    <definedName name="_xlnm._FilterDatabase" localSheetId="5" hidden="1">'Recap costs'!$A$1:$U$80</definedName>
    <definedName name="_xlnm._FilterDatabase" localSheetId="3" hidden="1">'Tableau recap'!$B$4:$Q$106</definedName>
    <definedName name="_xlnm._FilterDatabase" localSheetId="6" hidden="1">'Target allocation'!$A$53:$AG$370</definedName>
    <definedName name="_xlnm.Print_Area" localSheetId="3">'Tableau recap'!$B$3:$Q$106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20" l="1"/>
  <c r="D15" i="20" l="1"/>
  <c r="D19" i="20"/>
  <c r="E11" i="20" l="1"/>
  <c r="F11" i="20" s="1"/>
  <c r="D11" i="20"/>
  <c r="F21" i="20"/>
  <c r="E21" i="20"/>
  <c r="E9" i="20"/>
  <c r="F9" i="20" s="1"/>
  <c r="D9" i="20"/>
  <c r="G10" i="19"/>
  <c r="D21" i="20"/>
  <c r="F27" i="20"/>
  <c r="D27" i="20"/>
  <c r="C33" i="20"/>
  <c r="D33" i="20"/>
  <c r="E33" i="20" s="1"/>
  <c r="F33" i="20" s="1"/>
  <c r="C34" i="20"/>
  <c r="C35" i="20"/>
  <c r="D35" i="20"/>
  <c r="E35" i="20" s="1"/>
  <c r="F35" i="20" s="1"/>
  <c r="C36" i="20"/>
  <c r="D36" i="20"/>
  <c r="E36" i="20"/>
  <c r="F36" i="20"/>
  <c r="C37" i="20"/>
  <c r="D37" i="20"/>
  <c r="E37" i="20" s="1"/>
  <c r="F37" i="20" s="1"/>
  <c r="D32" i="20"/>
  <c r="E32" i="20" s="1"/>
  <c r="F32" i="20" s="1"/>
  <c r="C32" i="20"/>
  <c r="D31" i="20"/>
  <c r="E31" i="20" s="1"/>
  <c r="F31" i="20" s="1"/>
  <c r="C31" i="20"/>
  <c r="D29" i="20"/>
  <c r="E29" i="20"/>
  <c r="F29" i="20" s="1"/>
  <c r="C29" i="20"/>
  <c r="C28" i="20"/>
  <c r="D28" i="20" s="1"/>
  <c r="E28" i="20" s="1"/>
  <c r="F28" i="20" s="1"/>
  <c r="G28" i="20" s="1"/>
  <c r="C27" i="20"/>
  <c r="C13" i="20"/>
  <c r="D6" i="20" l="1"/>
  <c r="G7" i="20" s="1"/>
  <c r="D5" i="20"/>
  <c r="G8" i="20" s="1"/>
  <c r="B8" i="20"/>
  <c r="F17" i="20"/>
  <c r="E17" i="20"/>
  <c r="D17" i="20"/>
  <c r="C38" i="20"/>
  <c r="C30" i="20"/>
  <c r="D7" i="20"/>
  <c r="E7" i="20" s="1"/>
  <c r="F7" i="20" s="1"/>
  <c r="C7" i="20"/>
  <c r="C12" i="20"/>
  <c r="E5" i="20" l="1"/>
  <c r="F5" i="20" s="1"/>
  <c r="G5" i="20" s="1"/>
  <c r="E6" i="20"/>
  <c r="F6" i="20" s="1"/>
  <c r="G6" i="20" s="1"/>
  <c r="C24" i="20"/>
  <c r="D13" i="20"/>
  <c r="C39" i="20"/>
  <c r="C4" i="20"/>
  <c r="C8" i="20" s="1"/>
  <c r="C25" i="20" l="1"/>
  <c r="C40" i="20" s="1"/>
  <c r="B4" i="20" l="1"/>
  <c r="B22" i="20"/>
  <c r="B30" i="20" l="1"/>
  <c r="B38" i="20"/>
  <c r="B12" i="20"/>
  <c r="B39" i="20" l="1"/>
  <c r="B24" i="20"/>
  <c r="D4" i="20"/>
  <c r="D8" i="20" s="1"/>
  <c r="D30" i="20"/>
  <c r="B25" i="20" l="1"/>
  <c r="B40" i="20" s="1"/>
  <c r="E30" i="20"/>
  <c r="E4" i="20"/>
  <c r="E8" i="20" s="1"/>
  <c r="F4" i="20" l="1"/>
  <c r="F8" i="20" s="1"/>
  <c r="F30" i="20"/>
  <c r="I8" i="12" l="1"/>
  <c r="J8" i="12"/>
  <c r="K8" i="12"/>
  <c r="L8" i="12"/>
  <c r="M8" i="12"/>
  <c r="N8" i="12"/>
  <c r="O8" i="12"/>
  <c r="P8" i="12"/>
  <c r="Q8" i="12"/>
  <c r="R8" i="12"/>
  <c r="S8" i="12"/>
  <c r="H8" i="12"/>
  <c r="P74" i="16" l="1"/>
  <c r="H60" i="12" l="1"/>
  <c r="U357" i="14" l="1"/>
  <c r="V357" i="14"/>
  <c r="W357" i="14"/>
  <c r="X357" i="14"/>
  <c r="Y357" i="14"/>
  <c r="Z357" i="14"/>
  <c r="AA357" i="14"/>
  <c r="AB357" i="14"/>
  <c r="AC357" i="14"/>
  <c r="AD357" i="14"/>
  <c r="AE357" i="14"/>
  <c r="U358" i="14"/>
  <c r="V358" i="14"/>
  <c r="W358" i="14"/>
  <c r="X358" i="14"/>
  <c r="Y358" i="14"/>
  <c r="Z358" i="14"/>
  <c r="AA358" i="14"/>
  <c r="AB358" i="14"/>
  <c r="AC358" i="14"/>
  <c r="AD358" i="14"/>
  <c r="AE358" i="14"/>
  <c r="U359" i="14"/>
  <c r="V359" i="14"/>
  <c r="W359" i="14"/>
  <c r="X359" i="14"/>
  <c r="Y359" i="14"/>
  <c r="Z359" i="14"/>
  <c r="AA359" i="14"/>
  <c r="AB359" i="14"/>
  <c r="AC359" i="14"/>
  <c r="AD359" i="14"/>
  <c r="AE359" i="14"/>
  <c r="U360" i="14"/>
  <c r="V360" i="14"/>
  <c r="W360" i="14"/>
  <c r="X360" i="14"/>
  <c r="Y360" i="14"/>
  <c r="Z360" i="14"/>
  <c r="AA360" i="14"/>
  <c r="AB360" i="14"/>
  <c r="AC360" i="14"/>
  <c r="AD360" i="14"/>
  <c r="AE360" i="14"/>
  <c r="U361" i="14"/>
  <c r="V361" i="14"/>
  <c r="W361" i="14"/>
  <c r="X361" i="14"/>
  <c r="Y361" i="14"/>
  <c r="Z361" i="14"/>
  <c r="AA361" i="14"/>
  <c r="AB361" i="14"/>
  <c r="AC361" i="14"/>
  <c r="AD361" i="14"/>
  <c r="AE361" i="14"/>
  <c r="U362" i="14"/>
  <c r="V362" i="14"/>
  <c r="W362" i="14"/>
  <c r="X362" i="14"/>
  <c r="Y362" i="14"/>
  <c r="Z362" i="14"/>
  <c r="AA362" i="14"/>
  <c r="AB362" i="14"/>
  <c r="AC362" i="14"/>
  <c r="AD362" i="14"/>
  <c r="AE362" i="14"/>
  <c r="U363" i="14"/>
  <c r="V363" i="14"/>
  <c r="W363" i="14"/>
  <c r="X363" i="14"/>
  <c r="Y363" i="14"/>
  <c r="Z363" i="14"/>
  <c r="AA363" i="14"/>
  <c r="AB363" i="14"/>
  <c r="AC363" i="14"/>
  <c r="AD363" i="14"/>
  <c r="AE363" i="14"/>
  <c r="T358" i="14"/>
  <c r="T359" i="14"/>
  <c r="T360" i="14"/>
  <c r="T361" i="14"/>
  <c r="T362" i="14"/>
  <c r="T363" i="14"/>
  <c r="T357" i="14"/>
  <c r="AF357" i="14" l="1"/>
  <c r="AF358" i="14"/>
  <c r="AF359" i="14"/>
  <c r="AF360" i="14"/>
  <c r="AF361" i="14"/>
  <c r="AF362" i="14"/>
  <c r="AF363" i="14"/>
  <c r="U364" i="14"/>
  <c r="V364" i="14"/>
  <c r="W364" i="14"/>
  <c r="X364" i="14"/>
  <c r="Y364" i="14"/>
  <c r="Z364" i="14"/>
  <c r="AA364" i="14"/>
  <c r="AB364" i="14"/>
  <c r="AC364" i="14"/>
  <c r="AD364" i="14"/>
  <c r="AE364" i="14"/>
  <c r="U365" i="14"/>
  <c r="V365" i="14"/>
  <c r="W365" i="14"/>
  <c r="X365" i="14"/>
  <c r="Y365" i="14"/>
  <c r="Z365" i="14"/>
  <c r="AA365" i="14"/>
  <c r="AB365" i="14"/>
  <c r="AC365" i="14"/>
  <c r="AD365" i="14"/>
  <c r="AE365" i="14"/>
  <c r="U366" i="14"/>
  <c r="V366" i="14"/>
  <c r="W366" i="14"/>
  <c r="X366" i="14"/>
  <c r="Y366" i="14"/>
  <c r="Z366" i="14"/>
  <c r="AA366" i="14"/>
  <c r="AB366" i="14"/>
  <c r="AC366" i="14"/>
  <c r="AD366" i="14"/>
  <c r="AE366" i="14"/>
  <c r="U367" i="14"/>
  <c r="V367" i="14"/>
  <c r="W367" i="14"/>
  <c r="X367" i="14"/>
  <c r="Y367" i="14"/>
  <c r="Z367" i="14"/>
  <c r="AA367" i="14"/>
  <c r="AB367" i="14"/>
  <c r="AC367" i="14"/>
  <c r="AD367" i="14"/>
  <c r="AE367" i="14"/>
  <c r="U368" i="14"/>
  <c r="V368" i="14"/>
  <c r="W368" i="14"/>
  <c r="X368" i="14"/>
  <c r="Y368" i="14"/>
  <c r="Z368" i="14"/>
  <c r="AA368" i="14"/>
  <c r="AB368" i="14"/>
  <c r="AC368" i="14"/>
  <c r="AD368" i="14"/>
  <c r="AE368" i="14"/>
  <c r="U369" i="14"/>
  <c r="V369" i="14"/>
  <c r="W369" i="14"/>
  <c r="X369" i="14"/>
  <c r="Y369" i="14"/>
  <c r="Z369" i="14"/>
  <c r="AA369" i="14"/>
  <c r="AB369" i="14"/>
  <c r="AC369" i="14"/>
  <c r="AD369" i="14"/>
  <c r="AE369" i="14"/>
  <c r="U370" i="14"/>
  <c r="V370" i="14"/>
  <c r="W370" i="14"/>
  <c r="X370" i="14"/>
  <c r="Y370" i="14"/>
  <c r="Z370" i="14"/>
  <c r="AA370" i="14"/>
  <c r="AB370" i="14"/>
  <c r="AC370" i="14"/>
  <c r="AD370" i="14"/>
  <c r="AE370" i="14"/>
  <c r="T365" i="14"/>
  <c r="T366" i="14"/>
  <c r="T367" i="14"/>
  <c r="T368" i="14"/>
  <c r="T369" i="14"/>
  <c r="T370" i="14"/>
  <c r="T364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T32" i="14"/>
  <c r="H73" i="12" s="1"/>
  <c r="U32" i="14"/>
  <c r="I73" i="12" s="1"/>
  <c r="V32" i="14"/>
  <c r="J73" i="12" s="1"/>
  <c r="W32" i="14"/>
  <c r="K73" i="12" s="1"/>
  <c r="X32" i="14"/>
  <c r="L73" i="12" s="1"/>
  <c r="Y32" i="14"/>
  <c r="M73" i="12" s="1"/>
  <c r="Z32" i="14"/>
  <c r="N73" i="12" s="1"/>
  <c r="AA32" i="14"/>
  <c r="O73" i="12" s="1"/>
  <c r="AB32" i="14"/>
  <c r="P73" i="12" s="1"/>
  <c r="AC32" i="14"/>
  <c r="Q73" i="12" s="1"/>
  <c r="AD32" i="14"/>
  <c r="R73" i="12" s="1"/>
  <c r="AE32" i="14"/>
  <c r="S73" i="12" s="1"/>
  <c r="I33" i="14"/>
  <c r="J33" i="14"/>
  <c r="K33" i="14"/>
  <c r="L33" i="14"/>
  <c r="M33" i="14"/>
  <c r="N33" i="14"/>
  <c r="O33" i="14"/>
  <c r="P33" i="14"/>
  <c r="Q33" i="14"/>
  <c r="R33" i="14"/>
  <c r="S33" i="14"/>
  <c r="H33" i="14"/>
  <c r="I32" i="14"/>
  <c r="J32" i="14"/>
  <c r="K32" i="14"/>
  <c r="L32" i="14"/>
  <c r="M32" i="14"/>
  <c r="N32" i="14"/>
  <c r="O32" i="14"/>
  <c r="P32" i="14"/>
  <c r="Q32" i="14"/>
  <c r="R32" i="14"/>
  <c r="S32" i="14"/>
  <c r="H32" i="14"/>
  <c r="F32" i="14"/>
  <c r="F33" i="14"/>
  <c r="E32" i="14"/>
  <c r="AF368" i="14" l="1"/>
  <c r="AD33" i="14"/>
  <c r="R74" i="12" s="1"/>
  <c r="AE33" i="14"/>
  <c r="S74" i="12" s="1"/>
  <c r="W33" i="14"/>
  <c r="K74" i="12" s="1"/>
  <c r="Z33" i="14"/>
  <c r="N74" i="12" s="1"/>
  <c r="AC33" i="14"/>
  <c r="Q74" i="12" s="1"/>
  <c r="U33" i="14"/>
  <c r="I74" i="12" s="1"/>
  <c r="X33" i="14"/>
  <c r="L74" i="12" s="1"/>
  <c r="V33" i="14"/>
  <c r="J74" i="12" s="1"/>
  <c r="AA33" i="14"/>
  <c r="O74" i="12" s="1"/>
  <c r="Y33" i="14"/>
  <c r="M74" i="12" s="1"/>
  <c r="AF367" i="14"/>
  <c r="AB33" i="14"/>
  <c r="P74" i="12" s="1"/>
  <c r="T33" i="14"/>
  <c r="H74" i="12" s="1"/>
  <c r="AF366" i="14"/>
  <c r="AF365" i="14"/>
  <c r="AF369" i="14"/>
  <c r="AF364" i="14"/>
  <c r="AF370" i="14"/>
  <c r="G73" i="12"/>
  <c r="T73" i="12"/>
  <c r="AF32" i="14"/>
  <c r="G33" i="14"/>
  <c r="F74" i="12" s="1"/>
  <c r="G32" i="14"/>
  <c r="F73" i="12" s="1"/>
  <c r="T74" i="12" l="1"/>
  <c r="AF33" i="14"/>
  <c r="G74" i="12"/>
  <c r="I2" i="12"/>
  <c r="H2" i="12"/>
  <c r="L26" i="12"/>
  <c r="M26" i="12"/>
  <c r="N26" i="12"/>
  <c r="O26" i="12"/>
  <c r="P26" i="12"/>
  <c r="Q26" i="12"/>
  <c r="R26" i="12"/>
  <c r="S26" i="12"/>
  <c r="L27" i="12"/>
  <c r="M27" i="12"/>
  <c r="N27" i="12"/>
  <c r="O27" i="12"/>
  <c r="P27" i="12"/>
  <c r="Q27" i="12"/>
  <c r="R27" i="12"/>
  <c r="S27" i="12"/>
  <c r="C10" i="18" l="1"/>
  <c r="E66" i="16" l="1"/>
  <c r="F66" i="16"/>
  <c r="G66" i="16"/>
  <c r="H66" i="16"/>
  <c r="I66" i="16"/>
  <c r="J66" i="16"/>
  <c r="K66" i="16"/>
  <c r="L66" i="16"/>
  <c r="M66" i="16"/>
  <c r="N66" i="16"/>
  <c r="O66" i="16"/>
  <c r="D66" i="16"/>
  <c r="L61" i="12" l="1"/>
  <c r="J60" i="12"/>
  <c r="K60" i="12"/>
  <c r="U350" i="14" l="1"/>
  <c r="V350" i="14"/>
  <c r="W350" i="14"/>
  <c r="X350" i="14"/>
  <c r="Y350" i="14"/>
  <c r="Z350" i="14"/>
  <c r="AA350" i="14"/>
  <c r="AB350" i="14"/>
  <c r="AC350" i="14"/>
  <c r="AD350" i="14"/>
  <c r="AE350" i="14"/>
  <c r="U351" i="14"/>
  <c r="V351" i="14"/>
  <c r="W351" i="14"/>
  <c r="X351" i="14"/>
  <c r="Y351" i="14"/>
  <c r="Z351" i="14"/>
  <c r="AA351" i="14"/>
  <c r="AB351" i="14"/>
  <c r="AC351" i="14"/>
  <c r="AD351" i="14"/>
  <c r="AE351" i="14"/>
  <c r="U352" i="14"/>
  <c r="V352" i="14"/>
  <c r="W352" i="14"/>
  <c r="X352" i="14"/>
  <c r="Y352" i="14"/>
  <c r="Z352" i="14"/>
  <c r="AA352" i="14"/>
  <c r="AB352" i="14"/>
  <c r="AC352" i="14"/>
  <c r="AD352" i="14"/>
  <c r="AE352" i="14"/>
  <c r="U353" i="14"/>
  <c r="V353" i="14"/>
  <c r="W353" i="14"/>
  <c r="X353" i="14"/>
  <c r="Y353" i="14"/>
  <c r="Z353" i="14"/>
  <c r="AA353" i="14"/>
  <c r="AB353" i="14"/>
  <c r="AC353" i="14"/>
  <c r="AD353" i="14"/>
  <c r="AE353" i="14"/>
  <c r="U354" i="14"/>
  <c r="V354" i="14"/>
  <c r="W354" i="14"/>
  <c r="X354" i="14"/>
  <c r="Y354" i="14"/>
  <c r="Z354" i="14"/>
  <c r="AA354" i="14"/>
  <c r="AB354" i="14"/>
  <c r="AC354" i="14"/>
  <c r="AD354" i="14"/>
  <c r="AE354" i="14"/>
  <c r="U355" i="14"/>
  <c r="V355" i="14"/>
  <c r="W355" i="14"/>
  <c r="X355" i="14"/>
  <c r="Y355" i="14"/>
  <c r="Z355" i="14"/>
  <c r="AA355" i="14"/>
  <c r="AB355" i="14"/>
  <c r="AC355" i="14"/>
  <c r="AD355" i="14"/>
  <c r="AE355" i="14"/>
  <c r="U356" i="14"/>
  <c r="V356" i="14"/>
  <c r="W356" i="14"/>
  <c r="X356" i="14"/>
  <c r="Y356" i="14"/>
  <c r="Z356" i="14"/>
  <c r="AA356" i="14"/>
  <c r="AB356" i="14"/>
  <c r="AC356" i="14"/>
  <c r="AD356" i="14"/>
  <c r="AE356" i="14"/>
  <c r="T351" i="14"/>
  <c r="T352" i="14"/>
  <c r="T353" i="14"/>
  <c r="T354" i="14"/>
  <c r="T355" i="14"/>
  <c r="T356" i="14"/>
  <c r="T350" i="14"/>
  <c r="G351" i="14"/>
  <c r="G352" i="14"/>
  <c r="G353" i="14"/>
  <c r="G354" i="14"/>
  <c r="G355" i="14"/>
  <c r="G356" i="14"/>
  <c r="G350" i="14"/>
  <c r="I47" i="14"/>
  <c r="J47" i="14"/>
  <c r="K47" i="14"/>
  <c r="L47" i="14"/>
  <c r="M47" i="14"/>
  <c r="N47" i="14"/>
  <c r="O47" i="14"/>
  <c r="P47" i="14"/>
  <c r="Q47" i="14"/>
  <c r="R47" i="14"/>
  <c r="S47" i="14"/>
  <c r="H47" i="14"/>
  <c r="F47" i="14"/>
  <c r="E47" i="14"/>
  <c r="E46" i="14"/>
  <c r="AC47" i="14" l="1"/>
  <c r="Q22" i="12" s="1"/>
  <c r="U47" i="14"/>
  <c r="I22" i="12" s="1"/>
  <c r="V47" i="14"/>
  <c r="J22" i="12" s="1"/>
  <c r="Y47" i="14"/>
  <c r="M22" i="12" s="1"/>
  <c r="AF354" i="14"/>
  <c r="AD47" i="14"/>
  <c r="R22" i="12" s="1"/>
  <c r="AB47" i="14"/>
  <c r="P22" i="12" s="1"/>
  <c r="AE47" i="14"/>
  <c r="S22" i="12" s="1"/>
  <c r="W47" i="14"/>
  <c r="K22" i="12" s="1"/>
  <c r="AF353" i="14"/>
  <c r="AF356" i="14"/>
  <c r="X47" i="14"/>
  <c r="L22" i="12" s="1"/>
  <c r="AA47" i="14"/>
  <c r="O22" i="12" s="1"/>
  <c r="AF351" i="14"/>
  <c r="AF352" i="14"/>
  <c r="AF350" i="14"/>
  <c r="AF355" i="14"/>
  <c r="Z47" i="14"/>
  <c r="N22" i="12" s="1"/>
  <c r="T47" i="14"/>
  <c r="H22" i="12" s="1"/>
  <c r="G47" i="14"/>
  <c r="F22" i="12" s="1"/>
  <c r="G22" i="12" l="1"/>
  <c r="T22" i="12"/>
  <c r="AF47" i="14"/>
  <c r="H61" i="12" l="1"/>
  <c r="E26" i="16"/>
  <c r="F26" i="16"/>
  <c r="G26" i="16"/>
  <c r="H26" i="16"/>
  <c r="I26" i="16"/>
  <c r="J26" i="16"/>
  <c r="K26" i="16"/>
  <c r="L26" i="16"/>
  <c r="M26" i="16"/>
  <c r="N26" i="16"/>
  <c r="O26" i="16"/>
  <c r="D26" i="16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I30" i="14"/>
  <c r="J30" i="14"/>
  <c r="K30" i="14"/>
  <c r="L30" i="14"/>
  <c r="M30" i="14"/>
  <c r="N30" i="14"/>
  <c r="O30" i="14"/>
  <c r="P30" i="14"/>
  <c r="Q30" i="14"/>
  <c r="R30" i="14"/>
  <c r="S30" i="14"/>
  <c r="I31" i="14"/>
  <c r="J31" i="14"/>
  <c r="K31" i="14"/>
  <c r="L31" i="14"/>
  <c r="M31" i="14"/>
  <c r="N31" i="14"/>
  <c r="O31" i="14"/>
  <c r="P31" i="14"/>
  <c r="Q31" i="14"/>
  <c r="R31" i="14"/>
  <c r="S31" i="14"/>
  <c r="H31" i="14"/>
  <c r="H30" i="14"/>
  <c r="F30" i="14"/>
  <c r="AB336" i="14" s="1"/>
  <c r="F31" i="14"/>
  <c r="W344" i="14" s="1"/>
  <c r="E30" i="14"/>
  <c r="N61" i="12"/>
  <c r="O61" i="12"/>
  <c r="P61" i="12"/>
  <c r="Q61" i="12"/>
  <c r="R61" i="12"/>
  <c r="S61" i="12"/>
  <c r="M61" i="12"/>
  <c r="K61" i="12"/>
  <c r="J61" i="12"/>
  <c r="I61" i="12"/>
  <c r="F61" i="12"/>
  <c r="F60" i="12"/>
  <c r="G278" i="14"/>
  <c r="AD346" i="14" l="1"/>
  <c r="AD343" i="14"/>
  <c r="AD344" i="14"/>
  <c r="W343" i="14"/>
  <c r="Z347" i="14"/>
  <c r="AC344" i="14"/>
  <c r="Y349" i="14"/>
  <c r="U348" i="14"/>
  <c r="V343" i="14"/>
  <c r="Y347" i="14"/>
  <c r="V344" i="14"/>
  <c r="AD348" i="14"/>
  <c r="V346" i="14"/>
  <c r="Z345" i="14"/>
  <c r="Z349" i="14"/>
  <c r="AC346" i="14"/>
  <c r="AC348" i="14"/>
  <c r="AE343" i="14"/>
  <c r="V348" i="14"/>
  <c r="Y345" i="14"/>
  <c r="T338" i="14"/>
  <c r="W340" i="14"/>
  <c r="U338" i="14"/>
  <c r="AD340" i="14"/>
  <c r="W337" i="14"/>
  <c r="U346" i="14"/>
  <c r="AE342" i="14"/>
  <c r="W342" i="14"/>
  <c r="Z341" i="14"/>
  <c r="AC340" i="14"/>
  <c r="U340" i="14"/>
  <c r="X339" i="14"/>
  <c r="AA338" i="14"/>
  <c r="AD337" i="14"/>
  <c r="V337" i="14"/>
  <c r="Y336" i="14"/>
  <c r="AC343" i="14"/>
  <c r="U343" i="14"/>
  <c r="X349" i="14"/>
  <c r="AB348" i="14"/>
  <c r="T348" i="14"/>
  <c r="X347" i="14"/>
  <c r="AB346" i="14"/>
  <c r="T346" i="14"/>
  <c r="X345" i="14"/>
  <c r="AB344" i="14"/>
  <c r="T344" i="14"/>
  <c r="T336" i="14"/>
  <c r="AD342" i="14"/>
  <c r="V342" i="14"/>
  <c r="Y341" i="14"/>
  <c r="AB340" i="14"/>
  <c r="AE339" i="14"/>
  <c r="W339" i="14"/>
  <c r="Z338" i="14"/>
  <c r="AC337" i="14"/>
  <c r="U337" i="14"/>
  <c r="X336" i="14"/>
  <c r="AB343" i="14"/>
  <c r="AB31" i="14" s="1"/>
  <c r="P72" i="12" s="1"/>
  <c r="AE349" i="14"/>
  <c r="W349" i="14"/>
  <c r="AA348" i="14"/>
  <c r="AE347" i="14"/>
  <c r="W347" i="14"/>
  <c r="AA346" i="14"/>
  <c r="AE345" i="14"/>
  <c r="W345" i="14"/>
  <c r="AA344" i="14"/>
  <c r="Z339" i="14"/>
  <c r="Y339" i="14"/>
  <c r="T342" i="14"/>
  <c r="AC342" i="14"/>
  <c r="U342" i="14"/>
  <c r="X341" i="14"/>
  <c r="AA340" i="14"/>
  <c r="AD339" i="14"/>
  <c r="V339" i="14"/>
  <c r="Y338" i="14"/>
  <c r="AB337" i="14"/>
  <c r="AE336" i="14"/>
  <c r="W336" i="14"/>
  <c r="AA343" i="14"/>
  <c r="AD349" i="14"/>
  <c r="V349" i="14"/>
  <c r="Z348" i="14"/>
  <c r="AD347" i="14"/>
  <c r="V347" i="14"/>
  <c r="Z346" i="14"/>
  <c r="AD345" i="14"/>
  <c r="V345" i="14"/>
  <c r="Z344" i="14"/>
  <c r="AB341" i="14"/>
  <c r="AA336" i="14"/>
  <c r="T337" i="14"/>
  <c r="AE337" i="14"/>
  <c r="T341" i="14"/>
  <c r="AB342" i="14"/>
  <c r="AE341" i="14"/>
  <c r="W341" i="14"/>
  <c r="Z340" i="14"/>
  <c r="AC339" i="14"/>
  <c r="U339" i="14"/>
  <c r="X338" i="14"/>
  <c r="AA337" i="14"/>
  <c r="AD336" i="14"/>
  <c r="V336" i="14"/>
  <c r="Z343" i="14"/>
  <c r="Z31" i="14" s="1"/>
  <c r="N72" i="12" s="1"/>
  <c r="AC349" i="14"/>
  <c r="U349" i="14"/>
  <c r="Y348" i="14"/>
  <c r="AC347" i="14"/>
  <c r="U347" i="14"/>
  <c r="Y346" i="14"/>
  <c r="AC345" i="14"/>
  <c r="U345" i="14"/>
  <c r="Y344" i="14"/>
  <c r="Y31" i="14" s="1"/>
  <c r="M72" i="12" s="1"/>
  <c r="AE340" i="14"/>
  <c r="X337" i="14"/>
  <c r="AA341" i="14"/>
  <c r="V340" i="14"/>
  <c r="Z336" i="14"/>
  <c r="U344" i="14"/>
  <c r="T340" i="14"/>
  <c r="AA342" i="14"/>
  <c r="AA30" i="14" s="1"/>
  <c r="O71" i="12" s="1"/>
  <c r="AD341" i="14"/>
  <c r="V341" i="14"/>
  <c r="Y340" i="14"/>
  <c r="AB339" i="14"/>
  <c r="AE338" i="14"/>
  <c r="W338" i="14"/>
  <c r="Z337" i="14"/>
  <c r="AC336" i="14"/>
  <c r="AC30" i="14" s="1"/>
  <c r="Q71" i="12" s="1"/>
  <c r="U336" i="14"/>
  <c r="Y343" i="14"/>
  <c r="AB349" i="14"/>
  <c r="T349" i="14"/>
  <c r="X348" i="14"/>
  <c r="AB347" i="14"/>
  <c r="T347" i="14"/>
  <c r="X346" i="14"/>
  <c r="AB345" i="14"/>
  <c r="T345" i="14"/>
  <c r="X344" i="14"/>
  <c r="Y342" i="14"/>
  <c r="AC338" i="14"/>
  <c r="X342" i="14"/>
  <c r="AB338" i="14"/>
  <c r="T339" i="14"/>
  <c r="Z342" i="14"/>
  <c r="AC341" i="14"/>
  <c r="U341" i="14"/>
  <c r="X340" i="14"/>
  <c r="AA339" i="14"/>
  <c r="AD338" i="14"/>
  <c r="V338" i="14"/>
  <c r="Y337" i="14"/>
  <c r="T343" i="14"/>
  <c r="X343" i="14"/>
  <c r="AA349" i="14"/>
  <c r="AE348" i="14"/>
  <c r="W348" i="14"/>
  <c r="AA347" i="14"/>
  <c r="AE346" i="14"/>
  <c r="W346" i="14"/>
  <c r="AA345" i="14"/>
  <c r="AE344" i="14"/>
  <c r="G30" i="14"/>
  <c r="F71" i="12" s="1"/>
  <c r="G31" i="14"/>
  <c r="F72" i="12" s="1"/>
  <c r="T61" i="12"/>
  <c r="G61" i="12"/>
  <c r="AF339" i="14" l="1"/>
  <c r="AF345" i="14"/>
  <c r="AF347" i="14"/>
  <c r="AF348" i="14"/>
  <c r="AF338" i="14"/>
  <c r="U30" i="14"/>
  <c r="I71" i="12" s="1"/>
  <c r="X30" i="14"/>
  <c r="L71" i="12" s="1"/>
  <c r="AE30" i="14"/>
  <c r="S71" i="12" s="1"/>
  <c r="AE31" i="14"/>
  <c r="S72" i="12" s="1"/>
  <c r="AB30" i="14"/>
  <c r="P71" i="12" s="1"/>
  <c r="Y30" i="14"/>
  <c r="M71" i="12" s="1"/>
  <c r="W30" i="14"/>
  <c r="K71" i="12" s="1"/>
  <c r="AF343" i="14"/>
  <c r="V31" i="14"/>
  <c r="J72" i="12" s="1"/>
  <c r="Z30" i="14"/>
  <c r="N71" i="12" s="1"/>
  <c r="W31" i="14"/>
  <c r="K72" i="12" s="1"/>
  <c r="AF341" i="14"/>
  <c r="AF344" i="14"/>
  <c r="AD30" i="14"/>
  <c r="R71" i="12" s="1"/>
  <c r="AF346" i="14"/>
  <c r="AF349" i="14"/>
  <c r="AA31" i="14"/>
  <c r="O72" i="12" s="1"/>
  <c r="AF342" i="14"/>
  <c r="AF340" i="14"/>
  <c r="AC31" i="14"/>
  <c r="Q72" i="12" s="1"/>
  <c r="AF336" i="14"/>
  <c r="AF337" i="14"/>
  <c r="X31" i="14"/>
  <c r="L72" i="12" s="1"/>
  <c r="V30" i="14"/>
  <c r="J71" i="12" s="1"/>
  <c r="AD31" i="14"/>
  <c r="R72" i="12" s="1"/>
  <c r="U31" i="14"/>
  <c r="I72" i="12" s="1"/>
  <c r="T30" i="14"/>
  <c r="H71" i="12" s="1"/>
  <c r="T31" i="14"/>
  <c r="H72" i="12" s="1"/>
  <c r="I28" i="14"/>
  <c r="J28" i="14"/>
  <c r="K28" i="14"/>
  <c r="L28" i="14"/>
  <c r="M28" i="14"/>
  <c r="N28" i="14"/>
  <c r="O28" i="14"/>
  <c r="P28" i="14"/>
  <c r="Q28" i="14"/>
  <c r="R28" i="14"/>
  <c r="S28" i="14"/>
  <c r="I29" i="14"/>
  <c r="J29" i="14"/>
  <c r="K29" i="14"/>
  <c r="L29" i="14"/>
  <c r="M29" i="14"/>
  <c r="N29" i="14"/>
  <c r="O29" i="14"/>
  <c r="P29" i="14"/>
  <c r="Q29" i="14"/>
  <c r="R29" i="14"/>
  <c r="S29" i="14"/>
  <c r="I25" i="14"/>
  <c r="J25" i="14"/>
  <c r="K25" i="14"/>
  <c r="L25" i="14"/>
  <c r="M25" i="14"/>
  <c r="N25" i="14"/>
  <c r="O25" i="14"/>
  <c r="P25" i="14"/>
  <c r="Q25" i="14"/>
  <c r="R25" i="14"/>
  <c r="S25" i="14"/>
  <c r="H29" i="14"/>
  <c r="H28" i="14"/>
  <c r="H25" i="14"/>
  <c r="F28" i="14"/>
  <c r="Y322" i="14" s="1"/>
  <c r="E29" i="14"/>
  <c r="F29" i="14" s="1"/>
  <c r="U329" i="14" s="1"/>
  <c r="E25" i="14"/>
  <c r="F25" i="14" s="1"/>
  <c r="U315" i="14" s="1"/>
  <c r="I12" i="14"/>
  <c r="J12" i="14"/>
  <c r="K12" i="14"/>
  <c r="L12" i="14"/>
  <c r="M12" i="14"/>
  <c r="N12" i="14"/>
  <c r="O12" i="14"/>
  <c r="P12" i="14"/>
  <c r="Q12" i="14"/>
  <c r="R12" i="14"/>
  <c r="S12" i="14"/>
  <c r="H12" i="14"/>
  <c r="I13" i="14"/>
  <c r="J13" i="14"/>
  <c r="K13" i="14"/>
  <c r="L13" i="14"/>
  <c r="M13" i="14"/>
  <c r="N13" i="14"/>
  <c r="O13" i="14"/>
  <c r="P13" i="14"/>
  <c r="Q13" i="14"/>
  <c r="R13" i="14"/>
  <c r="S13" i="14"/>
  <c r="H13" i="14"/>
  <c r="T71" i="12" l="1"/>
  <c r="T72" i="12"/>
  <c r="G72" i="12"/>
  <c r="G71" i="12"/>
  <c r="AF31" i="14"/>
  <c r="AF30" i="14"/>
  <c r="T318" i="14"/>
  <c r="Z321" i="14"/>
  <c r="AC320" i="14"/>
  <c r="U320" i="14"/>
  <c r="X319" i="14"/>
  <c r="AA318" i="14"/>
  <c r="AD317" i="14"/>
  <c r="V317" i="14"/>
  <c r="Y316" i="14"/>
  <c r="AB315" i="14"/>
  <c r="T322" i="14"/>
  <c r="AD328" i="14"/>
  <c r="V328" i="14"/>
  <c r="Y327" i="14"/>
  <c r="AB326" i="14"/>
  <c r="AE325" i="14"/>
  <c r="W325" i="14"/>
  <c r="Z324" i="14"/>
  <c r="AC323" i="14"/>
  <c r="U323" i="14"/>
  <c r="X322" i="14"/>
  <c r="T332" i="14"/>
  <c r="Z335" i="14"/>
  <c r="AC334" i="14"/>
  <c r="U334" i="14"/>
  <c r="X333" i="14"/>
  <c r="AA332" i="14"/>
  <c r="AD331" i="14"/>
  <c r="V331" i="14"/>
  <c r="Y330" i="14"/>
  <c r="AB329" i="14"/>
  <c r="T317" i="14"/>
  <c r="Y321" i="14"/>
  <c r="AB320" i="14"/>
  <c r="AE319" i="14"/>
  <c r="W319" i="14"/>
  <c r="Z318" i="14"/>
  <c r="AC317" i="14"/>
  <c r="U317" i="14"/>
  <c r="X316" i="14"/>
  <c r="AA315" i="14"/>
  <c r="T328" i="14"/>
  <c r="AC328" i="14"/>
  <c r="U328" i="14"/>
  <c r="X327" i="14"/>
  <c r="AA326" i="14"/>
  <c r="AD325" i="14"/>
  <c r="V325" i="14"/>
  <c r="Y324" i="14"/>
  <c r="AB323" i="14"/>
  <c r="AE322" i="14"/>
  <c r="W322" i="14"/>
  <c r="T331" i="14"/>
  <c r="Y335" i="14"/>
  <c r="AB334" i="14"/>
  <c r="AE333" i="14"/>
  <c r="W333" i="14"/>
  <c r="Z332" i="14"/>
  <c r="AC331" i="14"/>
  <c r="U331" i="14"/>
  <c r="X330" i="14"/>
  <c r="AA329" i="14"/>
  <c r="T316" i="14"/>
  <c r="X321" i="14"/>
  <c r="AA320" i="14"/>
  <c r="AD319" i="14"/>
  <c r="V319" i="14"/>
  <c r="Y318" i="14"/>
  <c r="AB317" i="14"/>
  <c r="AE316" i="14"/>
  <c r="W316" i="14"/>
  <c r="Z315" i="14"/>
  <c r="T327" i="14"/>
  <c r="AB328" i="14"/>
  <c r="AE327" i="14"/>
  <c r="W327" i="14"/>
  <c r="Z326" i="14"/>
  <c r="AC325" i="14"/>
  <c r="U325" i="14"/>
  <c r="X324" i="14"/>
  <c r="AA323" i="14"/>
  <c r="AD322" i="14"/>
  <c r="V322" i="14"/>
  <c r="T330" i="14"/>
  <c r="X335" i="14"/>
  <c r="AA334" i="14"/>
  <c r="AD333" i="14"/>
  <c r="V333" i="14"/>
  <c r="Y332" i="14"/>
  <c r="AB331" i="14"/>
  <c r="AE330" i="14"/>
  <c r="W330" i="14"/>
  <c r="Z329" i="14"/>
  <c r="AE321" i="14"/>
  <c r="W321" i="14"/>
  <c r="Z320" i="14"/>
  <c r="AC319" i="14"/>
  <c r="U319" i="14"/>
  <c r="X318" i="14"/>
  <c r="AA317" i="14"/>
  <c r="AD316" i="14"/>
  <c r="V316" i="14"/>
  <c r="Y315" i="14"/>
  <c r="T326" i="14"/>
  <c r="AA328" i="14"/>
  <c r="AD327" i="14"/>
  <c r="V327" i="14"/>
  <c r="Y326" i="14"/>
  <c r="AB325" i="14"/>
  <c r="AE324" i="14"/>
  <c r="W324" i="14"/>
  <c r="Z323" i="14"/>
  <c r="AC322" i="14"/>
  <c r="U322" i="14"/>
  <c r="AE335" i="14"/>
  <c r="W335" i="14"/>
  <c r="Z334" i="14"/>
  <c r="AC333" i="14"/>
  <c r="U333" i="14"/>
  <c r="X332" i="14"/>
  <c r="AA331" i="14"/>
  <c r="AD330" i="14"/>
  <c r="V330" i="14"/>
  <c r="Y329" i="14"/>
  <c r="T315" i="14"/>
  <c r="AD321" i="14"/>
  <c r="V321" i="14"/>
  <c r="Y320" i="14"/>
  <c r="AB319" i="14"/>
  <c r="AE318" i="14"/>
  <c r="W318" i="14"/>
  <c r="Z317" i="14"/>
  <c r="AC316" i="14"/>
  <c r="U316" i="14"/>
  <c r="X315" i="14"/>
  <c r="T325" i="14"/>
  <c r="Z328" i="14"/>
  <c r="AC327" i="14"/>
  <c r="U327" i="14"/>
  <c r="X326" i="14"/>
  <c r="AA325" i="14"/>
  <c r="AD324" i="14"/>
  <c r="V324" i="14"/>
  <c r="Y323" i="14"/>
  <c r="AB322" i="14"/>
  <c r="T329" i="14"/>
  <c r="AD335" i="14"/>
  <c r="V335" i="14"/>
  <c r="Y334" i="14"/>
  <c r="AB333" i="14"/>
  <c r="AE332" i="14"/>
  <c r="W332" i="14"/>
  <c r="Z331" i="14"/>
  <c r="AC330" i="14"/>
  <c r="U330" i="14"/>
  <c r="X329" i="14"/>
  <c r="T321" i="14"/>
  <c r="AC321" i="14"/>
  <c r="U321" i="14"/>
  <c r="X320" i="14"/>
  <c r="AA319" i="14"/>
  <c r="AD318" i="14"/>
  <c r="V318" i="14"/>
  <c r="Y317" i="14"/>
  <c r="AB316" i="14"/>
  <c r="AE315" i="14"/>
  <c r="W315" i="14"/>
  <c r="T324" i="14"/>
  <c r="Y328" i="14"/>
  <c r="AB327" i="14"/>
  <c r="AE326" i="14"/>
  <c r="W326" i="14"/>
  <c r="Z325" i="14"/>
  <c r="AC324" i="14"/>
  <c r="U324" i="14"/>
  <c r="X323" i="14"/>
  <c r="AA322" i="14"/>
  <c r="T335" i="14"/>
  <c r="AC335" i="14"/>
  <c r="U335" i="14"/>
  <c r="X334" i="14"/>
  <c r="AA333" i="14"/>
  <c r="AD332" i="14"/>
  <c r="V332" i="14"/>
  <c r="V29" i="14" s="1"/>
  <c r="J70" i="12" s="1"/>
  <c r="Y331" i="14"/>
  <c r="AB330" i="14"/>
  <c r="AE329" i="14"/>
  <c r="W329" i="14"/>
  <c r="T320" i="14"/>
  <c r="AB321" i="14"/>
  <c r="AE320" i="14"/>
  <c r="W320" i="14"/>
  <c r="Z319" i="14"/>
  <c r="AC318" i="14"/>
  <c r="U318" i="14"/>
  <c r="X317" i="14"/>
  <c r="AA316" i="14"/>
  <c r="AD315" i="14"/>
  <c r="V315" i="14"/>
  <c r="T323" i="14"/>
  <c r="X328" i="14"/>
  <c r="AA327" i="14"/>
  <c r="AD326" i="14"/>
  <c r="V326" i="14"/>
  <c r="Y325" i="14"/>
  <c r="AB324" i="14"/>
  <c r="AE323" i="14"/>
  <c r="W323" i="14"/>
  <c r="Z322" i="14"/>
  <c r="T334" i="14"/>
  <c r="AB335" i="14"/>
  <c r="AE334" i="14"/>
  <c r="W334" i="14"/>
  <c r="Z333" i="14"/>
  <c r="AC332" i="14"/>
  <c r="U332" i="14"/>
  <c r="X331" i="14"/>
  <c r="AA330" i="14"/>
  <c r="AD329" i="14"/>
  <c r="V329" i="14"/>
  <c r="T319" i="14"/>
  <c r="AA321" i="14"/>
  <c r="AD320" i="14"/>
  <c r="V320" i="14"/>
  <c r="Y319" i="14"/>
  <c r="AB318" i="14"/>
  <c r="AE317" i="14"/>
  <c r="W317" i="14"/>
  <c r="Z316" i="14"/>
  <c r="AC315" i="14"/>
  <c r="AE328" i="14"/>
  <c r="W328" i="14"/>
  <c r="Z327" i="14"/>
  <c r="AC326" i="14"/>
  <c r="U326" i="14"/>
  <c r="X325" i="14"/>
  <c r="AA324" i="14"/>
  <c r="AD323" i="14"/>
  <c r="V323" i="14"/>
  <c r="T333" i="14"/>
  <c r="AA335" i="14"/>
  <c r="AD334" i="14"/>
  <c r="V334" i="14"/>
  <c r="Y333" i="14"/>
  <c r="AB332" i="14"/>
  <c r="AE331" i="14"/>
  <c r="W331" i="14"/>
  <c r="Z330" i="14"/>
  <c r="AC329" i="14"/>
  <c r="Y29" i="14"/>
  <c r="M70" i="12" s="1"/>
  <c r="G28" i="14"/>
  <c r="F69" i="12" s="1"/>
  <c r="G29" i="14"/>
  <c r="F70" i="12" s="1"/>
  <c r="G25" i="14"/>
  <c r="F66" i="12" s="1"/>
  <c r="G12" i="14"/>
  <c r="F52" i="12" s="1"/>
  <c r="G13" i="14"/>
  <c r="F53" i="12" s="1"/>
  <c r="E12" i="14"/>
  <c r="F12" i="14" s="1"/>
  <c r="Y301" i="14" s="1"/>
  <c r="E13" i="14"/>
  <c r="F13" i="14" s="1"/>
  <c r="U308" i="14" s="1"/>
  <c r="Z29" i="14" l="1"/>
  <c r="N70" i="12" s="1"/>
  <c r="T29" i="14"/>
  <c r="H70" i="12" s="1"/>
  <c r="W28" i="14"/>
  <c r="K69" i="12" s="1"/>
  <c r="X28" i="14"/>
  <c r="L69" i="12" s="1"/>
  <c r="X29" i="14"/>
  <c r="L70" i="12" s="1"/>
  <c r="AF328" i="14"/>
  <c r="AF332" i="14"/>
  <c r="AB28" i="14"/>
  <c r="P69" i="12" s="1"/>
  <c r="AA25" i="14"/>
  <c r="O66" i="12" s="1"/>
  <c r="Y28" i="14"/>
  <c r="M69" i="12" s="1"/>
  <c r="AB25" i="14"/>
  <c r="P66" i="12" s="1"/>
  <c r="Z28" i="14"/>
  <c r="N69" i="12" s="1"/>
  <c r="AA28" i="14"/>
  <c r="O69" i="12" s="1"/>
  <c r="AB29" i="14"/>
  <c r="P70" i="12" s="1"/>
  <c r="Z25" i="14"/>
  <c r="N66" i="12" s="1"/>
  <c r="AD28" i="14"/>
  <c r="R69" i="12" s="1"/>
  <c r="AF318" i="14"/>
  <c r="AF327" i="14"/>
  <c r="AC25" i="14"/>
  <c r="Q66" i="12" s="1"/>
  <c r="AF329" i="14"/>
  <c r="AA29" i="14"/>
  <c r="O70" i="12" s="1"/>
  <c r="AF322" i="14"/>
  <c r="AC29" i="14"/>
  <c r="Q70" i="12" s="1"/>
  <c r="U28" i="14"/>
  <c r="I69" i="12" s="1"/>
  <c r="AF317" i="14"/>
  <c r="AC28" i="14"/>
  <c r="Q69" i="12" s="1"/>
  <c r="Y25" i="14"/>
  <c r="M66" i="12" s="1"/>
  <c r="AF323" i="14"/>
  <c r="X25" i="14"/>
  <c r="L66" i="12" s="1"/>
  <c r="AF316" i="14"/>
  <c r="AF334" i="14"/>
  <c r="AD25" i="14"/>
  <c r="R66" i="12" s="1"/>
  <c r="AF321" i="14"/>
  <c r="W29" i="14"/>
  <c r="K70" i="12" s="1"/>
  <c r="AE29" i="14"/>
  <c r="S70" i="12" s="1"/>
  <c r="AF335" i="14"/>
  <c r="AF330" i="14"/>
  <c r="V25" i="14"/>
  <c r="J66" i="12" s="1"/>
  <c r="V28" i="14"/>
  <c r="J69" i="12" s="1"/>
  <c r="AF326" i="14"/>
  <c r="AF325" i="14"/>
  <c r="AE25" i="14"/>
  <c r="S66" i="12" s="1"/>
  <c r="U29" i="14"/>
  <c r="I70" i="12" s="1"/>
  <c r="T28" i="14"/>
  <c r="H69" i="12" s="1"/>
  <c r="AF315" i="14"/>
  <c r="AF320" i="14"/>
  <c r="AF324" i="14"/>
  <c r="AF319" i="14"/>
  <c r="AF331" i="14"/>
  <c r="AD29" i="14"/>
  <c r="R70" i="12" s="1"/>
  <c r="U25" i="14"/>
  <c r="I66" i="12" s="1"/>
  <c r="AE28" i="14"/>
  <c r="S69" i="12" s="1"/>
  <c r="W25" i="14"/>
  <c r="K66" i="12" s="1"/>
  <c r="AF333" i="14"/>
  <c r="T25" i="14"/>
  <c r="H66" i="12" s="1"/>
  <c r="AE314" i="14"/>
  <c r="AC312" i="14"/>
  <c r="X312" i="14"/>
  <c r="AA311" i="14"/>
  <c r="W314" i="14"/>
  <c r="AD310" i="14"/>
  <c r="Z314" i="14"/>
  <c r="AC313" i="14"/>
  <c r="V310" i="14"/>
  <c r="T311" i="14"/>
  <c r="U312" i="14"/>
  <c r="Z313" i="14"/>
  <c r="Y309" i="14"/>
  <c r="U313" i="14"/>
  <c r="AB308" i="14"/>
  <c r="AD307" i="14"/>
  <c r="W304" i="14"/>
  <c r="AC302" i="14"/>
  <c r="X301" i="14"/>
  <c r="T307" i="14"/>
  <c r="AC307" i="14"/>
  <c r="U307" i="14"/>
  <c r="X306" i="14"/>
  <c r="AA305" i="14"/>
  <c r="AD304" i="14"/>
  <c r="V304" i="14"/>
  <c r="Y303" i="14"/>
  <c r="AB302" i="14"/>
  <c r="AE301" i="14"/>
  <c r="W301" i="14"/>
  <c r="T310" i="14"/>
  <c r="Y314" i="14"/>
  <c r="AB313" i="14"/>
  <c r="AE312" i="14"/>
  <c r="W312" i="14"/>
  <c r="Z311" i="14"/>
  <c r="AC310" i="14"/>
  <c r="U310" i="14"/>
  <c r="X309" i="14"/>
  <c r="AA308" i="14"/>
  <c r="T301" i="14"/>
  <c r="Z303" i="14"/>
  <c r="U302" i="14"/>
  <c r="T306" i="14"/>
  <c r="AB307" i="14"/>
  <c r="AE306" i="14"/>
  <c r="W306" i="14"/>
  <c r="Z305" i="14"/>
  <c r="AC304" i="14"/>
  <c r="U304" i="14"/>
  <c r="X303" i="14"/>
  <c r="AA302" i="14"/>
  <c r="AD301" i="14"/>
  <c r="V301" i="14"/>
  <c r="T309" i="14"/>
  <c r="X314" i="14"/>
  <c r="AA313" i="14"/>
  <c r="AD312" i="14"/>
  <c r="V312" i="14"/>
  <c r="Y311" i="14"/>
  <c r="AB310" i="14"/>
  <c r="AE309" i="14"/>
  <c r="W309" i="14"/>
  <c r="Z308" i="14"/>
  <c r="AB304" i="14"/>
  <c r="X311" i="14"/>
  <c r="AA310" i="14"/>
  <c r="AD309" i="14"/>
  <c r="V309" i="14"/>
  <c r="Y308" i="14"/>
  <c r="Y306" i="14"/>
  <c r="AA307" i="14"/>
  <c r="V306" i="14"/>
  <c r="AE303" i="14"/>
  <c r="AC301" i="14"/>
  <c r="T304" i="14"/>
  <c r="Z307" i="14"/>
  <c r="AC306" i="14"/>
  <c r="U306" i="14"/>
  <c r="X305" i="14"/>
  <c r="AA304" i="14"/>
  <c r="AD303" i="14"/>
  <c r="V303" i="14"/>
  <c r="Y302" i="14"/>
  <c r="AB301" i="14"/>
  <c r="T308" i="14"/>
  <c r="AD314" i="14"/>
  <c r="V314" i="14"/>
  <c r="Y313" i="14"/>
  <c r="AB312" i="14"/>
  <c r="AE311" i="14"/>
  <c r="W311" i="14"/>
  <c r="Z310" i="14"/>
  <c r="AC309" i="14"/>
  <c r="U309" i="14"/>
  <c r="X308" i="14"/>
  <c r="V307" i="14"/>
  <c r="T305" i="14"/>
  <c r="AD306" i="14"/>
  <c r="Y305" i="14"/>
  <c r="W303" i="14"/>
  <c r="Z302" i="14"/>
  <c r="U301" i="14"/>
  <c r="T303" i="14"/>
  <c r="Y307" i="14"/>
  <c r="AB306" i="14"/>
  <c r="AE305" i="14"/>
  <c r="W305" i="14"/>
  <c r="Z304" i="14"/>
  <c r="AC303" i="14"/>
  <c r="U303" i="14"/>
  <c r="X302" i="14"/>
  <c r="AA301" i="14"/>
  <c r="T314" i="14"/>
  <c r="AC314" i="14"/>
  <c r="U314" i="14"/>
  <c r="X313" i="14"/>
  <c r="AA312" i="14"/>
  <c r="AD311" i="14"/>
  <c r="V311" i="14"/>
  <c r="Y310" i="14"/>
  <c r="AB309" i="14"/>
  <c r="AE308" i="14"/>
  <c r="W308" i="14"/>
  <c r="AB305" i="14"/>
  <c r="T302" i="14"/>
  <c r="X307" i="14"/>
  <c r="AA306" i="14"/>
  <c r="AD305" i="14"/>
  <c r="V305" i="14"/>
  <c r="Y304" i="14"/>
  <c r="AB303" i="14"/>
  <c r="AE302" i="14"/>
  <c r="W302" i="14"/>
  <c r="Z301" i="14"/>
  <c r="T313" i="14"/>
  <c r="AB314" i="14"/>
  <c r="AE313" i="14"/>
  <c r="W313" i="14"/>
  <c r="Z312" i="14"/>
  <c r="AC311" i="14"/>
  <c r="U311" i="14"/>
  <c r="X310" i="14"/>
  <c r="AA309" i="14"/>
  <c r="AD308" i="14"/>
  <c r="V308" i="14"/>
  <c r="AE304" i="14"/>
  <c r="AE307" i="14"/>
  <c r="W307" i="14"/>
  <c r="Z306" i="14"/>
  <c r="AC305" i="14"/>
  <c r="U305" i="14"/>
  <c r="X304" i="14"/>
  <c r="AA303" i="14"/>
  <c r="AD302" i="14"/>
  <c r="V302" i="14"/>
  <c r="T312" i="14"/>
  <c r="AA314" i="14"/>
  <c r="AD313" i="14"/>
  <c r="V313" i="14"/>
  <c r="Y312" i="14"/>
  <c r="AB311" i="14"/>
  <c r="AE310" i="14"/>
  <c r="W310" i="14"/>
  <c r="Z309" i="14"/>
  <c r="AC308" i="14"/>
  <c r="F46" i="3"/>
  <c r="G46" i="3"/>
  <c r="H46" i="3"/>
  <c r="I46" i="3"/>
  <c r="J46" i="3"/>
  <c r="K46" i="3"/>
  <c r="L46" i="3"/>
  <c r="M46" i="3"/>
  <c r="N46" i="3"/>
  <c r="O46" i="3"/>
  <c r="P46" i="3"/>
  <c r="E46" i="3"/>
  <c r="F36" i="3"/>
  <c r="G36" i="3"/>
  <c r="H36" i="3"/>
  <c r="I36" i="3"/>
  <c r="J36" i="3"/>
  <c r="K36" i="3"/>
  <c r="L36" i="3"/>
  <c r="M36" i="3"/>
  <c r="N36" i="3"/>
  <c r="O36" i="3"/>
  <c r="P36" i="3"/>
  <c r="E36" i="3"/>
  <c r="G8" i="18"/>
  <c r="H8" i="18"/>
  <c r="I8" i="18"/>
  <c r="J8" i="18"/>
  <c r="D8" i="18"/>
  <c r="E8" i="18"/>
  <c r="F8" i="18"/>
  <c r="C8" i="18"/>
  <c r="O9" i="18"/>
  <c r="O13" i="18"/>
  <c r="O14" i="18"/>
  <c r="O15" i="18"/>
  <c r="O16" i="18"/>
  <c r="O17" i="18"/>
  <c r="O7" i="18"/>
  <c r="Q9" i="18" l="1"/>
  <c r="Q10" i="18"/>
  <c r="I6" i="3"/>
  <c r="J6" i="3"/>
  <c r="K6" i="3"/>
  <c r="L6" i="3"/>
  <c r="H6" i="3"/>
  <c r="E6" i="3"/>
  <c r="F6" i="3"/>
  <c r="G6" i="3"/>
  <c r="Q46" i="3"/>
  <c r="T66" i="12"/>
  <c r="V12" i="14"/>
  <c r="J52" i="12" s="1"/>
  <c r="AB12" i="14"/>
  <c r="P52" i="12" s="1"/>
  <c r="G66" i="12"/>
  <c r="AF25" i="14"/>
  <c r="AF28" i="14"/>
  <c r="Z12" i="14"/>
  <c r="N52" i="12" s="1"/>
  <c r="AF29" i="14"/>
  <c r="U13" i="14"/>
  <c r="I53" i="12" s="1"/>
  <c r="T70" i="12"/>
  <c r="G70" i="12"/>
  <c r="T69" i="12"/>
  <c r="G69" i="12"/>
  <c r="AB13" i="14"/>
  <c r="P53" i="12" s="1"/>
  <c r="U12" i="14"/>
  <c r="I52" i="12" s="1"/>
  <c r="AC13" i="14"/>
  <c r="Q53" i="12" s="1"/>
  <c r="AD12" i="14"/>
  <c r="R52" i="12" s="1"/>
  <c r="Y12" i="14"/>
  <c r="M52" i="12" s="1"/>
  <c r="Y13" i="14"/>
  <c r="M53" i="12" s="1"/>
  <c r="T13" i="14"/>
  <c r="H53" i="12" s="1"/>
  <c r="AF306" i="14"/>
  <c r="AE12" i="14"/>
  <c r="S52" i="12" s="1"/>
  <c r="W12" i="14"/>
  <c r="K52" i="12" s="1"/>
  <c r="AE13" i="14"/>
  <c r="S53" i="12" s="1"/>
  <c r="X12" i="14"/>
  <c r="L52" i="12" s="1"/>
  <c r="AC12" i="14"/>
  <c r="Q52" i="12" s="1"/>
  <c r="AA12" i="14"/>
  <c r="O52" i="12" s="1"/>
  <c r="T12" i="14"/>
  <c r="H52" i="12" s="1"/>
  <c r="AF308" i="14"/>
  <c r="X13" i="14"/>
  <c r="L53" i="12" s="1"/>
  <c r="Z13" i="14"/>
  <c r="N53" i="12" s="1"/>
  <c r="AF303" i="14"/>
  <c r="AF309" i="14"/>
  <c r="AF310" i="14"/>
  <c r="AF312" i="14"/>
  <c r="W13" i="14"/>
  <c r="K53" i="12" s="1"/>
  <c r="AF314" i="14"/>
  <c r="AF304" i="14"/>
  <c r="AF302" i="14"/>
  <c r="AF313" i="14"/>
  <c r="AF301" i="14"/>
  <c r="V13" i="14"/>
  <c r="AD13" i="14"/>
  <c r="R53" i="12" s="1"/>
  <c r="AA13" i="14"/>
  <c r="O53" i="12" s="1"/>
  <c r="AF307" i="14"/>
  <c r="AF305" i="14"/>
  <c r="AF311" i="14"/>
  <c r="Q36" i="3"/>
  <c r="AF13" i="14" l="1"/>
  <c r="J53" i="12"/>
  <c r="G52" i="12"/>
  <c r="T52" i="12"/>
  <c r="T53" i="12" l="1"/>
  <c r="G53" i="12"/>
  <c r="L2" i="18"/>
  <c r="M2" i="18"/>
  <c r="N2" i="18"/>
  <c r="K2" i="18"/>
  <c r="G294" i="14"/>
  <c r="G295" i="14"/>
  <c r="G296" i="14"/>
  <c r="G297" i="14"/>
  <c r="G298" i="14"/>
  <c r="G299" i="14"/>
  <c r="G300" i="14"/>
  <c r="I11" i="14"/>
  <c r="J11" i="14"/>
  <c r="K11" i="14"/>
  <c r="L11" i="14"/>
  <c r="M11" i="14"/>
  <c r="N11" i="14"/>
  <c r="O11" i="14"/>
  <c r="P11" i="14"/>
  <c r="Q11" i="14"/>
  <c r="R11" i="14"/>
  <c r="S11" i="14"/>
  <c r="H11" i="14"/>
  <c r="E11" i="14"/>
  <c r="F11" i="14" s="1"/>
  <c r="X294" i="14" s="1"/>
  <c r="E11" i="16"/>
  <c r="F11" i="16"/>
  <c r="G11" i="16"/>
  <c r="H11" i="16"/>
  <c r="I11" i="16"/>
  <c r="J11" i="16"/>
  <c r="K11" i="16"/>
  <c r="L11" i="16"/>
  <c r="M11" i="16"/>
  <c r="N11" i="16"/>
  <c r="O11" i="16"/>
  <c r="D11" i="16"/>
  <c r="E10" i="16"/>
  <c r="F10" i="16"/>
  <c r="G10" i="16"/>
  <c r="H10" i="16"/>
  <c r="I10" i="16"/>
  <c r="J10" i="16"/>
  <c r="K10" i="16"/>
  <c r="L10" i="16"/>
  <c r="M10" i="16"/>
  <c r="N10" i="16"/>
  <c r="O10" i="16"/>
  <c r="D10" i="16"/>
  <c r="E9" i="16"/>
  <c r="F9" i="16"/>
  <c r="G9" i="16"/>
  <c r="H9" i="16"/>
  <c r="I9" i="16"/>
  <c r="J9" i="16"/>
  <c r="K9" i="16"/>
  <c r="L9" i="16"/>
  <c r="M9" i="16"/>
  <c r="N9" i="16"/>
  <c r="O9" i="16"/>
  <c r="D9" i="16"/>
  <c r="E8" i="16"/>
  <c r="F8" i="16"/>
  <c r="G8" i="16"/>
  <c r="H8" i="16"/>
  <c r="I8" i="16"/>
  <c r="J8" i="16"/>
  <c r="K8" i="16"/>
  <c r="L8" i="16"/>
  <c r="M8" i="16"/>
  <c r="N8" i="16"/>
  <c r="O8" i="16"/>
  <c r="D8" i="16"/>
  <c r="E7" i="16"/>
  <c r="F7" i="16"/>
  <c r="G7" i="16"/>
  <c r="H7" i="16"/>
  <c r="I7" i="16"/>
  <c r="J7" i="16"/>
  <c r="K7" i="16"/>
  <c r="L7" i="16"/>
  <c r="M7" i="16"/>
  <c r="N7" i="16"/>
  <c r="O7" i="16"/>
  <c r="D7" i="16"/>
  <c r="E6" i="16"/>
  <c r="F6" i="16"/>
  <c r="G6" i="16"/>
  <c r="H6" i="16"/>
  <c r="I6" i="16"/>
  <c r="J6" i="16"/>
  <c r="K6" i="16"/>
  <c r="L6" i="16"/>
  <c r="M6" i="16"/>
  <c r="N6" i="16"/>
  <c r="O6" i="16"/>
  <c r="D6" i="16"/>
  <c r="H19" i="18" l="1"/>
  <c r="N8" i="18"/>
  <c r="M8" i="18"/>
  <c r="L8" i="18"/>
  <c r="K8" i="18"/>
  <c r="T297" i="14"/>
  <c r="AA300" i="14"/>
  <c r="AD299" i="14"/>
  <c r="V299" i="14"/>
  <c r="Y298" i="14"/>
  <c r="AB297" i="14"/>
  <c r="AE296" i="14"/>
  <c r="W296" i="14"/>
  <c r="Z295" i="14"/>
  <c r="AC294" i="14"/>
  <c r="U294" i="14"/>
  <c r="T299" i="14"/>
  <c r="AC300" i="14"/>
  <c r="U300" i="14"/>
  <c r="X299" i="14"/>
  <c r="AA298" i="14"/>
  <c r="AD297" i="14"/>
  <c r="V297" i="14"/>
  <c r="Y296" i="14"/>
  <c r="AB295" i="14"/>
  <c r="AE294" i="14"/>
  <c r="W294" i="14"/>
  <c r="T298" i="14"/>
  <c r="AB300" i="14"/>
  <c r="AE299" i="14"/>
  <c r="W299" i="14"/>
  <c r="Z298" i="14"/>
  <c r="AC297" i="14"/>
  <c r="U297" i="14"/>
  <c r="X296" i="14"/>
  <c r="AA295" i="14"/>
  <c r="AD294" i="14"/>
  <c r="V294" i="14"/>
  <c r="T296" i="14"/>
  <c r="Z300" i="14"/>
  <c r="AC299" i="14"/>
  <c r="U299" i="14"/>
  <c r="X298" i="14"/>
  <c r="AA297" i="14"/>
  <c r="AD296" i="14"/>
  <c r="V296" i="14"/>
  <c r="Y295" i="14"/>
  <c r="AB294" i="14"/>
  <c r="T295" i="14"/>
  <c r="Y300" i="14"/>
  <c r="AB299" i="14"/>
  <c r="AE298" i="14"/>
  <c r="W298" i="14"/>
  <c r="Z297" i="14"/>
  <c r="AC296" i="14"/>
  <c r="U296" i="14"/>
  <c r="X295" i="14"/>
  <c r="AA294" i="14"/>
  <c r="T300" i="14"/>
  <c r="X300" i="14"/>
  <c r="AA299" i="14"/>
  <c r="AD298" i="14"/>
  <c r="V298" i="14"/>
  <c r="Y297" i="14"/>
  <c r="AB296" i="14"/>
  <c r="AE295" i="14"/>
  <c r="W295" i="14"/>
  <c r="Z294" i="14"/>
  <c r="AE300" i="14"/>
  <c r="W300" i="14"/>
  <c r="Z299" i="14"/>
  <c r="AC298" i="14"/>
  <c r="U298" i="14"/>
  <c r="X297" i="14"/>
  <c r="AA296" i="14"/>
  <c r="AD295" i="14"/>
  <c r="V295" i="14"/>
  <c r="Y294" i="14"/>
  <c r="T294" i="14"/>
  <c r="AD300" i="14"/>
  <c r="V300" i="14"/>
  <c r="Y299" i="14"/>
  <c r="AB298" i="14"/>
  <c r="AE297" i="14"/>
  <c r="W297" i="14"/>
  <c r="Z296" i="14"/>
  <c r="AC295" i="14"/>
  <c r="U295" i="14"/>
  <c r="G11" i="14"/>
  <c r="F51" i="12" s="1"/>
  <c r="E19" i="18" l="1"/>
  <c r="K19" i="18"/>
  <c r="J19" i="18"/>
  <c r="N19" i="18"/>
  <c r="D19" i="18"/>
  <c r="L19" i="18"/>
  <c r="M19" i="18"/>
  <c r="G19" i="18"/>
  <c r="F19" i="18"/>
  <c r="I19" i="18"/>
  <c r="P6" i="3"/>
  <c r="O6" i="3"/>
  <c r="N6" i="3"/>
  <c r="M6" i="3"/>
  <c r="Q6" i="3" s="1"/>
  <c r="AA11" i="14"/>
  <c r="O51" i="12" s="1"/>
  <c r="X11" i="14"/>
  <c r="L51" i="12" s="1"/>
  <c r="Y11" i="14"/>
  <c r="M51" i="12" s="1"/>
  <c r="Z11" i="14"/>
  <c r="N51" i="12" s="1"/>
  <c r="AC11" i="14"/>
  <c r="Q51" i="12" s="1"/>
  <c r="W11" i="14"/>
  <c r="K51" i="12" s="1"/>
  <c r="T11" i="14"/>
  <c r="H51" i="12" s="1"/>
  <c r="V11" i="14"/>
  <c r="J51" i="12" s="1"/>
  <c r="AF295" i="14"/>
  <c r="AD11" i="14"/>
  <c r="R51" i="12" s="1"/>
  <c r="AF294" i="14"/>
  <c r="AE11" i="14"/>
  <c r="S51" i="12" s="1"/>
  <c r="AF299" i="14"/>
  <c r="AF300" i="14"/>
  <c r="AB11" i="14"/>
  <c r="P51" i="12" s="1"/>
  <c r="O8" i="18"/>
  <c r="AF298" i="14"/>
  <c r="AF297" i="14"/>
  <c r="U11" i="14"/>
  <c r="I51" i="12" s="1"/>
  <c r="AF296" i="14"/>
  <c r="AF12" i="14" l="1"/>
  <c r="T51" i="12"/>
  <c r="AF11" i="14"/>
  <c r="G51" i="12"/>
  <c r="Q10" i="19"/>
  <c r="L10" i="19"/>
  <c r="R10" i="19" s="1"/>
  <c r="G19" i="19"/>
  <c r="C19" i="19" l="1"/>
  <c r="D12" i="19"/>
  <c r="E12" i="19"/>
  <c r="F12" i="19"/>
  <c r="H12" i="19"/>
  <c r="I12" i="19"/>
  <c r="J12" i="19"/>
  <c r="K12" i="19"/>
  <c r="M12" i="19"/>
  <c r="N12" i="19"/>
  <c r="O12" i="19"/>
  <c r="P12" i="19"/>
  <c r="C12" i="19"/>
  <c r="D11" i="19"/>
  <c r="E11" i="19"/>
  <c r="F11" i="19"/>
  <c r="H11" i="19"/>
  <c r="I11" i="19"/>
  <c r="J11" i="19"/>
  <c r="K11" i="19"/>
  <c r="M11" i="19"/>
  <c r="N11" i="19"/>
  <c r="O11" i="19"/>
  <c r="P11" i="19"/>
  <c r="C11" i="19"/>
  <c r="D7" i="19"/>
  <c r="E7" i="19"/>
  <c r="F7" i="19"/>
  <c r="H7" i="19"/>
  <c r="I7" i="19"/>
  <c r="J7" i="19"/>
  <c r="K7" i="19"/>
  <c r="M7" i="19"/>
  <c r="N7" i="19"/>
  <c r="O7" i="19"/>
  <c r="P7" i="19"/>
  <c r="C7" i="19"/>
  <c r="P71" i="16"/>
  <c r="B11" i="19" s="1"/>
  <c r="E67" i="16"/>
  <c r="D8" i="19" s="1"/>
  <c r="F67" i="16"/>
  <c r="E8" i="19" s="1"/>
  <c r="G67" i="16"/>
  <c r="F8" i="19" s="1"/>
  <c r="H67" i="16"/>
  <c r="H8" i="19" s="1"/>
  <c r="I67" i="16"/>
  <c r="I8" i="19" s="1"/>
  <c r="J67" i="16"/>
  <c r="J8" i="19" s="1"/>
  <c r="K67" i="16"/>
  <c r="K8" i="19" s="1"/>
  <c r="L67" i="16"/>
  <c r="M8" i="19" s="1"/>
  <c r="M67" i="16"/>
  <c r="N8" i="19" s="1"/>
  <c r="N67" i="16"/>
  <c r="O8" i="19" s="1"/>
  <c r="O67" i="16"/>
  <c r="P8" i="19" s="1"/>
  <c r="D67" i="16"/>
  <c r="P67" i="16" l="1"/>
  <c r="B8" i="19" s="1"/>
  <c r="Q7" i="19"/>
  <c r="G11" i="19"/>
  <c r="L11" i="19"/>
  <c r="Q12" i="19"/>
  <c r="G7" i="19"/>
  <c r="L7" i="19"/>
  <c r="L8" i="19"/>
  <c r="Q11" i="19"/>
  <c r="G12" i="19"/>
  <c r="L12" i="19"/>
  <c r="Q8" i="19"/>
  <c r="C8" i="19"/>
  <c r="I9" i="19"/>
  <c r="N9" i="19"/>
  <c r="D9" i="19"/>
  <c r="K9" i="19"/>
  <c r="J9" i="19"/>
  <c r="M9" i="19"/>
  <c r="H9" i="19"/>
  <c r="P9" i="19"/>
  <c r="F9" i="19"/>
  <c r="O9" i="19"/>
  <c r="E9" i="19"/>
  <c r="S28" i="12"/>
  <c r="I28" i="12"/>
  <c r="J28" i="12"/>
  <c r="K28" i="12"/>
  <c r="L28" i="12"/>
  <c r="M28" i="12"/>
  <c r="N28" i="12"/>
  <c r="O28" i="12"/>
  <c r="P28" i="12"/>
  <c r="Q28" i="12"/>
  <c r="R28" i="12"/>
  <c r="H28" i="12"/>
  <c r="R12" i="19" l="1"/>
  <c r="R11" i="19"/>
  <c r="R7" i="19"/>
  <c r="L9" i="19"/>
  <c r="Q9" i="19"/>
  <c r="G8" i="19"/>
  <c r="R8" i="19" s="1"/>
  <c r="C9" i="19"/>
  <c r="P70" i="16"/>
  <c r="P72" i="16"/>
  <c r="B12" i="19" s="1"/>
  <c r="G9" i="19" l="1"/>
  <c r="R9" i="19" s="1"/>
  <c r="P66" i="16"/>
  <c r="B7" i="19" s="1"/>
  <c r="D14" i="19"/>
  <c r="E14" i="19"/>
  <c r="F14" i="19"/>
  <c r="H14" i="19"/>
  <c r="I14" i="19"/>
  <c r="J14" i="19"/>
  <c r="K14" i="19"/>
  <c r="M14" i="19"/>
  <c r="N14" i="19"/>
  <c r="O14" i="19"/>
  <c r="P14" i="19"/>
  <c r="Q14" i="19" l="1"/>
  <c r="L14" i="19"/>
  <c r="C14" i="19"/>
  <c r="G14" i="19" s="1"/>
  <c r="B14" i="19"/>
  <c r="B9" i="19"/>
  <c r="E29" i="16"/>
  <c r="F29" i="16"/>
  <c r="G29" i="16"/>
  <c r="H29" i="16"/>
  <c r="I29" i="16"/>
  <c r="J29" i="16"/>
  <c r="K29" i="16"/>
  <c r="L29" i="16"/>
  <c r="M29" i="16"/>
  <c r="N29" i="16"/>
  <c r="O29" i="16"/>
  <c r="D29" i="16"/>
  <c r="N81" i="13"/>
  <c r="N75" i="13"/>
  <c r="N76" i="13"/>
  <c r="N77" i="13"/>
  <c r="N78" i="13"/>
  <c r="N79" i="13"/>
  <c r="N80" i="13"/>
  <c r="I37" i="12"/>
  <c r="J37" i="12"/>
  <c r="K37" i="12"/>
  <c r="L37" i="12"/>
  <c r="M37" i="12"/>
  <c r="N37" i="12"/>
  <c r="O37" i="12"/>
  <c r="P37" i="12"/>
  <c r="Q37" i="12"/>
  <c r="R37" i="12"/>
  <c r="S37" i="12"/>
  <c r="I38" i="12"/>
  <c r="J38" i="12"/>
  <c r="K38" i="12"/>
  <c r="L38" i="12"/>
  <c r="M38" i="12"/>
  <c r="N38" i="12"/>
  <c r="O38" i="12"/>
  <c r="P38" i="12"/>
  <c r="Q38" i="12"/>
  <c r="R38" i="12"/>
  <c r="S38" i="12"/>
  <c r="I39" i="12"/>
  <c r="J39" i="12"/>
  <c r="K39" i="12"/>
  <c r="L39" i="12"/>
  <c r="M39" i="12"/>
  <c r="N39" i="12"/>
  <c r="O39" i="12"/>
  <c r="P39" i="12"/>
  <c r="Q39" i="12"/>
  <c r="R39" i="12"/>
  <c r="S39" i="12"/>
  <c r="I40" i="12"/>
  <c r="J40" i="12"/>
  <c r="K40" i="12"/>
  <c r="L40" i="12"/>
  <c r="M40" i="12"/>
  <c r="N40" i="12"/>
  <c r="O40" i="12"/>
  <c r="P40" i="12"/>
  <c r="Q40" i="12"/>
  <c r="R40" i="12"/>
  <c r="S40" i="12"/>
  <c r="I41" i="12"/>
  <c r="J41" i="12"/>
  <c r="K41" i="12"/>
  <c r="L41" i="12"/>
  <c r="M41" i="12"/>
  <c r="N41" i="12"/>
  <c r="O41" i="12"/>
  <c r="P41" i="12"/>
  <c r="Q41" i="12"/>
  <c r="R41" i="12"/>
  <c r="S41" i="12"/>
  <c r="I42" i="12"/>
  <c r="J42" i="12"/>
  <c r="K42" i="12"/>
  <c r="L42" i="12"/>
  <c r="M42" i="12"/>
  <c r="N42" i="12"/>
  <c r="O42" i="12"/>
  <c r="P42" i="12"/>
  <c r="Q42" i="12"/>
  <c r="R42" i="12"/>
  <c r="S42" i="12"/>
  <c r="H38" i="12"/>
  <c r="H39" i="12"/>
  <c r="H40" i="12"/>
  <c r="H41" i="12"/>
  <c r="H42" i="12"/>
  <c r="H37" i="12"/>
  <c r="I80" i="12"/>
  <c r="J80" i="12"/>
  <c r="K80" i="12"/>
  <c r="L80" i="12"/>
  <c r="M80" i="12"/>
  <c r="N80" i="12"/>
  <c r="O80" i="12"/>
  <c r="P80" i="12"/>
  <c r="Q80" i="12"/>
  <c r="R80" i="12"/>
  <c r="S80" i="12"/>
  <c r="H80" i="12"/>
  <c r="I76" i="12"/>
  <c r="J76" i="12"/>
  <c r="K76" i="12"/>
  <c r="L76" i="12"/>
  <c r="M76" i="12"/>
  <c r="N76" i="12"/>
  <c r="O76" i="12"/>
  <c r="P76" i="12"/>
  <c r="Q76" i="12"/>
  <c r="R76" i="12"/>
  <c r="S76" i="12"/>
  <c r="H76" i="12"/>
  <c r="I75" i="12"/>
  <c r="J75" i="12"/>
  <c r="K75" i="12"/>
  <c r="L75" i="12"/>
  <c r="M75" i="12"/>
  <c r="N75" i="12"/>
  <c r="O75" i="12"/>
  <c r="P75" i="12"/>
  <c r="Q75" i="12"/>
  <c r="R75" i="12"/>
  <c r="S75" i="12"/>
  <c r="H75" i="12"/>
  <c r="E20" i="14"/>
  <c r="R14" i="19" l="1"/>
  <c r="E5" i="14"/>
  <c r="E18" i="14" l="1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I26" i="14"/>
  <c r="J26" i="14"/>
  <c r="K26" i="14"/>
  <c r="L26" i="14"/>
  <c r="M26" i="14"/>
  <c r="N26" i="14"/>
  <c r="O26" i="14"/>
  <c r="P26" i="14"/>
  <c r="Q26" i="14"/>
  <c r="R26" i="14"/>
  <c r="S26" i="14"/>
  <c r="I27" i="14"/>
  <c r="J27" i="14"/>
  <c r="K27" i="14"/>
  <c r="L27" i="14"/>
  <c r="M27" i="14"/>
  <c r="N27" i="14"/>
  <c r="O27" i="14"/>
  <c r="P27" i="14"/>
  <c r="Q27" i="14"/>
  <c r="R27" i="14"/>
  <c r="S27" i="14"/>
  <c r="H27" i="14"/>
  <c r="H26" i="14"/>
  <c r="F27" i="14"/>
  <c r="X293" i="14" s="1"/>
  <c r="E26" i="14"/>
  <c r="F26" i="14" s="1"/>
  <c r="AB292" i="14" s="1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9" i="14"/>
  <c r="I19" i="14"/>
  <c r="J19" i="14"/>
  <c r="K19" i="14"/>
  <c r="L19" i="14"/>
  <c r="M19" i="14"/>
  <c r="N19" i="14"/>
  <c r="O19" i="14"/>
  <c r="P19" i="14"/>
  <c r="Q19" i="14"/>
  <c r="R19" i="14"/>
  <c r="S19" i="14"/>
  <c r="H19" i="14"/>
  <c r="F19" i="14"/>
  <c r="AE279" i="14" s="1"/>
  <c r="E15" i="14"/>
  <c r="T39" i="12"/>
  <c r="T40" i="12"/>
  <c r="T41" i="12"/>
  <c r="T42" i="12"/>
  <c r="G39" i="12"/>
  <c r="G40" i="12"/>
  <c r="G41" i="12"/>
  <c r="G42" i="12"/>
  <c r="E36" i="16"/>
  <c r="F36" i="16"/>
  <c r="G36" i="16"/>
  <c r="H36" i="16"/>
  <c r="I36" i="16"/>
  <c r="J36" i="16"/>
  <c r="K36" i="16"/>
  <c r="L36" i="16"/>
  <c r="M36" i="16"/>
  <c r="N36" i="16"/>
  <c r="O36" i="16"/>
  <c r="D36" i="16"/>
  <c r="E35" i="16"/>
  <c r="F35" i="16"/>
  <c r="G35" i="16"/>
  <c r="H35" i="16"/>
  <c r="I35" i="16"/>
  <c r="J35" i="16"/>
  <c r="K35" i="16"/>
  <c r="L35" i="16"/>
  <c r="M35" i="16"/>
  <c r="N35" i="16"/>
  <c r="O35" i="16"/>
  <c r="E34" i="16"/>
  <c r="F34" i="16"/>
  <c r="G34" i="16"/>
  <c r="H34" i="16"/>
  <c r="I34" i="16"/>
  <c r="J34" i="16"/>
  <c r="K34" i="16"/>
  <c r="L34" i="16"/>
  <c r="M34" i="16"/>
  <c r="N34" i="16"/>
  <c r="O34" i="16"/>
  <c r="D34" i="16"/>
  <c r="E31" i="16"/>
  <c r="F31" i="16"/>
  <c r="G31" i="16"/>
  <c r="H31" i="16"/>
  <c r="I31" i="16"/>
  <c r="J31" i="16"/>
  <c r="K31" i="16"/>
  <c r="L31" i="16"/>
  <c r="M31" i="16"/>
  <c r="N31" i="16"/>
  <c r="O31" i="16"/>
  <c r="E32" i="16"/>
  <c r="F32" i="16"/>
  <c r="G32" i="16"/>
  <c r="H32" i="16"/>
  <c r="I32" i="16"/>
  <c r="J32" i="16"/>
  <c r="K32" i="16"/>
  <c r="L32" i="16"/>
  <c r="M32" i="16"/>
  <c r="N32" i="16"/>
  <c r="O32" i="16"/>
  <c r="D32" i="16"/>
  <c r="D31" i="16"/>
  <c r="E33" i="16"/>
  <c r="F33" i="16"/>
  <c r="G33" i="16"/>
  <c r="H33" i="16"/>
  <c r="I33" i="16"/>
  <c r="J33" i="16"/>
  <c r="K33" i="16"/>
  <c r="L33" i="16"/>
  <c r="M33" i="16"/>
  <c r="N33" i="16"/>
  <c r="O33" i="16"/>
  <c r="D33" i="16"/>
  <c r="F60" i="3"/>
  <c r="G60" i="3"/>
  <c r="H60" i="3"/>
  <c r="I60" i="3"/>
  <c r="J60" i="3"/>
  <c r="K60" i="3"/>
  <c r="L60" i="3"/>
  <c r="M60" i="3"/>
  <c r="N60" i="3"/>
  <c r="O60" i="3"/>
  <c r="P60" i="3"/>
  <c r="F61" i="3"/>
  <c r="G61" i="3"/>
  <c r="H61" i="3"/>
  <c r="I61" i="3"/>
  <c r="J61" i="3"/>
  <c r="K61" i="3"/>
  <c r="L61" i="3"/>
  <c r="M61" i="3"/>
  <c r="N61" i="3"/>
  <c r="O61" i="3"/>
  <c r="P61" i="3"/>
  <c r="E61" i="3"/>
  <c r="E60" i="3"/>
  <c r="F10" i="3"/>
  <c r="G10" i="3"/>
  <c r="H10" i="3"/>
  <c r="I10" i="3"/>
  <c r="J10" i="3"/>
  <c r="K10" i="3"/>
  <c r="L10" i="3"/>
  <c r="M10" i="3"/>
  <c r="N10" i="3"/>
  <c r="O10" i="3"/>
  <c r="P10" i="3"/>
  <c r="F11" i="3"/>
  <c r="G11" i="3"/>
  <c r="H11" i="3"/>
  <c r="I11" i="3"/>
  <c r="J11" i="3"/>
  <c r="K11" i="3"/>
  <c r="L11" i="3"/>
  <c r="M11" i="3"/>
  <c r="N11" i="3"/>
  <c r="O11" i="3"/>
  <c r="P11" i="3"/>
  <c r="E11" i="3"/>
  <c r="E10" i="3"/>
  <c r="F20" i="3"/>
  <c r="G20" i="3"/>
  <c r="H20" i="3"/>
  <c r="I20" i="3"/>
  <c r="J20" i="3"/>
  <c r="K20" i="3"/>
  <c r="L20" i="3"/>
  <c r="M20" i="3"/>
  <c r="N20" i="3"/>
  <c r="O20" i="3"/>
  <c r="P20" i="3"/>
  <c r="F21" i="3"/>
  <c r="G21" i="3"/>
  <c r="H21" i="3"/>
  <c r="I21" i="3"/>
  <c r="J21" i="3"/>
  <c r="K21" i="3"/>
  <c r="L21" i="3"/>
  <c r="M21" i="3"/>
  <c r="N21" i="3"/>
  <c r="O21" i="3"/>
  <c r="P21" i="3"/>
  <c r="E21" i="3"/>
  <c r="E20" i="3"/>
  <c r="F40" i="3"/>
  <c r="G40" i="3"/>
  <c r="H40" i="3"/>
  <c r="I40" i="3"/>
  <c r="J40" i="3"/>
  <c r="K40" i="3"/>
  <c r="L40" i="3"/>
  <c r="M40" i="3"/>
  <c r="N40" i="3"/>
  <c r="O40" i="3"/>
  <c r="P40" i="3"/>
  <c r="F41" i="3"/>
  <c r="G41" i="3"/>
  <c r="H41" i="3"/>
  <c r="I41" i="3"/>
  <c r="J41" i="3"/>
  <c r="K41" i="3"/>
  <c r="L41" i="3"/>
  <c r="M41" i="3"/>
  <c r="N41" i="3"/>
  <c r="O41" i="3"/>
  <c r="P41" i="3"/>
  <c r="E41" i="3"/>
  <c r="E40" i="3"/>
  <c r="F30" i="3"/>
  <c r="G30" i="3"/>
  <c r="H30" i="3"/>
  <c r="I30" i="3"/>
  <c r="J30" i="3"/>
  <c r="K30" i="3"/>
  <c r="L30" i="3"/>
  <c r="M30" i="3"/>
  <c r="N30" i="3"/>
  <c r="O30" i="3"/>
  <c r="P30" i="3"/>
  <c r="F31" i="3"/>
  <c r="G31" i="3"/>
  <c r="H31" i="3"/>
  <c r="I31" i="3"/>
  <c r="J31" i="3"/>
  <c r="K31" i="3"/>
  <c r="L31" i="3"/>
  <c r="M31" i="3"/>
  <c r="N31" i="3"/>
  <c r="O31" i="3"/>
  <c r="P31" i="3"/>
  <c r="E31" i="3"/>
  <c r="E30" i="3"/>
  <c r="N39" i="13"/>
  <c r="N40" i="13"/>
  <c r="N41" i="13"/>
  <c r="N42" i="13"/>
  <c r="N32" i="13"/>
  <c r="N33" i="13"/>
  <c r="N34" i="13"/>
  <c r="N35" i="13"/>
  <c r="N36" i="13"/>
  <c r="N37" i="13"/>
  <c r="N38" i="13"/>
  <c r="T75" i="12"/>
  <c r="T76" i="12"/>
  <c r="T77" i="12"/>
  <c r="T78" i="12"/>
  <c r="T79" i="12"/>
  <c r="T80" i="12"/>
  <c r="G75" i="12"/>
  <c r="G76" i="12"/>
  <c r="G77" i="12"/>
  <c r="G78" i="12"/>
  <c r="G79" i="12"/>
  <c r="G80" i="12"/>
  <c r="M60" i="12"/>
  <c r="N60" i="12"/>
  <c r="O60" i="12"/>
  <c r="P60" i="12"/>
  <c r="Q60" i="12"/>
  <c r="R60" i="12"/>
  <c r="S60" i="12"/>
  <c r="L60" i="12"/>
  <c r="I60" i="12"/>
  <c r="P36" i="16" l="1"/>
  <c r="U285" i="14"/>
  <c r="V285" i="14"/>
  <c r="AE289" i="14"/>
  <c r="U291" i="14"/>
  <c r="Y283" i="14"/>
  <c r="X289" i="14"/>
  <c r="T291" i="14"/>
  <c r="AC285" i="14"/>
  <c r="AB291" i="14"/>
  <c r="T293" i="14"/>
  <c r="AD285" i="14"/>
  <c r="AC291" i="14"/>
  <c r="AA281" i="14"/>
  <c r="Z287" i="14"/>
  <c r="Y293" i="14"/>
  <c r="AB281" i="14"/>
  <c r="AA287" i="14"/>
  <c r="Z293" i="14"/>
  <c r="X283" i="14"/>
  <c r="W289" i="14"/>
  <c r="AE280" i="14"/>
  <c r="Y282" i="14"/>
  <c r="AC284" i="14"/>
  <c r="U288" i="14"/>
  <c r="AC288" i="14"/>
  <c r="U292" i="14"/>
  <c r="AC292" i="14"/>
  <c r="AC280" i="14"/>
  <c r="U280" i="14"/>
  <c r="AA282" i="14"/>
  <c r="W284" i="14"/>
  <c r="AE284" i="14"/>
  <c r="AA286" i="14"/>
  <c r="W288" i="14"/>
  <c r="AE288" i="14"/>
  <c r="AA290" i="14"/>
  <c r="W292" i="14"/>
  <c r="AE292" i="14"/>
  <c r="U281" i="14"/>
  <c r="AC281" i="14"/>
  <c r="Z283" i="14"/>
  <c r="W285" i="14"/>
  <c r="AE285" i="14"/>
  <c r="AB287" i="14"/>
  <c r="Y289" i="14"/>
  <c r="V291" i="14"/>
  <c r="AD291" i="14"/>
  <c r="AA293" i="14"/>
  <c r="AD280" i="14"/>
  <c r="V280" i="14"/>
  <c r="Z282" i="14"/>
  <c r="V284" i="14"/>
  <c r="AD284" i="14"/>
  <c r="Z286" i="14"/>
  <c r="V288" i="14"/>
  <c r="AD288" i="14"/>
  <c r="Z290" i="14"/>
  <c r="V292" i="14"/>
  <c r="AD292" i="14"/>
  <c r="AB280" i="14"/>
  <c r="T282" i="14"/>
  <c r="AB282" i="14"/>
  <c r="X284" i="14"/>
  <c r="T286" i="14"/>
  <c r="AB286" i="14"/>
  <c r="X288" i="14"/>
  <c r="T290" i="14"/>
  <c r="AB290" i="14"/>
  <c r="X292" i="14"/>
  <c r="T281" i="14"/>
  <c r="V281" i="14"/>
  <c r="AD281" i="14"/>
  <c r="AA283" i="14"/>
  <c r="X285" i="14"/>
  <c r="U287" i="14"/>
  <c r="AC287" i="14"/>
  <c r="Z289" i="14"/>
  <c r="W291" i="14"/>
  <c r="AE291" i="14"/>
  <c r="AB293" i="14"/>
  <c r="AA280" i="14"/>
  <c r="U282" i="14"/>
  <c r="AC282" i="14"/>
  <c r="Y284" i="14"/>
  <c r="U286" i="14"/>
  <c r="AC286" i="14"/>
  <c r="Y288" i="14"/>
  <c r="U290" i="14"/>
  <c r="AC290" i="14"/>
  <c r="Y292" i="14"/>
  <c r="T283" i="14"/>
  <c r="W281" i="14"/>
  <c r="AE281" i="14"/>
  <c r="AB283" i="14"/>
  <c r="Y285" i="14"/>
  <c r="V287" i="14"/>
  <c r="AD287" i="14"/>
  <c r="AA289" i="14"/>
  <c r="X291" i="14"/>
  <c r="U293" i="14"/>
  <c r="AC293" i="14"/>
  <c r="W280" i="14"/>
  <c r="U284" i="14"/>
  <c r="Y286" i="14"/>
  <c r="Y290" i="14"/>
  <c r="Z280" i="14"/>
  <c r="V282" i="14"/>
  <c r="AD282" i="14"/>
  <c r="Z284" i="14"/>
  <c r="V286" i="14"/>
  <c r="AD286" i="14"/>
  <c r="Z288" i="14"/>
  <c r="V290" i="14"/>
  <c r="AD290" i="14"/>
  <c r="Z292" i="14"/>
  <c r="T285" i="14"/>
  <c r="X281" i="14"/>
  <c r="U283" i="14"/>
  <c r="AC283" i="14"/>
  <c r="Z285" i="14"/>
  <c r="Z27" i="14" s="1"/>
  <c r="N68" i="12" s="1"/>
  <c r="W287" i="14"/>
  <c r="AE287" i="14"/>
  <c r="AB289" i="14"/>
  <c r="Y291" i="14"/>
  <c r="V293" i="14"/>
  <c r="AD293" i="14"/>
  <c r="Y280" i="14"/>
  <c r="W282" i="14"/>
  <c r="AE282" i="14"/>
  <c r="AA284" i="14"/>
  <c r="W286" i="14"/>
  <c r="AE286" i="14"/>
  <c r="AA288" i="14"/>
  <c r="W290" i="14"/>
  <c r="AE290" i="14"/>
  <c r="AA292" i="14"/>
  <c r="T287" i="14"/>
  <c r="Y281" i="14"/>
  <c r="V283" i="14"/>
  <c r="AD283" i="14"/>
  <c r="AA285" i="14"/>
  <c r="X287" i="14"/>
  <c r="U289" i="14"/>
  <c r="AC289" i="14"/>
  <c r="Z291" i="14"/>
  <c r="W293" i="14"/>
  <c r="AE293" i="14"/>
  <c r="T280" i="14"/>
  <c r="X280" i="14"/>
  <c r="X282" i="14"/>
  <c r="T284" i="14"/>
  <c r="AB284" i="14"/>
  <c r="X286" i="14"/>
  <c r="T288" i="14"/>
  <c r="AB288" i="14"/>
  <c r="X290" i="14"/>
  <c r="T292" i="14"/>
  <c r="T289" i="14"/>
  <c r="Z281" i="14"/>
  <c r="W283" i="14"/>
  <c r="AE283" i="14"/>
  <c r="AB285" i="14"/>
  <c r="Y287" i="14"/>
  <c r="V289" i="14"/>
  <c r="AD289" i="14"/>
  <c r="AA291" i="14"/>
  <c r="G26" i="14"/>
  <c r="F67" i="12" s="1"/>
  <c r="G27" i="14"/>
  <c r="F68" i="12" s="1"/>
  <c r="W117" i="14"/>
  <c r="AE117" i="14"/>
  <c r="AB149" i="14"/>
  <c r="Y182" i="14"/>
  <c r="V214" i="14"/>
  <c r="AD214" i="14"/>
  <c r="T214" i="14"/>
  <c r="AA247" i="14"/>
  <c r="Z85" i="14"/>
  <c r="X279" i="14"/>
  <c r="T247" i="14"/>
  <c r="AA85" i="14"/>
  <c r="X117" i="14"/>
  <c r="U149" i="14"/>
  <c r="AC149" i="14"/>
  <c r="Z182" i="14"/>
  <c r="W214" i="14"/>
  <c r="AE214" i="14"/>
  <c r="AB247" i="14"/>
  <c r="Y279" i="14"/>
  <c r="T279" i="14"/>
  <c r="AB85" i="14"/>
  <c r="Y117" i="14"/>
  <c r="V149" i="14"/>
  <c r="AD149" i="14"/>
  <c r="AA182" i="14"/>
  <c r="X214" i="14"/>
  <c r="U247" i="14"/>
  <c r="AC247" i="14"/>
  <c r="Z279" i="14"/>
  <c r="U85" i="14"/>
  <c r="AC85" i="14"/>
  <c r="Z117" i="14"/>
  <c r="W149" i="14"/>
  <c r="AE149" i="14"/>
  <c r="AB182" i="14"/>
  <c r="Y214" i="14"/>
  <c r="V247" i="14"/>
  <c r="AD247" i="14"/>
  <c r="AA279" i="14"/>
  <c r="T85" i="14"/>
  <c r="V85" i="14"/>
  <c r="AD85" i="14"/>
  <c r="AA117" i="14"/>
  <c r="X149" i="14"/>
  <c r="U182" i="14"/>
  <c r="AC182" i="14"/>
  <c r="Z214" i="14"/>
  <c r="W247" i="14"/>
  <c r="AE247" i="14"/>
  <c r="AB279" i="14"/>
  <c r="T117" i="14"/>
  <c r="W85" i="14"/>
  <c r="AE85" i="14"/>
  <c r="AB117" i="14"/>
  <c r="Y149" i="14"/>
  <c r="V182" i="14"/>
  <c r="AD182" i="14"/>
  <c r="AA214" i="14"/>
  <c r="X247" i="14"/>
  <c r="U279" i="14"/>
  <c r="AC279" i="14"/>
  <c r="T149" i="14"/>
  <c r="X85" i="14"/>
  <c r="U117" i="14"/>
  <c r="AC117" i="14"/>
  <c r="Z149" i="14"/>
  <c r="W182" i="14"/>
  <c r="AE182" i="14"/>
  <c r="AB214" i="14"/>
  <c r="Y247" i="14"/>
  <c r="V279" i="14"/>
  <c r="AD279" i="14"/>
  <c r="T182" i="14"/>
  <c r="Y85" i="14"/>
  <c r="V117" i="14"/>
  <c r="AD117" i="14"/>
  <c r="AA149" i="14"/>
  <c r="X182" i="14"/>
  <c r="U214" i="14"/>
  <c r="AC214" i="14"/>
  <c r="Z247" i="14"/>
  <c r="W279" i="14"/>
  <c r="G19" i="14"/>
  <c r="F7" i="12" s="1"/>
  <c r="I31" i="12"/>
  <c r="J31" i="12"/>
  <c r="K31" i="12"/>
  <c r="L31" i="12"/>
  <c r="M31" i="12"/>
  <c r="N31" i="12"/>
  <c r="O31" i="12"/>
  <c r="P31" i="12"/>
  <c r="Q31" i="12"/>
  <c r="R31" i="12"/>
  <c r="S31" i="12"/>
  <c r="H31" i="12"/>
  <c r="X26" i="14" l="1"/>
  <c r="L67" i="12" s="1"/>
  <c r="AE27" i="14"/>
  <c r="S68" i="12" s="1"/>
  <c r="Y26" i="14"/>
  <c r="M67" i="12" s="1"/>
  <c r="AA27" i="14"/>
  <c r="O68" i="12" s="1"/>
  <c r="AD27" i="14"/>
  <c r="R68" i="12" s="1"/>
  <c r="T26" i="14"/>
  <c r="AF291" i="14"/>
  <c r="AC27" i="14"/>
  <c r="Q68" i="12" s="1"/>
  <c r="AA26" i="14"/>
  <c r="O67" i="12" s="1"/>
  <c r="X27" i="14"/>
  <c r="L68" i="12" s="1"/>
  <c r="Z26" i="14"/>
  <c r="N67" i="12" s="1"/>
  <c r="V27" i="14"/>
  <c r="J68" i="12" s="1"/>
  <c r="AF292" i="14"/>
  <c r="U26" i="14"/>
  <c r="I67" i="12" s="1"/>
  <c r="AF285" i="14"/>
  <c r="AF281" i="14"/>
  <c r="AF293" i="14"/>
  <c r="AF288" i="14"/>
  <c r="AB26" i="14"/>
  <c r="P67" i="12" s="1"/>
  <c r="AF284" i="14"/>
  <c r="AC26" i="14"/>
  <c r="Q67" i="12" s="1"/>
  <c r="U27" i="14"/>
  <c r="I68" i="12" s="1"/>
  <c r="AE26" i="14"/>
  <c r="S67" i="12" s="1"/>
  <c r="Y27" i="14"/>
  <c r="M68" i="12" s="1"/>
  <c r="AF286" i="14"/>
  <c r="AF282" i="14"/>
  <c r="AB27" i="14"/>
  <c r="P68" i="12" s="1"/>
  <c r="T27" i="14"/>
  <c r="AF290" i="14"/>
  <c r="AF287" i="14"/>
  <c r="W27" i="14"/>
  <c r="K68" i="12" s="1"/>
  <c r="V26" i="14"/>
  <c r="J67" i="12" s="1"/>
  <c r="W26" i="14"/>
  <c r="K67" i="12" s="1"/>
  <c r="AD26" i="14"/>
  <c r="R67" i="12" s="1"/>
  <c r="AF283" i="14"/>
  <c r="AF289" i="14"/>
  <c r="AF280" i="14"/>
  <c r="W19" i="14"/>
  <c r="K7" i="12" s="1"/>
  <c r="AD19" i="14"/>
  <c r="R7" i="12" s="1"/>
  <c r="Z19" i="14"/>
  <c r="N7" i="12" s="1"/>
  <c r="AE19" i="14"/>
  <c r="S7" i="12" s="1"/>
  <c r="AF214" i="14"/>
  <c r="AF247" i="14"/>
  <c r="AF85" i="14"/>
  <c r="AC19" i="14"/>
  <c r="Q7" i="12" s="1"/>
  <c r="AF149" i="14"/>
  <c r="AF117" i="14"/>
  <c r="AB19" i="14"/>
  <c r="P7" i="12" s="1"/>
  <c r="AF279" i="14"/>
  <c r="Y19" i="14"/>
  <c r="M7" i="12" s="1"/>
  <c r="AF182" i="14"/>
  <c r="V19" i="14"/>
  <c r="J7" i="12" s="1"/>
  <c r="U19" i="14"/>
  <c r="I7" i="12" s="1"/>
  <c r="X19" i="14"/>
  <c r="L7" i="12" s="1"/>
  <c r="AA19" i="14"/>
  <c r="O7" i="12" s="1"/>
  <c r="T19" i="14"/>
  <c r="H7" i="12" s="1"/>
  <c r="H68" i="12" l="1"/>
  <c r="T68" i="12" s="1"/>
  <c r="AF27" i="14"/>
  <c r="H67" i="12"/>
  <c r="T67" i="12" s="1"/>
  <c r="AF26" i="14"/>
  <c r="G7" i="12"/>
  <c r="T7" i="12"/>
  <c r="AF19" i="14"/>
  <c r="G68" i="12" l="1"/>
  <c r="G67" i="12"/>
  <c r="F64" i="3"/>
  <c r="F91" i="3" s="1"/>
  <c r="G64" i="3"/>
  <c r="G91" i="3" s="1"/>
  <c r="H64" i="3"/>
  <c r="H91" i="3" s="1"/>
  <c r="I64" i="3"/>
  <c r="I91" i="3" s="1"/>
  <c r="J64" i="3"/>
  <c r="J91" i="3" s="1"/>
  <c r="K64" i="3"/>
  <c r="K91" i="3" s="1"/>
  <c r="L64" i="3"/>
  <c r="L91" i="3" s="1"/>
  <c r="M64" i="3"/>
  <c r="M91" i="3" s="1"/>
  <c r="N64" i="3"/>
  <c r="N91" i="3" s="1"/>
  <c r="O64" i="3"/>
  <c r="O91" i="3" s="1"/>
  <c r="P64" i="3"/>
  <c r="P91" i="3" s="1"/>
  <c r="E64" i="3"/>
  <c r="E91" i="3" s="1"/>
  <c r="E54" i="16" l="1"/>
  <c r="E73" i="16" s="1"/>
  <c r="F54" i="16"/>
  <c r="F73" i="16" s="1"/>
  <c r="G54" i="16"/>
  <c r="G73" i="16" s="1"/>
  <c r="H54" i="16"/>
  <c r="H73" i="16" s="1"/>
  <c r="I54" i="16"/>
  <c r="I73" i="16" s="1"/>
  <c r="J54" i="16"/>
  <c r="J73" i="16" s="1"/>
  <c r="K54" i="16"/>
  <c r="K73" i="16" s="1"/>
  <c r="L54" i="16"/>
  <c r="L73" i="16" s="1"/>
  <c r="M54" i="16"/>
  <c r="M73" i="16" s="1"/>
  <c r="N54" i="16"/>
  <c r="N73" i="16" s="1"/>
  <c r="O54" i="16"/>
  <c r="O73" i="16" s="1"/>
  <c r="D54" i="16"/>
  <c r="D73" i="16" s="1"/>
  <c r="C13" i="19" s="1"/>
  <c r="K75" i="16" l="1"/>
  <c r="K13" i="19"/>
  <c r="I75" i="16"/>
  <c r="I13" i="19"/>
  <c r="L75" i="16"/>
  <c r="M13" i="19"/>
  <c r="J75" i="16"/>
  <c r="J13" i="19"/>
  <c r="F75" i="16"/>
  <c r="E13" i="19"/>
  <c r="C15" i="19"/>
  <c r="H75" i="16"/>
  <c r="H13" i="19"/>
  <c r="O75" i="16"/>
  <c r="P13" i="19"/>
  <c r="G75" i="16"/>
  <c r="F13" i="19"/>
  <c r="N75" i="16"/>
  <c r="O13" i="19"/>
  <c r="M75" i="16"/>
  <c r="N13" i="19"/>
  <c r="E75" i="16"/>
  <c r="D13" i="19"/>
  <c r="D75" i="16"/>
  <c r="P73" i="16"/>
  <c r="B13" i="19" s="1"/>
  <c r="D35" i="16"/>
  <c r="E28" i="16"/>
  <c r="F28" i="16"/>
  <c r="G28" i="16"/>
  <c r="H28" i="16"/>
  <c r="I28" i="16"/>
  <c r="J28" i="16"/>
  <c r="K28" i="16"/>
  <c r="L28" i="16"/>
  <c r="M28" i="16"/>
  <c r="N28" i="16"/>
  <c r="O28" i="16"/>
  <c r="D28" i="16"/>
  <c r="E20" i="16"/>
  <c r="F20" i="16"/>
  <c r="G20" i="16"/>
  <c r="H20" i="16"/>
  <c r="I20" i="16"/>
  <c r="J20" i="16"/>
  <c r="K20" i="16"/>
  <c r="L20" i="16"/>
  <c r="M20" i="16"/>
  <c r="N20" i="16"/>
  <c r="O20" i="16"/>
  <c r="E21" i="16"/>
  <c r="F21" i="16"/>
  <c r="G21" i="16"/>
  <c r="H21" i="16"/>
  <c r="I21" i="16"/>
  <c r="J21" i="16"/>
  <c r="K21" i="16"/>
  <c r="L21" i="16"/>
  <c r="M21" i="16"/>
  <c r="N21" i="16"/>
  <c r="O21" i="16"/>
  <c r="E22" i="16"/>
  <c r="F22" i="16"/>
  <c r="G22" i="16"/>
  <c r="H22" i="16"/>
  <c r="I22" i="16"/>
  <c r="J22" i="16"/>
  <c r="K22" i="16"/>
  <c r="L22" i="16"/>
  <c r="M22" i="16"/>
  <c r="N22" i="16"/>
  <c r="O22" i="16"/>
  <c r="E23" i="16"/>
  <c r="F23" i="16"/>
  <c r="G23" i="16"/>
  <c r="H23" i="16"/>
  <c r="I23" i="16"/>
  <c r="J23" i="16"/>
  <c r="K23" i="16"/>
  <c r="L23" i="16"/>
  <c r="M23" i="16"/>
  <c r="N23" i="16"/>
  <c r="O23" i="16"/>
  <c r="E24" i="16"/>
  <c r="F24" i="16"/>
  <c r="G24" i="16"/>
  <c r="H24" i="16"/>
  <c r="I24" i="16"/>
  <c r="J24" i="16"/>
  <c r="K24" i="16"/>
  <c r="L24" i="16"/>
  <c r="M24" i="16"/>
  <c r="N24" i="16"/>
  <c r="O24" i="16"/>
  <c r="E25" i="16"/>
  <c r="F25" i="16"/>
  <c r="G25" i="16"/>
  <c r="H25" i="16"/>
  <c r="I25" i="16"/>
  <c r="J25" i="16"/>
  <c r="K25" i="16"/>
  <c r="L25" i="16"/>
  <c r="M25" i="16"/>
  <c r="N25" i="16"/>
  <c r="O25" i="16"/>
  <c r="D25" i="16"/>
  <c r="D24" i="16"/>
  <c r="D23" i="16"/>
  <c r="D22" i="16"/>
  <c r="D21" i="16"/>
  <c r="D20" i="16"/>
  <c r="E76" i="3"/>
  <c r="F76" i="3"/>
  <c r="G76" i="3"/>
  <c r="H76" i="3"/>
  <c r="I76" i="3"/>
  <c r="J76" i="3"/>
  <c r="K76" i="3"/>
  <c r="L76" i="3"/>
  <c r="M76" i="3"/>
  <c r="N76" i="3"/>
  <c r="O76" i="3"/>
  <c r="P76" i="3"/>
  <c r="E77" i="3"/>
  <c r="F77" i="3"/>
  <c r="G77" i="3"/>
  <c r="H77" i="3"/>
  <c r="I77" i="3"/>
  <c r="J77" i="3"/>
  <c r="K77" i="3"/>
  <c r="L77" i="3"/>
  <c r="M77" i="3"/>
  <c r="N77" i="3"/>
  <c r="O77" i="3"/>
  <c r="P77" i="3"/>
  <c r="F75" i="3"/>
  <c r="G75" i="3"/>
  <c r="H75" i="3"/>
  <c r="I75" i="3"/>
  <c r="J75" i="3"/>
  <c r="K75" i="3"/>
  <c r="L75" i="3"/>
  <c r="M75" i="3"/>
  <c r="N75" i="3"/>
  <c r="O75" i="3"/>
  <c r="P75" i="3"/>
  <c r="E75" i="3"/>
  <c r="F57" i="3"/>
  <c r="G57" i="3"/>
  <c r="H57" i="3"/>
  <c r="I57" i="3"/>
  <c r="J57" i="3"/>
  <c r="K57" i="3"/>
  <c r="L57" i="3"/>
  <c r="M57" i="3"/>
  <c r="N57" i="3"/>
  <c r="O57" i="3"/>
  <c r="P57" i="3"/>
  <c r="F58" i="3"/>
  <c r="G58" i="3"/>
  <c r="H58" i="3"/>
  <c r="I58" i="3"/>
  <c r="J58" i="3"/>
  <c r="K58" i="3"/>
  <c r="L58" i="3"/>
  <c r="M58" i="3"/>
  <c r="N58" i="3"/>
  <c r="O58" i="3"/>
  <c r="P58" i="3"/>
  <c r="F59" i="3"/>
  <c r="G59" i="3"/>
  <c r="H59" i="3"/>
  <c r="I59" i="3"/>
  <c r="J59" i="3"/>
  <c r="K59" i="3"/>
  <c r="L59" i="3"/>
  <c r="M59" i="3"/>
  <c r="N59" i="3"/>
  <c r="O59" i="3"/>
  <c r="P59" i="3"/>
  <c r="E58" i="3"/>
  <c r="E59" i="3"/>
  <c r="E57" i="3"/>
  <c r="E48" i="3"/>
  <c r="F48" i="3"/>
  <c r="G48" i="3"/>
  <c r="H48" i="3"/>
  <c r="I48" i="3"/>
  <c r="J48" i="3"/>
  <c r="K48" i="3"/>
  <c r="L48" i="3"/>
  <c r="M48" i="3"/>
  <c r="N48" i="3"/>
  <c r="O48" i="3"/>
  <c r="P48" i="3"/>
  <c r="E49" i="3"/>
  <c r="F49" i="3"/>
  <c r="G49" i="3"/>
  <c r="H49" i="3"/>
  <c r="I49" i="3"/>
  <c r="J49" i="3"/>
  <c r="K49" i="3"/>
  <c r="L49" i="3"/>
  <c r="M49" i="3"/>
  <c r="N49" i="3"/>
  <c r="O49" i="3"/>
  <c r="P49" i="3"/>
  <c r="F47" i="3"/>
  <c r="G47" i="3"/>
  <c r="H47" i="3"/>
  <c r="I47" i="3"/>
  <c r="J47" i="3"/>
  <c r="K47" i="3"/>
  <c r="L47" i="3"/>
  <c r="M47" i="3"/>
  <c r="N47" i="3"/>
  <c r="O47" i="3"/>
  <c r="P47" i="3"/>
  <c r="E47" i="3"/>
  <c r="E51" i="3"/>
  <c r="F51" i="3"/>
  <c r="G51" i="3"/>
  <c r="H51" i="3"/>
  <c r="I51" i="3"/>
  <c r="J51" i="3"/>
  <c r="K51" i="3"/>
  <c r="L51" i="3"/>
  <c r="M51" i="3"/>
  <c r="N51" i="3"/>
  <c r="O51" i="3"/>
  <c r="P51" i="3"/>
  <c r="F50" i="3"/>
  <c r="G50" i="3"/>
  <c r="H50" i="3"/>
  <c r="I50" i="3"/>
  <c r="J50" i="3"/>
  <c r="K50" i="3"/>
  <c r="L50" i="3"/>
  <c r="M50" i="3"/>
  <c r="N50" i="3"/>
  <c r="O50" i="3"/>
  <c r="P50" i="3"/>
  <c r="E50" i="3"/>
  <c r="E38" i="3"/>
  <c r="F38" i="3"/>
  <c r="G38" i="3"/>
  <c r="H38" i="3"/>
  <c r="I38" i="3"/>
  <c r="J38" i="3"/>
  <c r="K38" i="3"/>
  <c r="L38" i="3"/>
  <c r="M38" i="3"/>
  <c r="N38" i="3"/>
  <c r="O38" i="3"/>
  <c r="P38" i="3"/>
  <c r="E39" i="3"/>
  <c r="F39" i="3"/>
  <c r="G39" i="3"/>
  <c r="H39" i="3"/>
  <c r="I39" i="3"/>
  <c r="J39" i="3"/>
  <c r="K39" i="3"/>
  <c r="L39" i="3"/>
  <c r="M39" i="3"/>
  <c r="N39" i="3"/>
  <c r="O39" i="3"/>
  <c r="P39" i="3"/>
  <c r="F37" i="3"/>
  <c r="G37" i="3"/>
  <c r="H37" i="3"/>
  <c r="I37" i="3"/>
  <c r="J37" i="3"/>
  <c r="K37" i="3"/>
  <c r="L37" i="3"/>
  <c r="M37" i="3"/>
  <c r="N37" i="3"/>
  <c r="O37" i="3"/>
  <c r="P37" i="3"/>
  <c r="E37" i="3"/>
  <c r="E28" i="3"/>
  <c r="F28" i="3"/>
  <c r="G28" i="3"/>
  <c r="H28" i="3"/>
  <c r="I28" i="3"/>
  <c r="J28" i="3"/>
  <c r="K28" i="3"/>
  <c r="L28" i="3"/>
  <c r="M28" i="3"/>
  <c r="N28" i="3"/>
  <c r="O28" i="3"/>
  <c r="P28" i="3"/>
  <c r="E29" i="3"/>
  <c r="F29" i="3"/>
  <c r="G29" i="3"/>
  <c r="H29" i="3"/>
  <c r="I29" i="3"/>
  <c r="J29" i="3"/>
  <c r="K29" i="3"/>
  <c r="L29" i="3"/>
  <c r="M29" i="3"/>
  <c r="N29" i="3"/>
  <c r="O29" i="3"/>
  <c r="P29" i="3"/>
  <c r="F27" i="3"/>
  <c r="G27" i="3"/>
  <c r="H27" i="3"/>
  <c r="I27" i="3"/>
  <c r="J27" i="3"/>
  <c r="K27" i="3"/>
  <c r="L27" i="3"/>
  <c r="M27" i="3"/>
  <c r="N27" i="3"/>
  <c r="O27" i="3"/>
  <c r="P27" i="3"/>
  <c r="E27" i="3"/>
  <c r="E18" i="3"/>
  <c r="F18" i="3"/>
  <c r="G18" i="3"/>
  <c r="H18" i="3"/>
  <c r="I18" i="3"/>
  <c r="J18" i="3"/>
  <c r="K18" i="3"/>
  <c r="L18" i="3"/>
  <c r="M18" i="3"/>
  <c r="N18" i="3"/>
  <c r="O18" i="3"/>
  <c r="P18" i="3"/>
  <c r="E19" i="3"/>
  <c r="F19" i="3"/>
  <c r="G19" i="3"/>
  <c r="H19" i="3"/>
  <c r="I19" i="3"/>
  <c r="J19" i="3"/>
  <c r="K19" i="3"/>
  <c r="L19" i="3"/>
  <c r="M19" i="3"/>
  <c r="N19" i="3"/>
  <c r="O19" i="3"/>
  <c r="P19" i="3"/>
  <c r="F17" i="3"/>
  <c r="G17" i="3"/>
  <c r="H17" i="3"/>
  <c r="I17" i="3"/>
  <c r="J17" i="3"/>
  <c r="K17" i="3"/>
  <c r="L17" i="3"/>
  <c r="M17" i="3"/>
  <c r="N17" i="3"/>
  <c r="O17" i="3"/>
  <c r="P17" i="3"/>
  <c r="E17" i="3"/>
  <c r="E8" i="3"/>
  <c r="F8" i="3"/>
  <c r="G8" i="3"/>
  <c r="H8" i="3"/>
  <c r="I8" i="3"/>
  <c r="J8" i="3"/>
  <c r="K8" i="3"/>
  <c r="L8" i="3"/>
  <c r="M8" i="3"/>
  <c r="N8" i="3"/>
  <c r="O8" i="3"/>
  <c r="P8" i="3"/>
  <c r="E9" i="3"/>
  <c r="F9" i="3"/>
  <c r="G9" i="3"/>
  <c r="H9" i="3"/>
  <c r="I9" i="3"/>
  <c r="J9" i="3"/>
  <c r="K9" i="3"/>
  <c r="L9" i="3"/>
  <c r="M9" i="3"/>
  <c r="N9" i="3"/>
  <c r="O9" i="3"/>
  <c r="P9" i="3"/>
  <c r="F7" i="3"/>
  <c r="G7" i="3"/>
  <c r="H7" i="3"/>
  <c r="I7" i="3"/>
  <c r="J7" i="3"/>
  <c r="K7" i="3"/>
  <c r="L7" i="3"/>
  <c r="M7" i="3"/>
  <c r="N7" i="3"/>
  <c r="O7" i="3"/>
  <c r="P7" i="3"/>
  <c r="E85" i="3"/>
  <c r="F85" i="3"/>
  <c r="G85" i="3"/>
  <c r="H85" i="3"/>
  <c r="I85" i="3"/>
  <c r="J85" i="3"/>
  <c r="K85" i="3"/>
  <c r="L85" i="3"/>
  <c r="M85" i="3"/>
  <c r="N85" i="3"/>
  <c r="O85" i="3"/>
  <c r="P85" i="3"/>
  <c r="E86" i="3"/>
  <c r="F86" i="3"/>
  <c r="G86" i="3"/>
  <c r="H86" i="3"/>
  <c r="I86" i="3"/>
  <c r="J86" i="3"/>
  <c r="K86" i="3"/>
  <c r="L86" i="3"/>
  <c r="M86" i="3"/>
  <c r="N86" i="3"/>
  <c r="O86" i="3"/>
  <c r="P86" i="3"/>
  <c r="E87" i="3"/>
  <c r="F87" i="3"/>
  <c r="G87" i="3"/>
  <c r="H87" i="3"/>
  <c r="I87" i="3"/>
  <c r="J87" i="3"/>
  <c r="K87" i="3"/>
  <c r="L87" i="3"/>
  <c r="M87" i="3"/>
  <c r="N87" i="3"/>
  <c r="O87" i="3"/>
  <c r="P87" i="3"/>
  <c r="E88" i="3"/>
  <c r="F88" i="3"/>
  <c r="G88" i="3"/>
  <c r="H88" i="3"/>
  <c r="I88" i="3"/>
  <c r="J88" i="3"/>
  <c r="K88" i="3"/>
  <c r="L88" i="3"/>
  <c r="M88" i="3"/>
  <c r="N88" i="3"/>
  <c r="O88" i="3"/>
  <c r="P88" i="3"/>
  <c r="F84" i="3"/>
  <c r="G84" i="3"/>
  <c r="H84" i="3"/>
  <c r="I84" i="3"/>
  <c r="J84" i="3"/>
  <c r="K84" i="3"/>
  <c r="L84" i="3"/>
  <c r="M84" i="3"/>
  <c r="N84" i="3"/>
  <c r="O84" i="3"/>
  <c r="P84" i="3"/>
  <c r="E84" i="3"/>
  <c r="F35" i="3" l="1"/>
  <c r="J5" i="3"/>
  <c r="N35" i="3"/>
  <c r="M35" i="3"/>
  <c r="J45" i="3"/>
  <c r="E45" i="3"/>
  <c r="P45" i="3"/>
  <c r="H45" i="3"/>
  <c r="O45" i="3"/>
  <c r="G45" i="3"/>
  <c r="N45" i="3"/>
  <c r="F45" i="3"/>
  <c r="I45" i="3"/>
  <c r="M45" i="3"/>
  <c r="L45" i="3"/>
  <c r="K45" i="3"/>
  <c r="L35" i="3"/>
  <c r="K35" i="3"/>
  <c r="J35" i="3"/>
  <c r="E35" i="3"/>
  <c r="I35" i="3"/>
  <c r="P35" i="3"/>
  <c r="H35" i="3"/>
  <c r="O35" i="3"/>
  <c r="G35" i="3"/>
  <c r="O5" i="3"/>
  <c r="G5" i="3"/>
  <c r="K5" i="3"/>
  <c r="P5" i="3"/>
  <c r="H5" i="3"/>
  <c r="N5" i="3"/>
  <c r="F5" i="3"/>
  <c r="M5" i="3"/>
  <c r="L5" i="3"/>
  <c r="I5" i="3"/>
  <c r="G13" i="19"/>
  <c r="L13" i="19"/>
  <c r="L15" i="19" s="1"/>
  <c r="Q13" i="19"/>
  <c r="Q15" i="19" s="1"/>
  <c r="O15" i="19"/>
  <c r="M15" i="19"/>
  <c r="J15" i="19"/>
  <c r="N15" i="19"/>
  <c r="F15" i="19"/>
  <c r="I15" i="19"/>
  <c r="H15" i="19"/>
  <c r="D15" i="19"/>
  <c r="P15" i="19"/>
  <c r="E15" i="19"/>
  <c r="K15" i="19"/>
  <c r="B15" i="19"/>
  <c r="E83" i="3"/>
  <c r="I83" i="3"/>
  <c r="M83" i="3"/>
  <c r="J83" i="3"/>
  <c r="L83" i="3"/>
  <c r="P83" i="3"/>
  <c r="H83" i="3"/>
  <c r="O83" i="3"/>
  <c r="G83" i="3"/>
  <c r="K83" i="3"/>
  <c r="N83" i="3"/>
  <c r="F83" i="3"/>
  <c r="J19" i="16"/>
  <c r="O19" i="16"/>
  <c r="K19" i="16"/>
  <c r="Q31" i="3"/>
  <c r="Q30" i="3"/>
  <c r="G19" i="16"/>
  <c r="N19" i="16"/>
  <c r="F19" i="16"/>
  <c r="M19" i="16"/>
  <c r="E19" i="16"/>
  <c r="H19" i="16"/>
  <c r="I19" i="16"/>
  <c r="L19" i="16"/>
  <c r="D19" i="16"/>
  <c r="E7" i="3"/>
  <c r="E5" i="3" s="1"/>
  <c r="N69" i="13"/>
  <c r="N70" i="13"/>
  <c r="N71" i="13"/>
  <c r="N72" i="13"/>
  <c r="N73" i="13"/>
  <c r="N74" i="13"/>
  <c r="N28" i="13"/>
  <c r="N29" i="13"/>
  <c r="N30" i="13"/>
  <c r="N31" i="13"/>
  <c r="G15" i="19" l="1"/>
  <c r="R15" i="19" s="1"/>
  <c r="R13" i="19"/>
  <c r="P19" i="16"/>
  <c r="I3" i="14"/>
  <c r="J3" i="14"/>
  <c r="K3" i="14"/>
  <c r="L3" i="14"/>
  <c r="M3" i="14"/>
  <c r="N3" i="14"/>
  <c r="O3" i="14"/>
  <c r="P3" i="14"/>
  <c r="Q3" i="14"/>
  <c r="R3" i="14"/>
  <c r="S3" i="14"/>
  <c r="I4" i="14"/>
  <c r="J4" i="14"/>
  <c r="K4" i="14"/>
  <c r="L4" i="14"/>
  <c r="M4" i="14"/>
  <c r="N4" i="14"/>
  <c r="O4" i="14"/>
  <c r="P4" i="14"/>
  <c r="Q4" i="14"/>
  <c r="R4" i="14"/>
  <c r="S4" i="14"/>
  <c r="I5" i="14"/>
  <c r="J5" i="14"/>
  <c r="K5" i="14"/>
  <c r="L5" i="14"/>
  <c r="M5" i="14"/>
  <c r="N5" i="14"/>
  <c r="O5" i="14"/>
  <c r="P5" i="14"/>
  <c r="Q5" i="14"/>
  <c r="R5" i="14"/>
  <c r="S5" i="14"/>
  <c r="I6" i="14"/>
  <c r="J6" i="14"/>
  <c r="K6" i="14"/>
  <c r="L6" i="14"/>
  <c r="M6" i="14"/>
  <c r="N6" i="14"/>
  <c r="O6" i="14"/>
  <c r="P6" i="14"/>
  <c r="Q6" i="14"/>
  <c r="R6" i="14"/>
  <c r="S6" i="14"/>
  <c r="I7" i="14"/>
  <c r="J7" i="14"/>
  <c r="K7" i="14"/>
  <c r="L7" i="14"/>
  <c r="M7" i="14"/>
  <c r="N7" i="14"/>
  <c r="O7" i="14"/>
  <c r="P7" i="14"/>
  <c r="Q7" i="14"/>
  <c r="R7" i="14"/>
  <c r="S7" i="14"/>
  <c r="I8" i="14"/>
  <c r="J8" i="14"/>
  <c r="K8" i="14"/>
  <c r="L8" i="14"/>
  <c r="M8" i="14"/>
  <c r="N8" i="14"/>
  <c r="O8" i="14"/>
  <c r="P8" i="14"/>
  <c r="Q8" i="14"/>
  <c r="R8" i="14"/>
  <c r="S8" i="14"/>
  <c r="I9" i="14"/>
  <c r="J9" i="14"/>
  <c r="K9" i="14"/>
  <c r="L9" i="14"/>
  <c r="M9" i="14"/>
  <c r="N9" i="14"/>
  <c r="O9" i="14"/>
  <c r="P9" i="14"/>
  <c r="Q9" i="14"/>
  <c r="R9" i="14"/>
  <c r="S9" i="14"/>
  <c r="I10" i="14"/>
  <c r="J10" i="14"/>
  <c r="K10" i="14"/>
  <c r="L10" i="14"/>
  <c r="M10" i="14"/>
  <c r="N10" i="14"/>
  <c r="O10" i="14"/>
  <c r="P10" i="14"/>
  <c r="Q10" i="14"/>
  <c r="R10" i="14"/>
  <c r="S10" i="14"/>
  <c r="I14" i="14"/>
  <c r="J14" i="14"/>
  <c r="K14" i="14"/>
  <c r="L14" i="14"/>
  <c r="M14" i="14"/>
  <c r="N14" i="14"/>
  <c r="O14" i="14"/>
  <c r="P14" i="14"/>
  <c r="Q14" i="14"/>
  <c r="R14" i="14"/>
  <c r="S14" i="14"/>
  <c r="I15" i="14"/>
  <c r="J15" i="14"/>
  <c r="K15" i="14"/>
  <c r="L15" i="14"/>
  <c r="M15" i="14"/>
  <c r="N15" i="14"/>
  <c r="O15" i="14"/>
  <c r="P15" i="14"/>
  <c r="Q15" i="14"/>
  <c r="R15" i="14"/>
  <c r="S15" i="14"/>
  <c r="I16" i="14"/>
  <c r="J16" i="14"/>
  <c r="K16" i="14"/>
  <c r="L16" i="14"/>
  <c r="M16" i="14"/>
  <c r="N16" i="14"/>
  <c r="O16" i="14"/>
  <c r="P16" i="14"/>
  <c r="Q16" i="14"/>
  <c r="R16" i="14"/>
  <c r="S16" i="14"/>
  <c r="I17" i="14"/>
  <c r="J17" i="14"/>
  <c r="K17" i="14"/>
  <c r="L17" i="14"/>
  <c r="M17" i="14"/>
  <c r="N17" i="14"/>
  <c r="O17" i="14"/>
  <c r="P17" i="14"/>
  <c r="Q17" i="14"/>
  <c r="R17" i="14"/>
  <c r="S17" i="14"/>
  <c r="I18" i="14"/>
  <c r="J18" i="14"/>
  <c r="K18" i="14"/>
  <c r="L18" i="14"/>
  <c r="M18" i="14"/>
  <c r="N18" i="14"/>
  <c r="O18" i="14"/>
  <c r="P18" i="14"/>
  <c r="Q18" i="14"/>
  <c r="R18" i="14"/>
  <c r="S18" i="14"/>
  <c r="I20" i="14"/>
  <c r="J20" i="14"/>
  <c r="K20" i="14"/>
  <c r="L20" i="14"/>
  <c r="M20" i="14"/>
  <c r="N20" i="14"/>
  <c r="O20" i="14"/>
  <c r="P20" i="14"/>
  <c r="Q20" i="14"/>
  <c r="R20" i="14"/>
  <c r="S20" i="14"/>
  <c r="I21" i="14"/>
  <c r="J21" i="14"/>
  <c r="K21" i="14"/>
  <c r="L21" i="14"/>
  <c r="M21" i="14"/>
  <c r="N21" i="14"/>
  <c r="O21" i="14"/>
  <c r="P21" i="14"/>
  <c r="Q21" i="14"/>
  <c r="R21" i="14"/>
  <c r="S21" i="14"/>
  <c r="I22" i="14"/>
  <c r="J22" i="14"/>
  <c r="K22" i="14"/>
  <c r="L22" i="14"/>
  <c r="M22" i="14"/>
  <c r="N22" i="14"/>
  <c r="O22" i="14"/>
  <c r="P22" i="14"/>
  <c r="Q22" i="14"/>
  <c r="R22" i="14"/>
  <c r="S22" i="14"/>
  <c r="I23" i="14"/>
  <c r="J23" i="14"/>
  <c r="K23" i="14"/>
  <c r="L23" i="14"/>
  <c r="M23" i="14"/>
  <c r="N23" i="14"/>
  <c r="O23" i="14"/>
  <c r="P23" i="14"/>
  <c r="Q23" i="14"/>
  <c r="R23" i="14"/>
  <c r="S23" i="14"/>
  <c r="I24" i="14"/>
  <c r="J24" i="14"/>
  <c r="K24" i="14"/>
  <c r="L24" i="14"/>
  <c r="M24" i="14"/>
  <c r="N24" i="14"/>
  <c r="O24" i="14"/>
  <c r="P24" i="14"/>
  <c r="Q24" i="14"/>
  <c r="R24" i="14"/>
  <c r="S24" i="14"/>
  <c r="I34" i="14"/>
  <c r="J34" i="14"/>
  <c r="K34" i="14"/>
  <c r="L34" i="14"/>
  <c r="M34" i="14"/>
  <c r="N34" i="14"/>
  <c r="O34" i="14"/>
  <c r="P34" i="14"/>
  <c r="Q34" i="14"/>
  <c r="R34" i="14"/>
  <c r="S34" i="14"/>
  <c r="I35" i="14"/>
  <c r="J35" i="14"/>
  <c r="K35" i="14"/>
  <c r="L35" i="14"/>
  <c r="M35" i="14"/>
  <c r="N35" i="14"/>
  <c r="O35" i="14"/>
  <c r="P35" i="14"/>
  <c r="Q35" i="14"/>
  <c r="R35" i="14"/>
  <c r="S35" i="14"/>
  <c r="I36" i="14"/>
  <c r="J36" i="14"/>
  <c r="K36" i="14"/>
  <c r="L36" i="14"/>
  <c r="M36" i="14"/>
  <c r="N36" i="14"/>
  <c r="O36" i="14"/>
  <c r="P36" i="14"/>
  <c r="Q36" i="14"/>
  <c r="R36" i="14"/>
  <c r="S36" i="14"/>
  <c r="I37" i="14"/>
  <c r="J37" i="14"/>
  <c r="K37" i="14"/>
  <c r="L37" i="14"/>
  <c r="M37" i="14"/>
  <c r="N37" i="14"/>
  <c r="O37" i="14"/>
  <c r="P37" i="14"/>
  <c r="Q37" i="14"/>
  <c r="R37" i="14"/>
  <c r="S37" i="14"/>
  <c r="I38" i="14"/>
  <c r="J38" i="14"/>
  <c r="K38" i="14"/>
  <c r="L38" i="14"/>
  <c r="M38" i="14"/>
  <c r="N38" i="14"/>
  <c r="O38" i="14"/>
  <c r="P38" i="14"/>
  <c r="Q38" i="14"/>
  <c r="R38" i="14"/>
  <c r="S38" i="14"/>
  <c r="I39" i="14"/>
  <c r="J39" i="14"/>
  <c r="K39" i="14"/>
  <c r="L39" i="14"/>
  <c r="M39" i="14"/>
  <c r="N39" i="14"/>
  <c r="O39" i="14"/>
  <c r="P39" i="14"/>
  <c r="Q39" i="14"/>
  <c r="R39" i="14"/>
  <c r="S39" i="14"/>
  <c r="I40" i="14"/>
  <c r="J40" i="14"/>
  <c r="K40" i="14"/>
  <c r="L40" i="14"/>
  <c r="M40" i="14"/>
  <c r="N40" i="14"/>
  <c r="O40" i="14"/>
  <c r="P40" i="14"/>
  <c r="Q40" i="14"/>
  <c r="R40" i="14"/>
  <c r="S40" i="14"/>
  <c r="I41" i="14"/>
  <c r="J41" i="14"/>
  <c r="K41" i="14"/>
  <c r="L41" i="14"/>
  <c r="M41" i="14"/>
  <c r="N41" i="14"/>
  <c r="O41" i="14"/>
  <c r="P41" i="14"/>
  <c r="Q41" i="14"/>
  <c r="R41" i="14"/>
  <c r="S41" i="14"/>
  <c r="I42" i="14"/>
  <c r="J42" i="14"/>
  <c r="K42" i="14"/>
  <c r="L42" i="14"/>
  <c r="M42" i="14"/>
  <c r="N42" i="14"/>
  <c r="O42" i="14"/>
  <c r="P42" i="14"/>
  <c r="Q42" i="14"/>
  <c r="R42" i="14"/>
  <c r="S42" i="14"/>
  <c r="I43" i="14"/>
  <c r="J43" i="14"/>
  <c r="K43" i="14"/>
  <c r="L43" i="14"/>
  <c r="M43" i="14"/>
  <c r="N43" i="14"/>
  <c r="O43" i="14"/>
  <c r="P43" i="14"/>
  <c r="Q43" i="14"/>
  <c r="R43" i="14"/>
  <c r="S43" i="14"/>
  <c r="I44" i="14"/>
  <c r="J44" i="14"/>
  <c r="K44" i="14"/>
  <c r="L44" i="14"/>
  <c r="M44" i="14"/>
  <c r="N44" i="14"/>
  <c r="O44" i="14"/>
  <c r="P44" i="14"/>
  <c r="Q44" i="14"/>
  <c r="R44" i="14"/>
  <c r="S44" i="14"/>
  <c r="I45" i="14"/>
  <c r="J45" i="14"/>
  <c r="K45" i="14"/>
  <c r="L45" i="14"/>
  <c r="M45" i="14"/>
  <c r="N45" i="14"/>
  <c r="O45" i="14"/>
  <c r="P45" i="14"/>
  <c r="Q45" i="14"/>
  <c r="R45" i="14"/>
  <c r="S45" i="14"/>
  <c r="I46" i="14"/>
  <c r="J46" i="14"/>
  <c r="K46" i="14"/>
  <c r="L46" i="14"/>
  <c r="M46" i="14"/>
  <c r="N46" i="14"/>
  <c r="O46" i="14"/>
  <c r="P46" i="14"/>
  <c r="Q46" i="14"/>
  <c r="R46" i="14"/>
  <c r="S46" i="14"/>
  <c r="I48" i="14"/>
  <c r="J48" i="14"/>
  <c r="K48" i="14"/>
  <c r="I49" i="14"/>
  <c r="J49" i="14"/>
  <c r="K49" i="14"/>
  <c r="L49" i="14"/>
  <c r="M49" i="14"/>
  <c r="N49" i="14"/>
  <c r="O49" i="14"/>
  <c r="P49" i="14"/>
  <c r="Q49" i="14"/>
  <c r="R49" i="14"/>
  <c r="S49" i="14"/>
  <c r="H49" i="14"/>
  <c r="H46" i="14"/>
  <c r="H45" i="14"/>
  <c r="H44" i="14"/>
  <c r="H43" i="14"/>
  <c r="H42" i="14"/>
  <c r="H41" i="14"/>
  <c r="H18" i="14"/>
  <c r="H14" i="14"/>
  <c r="H48" i="14"/>
  <c r="H40" i="14"/>
  <c r="H39" i="14"/>
  <c r="H38" i="14"/>
  <c r="H37" i="14"/>
  <c r="H36" i="14"/>
  <c r="H35" i="14"/>
  <c r="H34" i="14"/>
  <c r="H24" i="14"/>
  <c r="H23" i="14"/>
  <c r="H22" i="14"/>
  <c r="H21" i="14"/>
  <c r="H20" i="14"/>
  <c r="H17" i="14"/>
  <c r="H16" i="14"/>
  <c r="H15" i="14"/>
  <c r="H10" i="14"/>
  <c r="H9" i="14"/>
  <c r="H8" i="14"/>
  <c r="H7" i="14"/>
  <c r="H6" i="14"/>
  <c r="H5" i="14"/>
  <c r="H4" i="14"/>
  <c r="H3" i="14"/>
  <c r="E14" i="14"/>
  <c r="F14" i="14" s="1"/>
  <c r="V233" i="14" s="1"/>
  <c r="V14" i="14" s="1"/>
  <c r="J50" i="12" s="1"/>
  <c r="M168" i="14"/>
  <c r="M48" i="14" s="1"/>
  <c r="N168" i="14"/>
  <c r="N48" i="14" s="1"/>
  <c r="O168" i="14"/>
  <c r="O48" i="14" s="1"/>
  <c r="P168" i="14"/>
  <c r="P48" i="14" s="1"/>
  <c r="Q168" i="14"/>
  <c r="Q48" i="14" s="1"/>
  <c r="R168" i="14"/>
  <c r="R48" i="14" s="1"/>
  <c r="S168" i="14"/>
  <c r="S48" i="14" s="1"/>
  <c r="L168" i="14"/>
  <c r="E48" i="14"/>
  <c r="E49" i="14"/>
  <c r="F49" i="14" s="1"/>
  <c r="AC167" i="14" s="1"/>
  <c r="L48" i="14" l="1"/>
  <c r="L51" i="14" s="1"/>
  <c r="G168" i="14"/>
  <c r="AD233" i="14"/>
  <c r="AD14" i="14" s="1"/>
  <c r="R50" i="12" s="1"/>
  <c r="AA233" i="14"/>
  <c r="AA14" i="14" s="1"/>
  <c r="O50" i="12" s="1"/>
  <c r="AB233" i="14"/>
  <c r="AB14" i="14" s="1"/>
  <c r="P50" i="12" s="1"/>
  <c r="AC233" i="14"/>
  <c r="AC14" i="14" s="1"/>
  <c r="Q50" i="12" s="1"/>
  <c r="AB167" i="14"/>
  <c r="Z233" i="14"/>
  <c r="Z14" i="14" s="1"/>
  <c r="N50" i="12" s="1"/>
  <c r="U233" i="14"/>
  <c r="U14" i="14" s="1"/>
  <c r="I50" i="12" s="1"/>
  <c r="AC265" i="14"/>
  <c r="T233" i="14"/>
  <c r="I51" i="14"/>
  <c r="H51" i="14"/>
  <c r="O51" i="14"/>
  <c r="N51" i="14"/>
  <c r="M51" i="14"/>
  <c r="S51" i="14"/>
  <c r="K51" i="14"/>
  <c r="R51" i="14"/>
  <c r="J51" i="14"/>
  <c r="P51" i="14"/>
  <c r="Q51" i="14"/>
  <c r="AA265" i="14"/>
  <c r="AA167" i="14"/>
  <c r="Z167" i="14"/>
  <c r="AE57" i="14"/>
  <c r="Z232" i="14"/>
  <c r="W135" i="14"/>
  <c r="V57" i="14"/>
  <c r="AE213" i="14"/>
  <c r="AD103" i="14"/>
  <c r="Y265" i="14"/>
  <c r="AC232" i="14"/>
  <c r="Y135" i="14"/>
  <c r="W57" i="14"/>
  <c r="AC213" i="14"/>
  <c r="X103" i="14"/>
  <c r="G49" i="14"/>
  <c r="F43" i="12" s="1"/>
  <c r="V232" i="14"/>
  <c r="AC135" i="14"/>
  <c r="AA57" i="14"/>
  <c r="U103" i="14"/>
  <c r="AC103" i="14"/>
  <c r="Z135" i="14"/>
  <c r="W167" i="14"/>
  <c r="AE167" i="14"/>
  <c r="AB213" i="14"/>
  <c r="Y232" i="14"/>
  <c r="V265" i="14"/>
  <c r="AD265" i="14"/>
  <c r="T232" i="14"/>
  <c r="U57" i="14"/>
  <c r="AC57" i="14"/>
  <c r="W103" i="14"/>
  <c r="AE103" i="14"/>
  <c r="AB135" i="14"/>
  <c r="Y167" i="14"/>
  <c r="V213" i="14"/>
  <c r="AD213" i="14"/>
  <c r="AA232" i="14"/>
  <c r="X265" i="14"/>
  <c r="T265" i="14"/>
  <c r="Y57" i="14"/>
  <c r="Y103" i="14"/>
  <c r="X135" i="14"/>
  <c r="X167" i="14"/>
  <c r="X213" i="14"/>
  <c r="W232" i="14"/>
  <c r="W265" i="14"/>
  <c r="T103" i="14"/>
  <c r="Z57" i="14"/>
  <c r="AB103" i="14"/>
  <c r="AD135" i="14"/>
  <c r="AD167" i="14"/>
  <c r="U232" i="14"/>
  <c r="U265" i="14"/>
  <c r="T135" i="14"/>
  <c r="AD57" i="14"/>
  <c r="U135" i="14"/>
  <c r="U167" i="14"/>
  <c r="W213" i="14"/>
  <c r="X232" i="14"/>
  <c r="Z265" i="14"/>
  <c r="T213" i="14"/>
  <c r="AB57" i="14"/>
  <c r="V103" i="14"/>
  <c r="AA135" i="14"/>
  <c r="U213" i="14"/>
  <c r="AB232" i="14"/>
  <c r="AE265" i="14"/>
  <c r="Z103" i="14"/>
  <c r="AE135" i="14"/>
  <c r="Z213" i="14"/>
  <c r="AD232" i="14"/>
  <c r="T167" i="14"/>
  <c r="AA103" i="14"/>
  <c r="V167" i="14"/>
  <c r="AA213" i="14"/>
  <c r="AE232" i="14"/>
  <c r="T57" i="14"/>
  <c r="W233" i="14"/>
  <c r="AE233" i="14"/>
  <c r="AE14" i="14" s="1"/>
  <c r="S50" i="12" s="1"/>
  <c r="Y233" i="14"/>
  <c r="Y14" i="14" s="1"/>
  <c r="M50" i="12" s="1"/>
  <c r="X233" i="14"/>
  <c r="X14" i="14" s="1"/>
  <c r="L50" i="12" s="1"/>
  <c r="AB265" i="14"/>
  <c r="Y213" i="14"/>
  <c r="V135" i="14"/>
  <c r="X57" i="14"/>
  <c r="G14" i="14"/>
  <c r="F18" i="14"/>
  <c r="G18" i="14"/>
  <c r="F6" i="12" s="1"/>
  <c r="D3" i="18"/>
  <c r="E3" i="18"/>
  <c r="F3" i="18"/>
  <c r="G3" i="18"/>
  <c r="H3" i="18"/>
  <c r="I3" i="18"/>
  <c r="J3" i="18"/>
  <c r="K3" i="18"/>
  <c r="L3" i="18"/>
  <c r="M3" i="18"/>
  <c r="N3" i="18"/>
  <c r="C3" i="18"/>
  <c r="K18" i="18" l="1"/>
  <c r="K10" i="18"/>
  <c r="N18" i="18"/>
  <c r="N10" i="18"/>
  <c r="F18" i="18"/>
  <c r="H56" i="3" s="1"/>
  <c r="H55" i="3" s="1"/>
  <c r="F10" i="18"/>
  <c r="F21" i="18" s="1"/>
  <c r="G14" i="16" s="1"/>
  <c r="I18" i="18"/>
  <c r="K56" i="3" s="1"/>
  <c r="K55" i="3" s="1"/>
  <c r="I10" i="18"/>
  <c r="C18" i="18"/>
  <c r="M18" i="18"/>
  <c r="M10" i="18"/>
  <c r="E18" i="18"/>
  <c r="G56" i="3" s="1"/>
  <c r="G55" i="3" s="1"/>
  <c r="E10" i="18"/>
  <c r="J18" i="18"/>
  <c r="L56" i="3" s="1"/>
  <c r="L55" i="3" s="1"/>
  <c r="J10" i="18"/>
  <c r="H18" i="18"/>
  <c r="J56" i="3" s="1"/>
  <c r="J55" i="3" s="1"/>
  <c r="H10" i="18"/>
  <c r="G18" i="18"/>
  <c r="I56" i="3" s="1"/>
  <c r="G10" i="18"/>
  <c r="L18" i="18"/>
  <c r="N56" i="3" s="1"/>
  <c r="N55" i="3" s="1"/>
  <c r="L10" i="18"/>
  <c r="D18" i="18"/>
  <c r="F56" i="3" s="1"/>
  <c r="F55" i="3" s="1"/>
  <c r="D10" i="18"/>
  <c r="D21" i="18" s="1"/>
  <c r="E14" i="16" s="1"/>
  <c r="P56" i="3"/>
  <c r="P55" i="3" s="1"/>
  <c r="O56" i="3"/>
  <c r="O55" i="3" s="1"/>
  <c r="M16" i="3"/>
  <c r="M15" i="3" s="1"/>
  <c r="M56" i="3"/>
  <c r="M55" i="3" s="1"/>
  <c r="AF167" i="14"/>
  <c r="AF57" i="14"/>
  <c r="AF213" i="14"/>
  <c r="AF103" i="14"/>
  <c r="AF265" i="14"/>
  <c r="AF135" i="14"/>
  <c r="AF232" i="14"/>
  <c r="T14" i="14"/>
  <c r="H50" i="12" s="1"/>
  <c r="AF233" i="14"/>
  <c r="AC49" i="14"/>
  <c r="Q43" i="12" s="1"/>
  <c r="T49" i="14"/>
  <c r="AB49" i="14"/>
  <c r="P43" i="12" s="1"/>
  <c r="Y49" i="14"/>
  <c r="M43" i="12" s="1"/>
  <c r="AE49" i="14"/>
  <c r="S43" i="12" s="1"/>
  <c r="AA49" i="14"/>
  <c r="O43" i="12" s="1"/>
  <c r="AD49" i="14"/>
  <c r="R43" i="12" s="1"/>
  <c r="X49" i="14"/>
  <c r="L43" i="12" s="1"/>
  <c r="U49" i="14"/>
  <c r="I43" i="12" s="1"/>
  <c r="Z49" i="14"/>
  <c r="N43" i="12" s="1"/>
  <c r="W49" i="14"/>
  <c r="K43" i="12" s="1"/>
  <c r="V49" i="14"/>
  <c r="J43" i="12" s="1"/>
  <c r="W14" i="14"/>
  <c r="AB63" i="14"/>
  <c r="Y89" i="14"/>
  <c r="V121" i="14"/>
  <c r="AD121" i="14"/>
  <c r="AA153" i="14"/>
  <c r="X186" i="14"/>
  <c r="U218" i="14"/>
  <c r="AC218" i="14"/>
  <c r="Z251" i="14"/>
  <c r="T89" i="14"/>
  <c r="V63" i="14"/>
  <c r="AD63" i="14"/>
  <c r="AA89" i="14"/>
  <c r="X121" i="14"/>
  <c r="U153" i="14"/>
  <c r="AC153" i="14"/>
  <c r="Z186" i="14"/>
  <c r="W218" i="14"/>
  <c r="AE218" i="14"/>
  <c r="AB251" i="14"/>
  <c r="T153" i="14"/>
  <c r="X63" i="14"/>
  <c r="W89" i="14"/>
  <c r="W121" i="14"/>
  <c r="W153" i="14"/>
  <c r="V186" i="14"/>
  <c r="V218" i="14"/>
  <c r="V251" i="14"/>
  <c r="T251" i="14"/>
  <c r="Y63" i="14"/>
  <c r="X89" i="14"/>
  <c r="Y121" i="14"/>
  <c r="X153" i="14"/>
  <c r="W186" i="14"/>
  <c r="X218" i="14"/>
  <c r="W251" i="14"/>
  <c r="T63" i="14"/>
  <c r="AA63" i="14"/>
  <c r="AB89" i="14"/>
  <c r="AA121" i="14"/>
  <c r="Z153" i="14"/>
  <c r="AA186" i="14"/>
  <c r="Z218" i="14"/>
  <c r="Y251" i="14"/>
  <c r="T186" i="14"/>
  <c r="W63" i="14"/>
  <c r="AD89" i="14"/>
  <c r="Y153" i="14"/>
  <c r="AD186" i="14"/>
  <c r="AA251" i="14"/>
  <c r="Z63" i="14"/>
  <c r="AE89" i="14"/>
  <c r="AB153" i="14"/>
  <c r="AE186" i="14"/>
  <c r="AC251" i="14"/>
  <c r="AC63" i="14"/>
  <c r="U121" i="14"/>
  <c r="AD153" i="14"/>
  <c r="Y218" i="14"/>
  <c r="AD251" i="14"/>
  <c r="AE121" i="14"/>
  <c r="U251" i="14"/>
  <c r="U63" i="14"/>
  <c r="V153" i="14"/>
  <c r="AC186" i="14"/>
  <c r="X251" i="14"/>
  <c r="AE63" i="14"/>
  <c r="Z121" i="14"/>
  <c r="AE153" i="14"/>
  <c r="AA218" i="14"/>
  <c r="AE251" i="14"/>
  <c r="Z89" i="14"/>
  <c r="AB186" i="14"/>
  <c r="U89" i="14"/>
  <c r="AB121" i="14"/>
  <c r="U186" i="14"/>
  <c r="AB218" i="14"/>
  <c r="T121" i="14"/>
  <c r="AC89" i="14"/>
  <c r="V89" i="14"/>
  <c r="AC121" i="14"/>
  <c r="Y186" i="14"/>
  <c r="AD218" i="14"/>
  <c r="T218" i="14"/>
  <c r="I21" i="18" l="1"/>
  <c r="J14" i="16" s="1"/>
  <c r="J21" i="18"/>
  <c r="K14" i="16" s="1"/>
  <c r="E21" i="18"/>
  <c r="F14" i="16" s="1"/>
  <c r="N21" i="18"/>
  <c r="O14" i="16" s="1"/>
  <c r="L21" i="18"/>
  <c r="M14" i="16" s="1"/>
  <c r="M21" i="18"/>
  <c r="N14" i="16" s="1"/>
  <c r="G21" i="18"/>
  <c r="H14" i="16" s="1"/>
  <c r="H21" i="18"/>
  <c r="I14" i="16" s="1"/>
  <c r="E56" i="3"/>
  <c r="E55" i="3" s="1"/>
  <c r="C21" i="18"/>
  <c r="D14" i="16" s="1"/>
  <c r="F16" i="3"/>
  <c r="F15" i="3" s="1"/>
  <c r="K16" i="3"/>
  <c r="K15" i="3" s="1"/>
  <c r="N16" i="3"/>
  <c r="N15" i="3" s="1"/>
  <c r="G16" i="3"/>
  <c r="G15" i="3" s="1"/>
  <c r="H16" i="3"/>
  <c r="H15" i="3" s="1"/>
  <c r="O16" i="3"/>
  <c r="O15" i="3" s="1"/>
  <c r="I16" i="3"/>
  <c r="I15" i="3" s="1"/>
  <c r="P16" i="3"/>
  <c r="P15" i="3" s="1"/>
  <c r="L16" i="3"/>
  <c r="L15" i="3" s="1"/>
  <c r="J16" i="3"/>
  <c r="J15" i="3" s="1"/>
  <c r="O10" i="18"/>
  <c r="E16" i="3"/>
  <c r="E15" i="3" s="1"/>
  <c r="Q56" i="3"/>
  <c r="I55" i="3"/>
  <c r="O18" i="18"/>
  <c r="E26" i="3"/>
  <c r="K21" i="18"/>
  <c r="L14" i="16" s="1"/>
  <c r="AF121" i="14"/>
  <c r="AF218" i="14"/>
  <c r="AF186" i="14"/>
  <c r="AF63" i="14"/>
  <c r="AF251" i="14"/>
  <c r="AF153" i="14"/>
  <c r="AF89" i="14"/>
  <c r="K50" i="12"/>
  <c r="T50" i="12" s="1"/>
  <c r="AF14" i="14"/>
  <c r="H43" i="12"/>
  <c r="T43" i="12" s="1"/>
  <c r="AF49" i="14"/>
  <c r="AA18" i="14"/>
  <c r="O6" i="12" s="1"/>
  <c r="AD18" i="14"/>
  <c r="R6" i="12" s="1"/>
  <c r="AC18" i="14"/>
  <c r="Q6" i="12" s="1"/>
  <c r="AB18" i="14"/>
  <c r="P6" i="12" s="1"/>
  <c r="Z18" i="14"/>
  <c r="N6" i="12" s="1"/>
  <c r="V18" i="14"/>
  <c r="J6" i="12" s="1"/>
  <c r="AE18" i="14"/>
  <c r="S6" i="12" s="1"/>
  <c r="W18" i="14"/>
  <c r="K6" i="12" s="1"/>
  <c r="U18" i="14"/>
  <c r="I6" i="12" s="1"/>
  <c r="X18" i="14"/>
  <c r="L6" i="12" s="1"/>
  <c r="Y18" i="14"/>
  <c r="M6" i="12" s="1"/>
  <c r="T18" i="14"/>
  <c r="Q16" i="3" l="1"/>
  <c r="F20" i="18"/>
  <c r="H26" i="3"/>
  <c r="E66" i="3"/>
  <c r="E93" i="3" s="1"/>
  <c r="D13" i="16" s="1"/>
  <c r="E25" i="3"/>
  <c r="D20" i="18"/>
  <c r="F26" i="3"/>
  <c r="E20" i="18"/>
  <c r="G26" i="3"/>
  <c r="N20" i="18"/>
  <c r="P26" i="3"/>
  <c r="L20" i="18"/>
  <c r="N26" i="3"/>
  <c r="M20" i="18"/>
  <c r="O26" i="3"/>
  <c r="J20" i="18"/>
  <c r="L26" i="3"/>
  <c r="H20" i="18"/>
  <c r="J26" i="3"/>
  <c r="I20" i="18"/>
  <c r="K26" i="3"/>
  <c r="G20" i="18"/>
  <c r="I26" i="3"/>
  <c r="C20" i="18"/>
  <c r="G50" i="12"/>
  <c r="G43" i="12"/>
  <c r="H6" i="12"/>
  <c r="AF18" i="14"/>
  <c r="G66" i="3" l="1"/>
  <c r="G93" i="3" s="1"/>
  <c r="F13" i="16" s="1"/>
  <c r="G25" i="3"/>
  <c r="F66" i="3"/>
  <c r="F93" i="3" s="1"/>
  <c r="E13" i="16" s="1"/>
  <c r="F25" i="3"/>
  <c r="H66" i="3"/>
  <c r="H93" i="3" s="1"/>
  <c r="G13" i="16" s="1"/>
  <c r="H25" i="3"/>
  <c r="O66" i="3"/>
  <c r="O93" i="3" s="1"/>
  <c r="N13" i="16" s="1"/>
  <c r="O25" i="3"/>
  <c r="N66" i="3"/>
  <c r="N93" i="3" s="1"/>
  <c r="M13" i="16" s="1"/>
  <c r="N25" i="3"/>
  <c r="P66" i="3"/>
  <c r="P93" i="3" s="1"/>
  <c r="O13" i="16" s="1"/>
  <c r="P25" i="3"/>
  <c r="K20" i="18"/>
  <c r="M26" i="3"/>
  <c r="Q26" i="3" s="1"/>
  <c r="O12" i="18"/>
  <c r="O21" i="18" s="1"/>
  <c r="J66" i="3"/>
  <c r="J93" i="3" s="1"/>
  <c r="I13" i="16" s="1"/>
  <c r="J25" i="3"/>
  <c r="K66" i="3"/>
  <c r="K93" i="3" s="1"/>
  <c r="J13" i="16" s="1"/>
  <c r="K25" i="3"/>
  <c r="L66" i="3"/>
  <c r="L93" i="3" s="1"/>
  <c r="K13" i="16" s="1"/>
  <c r="L25" i="3"/>
  <c r="I66" i="3"/>
  <c r="I93" i="3" s="1"/>
  <c r="I25" i="3"/>
  <c r="T6" i="12"/>
  <c r="G6" i="12"/>
  <c r="K5" i="19" l="1"/>
  <c r="P5" i="19"/>
  <c r="F5" i="19"/>
  <c r="I5" i="19"/>
  <c r="H5" i="19"/>
  <c r="E5" i="19"/>
  <c r="O5" i="19"/>
  <c r="J5" i="19"/>
  <c r="D5" i="19"/>
  <c r="M15" i="16"/>
  <c r="F15" i="16"/>
  <c r="N5" i="19"/>
  <c r="I15" i="16"/>
  <c r="G15" i="16"/>
  <c r="K15" i="16"/>
  <c r="N15" i="16"/>
  <c r="O15" i="16"/>
  <c r="E15" i="16"/>
  <c r="J15" i="16"/>
  <c r="D15" i="16"/>
  <c r="C5" i="19"/>
  <c r="O20" i="18"/>
  <c r="M66" i="3"/>
  <c r="M93" i="3" s="1"/>
  <c r="L13" i="16" s="1"/>
  <c r="M25" i="3"/>
  <c r="H13" i="16"/>
  <c r="H15" i="16" s="1"/>
  <c r="T8" i="12"/>
  <c r="T28" i="12"/>
  <c r="T35" i="12"/>
  <c r="T37" i="12"/>
  <c r="T38" i="12"/>
  <c r="T60" i="12"/>
  <c r="T2" i="12"/>
  <c r="G8" i="12"/>
  <c r="G28" i="12"/>
  <c r="G35" i="12"/>
  <c r="G37" i="12"/>
  <c r="G38" i="12"/>
  <c r="G60" i="12"/>
  <c r="G2" i="12"/>
  <c r="I33" i="12"/>
  <c r="E18" i="16" s="1"/>
  <c r="J33" i="12"/>
  <c r="F18" i="16" s="1"/>
  <c r="K33" i="12"/>
  <c r="G18" i="16" s="1"/>
  <c r="L33" i="12"/>
  <c r="H18" i="16" s="1"/>
  <c r="M33" i="12"/>
  <c r="I18" i="16" s="1"/>
  <c r="N33" i="12"/>
  <c r="J18" i="16" s="1"/>
  <c r="O33" i="12"/>
  <c r="K18" i="16" s="1"/>
  <c r="P33" i="12"/>
  <c r="L18" i="16" s="1"/>
  <c r="Q33" i="12"/>
  <c r="M18" i="16" s="1"/>
  <c r="R33" i="12"/>
  <c r="N18" i="16" s="1"/>
  <c r="S33" i="12"/>
  <c r="O18" i="16" s="1"/>
  <c r="H33" i="12"/>
  <c r="D18" i="16" s="1"/>
  <c r="L32" i="12"/>
  <c r="M32" i="12"/>
  <c r="N32" i="12"/>
  <c r="O32" i="12"/>
  <c r="P32" i="12"/>
  <c r="Q32" i="12"/>
  <c r="R32" i="12"/>
  <c r="S32" i="12"/>
  <c r="I32" i="12"/>
  <c r="J32" i="12"/>
  <c r="K32" i="12"/>
  <c r="H32" i="12"/>
  <c r="G5" i="19" l="1"/>
  <c r="P14" i="16"/>
  <c r="B5" i="19" s="1"/>
  <c r="M5" i="19"/>
  <c r="Q5" i="19" s="1"/>
  <c r="L5" i="19"/>
  <c r="L15" i="16"/>
  <c r="Q93" i="3"/>
  <c r="T31" i="12"/>
  <c r="T33" i="12"/>
  <c r="T32" i="12"/>
  <c r="G33" i="12"/>
  <c r="G32" i="12"/>
  <c r="G31" i="12"/>
  <c r="K26" i="12"/>
  <c r="K27" i="12"/>
  <c r="I26" i="12"/>
  <c r="J26" i="12"/>
  <c r="I27" i="12"/>
  <c r="J27" i="12"/>
  <c r="H27" i="12"/>
  <c r="H26" i="12"/>
  <c r="R5" i="19" l="1"/>
  <c r="G26" i="12"/>
  <c r="T26" i="12"/>
  <c r="T27" i="12"/>
  <c r="G27" i="12"/>
  <c r="G43" i="16" l="1"/>
  <c r="H43" i="16"/>
  <c r="I43" i="16"/>
  <c r="J43" i="16"/>
  <c r="K43" i="16"/>
  <c r="L43" i="16"/>
  <c r="M43" i="16"/>
  <c r="N43" i="16"/>
  <c r="O43" i="16"/>
  <c r="E43" i="16"/>
  <c r="F43" i="16"/>
  <c r="D43" i="16"/>
  <c r="K24" i="12"/>
  <c r="L24" i="12"/>
  <c r="M24" i="12"/>
  <c r="N24" i="12"/>
  <c r="O24" i="12"/>
  <c r="P24" i="12"/>
  <c r="Q24" i="12"/>
  <c r="R24" i="12"/>
  <c r="S24" i="12"/>
  <c r="I24" i="12"/>
  <c r="J24" i="12"/>
  <c r="H24" i="12"/>
  <c r="G54" i="14"/>
  <c r="G41" i="14"/>
  <c r="F16" i="12" s="1"/>
  <c r="G42" i="14"/>
  <c r="F17" i="12" s="1"/>
  <c r="G43" i="14"/>
  <c r="F18" i="12" s="1"/>
  <c r="G44" i="14"/>
  <c r="F19" i="12" s="1"/>
  <c r="G45" i="14"/>
  <c r="F20" i="12" s="1"/>
  <c r="G46" i="14"/>
  <c r="F21" i="12" s="1"/>
  <c r="E9" i="14"/>
  <c r="E10" i="14"/>
  <c r="E8" i="14"/>
  <c r="F44" i="14"/>
  <c r="F45" i="14"/>
  <c r="F46" i="14"/>
  <c r="F43" i="14"/>
  <c r="E7" i="14"/>
  <c r="E6" i="14"/>
  <c r="E41" i="14"/>
  <c r="F41" i="14" s="1"/>
  <c r="E42" i="14"/>
  <c r="F42" i="14" s="1"/>
  <c r="E39" i="14"/>
  <c r="E37" i="14"/>
  <c r="E36" i="14"/>
  <c r="E22" i="14"/>
  <c r="F37" i="16" l="1"/>
  <c r="F30" i="16" s="1"/>
  <c r="D37" i="16"/>
  <c r="J37" i="16"/>
  <c r="J30" i="16" s="1"/>
  <c r="I37" i="16"/>
  <c r="I30" i="16" s="1"/>
  <c r="G37" i="16"/>
  <c r="G30" i="16" s="1"/>
  <c r="N37" i="16"/>
  <c r="N30" i="16" s="1"/>
  <c r="M37" i="16"/>
  <c r="M30" i="16" s="1"/>
  <c r="L37" i="16"/>
  <c r="L30" i="16" s="1"/>
  <c r="E37" i="16"/>
  <c r="E30" i="16" s="1"/>
  <c r="H37" i="16"/>
  <c r="H30" i="16" s="1"/>
  <c r="O37" i="16"/>
  <c r="O30" i="16" s="1"/>
  <c r="K37" i="16"/>
  <c r="K30" i="16" s="1"/>
  <c r="P43" i="16"/>
  <c r="AA83" i="14"/>
  <c r="X115" i="14"/>
  <c r="U147" i="14"/>
  <c r="AC147" i="14"/>
  <c r="Z180" i="14"/>
  <c r="W211" i="14"/>
  <c r="AE211" i="14"/>
  <c r="AB245" i="14"/>
  <c r="Y277" i="14"/>
  <c r="T115" i="14"/>
  <c r="U83" i="14"/>
  <c r="AC83" i="14"/>
  <c r="Z115" i="14"/>
  <c r="W147" i="14"/>
  <c r="AE147" i="14"/>
  <c r="AB180" i="14"/>
  <c r="Y211" i="14"/>
  <c r="V245" i="14"/>
  <c r="AD245" i="14"/>
  <c r="AA277" i="14"/>
  <c r="T180" i="14"/>
  <c r="AE83" i="14"/>
  <c r="AD115" i="14"/>
  <c r="AD147" i="14"/>
  <c r="AD180" i="14"/>
  <c r="AC211" i="14"/>
  <c r="AC245" i="14"/>
  <c r="AC277" i="14"/>
  <c r="W83" i="14"/>
  <c r="V115" i="14"/>
  <c r="V147" i="14"/>
  <c r="V180" i="14"/>
  <c r="U211" i="14"/>
  <c r="U245" i="14"/>
  <c r="U277" i="14"/>
  <c r="AE277" i="14"/>
  <c r="Y83" i="14"/>
  <c r="AB115" i="14"/>
  <c r="U180" i="14"/>
  <c r="X211" i="14"/>
  <c r="Z245" i="14"/>
  <c r="AD277" i="14"/>
  <c r="AB83" i="14"/>
  <c r="AE115" i="14"/>
  <c r="X180" i="14"/>
  <c r="AA211" i="14"/>
  <c r="AE245" i="14"/>
  <c r="T147" i="14"/>
  <c r="V83" i="14"/>
  <c r="AC115" i="14"/>
  <c r="AA180" i="14"/>
  <c r="X245" i="14"/>
  <c r="T83" i="14"/>
  <c r="Z83" i="14"/>
  <c r="Y147" i="14"/>
  <c r="AE180" i="14"/>
  <c r="AA245" i="14"/>
  <c r="T245" i="14"/>
  <c r="AD83" i="14"/>
  <c r="Z147" i="14"/>
  <c r="V211" i="14"/>
  <c r="V277" i="14"/>
  <c r="T277" i="14"/>
  <c r="AB147" i="14"/>
  <c r="Y245" i="14"/>
  <c r="X83" i="14"/>
  <c r="W180" i="14"/>
  <c r="W277" i="14"/>
  <c r="U115" i="14"/>
  <c r="Y180" i="14"/>
  <c r="X277" i="14"/>
  <c r="W115" i="14"/>
  <c r="AC180" i="14"/>
  <c r="Z277" i="14"/>
  <c r="X147" i="14"/>
  <c r="AA147" i="14"/>
  <c r="Z211" i="14"/>
  <c r="Y115" i="14"/>
  <c r="AB277" i="14"/>
  <c r="AA115" i="14"/>
  <c r="T211" i="14"/>
  <c r="AB211" i="14"/>
  <c r="AD211" i="14"/>
  <c r="W245" i="14"/>
  <c r="X68" i="14"/>
  <c r="U97" i="14"/>
  <c r="AC97" i="14"/>
  <c r="Z129" i="14"/>
  <c r="W161" i="14"/>
  <c r="AE161" i="14"/>
  <c r="AB194" i="14"/>
  <c r="Y226" i="14"/>
  <c r="V259" i="14"/>
  <c r="AD259" i="14"/>
  <c r="Z68" i="14"/>
  <c r="W97" i="14"/>
  <c r="AE97" i="14"/>
  <c r="AB129" i="14"/>
  <c r="Y161" i="14"/>
  <c r="V194" i="14"/>
  <c r="AD194" i="14"/>
  <c r="AA226" i="14"/>
  <c r="X259" i="14"/>
  <c r="Y68" i="14"/>
  <c r="Y97" i="14"/>
  <c r="X129" i="14"/>
  <c r="X161" i="14"/>
  <c r="X194" i="14"/>
  <c r="W226" i="14"/>
  <c r="W259" i="14"/>
  <c r="AC68" i="14"/>
  <c r="AD97" i="14"/>
  <c r="AE129" i="14"/>
  <c r="U194" i="14"/>
  <c r="V226" i="14"/>
  <c r="Y259" i="14"/>
  <c r="T259" i="14"/>
  <c r="AE68" i="14"/>
  <c r="V129" i="14"/>
  <c r="V161" i="14"/>
  <c r="Y194" i="14"/>
  <c r="Z226" i="14"/>
  <c r="AA259" i="14"/>
  <c r="T68" i="14"/>
  <c r="X97" i="14"/>
  <c r="AC129" i="14"/>
  <c r="W194" i="14"/>
  <c r="AC226" i="14"/>
  <c r="T129" i="14"/>
  <c r="V68" i="14"/>
  <c r="AA97" i="14"/>
  <c r="U161" i="14"/>
  <c r="AA194" i="14"/>
  <c r="AE226" i="14"/>
  <c r="T194" i="14"/>
  <c r="W68" i="14"/>
  <c r="AB97" i="14"/>
  <c r="Z161" i="14"/>
  <c r="AC194" i="14"/>
  <c r="U259" i="14"/>
  <c r="T226" i="14"/>
  <c r="AA68" i="14"/>
  <c r="AA129" i="14"/>
  <c r="U226" i="14"/>
  <c r="AB68" i="14"/>
  <c r="AD129" i="14"/>
  <c r="X226" i="14"/>
  <c r="AD68" i="14"/>
  <c r="AA161" i="14"/>
  <c r="AB226" i="14"/>
  <c r="T97" i="14"/>
  <c r="V97" i="14"/>
  <c r="AB161" i="14"/>
  <c r="AD226" i="14"/>
  <c r="T161" i="14"/>
  <c r="W129" i="14"/>
  <c r="AC259" i="14"/>
  <c r="Y129" i="14"/>
  <c r="AE259" i="14"/>
  <c r="AC161" i="14"/>
  <c r="Z97" i="14"/>
  <c r="Z259" i="14"/>
  <c r="U129" i="14"/>
  <c r="AB259" i="14"/>
  <c r="AD161" i="14"/>
  <c r="Z194" i="14"/>
  <c r="U68" i="14"/>
  <c r="AE194" i="14"/>
  <c r="X71" i="14"/>
  <c r="U100" i="14"/>
  <c r="AC100" i="14"/>
  <c r="Z132" i="14"/>
  <c r="W164" i="14"/>
  <c r="AE164" i="14"/>
  <c r="AB197" i="14"/>
  <c r="Y229" i="14"/>
  <c r="V262" i="14"/>
  <c r="W71" i="14"/>
  <c r="V100" i="14"/>
  <c r="AE100" i="14"/>
  <c r="AC132" i="14"/>
  <c r="AA164" i="14"/>
  <c r="Y197" i="14"/>
  <c r="W229" i="14"/>
  <c r="U262" i="14"/>
  <c r="AD262" i="14"/>
  <c r="T262" i="14"/>
  <c r="Z71" i="14"/>
  <c r="X100" i="14"/>
  <c r="V132" i="14"/>
  <c r="AE132" i="14"/>
  <c r="AC164" i="14"/>
  <c r="AA197" i="14"/>
  <c r="Z229" i="14"/>
  <c r="X262" i="14"/>
  <c r="T71" i="14"/>
  <c r="AD71" i="14"/>
  <c r="U132" i="14"/>
  <c r="V164" i="14"/>
  <c r="W197" i="14"/>
  <c r="X229" i="14"/>
  <c r="Z262" i="14"/>
  <c r="T197" i="14"/>
  <c r="U71" i="14"/>
  <c r="W100" i="14"/>
  <c r="X132" i="14"/>
  <c r="Y164" i="14"/>
  <c r="Z197" i="14"/>
  <c r="AB229" i="14"/>
  <c r="AB262" i="14"/>
  <c r="V71" i="14"/>
  <c r="Y100" i="14"/>
  <c r="Y132" i="14"/>
  <c r="Z164" i="14"/>
  <c r="AC197" i="14"/>
  <c r="AC262" i="14"/>
  <c r="AC229" i="14"/>
  <c r="AA71" i="14"/>
  <c r="W132" i="14"/>
  <c r="U197" i="14"/>
  <c r="AD229" i="14"/>
  <c r="T164" i="14"/>
  <c r="AB71" i="14"/>
  <c r="AA132" i="14"/>
  <c r="V197" i="14"/>
  <c r="AE229" i="14"/>
  <c r="T229" i="14"/>
  <c r="AC71" i="14"/>
  <c r="AB132" i="14"/>
  <c r="X197" i="14"/>
  <c r="W262" i="14"/>
  <c r="AE71" i="14"/>
  <c r="AD132" i="14"/>
  <c r="AD197" i="14"/>
  <c r="Y262" i="14"/>
  <c r="AB100" i="14"/>
  <c r="V229" i="14"/>
  <c r="AD100" i="14"/>
  <c r="AA229" i="14"/>
  <c r="U164" i="14"/>
  <c r="AA262" i="14"/>
  <c r="AE197" i="14"/>
  <c r="AA100" i="14"/>
  <c r="U229" i="14"/>
  <c r="X164" i="14"/>
  <c r="AE262" i="14"/>
  <c r="Z100" i="14"/>
  <c r="AB164" i="14"/>
  <c r="T100" i="14"/>
  <c r="Y71" i="14"/>
  <c r="AD164" i="14"/>
  <c r="T132" i="14"/>
  <c r="X70" i="14"/>
  <c r="U99" i="14"/>
  <c r="AC99" i="14"/>
  <c r="Z131" i="14"/>
  <c r="W163" i="14"/>
  <c r="AE163" i="14"/>
  <c r="AB196" i="14"/>
  <c r="Y228" i="14"/>
  <c r="V261" i="14"/>
  <c r="AD261" i="14"/>
  <c r="AC70" i="14"/>
  <c r="AA99" i="14"/>
  <c r="Y131" i="14"/>
  <c r="X163" i="14"/>
  <c r="V196" i="14"/>
  <c r="AE196" i="14"/>
  <c r="AC228" i="14"/>
  <c r="AA261" i="14"/>
  <c r="T261" i="14"/>
  <c r="V70" i="14"/>
  <c r="AE70" i="14"/>
  <c r="AD99" i="14"/>
  <c r="AB131" i="14"/>
  <c r="Z163" i="14"/>
  <c r="X196" i="14"/>
  <c r="V228" i="14"/>
  <c r="AE228" i="14"/>
  <c r="AC261" i="14"/>
  <c r="T70" i="14"/>
  <c r="U70" i="14"/>
  <c r="W99" i="14"/>
  <c r="W131" i="14"/>
  <c r="Y163" i="14"/>
  <c r="Z196" i="14"/>
  <c r="AA228" i="14"/>
  <c r="AB261" i="14"/>
  <c r="Y70" i="14"/>
  <c r="Y99" i="14"/>
  <c r="AA131" i="14"/>
  <c r="AB163" i="14"/>
  <c r="AC196" i="14"/>
  <c r="AD228" i="14"/>
  <c r="Z70" i="14"/>
  <c r="Z99" i="14"/>
  <c r="AC131" i="14"/>
  <c r="AC163" i="14"/>
  <c r="AD196" i="14"/>
  <c r="U261" i="14"/>
  <c r="T99" i="14"/>
  <c r="X99" i="14"/>
  <c r="U163" i="14"/>
  <c r="U228" i="14"/>
  <c r="Z261" i="14"/>
  <c r="AB99" i="14"/>
  <c r="V163" i="14"/>
  <c r="W228" i="14"/>
  <c r="AE261" i="14"/>
  <c r="AE99" i="14"/>
  <c r="AA163" i="14"/>
  <c r="X228" i="14"/>
  <c r="T131" i="14"/>
  <c r="W70" i="14"/>
  <c r="U131" i="14"/>
  <c r="AD163" i="14"/>
  <c r="Z228" i="14"/>
  <c r="T163" i="14"/>
  <c r="AD131" i="14"/>
  <c r="X261" i="14"/>
  <c r="AE131" i="14"/>
  <c r="Y261" i="14"/>
  <c r="AA70" i="14"/>
  <c r="U196" i="14"/>
  <c r="V131" i="14"/>
  <c r="AB228" i="14"/>
  <c r="X131" i="14"/>
  <c r="W261" i="14"/>
  <c r="T228" i="14"/>
  <c r="AB70" i="14"/>
  <c r="W196" i="14"/>
  <c r="T196" i="14"/>
  <c r="AD70" i="14"/>
  <c r="Y196" i="14"/>
  <c r="V99" i="14"/>
  <c r="AA196" i="14"/>
  <c r="AA82" i="14"/>
  <c r="X114" i="14"/>
  <c r="U146" i="14"/>
  <c r="AC146" i="14"/>
  <c r="Z179" i="14"/>
  <c r="W210" i="14"/>
  <c r="AE210" i="14"/>
  <c r="AB244" i="14"/>
  <c r="Y276" i="14"/>
  <c r="T114" i="14"/>
  <c r="U82" i="14"/>
  <c r="AC82" i="14"/>
  <c r="Z114" i="14"/>
  <c r="W146" i="14"/>
  <c r="AE146" i="14"/>
  <c r="AB179" i="14"/>
  <c r="Y210" i="14"/>
  <c r="V244" i="14"/>
  <c r="AD244" i="14"/>
  <c r="AA276" i="14"/>
  <c r="T179" i="14"/>
  <c r="W82" i="14"/>
  <c r="V114" i="14"/>
  <c r="V146" i="14"/>
  <c r="V179" i="14"/>
  <c r="U210" i="14"/>
  <c r="U244" i="14"/>
  <c r="U276" i="14"/>
  <c r="AE276" i="14"/>
  <c r="Y82" i="14"/>
  <c r="Y114" i="14"/>
  <c r="Y146" i="14"/>
  <c r="X179" i="14"/>
  <c r="X210" i="14"/>
  <c r="X244" i="14"/>
  <c r="W276" i="14"/>
  <c r="T146" i="14"/>
  <c r="AB82" i="14"/>
  <c r="AD114" i="14"/>
  <c r="W179" i="14"/>
  <c r="AA210" i="14"/>
  <c r="AC244" i="14"/>
  <c r="T244" i="14"/>
  <c r="AE82" i="14"/>
  <c r="X146" i="14"/>
  <c r="AA179" i="14"/>
  <c r="AC210" i="14"/>
  <c r="V276" i="14"/>
  <c r="W114" i="14"/>
  <c r="AD146" i="14"/>
  <c r="AB210" i="14"/>
  <c r="Z276" i="14"/>
  <c r="AB114" i="14"/>
  <c r="Y179" i="14"/>
  <c r="W244" i="14"/>
  <c r="AC276" i="14"/>
  <c r="V82" i="14"/>
  <c r="AC114" i="14"/>
  <c r="AC179" i="14"/>
  <c r="Y244" i="14"/>
  <c r="AD276" i="14"/>
  <c r="AA146" i="14"/>
  <c r="Z244" i="14"/>
  <c r="T276" i="14"/>
  <c r="X82" i="14"/>
  <c r="AB146" i="14"/>
  <c r="AA244" i="14"/>
  <c r="Z82" i="14"/>
  <c r="U179" i="14"/>
  <c r="AE244" i="14"/>
  <c r="AD82" i="14"/>
  <c r="AD179" i="14"/>
  <c r="X276" i="14"/>
  <c r="Z210" i="14"/>
  <c r="T82" i="14"/>
  <c r="AD210" i="14"/>
  <c r="T210" i="14"/>
  <c r="U114" i="14"/>
  <c r="AB276" i="14"/>
  <c r="AE179" i="14"/>
  <c r="V210" i="14"/>
  <c r="AA114" i="14"/>
  <c r="AE114" i="14"/>
  <c r="Z146" i="14"/>
  <c r="X69" i="14"/>
  <c r="U98" i="14"/>
  <c r="Z69" i="14"/>
  <c r="W98" i="14"/>
  <c r="AE98" i="14"/>
  <c r="AB130" i="14"/>
  <c r="Y162" i="14"/>
  <c r="V195" i="14"/>
  <c r="AD195" i="14"/>
  <c r="AA227" i="14"/>
  <c r="V69" i="14"/>
  <c r="V98" i="14"/>
  <c r="U130" i="14"/>
  <c r="AD130" i="14"/>
  <c r="AB162" i="14"/>
  <c r="Z195" i="14"/>
  <c r="X227" i="14"/>
  <c r="V260" i="14"/>
  <c r="AD260" i="14"/>
  <c r="AA69" i="14"/>
  <c r="AA98" i="14"/>
  <c r="Z130" i="14"/>
  <c r="Z162" i="14"/>
  <c r="Y195" i="14"/>
  <c r="Y227" i="14"/>
  <c r="X260" i="14"/>
  <c r="T260" i="14"/>
  <c r="AC69" i="14"/>
  <c r="AC98" i="14"/>
  <c r="AC130" i="14"/>
  <c r="AC162" i="14"/>
  <c r="AB195" i="14"/>
  <c r="AB227" i="14"/>
  <c r="Z260" i="14"/>
  <c r="T69" i="14"/>
  <c r="AB69" i="14"/>
  <c r="V130" i="14"/>
  <c r="W162" i="14"/>
  <c r="AA195" i="14"/>
  <c r="AD227" i="14"/>
  <c r="AE260" i="14"/>
  <c r="AE69" i="14"/>
  <c r="X130" i="14"/>
  <c r="AA162" i="14"/>
  <c r="AE195" i="14"/>
  <c r="U260" i="14"/>
  <c r="T130" i="14"/>
  <c r="X98" i="14"/>
  <c r="Y130" i="14"/>
  <c r="AD162" i="14"/>
  <c r="U227" i="14"/>
  <c r="W260" i="14"/>
  <c r="T162" i="14"/>
  <c r="AB98" i="14"/>
  <c r="AE162" i="14"/>
  <c r="AC227" i="14"/>
  <c r="T227" i="14"/>
  <c r="AD98" i="14"/>
  <c r="U195" i="14"/>
  <c r="AE227" i="14"/>
  <c r="U69" i="14"/>
  <c r="W130" i="14"/>
  <c r="W195" i="14"/>
  <c r="Y260" i="14"/>
  <c r="W69" i="14"/>
  <c r="AA130" i="14"/>
  <c r="X195" i="14"/>
  <c r="AA260" i="14"/>
  <c r="V162" i="14"/>
  <c r="T98" i="14"/>
  <c r="X162" i="14"/>
  <c r="T195" i="14"/>
  <c r="Y69" i="14"/>
  <c r="AC195" i="14"/>
  <c r="AE130" i="14"/>
  <c r="U162" i="14"/>
  <c r="AC260" i="14"/>
  <c r="AD69" i="14"/>
  <c r="V227" i="14"/>
  <c r="AB260" i="14"/>
  <c r="Y98" i="14"/>
  <c r="W227" i="14"/>
  <c r="Z98" i="14"/>
  <c r="Z227" i="14"/>
  <c r="T25" i="12"/>
  <c r="G25" i="12"/>
  <c r="T24" i="12"/>
  <c r="G24" i="12"/>
  <c r="D30" i="16" l="1"/>
  <c r="P37" i="16"/>
  <c r="Y44" i="14"/>
  <c r="M19" i="12" s="1"/>
  <c r="P30" i="16"/>
  <c r="AF210" i="14"/>
  <c r="AF146" i="14"/>
  <c r="AF179" i="14"/>
  <c r="AF99" i="14"/>
  <c r="AF226" i="14"/>
  <c r="AF259" i="14"/>
  <c r="AF83" i="14"/>
  <c r="AF180" i="14"/>
  <c r="AF163" i="14"/>
  <c r="AF164" i="14"/>
  <c r="AF227" i="14"/>
  <c r="AF195" i="14"/>
  <c r="AF196" i="14"/>
  <c r="AF132" i="14"/>
  <c r="AF71" i="14"/>
  <c r="AF68" i="14"/>
  <c r="AF130" i="14"/>
  <c r="AF197" i="14"/>
  <c r="AF161" i="14"/>
  <c r="AF98" i="14"/>
  <c r="AF114" i="14"/>
  <c r="AF245" i="14"/>
  <c r="AF115" i="14"/>
  <c r="AF162" i="14"/>
  <c r="AF228" i="14"/>
  <c r="AF131" i="14"/>
  <c r="AF70" i="14"/>
  <c r="AF100" i="14"/>
  <c r="AF129" i="14"/>
  <c r="AF211" i="14"/>
  <c r="AF82" i="14"/>
  <c r="AF244" i="14"/>
  <c r="AF276" i="14"/>
  <c r="AF147" i="14"/>
  <c r="AF229" i="14"/>
  <c r="AF262" i="14"/>
  <c r="AF69" i="14"/>
  <c r="AF260" i="14"/>
  <c r="AF261" i="14"/>
  <c r="AF97" i="14"/>
  <c r="AF194" i="14"/>
  <c r="AF277" i="14"/>
  <c r="Z44" i="14"/>
  <c r="N19" i="12" s="1"/>
  <c r="AB44" i="14"/>
  <c r="P19" i="12" s="1"/>
  <c r="AA41" i="14"/>
  <c r="O16" i="12" s="1"/>
  <c r="U41" i="14"/>
  <c r="I16" i="12" s="1"/>
  <c r="AC46" i="14"/>
  <c r="Q21" i="12" s="1"/>
  <c r="AD43" i="14"/>
  <c r="R18" i="12" s="1"/>
  <c r="Y41" i="14"/>
  <c r="M16" i="12" s="1"/>
  <c r="W46" i="14"/>
  <c r="K21" i="12" s="1"/>
  <c r="W41" i="14"/>
  <c r="K16" i="12" s="1"/>
  <c r="V41" i="14"/>
  <c r="J16" i="12" s="1"/>
  <c r="AB45" i="14"/>
  <c r="P20" i="12" s="1"/>
  <c r="Y45" i="14"/>
  <c r="M20" i="12" s="1"/>
  <c r="AA45" i="14"/>
  <c r="O20" i="12" s="1"/>
  <c r="Z46" i="14"/>
  <c r="N21" i="12" s="1"/>
  <c r="AA44" i="14"/>
  <c r="O19" i="12" s="1"/>
  <c r="AD45" i="14"/>
  <c r="R20" i="12" s="1"/>
  <c r="V46" i="14"/>
  <c r="J21" i="12" s="1"/>
  <c r="AB43" i="14"/>
  <c r="P18" i="12" s="1"/>
  <c r="AE43" i="14"/>
  <c r="S18" i="12" s="1"/>
  <c r="AD44" i="14"/>
  <c r="R19" i="12" s="1"/>
  <c r="X43" i="14"/>
  <c r="L18" i="12" s="1"/>
  <c r="T42" i="14"/>
  <c r="AC41" i="14"/>
  <c r="Q16" i="12" s="1"/>
  <c r="T41" i="14"/>
  <c r="Z45" i="14"/>
  <c r="N20" i="12" s="1"/>
  <c r="X46" i="14"/>
  <c r="L21" i="12" s="1"/>
  <c r="T46" i="14"/>
  <c r="U46" i="14"/>
  <c r="I21" i="12" s="1"/>
  <c r="AD46" i="14"/>
  <c r="R21" i="12" s="1"/>
  <c r="AC42" i="14"/>
  <c r="Q17" i="12" s="1"/>
  <c r="T44" i="14"/>
  <c r="X45" i="14"/>
  <c r="L20" i="12" s="1"/>
  <c r="Y43" i="14"/>
  <c r="M18" i="12" s="1"/>
  <c r="AB42" i="14"/>
  <c r="P17" i="12" s="1"/>
  <c r="W44" i="14"/>
  <c r="K19" i="12" s="1"/>
  <c r="AE41" i="14"/>
  <c r="S16" i="12" s="1"/>
  <c r="AC45" i="14"/>
  <c r="Q20" i="12" s="1"/>
  <c r="AB46" i="14"/>
  <c r="P21" i="12" s="1"/>
  <c r="T43" i="14"/>
  <c r="X41" i="14"/>
  <c r="L16" i="12" s="1"/>
  <c r="AE45" i="14"/>
  <c r="S20" i="12" s="1"/>
  <c r="Z43" i="14"/>
  <c r="N18" i="12" s="1"/>
  <c r="AC43" i="14"/>
  <c r="Q18" i="12" s="1"/>
  <c r="AA42" i="14"/>
  <c r="O17" i="12" s="1"/>
  <c r="X42" i="14"/>
  <c r="L17" i="12" s="1"/>
  <c r="X44" i="14"/>
  <c r="L19" i="12" s="1"/>
  <c r="AC44" i="14"/>
  <c r="Q19" i="12" s="1"/>
  <c r="U45" i="14"/>
  <c r="I20" i="12" s="1"/>
  <c r="AE44" i="14"/>
  <c r="S19" i="12" s="1"/>
  <c r="U44" i="14"/>
  <c r="I19" i="12" s="1"/>
  <c r="V45" i="14"/>
  <c r="J20" i="12" s="1"/>
  <c r="W43" i="14"/>
  <c r="K18" i="12" s="1"/>
  <c r="U43" i="14"/>
  <c r="I18" i="12" s="1"/>
  <c r="AE46" i="14"/>
  <c r="S21" i="12" s="1"/>
  <c r="V43" i="14"/>
  <c r="J18" i="12" s="1"/>
  <c r="Y42" i="14"/>
  <c r="M17" i="12" s="1"/>
  <c r="U42" i="14"/>
  <c r="I17" i="12" s="1"/>
  <c r="T45" i="14"/>
  <c r="Y46" i="14"/>
  <c r="M21" i="12" s="1"/>
  <c r="V44" i="14"/>
  <c r="J19" i="12" s="1"/>
  <c r="AB41" i="14"/>
  <c r="P16" i="12" s="1"/>
  <c r="Z41" i="14"/>
  <c r="N16" i="12" s="1"/>
  <c r="AD41" i="14"/>
  <c r="R16" i="12" s="1"/>
  <c r="W45" i="14"/>
  <c r="K20" i="12" s="1"/>
  <c r="Z42" i="14"/>
  <c r="N17" i="12" s="1"/>
  <c r="W42" i="14"/>
  <c r="K17" i="12" s="1"/>
  <c r="AD42" i="14"/>
  <c r="R17" i="12" s="1"/>
  <c r="AA46" i="14"/>
  <c r="O21" i="12" s="1"/>
  <c r="AA43" i="14"/>
  <c r="O18" i="12" s="1"/>
  <c r="AE42" i="14"/>
  <c r="S17" i="12" s="1"/>
  <c r="V42" i="14"/>
  <c r="J17" i="12" s="1"/>
  <c r="H18" i="12" l="1"/>
  <c r="T18" i="12" s="1"/>
  <c r="AF43" i="14"/>
  <c r="H19" i="12"/>
  <c r="T19" i="12" s="1"/>
  <c r="AF44" i="14"/>
  <c r="H16" i="12"/>
  <c r="G16" i="12" s="1"/>
  <c r="AF41" i="14"/>
  <c r="H17" i="12"/>
  <c r="G17" i="12" s="1"/>
  <c r="AF42" i="14"/>
  <c r="H21" i="12"/>
  <c r="T21" i="12" s="1"/>
  <c r="AF46" i="14"/>
  <c r="H20" i="12"/>
  <c r="T20" i="12" s="1"/>
  <c r="AF45" i="14"/>
  <c r="T17" i="12" l="1"/>
  <c r="G18" i="12"/>
  <c r="T16" i="12"/>
  <c r="G20" i="12"/>
  <c r="G19" i="12"/>
  <c r="G21" i="12"/>
  <c r="E24" i="14"/>
  <c r="F24" i="14" s="1"/>
  <c r="F6" i="14"/>
  <c r="F7" i="14"/>
  <c r="F8" i="14"/>
  <c r="F9" i="14"/>
  <c r="F10" i="14"/>
  <c r="F15" i="14"/>
  <c r="F16" i="14"/>
  <c r="F20" i="14"/>
  <c r="F22" i="14"/>
  <c r="F23" i="14"/>
  <c r="F36" i="14"/>
  <c r="F37" i="14"/>
  <c r="F38" i="14"/>
  <c r="F39" i="14"/>
  <c r="F48" i="14"/>
  <c r="E40" i="14"/>
  <c r="F40" i="14" s="1"/>
  <c r="E35" i="14"/>
  <c r="F35" i="14" s="1"/>
  <c r="E34" i="14"/>
  <c r="F34" i="14" s="1"/>
  <c r="E17" i="14"/>
  <c r="F17" i="14" s="1"/>
  <c r="E21" i="14"/>
  <c r="F21" i="14" s="1"/>
  <c r="F5" i="14"/>
  <c r="E4" i="14"/>
  <c r="F4" i="14" s="1"/>
  <c r="E3" i="14"/>
  <c r="F3" i="14" s="1"/>
  <c r="Y269" i="14" l="1"/>
  <c r="Z269" i="14"/>
  <c r="AA269" i="14"/>
  <c r="AB269" i="14"/>
  <c r="U269" i="14"/>
  <c r="AC269" i="14"/>
  <c r="V269" i="14"/>
  <c r="AD269" i="14"/>
  <c r="W269" i="14"/>
  <c r="AE269" i="14"/>
  <c r="X269" i="14"/>
  <c r="T269" i="14"/>
  <c r="V271" i="14"/>
  <c r="AD271" i="14"/>
  <c r="X271" i="14"/>
  <c r="W271" i="14"/>
  <c r="Z271" i="14"/>
  <c r="AE271" i="14"/>
  <c r="Y271" i="14"/>
  <c r="AB271" i="14"/>
  <c r="AC271" i="14"/>
  <c r="U271" i="14"/>
  <c r="AA271" i="14"/>
  <c r="X54" i="14"/>
  <c r="U92" i="14"/>
  <c r="AC92" i="14"/>
  <c r="Z124" i="14"/>
  <c r="W156" i="14"/>
  <c r="AE156" i="14"/>
  <c r="AB189" i="14"/>
  <c r="Y221" i="14"/>
  <c r="V254" i="14"/>
  <c r="AD254" i="14"/>
  <c r="Z54" i="14"/>
  <c r="W92" i="14"/>
  <c r="AE92" i="14"/>
  <c r="AB124" i="14"/>
  <c r="Y156" i="14"/>
  <c r="V189" i="14"/>
  <c r="AD189" i="14"/>
  <c r="AA221" i="14"/>
  <c r="X254" i="14"/>
  <c r="Y54" i="14"/>
  <c r="Y92" i="14"/>
  <c r="X124" i="14"/>
  <c r="X156" i="14"/>
  <c r="X189" i="14"/>
  <c r="W221" i="14"/>
  <c r="W254" i="14"/>
  <c r="T124" i="14"/>
  <c r="AB54" i="14"/>
  <c r="AA92" i="14"/>
  <c r="AA124" i="14"/>
  <c r="AA156" i="14"/>
  <c r="Z189" i="14"/>
  <c r="Z221" i="14"/>
  <c r="Z254" i="14"/>
  <c r="T189" i="14"/>
  <c r="AC54" i="14"/>
  <c r="AC124" i="14"/>
  <c r="AA189" i="14"/>
  <c r="AA254" i="14"/>
  <c r="AB92" i="14"/>
  <c r="AB156" i="14"/>
  <c r="AB221" i="14"/>
  <c r="V92" i="14"/>
  <c r="AD124" i="14"/>
  <c r="W189" i="14"/>
  <c r="AD221" i="14"/>
  <c r="T54" i="14"/>
  <c r="X92" i="14"/>
  <c r="AE124" i="14"/>
  <c r="Y189" i="14"/>
  <c r="AE221" i="14"/>
  <c r="T92" i="14"/>
  <c r="U54" i="14"/>
  <c r="Z92" i="14"/>
  <c r="U156" i="14"/>
  <c r="AC189" i="14"/>
  <c r="U254" i="14"/>
  <c r="V54" i="14"/>
  <c r="AD92" i="14"/>
  <c r="V156" i="14"/>
  <c r="AE189" i="14"/>
  <c r="Y254" i="14"/>
  <c r="T221" i="14"/>
  <c r="AD54" i="14"/>
  <c r="AD156" i="14"/>
  <c r="AE254" i="14"/>
  <c r="T254" i="14"/>
  <c r="AE54" i="14"/>
  <c r="U189" i="14"/>
  <c r="U124" i="14"/>
  <c r="U221" i="14"/>
  <c r="W54" i="14"/>
  <c r="AB254" i="14"/>
  <c r="AA54" i="14"/>
  <c r="AC156" i="14"/>
  <c r="AC254" i="14"/>
  <c r="T156" i="14"/>
  <c r="V124" i="14"/>
  <c r="V221" i="14"/>
  <c r="Z156" i="14"/>
  <c r="W124" i="14"/>
  <c r="X221" i="14"/>
  <c r="Y124" i="14"/>
  <c r="AC221" i="14"/>
  <c r="X59" i="14"/>
  <c r="U111" i="14"/>
  <c r="AC111" i="14"/>
  <c r="Z143" i="14"/>
  <c r="W176" i="14"/>
  <c r="AE176" i="14"/>
  <c r="AB207" i="14"/>
  <c r="Y241" i="14"/>
  <c r="V273" i="14"/>
  <c r="AD273" i="14"/>
  <c r="T273" i="14"/>
  <c r="Z59" i="14"/>
  <c r="W111" i="14"/>
  <c r="AE111" i="14"/>
  <c r="AB143" i="14"/>
  <c r="Y176" i="14"/>
  <c r="V207" i="14"/>
  <c r="AD207" i="14"/>
  <c r="AA241" i="14"/>
  <c r="X273" i="14"/>
  <c r="T59" i="14"/>
  <c r="AD59" i="14"/>
  <c r="AD111" i="14"/>
  <c r="AD143" i="14"/>
  <c r="AC176" i="14"/>
  <c r="AC207" i="14"/>
  <c r="AC241" i="14"/>
  <c r="AB273" i="14"/>
  <c r="V59" i="14"/>
  <c r="V111" i="14"/>
  <c r="V143" i="14"/>
  <c r="U176" i="14"/>
  <c r="U207" i="14"/>
  <c r="U241" i="14"/>
  <c r="AE241" i="14"/>
  <c r="AE273" i="14"/>
  <c r="U59" i="14"/>
  <c r="Y111" i="14"/>
  <c r="AA143" i="14"/>
  <c r="AD176" i="14"/>
  <c r="W241" i="14"/>
  <c r="Z273" i="14"/>
  <c r="Y59" i="14"/>
  <c r="AA111" i="14"/>
  <c r="AE143" i="14"/>
  <c r="X207" i="14"/>
  <c r="Z241" i="14"/>
  <c r="AC273" i="14"/>
  <c r="AB59" i="14"/>
  <c r="X143" i="14"/>
  <c r="W207" i="14"/>
  <c r="AD241" i="14"/>
  <c r="T207" i="14"/>
  <c r="AE59" i="14"/>
  <c r="AC143" i="14"/>
  <c r="Z207" i="14"/>
  <c r="W273" i="14"/>
  <c r="X111" i="14"/>
  <c r="V176" i="14"/>
  <c r="AA207" i="14"/>
  <c r="Y273" i="14"/>
  <c r="AC59" i="14"/>
  <c r="AA176" i="14"/>
  <c r="AA273" i="14"/>
  <c r="Z111" i="14"/>
  <c r="AB176" i="14"/>
  <c r="T111" i="14"/>
  <c r="AB111" i="14"/>
  <c r="Y207" i="14"/>
  <c r="T143" i="14"/>
  <c r="U143" i="14"/>
  <c r="AE207" i="14"/>
  <c r="T176" i="14"/>
  <c r="W59" i="14"/>
  <c r="AB241" i="14"/>
  <c r="AA59" i="14"/>
  <c r="U273" i="14"/>
  <c r="W143" i="14"/>
  <c r="T241" i="14"/>
  <c r="V241" i="14"/>
  <c r="X241" i="14"/>
  <c r="Y143" i="14"/>
  <c r="X176" i="14"/>
  <c r="Z176" i="14"/>
  <c r="AB55" i="14"/>
  <c r="Y93" i="14"/>
  <c r="V125" i="14"/>
  <c r="AD125" i="14"/>
  <c r="AA157" i="14"/>
  <c r="X190" i="14"/>
  <c r="U222" i="14"/>
  <c r="AC222" i="14"/>
  <c r="Z255" i="14"/>
  <c r="T125" i="14"/>
  <c r="V55" i="14"/>
  <c r="AD55" i="14"/>
  <c r="AA93" i="14"/>
  <c r="X125" i="14"/>
  <c r="U157" i="14"/>
  <c r="AC157" i="14"/>
  <c r="Z190" i="14"/>
  <c r="W222" i="14"/>
  <c r="AE222" i="14"/>
  <c r="AB255" i="14"/>
  <c r="T190" i="14"/>
  <c r="W55" i="14"/>
  <c r="Y125" i="14"/>
  <c r="AA190" i="14"/>
  <c r="AC255" i="14"/>
  <c r="AE55" i="14"/>
  <c r="AB93" i="14"/>
  <c r="V157" i="14"/>
  <c r="AD157" i="14"/>
  <c r="X222" i="14"/>
  <c r="U255" i="14"/>
  <c r="Z55" i="14"/>
  <c r="AC93" i="14"/>
  <c r="AC125" i="14"/>
  <c r="U190" i="14"/>
  <c r="V222" i="14"/>
  <c r="X255" i="14"/>
  <c r="AA55" i="14"/>
  <c r="AD93" i="14"/>
  <c r="AE125" i="14"/>
  <c r="V190" i="14"/>
  <c r="Y222" i="14"/>
  <c r="Y255" i="14"/>
  <c r="AC55" i="14"/>
  <c r="AE93" i="14"/>
  <c r="W157" i="14"/>
  <c r="W190" i="14"/>
  <c r="Z222" i="14"/>
  <c r="U93" i="14"/>
  <c r="U125" i="14"/>
  <c r="X157" i="14"/>
  <c r="Y190" i="14"/>
  <c r="AA222" i="14"/>
  <c r="AD255" i="14"/>
  <c r="T93" i="14"/>
  <c r="X93" i="14"/>
  <c r="AB157" i="14"/>
  <c r="V255" i="14"/>
  <c r="Z93" i="14"/>
  <c r="AE157" i="14"/>
  <c r="W255" i="14"/>
  <c r="W125" i="14"/>
  <c r="AB190" i="14"/>
  <c r="AA255" i="14"/>
  <c r="T55" i="14"/>
  <c r="Y157" i="14"/>
  <c r="W93" i="14"/>
  <c r="Z157" i="14"/>
  <c r="AD222" i="14"/>
  <c r="U55" i="14"/>
  <c r="Z125" i="14"/>
  <c r="AC190" i="14"/>
  <c r="AE255" i="14"/>
  <c r="T157" i="14"/>
  <c r="V93" i="14"/>
  <c r="AB222" i="14"/>
  <c r="X55" i="14"/>
  <c r="AA125" i="14"/>
  <c r="AD190" i="14"/>
  <c r="T222" i="14"/>
  <c r="Y55" i="14"/>
  <c r="AB125" i="14"/>
  <c r="AE190" i="14"/>
  <c r="T255" i="14"/>
  <c r="X58" i="14"/>
  <c r="U110" i="14"/>
  <c r="AC110" i="14"/>
  <c r="Z142" i="14"/>
  <c r="W175" i="14"/>
  <c r="AE175" i="14"/>
  <c r="AB206" i="14"/>
  <c r="Y240" i="14"/>
  <c r="V272" i="14"/>
  <c r="AD272" i="14"/>
  <c r="T272" i="14"/>
  <c r="Z58" i="14"/>
  <c r="W110" i="14"/>
  <c r="AE110" i="14"/>
  <c r="AB142" i="14"/>
  <c r="Y175" i="14"/>
  <c r="V206" i="14"/>
  <c r="AD206" i="14"/>
  <c r="AA240" i="14"/>
  <c r="X272" i="14"/>
  <c r="T58" i="14"/>
  <c r="V58" i="14"/>
  <c r="V110" i="14"/>
  <c r="V142" i="14"/>
  <c r="U175" i="14"/>
  <c r="U206" i="14"/>
  <c r="U240" i="14"/>
  <c r="AE240" i="14"/>
  <c r="AE272" i="14"/>
  <c r="Y58" i="14"/>
  <c r="Y110" i="14"/>
  <c r="X142" i="14"/>
  <c r="X175" i="14"/>
  <c r="X206" i="14"/>
  <c r="W240" i="14"/>
  <c r="W272" i="14"/>
  <c r="T142" i="14"/>
  <c r="W58" i="14"/>
  <c r="AA110" i="14"/>
  <c r="AD142" i="14"/>
  <c r="W206" i="14"/>
  <c r="Z240" i="14"/>
  <c r="AB272" i="14"/>
  <c r="T110" i="14"/>
  <c r="AB58" i="14"/>
  <c r="AD110" i="14"/>
  <c r="V175" i="14"/>
  <c r="Z206" i="14"/>
  <c r="AC240" i="14"/>
  <c r="T206" i="14"/>
  <c r="AB110" i="14"/>
  <c r="AA175" i="14"/>
  <c r="V240" i="14"/>
  <c r="AC272" i="14"/>
  <c r="AA58" i="14"/>
  <c r="W142" i="14"/>
  <c r="AC175" i="14"/>
  <c r="AB240" i="14"/>
  <c r="T175" i="14"/>
  <c r="AC58" i="14"/>
  <c r="Y142" i="14"/>
  <c r="AD175" i="14"/>
  <c r="AD240" i="14"/>
  <c r="T240" i="14"/>
  <c r="AD58" i="14"/>
  <c r="Z175" i="14"/>
  <c r="Y272" i="14"/>
  <c r="AE58" i="14"/>
  <c r="AB175" i="14"/>
  <c r="Z272" i="14"/>
  <c r="X110" i="14"/>
  <c r="Y206" i="14"/>
  <c r="AA272" i="14"/>
  <c r="Z110" i="14"/>
  <c r="AA206" i="14"/>
  <c r="AC142" i="14"/>
  <c r="AE142" i="14"/>
  <c r="AC206" i="14"/>
  <c r="U142" i="14"/>
  <c r="AA142" i="14"/>
  <c r="AE206" i="14"/>
  <c r="X240" i="14"/>
  <c r="U58" i="14"/>
  <c r="U272" i="14"/>
  <c r="AB56" i="14"/>
  <c r="Y94" i="14"/>
  <c r="V126" i="14"/>
  <c r="AD126" i="14"/>
  <c r="AA158" i="14"/>
  <c r="X191" i="14"/>
  <c r="U223" i="14"/>
  <c r="AC223" i="14"/>
  <c r="Z256" i="14"/>
  <c r="T126" i="14"/>
  <c r="V56" i="14"/>
  <c r="AD56" i="14"/>
  <c r="AA94" i="14"/>
  <c r="X126" i="14"/>
  <c r="U158" i="14"/>
  <c r="AC158" i="14"/>
  <c r="Z191" i="14"/>
  <c r="W223" i="14"/>
  <c r="AE223" i="14"/>
  <c r="AB256" i="14"/>
  <c r="T191" i="14"/>
  <c r="W56" i="14"/>
  <c r="AB94" i="14"/>
  <c r="V158" i="14"/>
  <c r="X223" i="14"/>
  <c r="AE56" i="14"/>
  <c r="Y126" i="14"/>
  <c r="AD158" i="14"/>
  <c r="AA191" i="14"/>
  <c r="U256" i="14"/>
  <c r="AC256" i="14"/>
  <c r="AA56" i="14"/>
  <c r="AD94" i="14"/>
  <c r="AE126" i="14"/>
  <c r="V191" i="14"/>
  <c r="Y223" i="14"/>
  <c r="Y256" i="14"/>
  <c r="T256" i="14"/>
  <c r="AC56" i="14"/>
  <c r="AE94" i="14"/>
  <c r="W158" i="14"/>
  <c r="W191" i="14"/>
  <c r="Z223" i="14"/>
  <c r="AA256" i="14"/>
  <c r="V94" i="14"/>
  <c r="W126" i="14"/>
  <c r="Y158" i="14"/>
  <c r="AB191" i="14"/>
  <c r="AB223" i="14"/>
  <c r="AE256" i="14"/>
  <c r="U56" i="14"/>
  <c r="AC94" i="14"/>
  <c r="AB158" i="14"/>
  <c r="AA223" i="14"/>
  <c r="T158" i="14"/>
  <c r="X56" i="14"/>
  <c r="U126" i="14"/>
  <c r="AE158" i="14"/>
  <c r="AD223" i="14"/>
  <c r="T223" i="14"/>
  <c r="Y56" i="14"/>
  <c r="Z126" i="14"/>
  <c r="U191" i="14"/>
  <c r="V256" i="14"/>
  <c r="X158" i="14"/>
  <c r="T56" i="14"/>
  <c r="Z94" i="14"/>
  <c r="Z158" i="14"/>
  <c r="V223" i="14"/>
  <c r="T94" i="14"/>
  <c r="Z56" i="14"/>
  <c r="AA126" i="14"/>
  <c r="Y191" i="14"/>
  <c r="W256" i="14"/>
  <c r="X94" i="14"/>
  <c r="AE191" i="14"/>
  <c r="U94" i="14"/>
  <c r="AB126" i="14"/>
  <c r="AC191" i="14"/>
  <c r="X256" i="14"/>
  <c r="W94" i="14"/>
  <c r="AC126" i="14"/>
  <c r="AD191" i="14"/>
  <c r="AD256" i="14"/>
  <c r="AD205" i="14"/>
  <c r="AA79" i="14"/>
  <c r="U141" i="14"/>
  <c r="AC141" i="14"/>
  <c r="Z174" i="14"/>
  <c r="W205" i="14"/>
  <c r="AE205" i="14"/>
  <c r="AB239" i="14"/>
  <c r="AB79" i="14"/>
  <c r="AD141" i="14"/>
  <c r="X205" i="14"/>
  <c r="U239" i="14"/>
  <c r="AC239" i="14"/>
  <c r="T109" i="14"/>
  <c r="Y109" i="14"/>
  <c r="T141" i="14"/>
  <c r="U79" i="14"/>
  <c r="AC79" i="14"/>
  <c r="Z109" i="14"/>
  <c r="W141" i="14"/>
  <c r="AE141" i="14"/>
  <c r="AB174" i="14"/>
  <c r="Y205" i="14"/>
  <c r="V239" i="14"/>
  <c r="AD239" i="14"/>
  <c r="AA174" i="14"/>
  <c r="AE109" i="14"/>
  <c r="V205" i="14"/>
  <c r="X109" i="14"/>
  <c r="V141" i="14"/>
  <c r="T174" i="14"/>
  <c r="V79" i="14"/>
  <c r="AD79" i="14"/>
  <c r="AA109" i="14"/>
  <c r="X141" i="14"/>
  <c r="U174" i="14"/>
  <c r="AC174" i="14"/>
  <c r="Z205" i="14"/>
  <c r="W239" i="14"/>
  <c r="AE239" i="14"/>
  <c r="T205" i="14"/>
  <c r="W79" i="14"/>
  <c r="AE79" i="14"/>
  <c r="AB109" i="14"/>
  <c r="Y141" i="14"/>
  <c r="V174" i="14"/>
  <c r="AD174" i="14"/>
  <c r="AA205" i="14"/>
  <c r="X239" i="14"/>
  <c r="W109" i="14"/>
  <c r="Z79" i="14"/>
  <c r="AB141" i="14"/>
  <c r="Y174" i="14"/>
  <c r="AA239" i="14"/>
  <c r="T79" i="14"/>
  <c r="T239" i="14"/>
  <c r="X79" i="14"/>
  <c r="U109" i="14"/>
  <c r="AC109" i="14"/>
  <c r="Z141" i="14"/>
  <c r="W174" i="14"/>
  <c r="AE174" i="14"/>
  <c r="AB205" i="14"/>
  <c r="Y239" i="14"/>
  <c r="T271" i="14"/>
  <c r="Y79" i="14"/>
  <c r="V109" i="14"/>
  <c r="AD109" i="14"/>
  <c r="AA141" i="14"/>
  <c r="X174" i="14"/>
  <c r="U205" i="14"/>
  <c r="AC205" i="14"/>
  <c r="Z239" i="14"/>
  <c r="AF142" i="14" l="1"/>
  <c r="AF58" i="14"/>
  <c r="AF59" i="14"/>
  <c r="AF110" i="14"/>
  <c r="AF222" i="14"/>
  <c r="AF55" i="14"/>
  <c r="AF207" i="14"/>
  <c r="AF158" i="14"/>
  <c r="AF175" i="14"/>
  <c r="AF272" i="14"/>
  <c r="AF93" i="14"/>
  <c r="AF111" i="14"/>
  <c r="AF273" i="14"/>
  <c r="AF221" i="14"/>
  <c r="AF271" i="14"/>
  <c r="AF205" i="14"/>
  <c r="AF191" i="14"/>
  <c r="AF190" i="14"/>
  <c r="AF176" i="14"/>
  <c r="AF156" i="14"/>
  <c r="AF269" i="14"/>
  <c r="AF256" i="14"/>
  <c r="AF239" i="14"/>
  <c r="AF141" i="14"/>
  <c r="AF223" i="14"/>
  <c r="AF240" i="14"/>
  <c r="AF255" i="14"/>
  <c r="AF92" i="14"/>
  <c r="AF94" i="14"/>
  <c r="AF206" i="14"/>
  <c r="AF79" i="14"/>
  <c r="AF174" i="14"/>
  <c r="AF241" i="14"/>
  <c r="AF254" i="14"/>
  <c r="AF189" i="14"/>
  <c r="AF124" i="14"/>
  <c r="AF109" i="14"/>
  <c r="AF56" i="14"/>
  <c r="AF126" i="14"/>
  <c r="AF157" i="14"/>
  <c r="AF125" i="14"/>
  <c r="AF143" i="14"/>
  <c r="AD6" i="14"/>
  <c r="R45" i="12" s="1"/>
  <c r="AB21" i="14"/>
  <c r="P59" i="12" s="1"/>
  <c r="AF54" i="14"/>
  <c r="W9" i="14"/>
  <c r="K48" i="12" s="1"/>
  <c r="U7" i="14"/>
  <c r="I46" i="12" s="1"/>
  <c r="AB6" i="14"/>
  <c r="P45" i="12" s="1"/>
  <c r="Z10" i="14"/>
  <c r="N49" i="12" s="1"/>
  <c r="W6" i="14"/>
  <c r="K45" i="12" s="1"/>
  <c r="W21" i="14"/>
  <c r="K59" i="12" s="1"/>
  <c r="Y7" i="14"/>
  <c r="M46" i="12" s="1"/>
  <c r="V8" i="14"/>
  <c r="J47" i="12" s="1"/>
  <c r="U21" i="14"/>
  <c r="I59" i="12" s="1"/>
  <c r="AC8" i="14"/>
  <c r="Q47" i="12" s="1"/>
  <c r="Z21" i="14"/>
  <c r="N59" i="12" s="1"/>
  <c r="AC9" i="14"/>
  <c r="Q48" i="12" s="1"/>
  <c r="T7" i="14"/>
  <c r="T21" i="14"/>
  <c r="Z6" i="14"/>
  <c r="N45" i="12" s="1"/>
  <c r="U6" i="14"/>
  <c r="I45" i="12" s="1"/>
  <c r="AE21" i="14"/>
  <c r="S59" i="12" s="1"/>
  <c r="AC10" i="14"/>
  <c r="Q49" i="12" s="1"/>
  <c r="AD10" i="14"/>
  <c r="R49" i="12" s="1"/>
  <c r="AB10" i="14"/>
  <c r="P49" i="12" s="1"/>
  <c r="AA10" i="14"/>
  <c r="O49" i="12" s="1"/>
  <c r="T6" i="14"/>
  <c r="U9" i="14"/>
  <c r="I48" i="12" s="1"/>
  <c r="Z9" i="14"/>
  <c r="N48" i="12" s="1"/>
  <c r="AD7" i="14"/>
  <c r="R46" i="12" s="1"/>
  <c r="U8" i="14"/>
  <c r="I47" i="12" s="1"/>
  <c r="Y10" i="14"/>
  <c r="M49" i="12" s="1"/>
  <c r="V10" i="14"/>
  <c r="J49" i="12" s="1"/>
  <c r="AA21" i="14"/>
  <c r="O59" i="12" s="1"/>
  <c r="X21" i="14"/>
  <c r="L59" i="12" s="1"/>
  <c r="T10" i="14"/>
  <c r="AB9" i="14"/>
  <c r="P48" i="12" s="1"/>
  <c r="AE9" i="14"/>
  <c r="S48" i="12" s="1"/>
  <c r="W8" i="14"/>
  <c r="K47" i="12" s="1"/>
  <c r="V21" i="14"/>
  <c r="J59" i="12" s="1"/>
  <c r="AE10" i="14"/>
  <c r="S49" i="12" s="1"/>
  <c r="X6" i="14"/>
  <c r="L45" i="12" s="1"/>
  <c r="Y6" i="14"/>
  <c r="M45" i="12" s="1"/>
  <c r="V9" i="14"/>
  <c r="J48" i="12" s="1"/>
  <c r="AB7" i="14"/>
  <c r="P46" i="12" s="1"/>
  <c r="Z7" i="14"/>
  <c r="N46" i="12" s="1"/>
  <c r="W7" i="14"/>
  <c r="K46" i="12" s="1"/>
  <c r="AA6" i="14"/>
  <c r="O45" i="12" s="1"/>
  <c r="Z8" i="14"/>
  <c r="N47" i="12" s="1"/>
  <c r="AD8" i="14"/>
  <c r="R47" i="12" s="1"/>
  <c r="AA8" i="14"/>
  <c r="O47" i="12" s="1"/>
  <c r="W10" i="14"/>
  <c r="K49" i="12" s="1"/>
  <c r="V6" i="14"/>
  <c r="J45" i="12" s="1"/>
  <c r="AA9" i="14"/>
  <c r="O48" i="12" s="1"/>
  <c r="V7" i="14"/>
  <c r="J46" i="12" s="1"/>
  <c r="AE7" i="14"/>
  <c r="S46" i="12" s="1"/>
  <c r="AA7" i="14"/>
  <c r="O46" i="12" s="1"/>
  <c r="T9" i="14"/>
  <c r="AD9" i="14"/>
  <c r="R48" i="12" s="1"/>
  <c r="X7" i="14"/>
  <c r="L46" i="12" s="1"/>
  <c r="AB8" i="14"/>
  <c r="P47" i="12" s="1"/>
  <c r="X10" i="14"/>
  <c r="L49" i="12" s="1"/>
  <c r="AE6" i="14"/>
  <c r="S45" i="12" s="1"/>
  <c r="Y21" i="14"/>
  <c r="M59" i="12" s="1"/>
  <c r="AC21" i="14"/>
  <c r="Q59" i="12" s="1"/>
  <c r="AD21" i="14"/>
  <c r="R59" i="12" s="1"/>
  <c r="U10" i="14"/>
  <c r="I49" i="12" s="1"/>
  <c r="AE8" i="14"/>
  <c r="S47" i="12" s="1"/>
  <c r="Y8" i="14"/>
  <c r="M47" i="12" s="1"/>
  <c r="AC6" i="14"/>
  <c r="Q45" i="12" s="1"/>
  <c r="Y9" i="14"/>
  <c r="M48" i="12" s="1"/>
  <c r="X9" i="14"/>
  <c r="L48" i="12" s="1"/>
  <c r="AC7" i="14"/>
  <c r="Q46" i="12" s="1"/>
  <c r="X8" i="14"/>
  <c r="L47" i="12" s="1"/>
  <c r="T8" i="14"/>
  <c r="G10" i="14"/>
  <c r="F49" i="12" s="1"/>
  <c r="G9" i="14"/>
  <c r="F48" i="12" s="1"/>
  <c r="G8" i="14"/>
  <c r="F47" i="12" s="1"/>
  <c r="G7" i="14"/>
  <c r="F46" i="12" s="1"/>
  <c r="G6" i="14"/>
  <c r="F45" i="12" s="1"/>
  <c r="H45" i="12" l="1"/>
  <c r="T45" i="12" s="1"/>
  <c r="AF6" i="14"/>
  <c r="H59" i="12"/>
  <c r="G59" i="12" s="1"/>
  <c r="AF21" i="14"/>
  <c r="H49" i="12"/>
  <c r="T49" i="12" s="1"/>
  <c r="AF10" i="14"/>
  <c r="H48" i="12"/>
  <c r="G48" i="12" s="1"/>
  <c r="AF9" i="14"/>
  <c r="H46" i="12"/>
  <c r="G46" i="12" s="1"/>
  <c r="AF7" i="14"/>
  <c r="H47" i="12"/>
  <c r="T47" i="12" s="1"/>
  <c r="AF8" i="14"/>
  <c r="Q64" i="3"/>
  <c r="G45" i="12" l="1"/>
  <c r="T48" i="12"/>
  <c r="T59" i="12"/>
  <c r="T46" i="12"/>
  <c r="G47" i="12"/>
  <c r="G49" i="12"/>
  <c r="P80" i="3"/>
  <c r="P99" i="3" s="1"/>
  <c r="O80" i="3"/>
  <c r="O99" i="3" s="1"/>
  <c r="N80" i="3"/>
  <c r="N99" i="3" s="1"/>
  <c r="M80" i="3"/>
  <c r="M99" i="3" s="1"/>
  <c r="L80" i="3"/>
  <c r="L99" i="3" s="1"/>
  <c r="K80" i="3"/>
  <c r="K99" i="3" s="1"/>
  <c r="J80" i="3"/>
  <c r="J99" i="3" s="1"/>
  <c r="I80" i="3"/>
  <c r="I99" i="3" s="1"/>
  <c r="H80" i="3"/>
  <c r="H99" i="3" s="1"/>
  <c r="G80" i="3"/>
  <c r="G99" i="3" s="1"/>
  <c r="F80" i="3"/>
  <c r="F99" i="3" s="1"/>
  <c r="E80" i="3"/>
  <c r="E99" i="3" s="1"/>
  <c r="Q99" i="3" l="1"/>
  <c r="E68" i="3"/>
  <c r="F68" i="3"/>
  <c r="G68" i="3"/>
  <c r="H68" i="3"/>
  <c r="I68" i="3"/>
  <c r="J68" i="3"/>
  <c r="K68" i="3"/>
  <c r="L68" i="3"/>
  <c r="M68" i="3"/>
  <c r="N68" i="3"/>
  <c r="O68" i="3"/>
  <c r="P68" i="3"/>
  <c r="E69" i="3"/>
  <c r="E96" i="3" s="1"/>
  <c r="F69" i="3"/>
  <c r="G69" i="3"/>
  <c r="H69" i="3"/>
  <c r="I69" i="3"/>
  <c r="J69" i="3"/>
  <c r="K69" i="3"/>
  <c r="L69" i="3"/>
  <c r="M69" i="3"/>
  <c r="M96" i="3" s="1"/>
  <c r="N69" i="3"/>
  <c r="O69" i="3"/>
  <c r="P69" i="3"/>
  <c r="E70" i="3"/>
  <c r="F70" i="3"/>
  <c r="G70" i="3"/>
  <c r="H70" i="3"/>
  <c r="I70" i="3"/>
  <c r="I97" i="3" s="1"/>
  <c r="J70" i="3"/>
  <c r="K70" i="3"/>
  <c r="L70" i="3"/>
  <c r="L97" i="3" s="1"/>
  <c r="M70" i="3"/>
  <c r="N70" i="3"/>
  <c r="O70" i="3"/>
  <c r="P70" i="3"/>
  <c r="E71" i="3"/>
  <c r="E98" i="3" s="1"/>
  <c r="F71" i="3"/>
  <c r="F98" i="3" s="1"/>
  <c r="G71" i="3"/>
  <c r="H71" i="3"/>
  <c r="H98" i="3" s="1"/>
  <c r="I71" i="3"/>
  <c r="J71" i="3"/>
  <c r="K71" i="3"/>
  <c r="L71" i="3"/>
  <c r="M71" i="3"/>
  <c r="M98" i="3" s="1"/>
  <c r="N71" i="3"/>
  <c r="N98" i="3" s="1"/>
  <c r="O71" i="3"/>
  <c r="P71" i="3"/>
  <c r="P98" i="3" s="1"/>
  <c r="P67" i="3"/>
  <c r="O67" i="3"/>
  <c r="N67" i="3"/>
  <c r="M67" i="3"/>
  <c r="L67" i="3"/>
  <c r="L94" i="3" s="1"/>
  <c r="K67" i="3"/>
  <c r="K94" i="3" s="1"/>
  <c r="J67" i="3"/>
  <c r="I67" i="3"/>
  <c r="I94" i="3" s="1"/>
  <c r="H67" i="3"/>
  <c r="G67" i="3"/>
  <c r="F67" i="3"/>
  <c r="E67" i="3"/>
  <c r="J97" i="3" l="1"/>
  <c r="I95" i="3"/>
  <c r="P96" i="3"/>
  <c r="H96" i="3"/>
  <c r="L95" i="3"/>
  <c r="J94" i="3"/>
  <c r="O98" i="3"/>
  <c r="G98" i="3"/>
  <c r="K97" i="3"/>
  <c r="O96" i="3"/>
  <c r="G96" i="3"/>
  <c r="K95" i="3"/>
  <c r="N96" i="3"/>
  <c r="F96" i="3"/>
  <c r="J95" i="3"/>
  <c r="G94" i="3"/>
  <c r="O94" i="3"/>
  <c r="J98" i="3"/>
  <c r="N97" i="3"/>
  <c r="F97" i="3"/>
  <c r="H94" i="3"/>
  <c r="P94" i="3"/>
  <c r="J96" i="3"/>
  <c r="I98" i="3"/>
  <c r="M97" i="3"/>
  <c r="E97" i="3"/>
  <c r="I96" i="3"/>
  <c r="M95" i="3"/>
  <c r="M94" i="3"/>
  <c r="L98" i="3"/>
  <c r="P97" i="3"/>
  <c r="H97" i="3"/>
  <c r="L96" i="3"/>
  <c r="P95" i="3"/>
  <c r="H95" i="3"/>
  <c r="F94" i="3"/>
  <c r="N94" i="3"/>
  <c r="K98" i="3"/>
  <c r="O97" i="3"/>
  <c r="G97" i="3"/>
  <c r="K96" i="3"/>
  <c r="O95" i="3"/>
  <c r="G95" i="3"/>
  <c r="E94" i="3"/>
  <c r="N95" i="3"/>
  <c r="F95" i="3"/>
  <c r="E95" i="3"/>
  <c r="Q95" i="3" s="1"/>
  <c r="Q98" i="3" l="1"/>
  <c r="Q96" i="3"/>
  <c r="Q94" i="3"/>
  <c r="Q97" i="3"/>
  <c r="P24" i="16"/>
  <c r="P25" i="16"/>
  <c r="P21" i="16" l="1"/>
  <c r="P22" i="16"/>
  <c r="P34" i="16"/>
  <c r="P31" i="16"/>
  <c r="P32" i="16"/>
  <c r="P33" i="16"/>
  <c r="P35" i="16"/>
  <c r="P26" i="16"/>
  <c r="P20" i="16"/>
  <c r="P23" i="16"/>
  <c r="T77" i="14" l="1"/>
  <c r="T237" i="14" l="1"/>
  <c r="U237" i="14"/>
  <c r="V237" i="14"/>
  <c r="W237" i="14"/>
  <c r="X237" i="14"/>
  <c r="Y237" i="14"/>
  <c r="Z237" i="14"/>
  <c r="AA237" i="14"/>
  <c r="AB237" i="14"/>
  <c r="AC237" i="14"/>
  <c r="AD237" i="14"/>
  <c r="AE237" i="14"/>
  <c r="T203" i="14"/>
  <c r="U203" i="14"/>
  <c r="V203" i="14"/>
  <c r="W203" i="14"/>
  <c r="X203" i="14"/>
  <c r="Y203" i="14"/>
  <c r="Z203" i="14"/>
  <c r="AA203" i="14"/>
  <c r="AB203" i="14"/>
  <c r="AC203" i="14"/>
  <c r="AD203" i="14"/>
  <c r="AE203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U77" i="14"/>
  <c r="V77" i="14"/>
  <c r="W77" i="14"/>
  <c r="X77" i="14"/>
  <c r="Y77" i="14"/>
  <c r="Z77" i="14"/>
  <c r="AA77" i="14"/>
  <c r="AB77" i="14"/>
  <c r="AC77" i="14"/>
  <c r="AD77" i="14"/>
  <c r="AE77" i="14"/>
  <c r="T91" i="14"/>
  <c r="U154" i="14"/>
  <c r="AC274" i="14"/>
  <c r="V66" i="14"/>
  <c r="V253" i="14"/>
  <c r="T264" i="14"/>
  <c r="U264" i="14"/>
  <c r="V264" i="14"/>
  <c r="W264" i="14"/>
  <c r="X264" i="14"/>
  <c r="Y264" i="14"/>
  <c r="Z264" i="14"/>
  <c r="AA264" i="14"/>
  <c r="AB264" i="14"/>
  <c r="AC264" i="14"/>
  <c r="AD264" i="14"/>
  <c r="AE264" i="14"/>
  <c r="T263" i="14"/>
  <c r="U263" i="14"/>
  <c r="V263" i="14"/>
  <c r="W263" i="14"/>
  <c r="X263" i="14"/>
  <c r="Y263" i="14"/>
  <c r="Z263" i="14"/>
  <c r="AA263" i="14"/>
  <c r="AB263" i="14"/>
  <c r="AC263" i="14"/>
  <c r="AD263" i="14"/>
  <c r="AE263" i="14"/>
  <c r="T270" i="14"/>
  <c r="U270" i="14"/>
  <c r="V270" i="14"/>
  <c r="W270" i="14"/>
  <c r="X270" i="14"/>
  <c r="Y270" i="14"/>
  <c r="Z270" i="14"/>
  <c r="AA270" i="14"/>
  <c r="AB270" i="14"/>
  <c r="AC270" i="14"/>
  <c r="AD270" i="14"/>
  <c r="AE270" i="14"/>
  <c r="T248" i="14"/>
  <c r="U248" i="14"/>
  <c r="V248" i="14"/>
  <c r="W248" i="14"/>
  <c r="X248" i="14"/>
  <c r="Y248" i="14"/>
  <c r="Z248" i="14"/>
  <c r="AA248" i="14"/>
  <c r="AB248" i="14"/>
  <c r="AC248" i="14"/>
  <c r="AD248" i="14"/>
  <c r="AE248" i="14"/>
  <c r="T249" i="14"/>
  <c r="U249" i="14"/>
  <c r="V249" i="14"/>
  <c r="W249" i="14"/>
  <c r="X249" i="14"/>
  <c r="Y249" i="14"/>
  <c r="Z249" i="14"/>
  <c r="AA249" i="14"/>
  <c r="AB249" i="14"/>
  <c r="AC249" i="14"/>
  <c r="AD249" i="14"/>
  <c r="AE249" i="14"/>
  <c r="T258" i="14"/>
  <c r="U258" i="14"/>
  <c r="V258" i="14"/>
  <c r="W258" i="14"/>
  <c r="X258" i="14"/>
  <c r="Y258" i="14"/>
  <c r="Z258" i="14"/>
  <c r="AA258" i="14"/>
  <c r="AB258" i="14"/>
  <c r="AC258" i="14"/>
  <c r="AD258" i="14"/>
  <c r="AE258" i="14"/>
  <c r="T266" i="14"/>
  <c r="U266" i="14"/>
  <c r="V266" i="14"/>
  <c r="W266" i="14"/>
  <c r="X266" i="14"/>
  <c r="Y266" i="14"/>
  <c r="Z266" i="14"/>
  <c r="AA266" i="14"/>
  <c r="AB266" i="14"/>
  <c r="AC266" i="14"/>
  <c r="AD266" i="14"/>
  <c r="AE266" i="14"/>
  <c r="T268" i="14"/>
  <c r="U268" i="14"/>
  <c r="V268" i="14"/>
  <c r="W268" i="14"/>
  <c r="X268" i="14"/>
  <c r="Y268" i="14"/>
  <c r="Z268" i="14"/>
  <c r="AA268" i="14"/>
  <c r="AB268" i="14"/>
  <c r="AC268" i="14"/>
  <c r="AD268" i="14"/>
  <c r="AE268" i="14"/>
  <c r="T267" i="14"/>
  <c r="U267" i="14"/>
  <c r="V267" i="14"/>
  <c r="W267" i="14"/>
  <c r="X267" i="14"/>
  <c r="Y267" i="14"/>
  <c r="Z267" i="14"/>
  <c r="AA267" i="14"/>
  <c r="AB267" i="14"/>
  <c r="AC267" i="14"/>
  <c r="AD267" i="14"/>
  <c r="AE267" i="14"/>
  <c r="F100" i="3"/>
  <c r="F101" i="3"/>
  <c r="F102" i="3"/>
  <c r="F103" i="3"/>
  <c r="G100" i="3"/>
  <c r="G101" i="3"/>
  <c r="G103" i="3"/>
  <c r="H101" i="3"/>
  <c r="H102" i="3"/>
  <c r="H103" i="3"/>
  <c r="I100" i="3"/>
  <c r="I101" i="3"/>
  <c r="I103" i="3"/>
  <c r="J12" i="3"/>
  <c r="J101" i="3"/>
  <c r="J102" i="3"/>
  <c r="J103" i="3"/>
  <c r="K100" i="3"/>
  <c r="K101" i="3"/>
  <c r="K103" i="3"/>
  <c r="L100" i="3"/>
  <c r="L101" i="3"/>
  <c r="L102" i="3"/>
  <c r="L103" i="3"/>
  <c r="M100" i="3"/>
  <c r="M101" i="3"/>
  <c r="M102" i="3"/>
  <c r="M103" i="3"/>
  <c r="N101" i="3"/>
  <c r="N102" i="3"/>
  <c r="N103" i="3"/>
  <c r="O100" i="3"/>
  <c r="O101" i="3"/>
  <c r="O102" i="3"/>
  <c r="O103" i="3"/>
  <c r="P100" i="3"/>
  <c r="P101" i="3"/>
  <c r="P102" i="3"/>
  <c r="P103" i="3"/>
  <c r="E100" i="3"/>
  <c r="E101" i="3"/>
  <c r="E103" i="3"/>
  <c r="T73" i="14"/>
  <c r="T102" i="14"/>
  <c r="U168" i="14"/>
  <c r="U48" i="14" s="1"/>
  <c r="T72" i="14"/>
  <c r="T78" i="14"/>
  <c r="T60" i="14"/>
  <c r="T61" i="14"/>
  <c r="T67" i="14"/>
  <c r="T74" i="14"/>
  <c r="T76" i="14"/>
  <c r="T75" i="14"/>
  <c r="T101" i="14"/>
  <c r="T108" i="14"/>
  <c r="T86" i="14"/>
  <c r="T87" i="14"/>
  <c r="T96" i="14"/>
  <c r="T104" i="14"/>
  <c r="T106" i="14"/>
  <c r="T105" i="14"/>
  <c r="T134" i="14"/>
  <c r="T133" i="14"/>
  <c r="T140" i="14"/>
  <c r="T118" i="14"/>
  <c r="T119" i="14"/>
  <c r="T128" i="14"/>
  <c r="T136" i="14"/>
  <c r="T138" i="14"/>
  <c r="T137" i="14"/>
  <c r="T166" i="14"/>
  <c r="T165" i="14"/>
  <c r="T173" i="14"/>
  <c r="T150" i="14"/>
  <c r="T151" i="14"/>
  <c r="T160" i="14"/>
  <c r="T169" i="14"/>
  <c r="T171" i="14"/>
  <c r="T170" i="14"/>
  <c r="T199" i="14"/>
  <c r="T198" i="14"/>
  <c r="T204" i="14"/>
  <c r="T183" i="14"/>
  <c r="T184" i="14"/>
  <c r="T193" i="14"/>
  <c r="T200" i="14"/>
  <c r="T202" i="14"/>
  <c r="T201" i="14"/>
  <c r="T231" i="14"/>
  <c r="T230" i="14"/>
  <c r="T238" i="14"/>
  <c r="T215" i="14"/>
  <c r="T216" i="14"/>
  <c r="T225" i="14"/>
  <c r="T234" i="14"/>
  <c r="T236" i="14"/>
  <c r="T235" i="14"/>
  <c r="U73" i="14"/>
  <c r="U102" i="14"/>
  <c r="U72" i="14"/>
  <c r="U78" i="14"/>
  <c r="U60" i="14"/>
  <c r="U61" i="14"/>
  <c r="U67" i="14"/>
  <c r="U74" i="14"/>
  <c r="U76" i="14"/>
  <c r="U75" i="14"/>
  <c r="U91" i="14"/>
  <c r="U101" i="14"/>
  <c r="U108" i="14"/>
  <c r="U86" i="14"/>
  <c r="U87" i="14"/>
  <c r="U96" i="14"/>
  <c r="U104" i="14"/>
  <c r="U106" i="14"/>
  <c r="U105" i="14"/>
  <c r="U113" i="14"/>
  <c r="U134" i="14"/>
  <c r="U133" i="14"/>
  <c r="U140" i="14"/>
  <c r="U118" i="14"/>
  <c r="U119" i="14"/>
  <c r="U128" i="14"/>
  <c r="U136" i="14"/>
  <c r="U138" i="14"/>
  <c r="U137" i="14"/>
  <c r="U166" i="14"/>
  <c r="U165" i="14"/>
  <c r="U173" i="14"/>
  <c r="U150" i="14"/>
  <c r="U151" i="14"/>
  <c r="U160" i="14"/>
  <c r="U169" i="14"/>
  <c r="U171" i="14"/>
  <c r="U170" i="14"/>
  <c r="U199" i="14"/>
  <c r="U198" i="14"/>
  <c r="U204" i="14"/>
  <c r="U183" i="14"/>
  <c r="U184" i="14"/>
  <c r="U193" i="14"/>
  <c r="U200" i="14"/>
  <c r="U202" i="14"/>
  <c r="U201" i="14"/>
  <c r="U220" i="14"/>
  <c r="U231" i="14"/>
  <c r="U230" i="14"/>
  <c r="U238" i="14"/>
  <c r="U215" i="14"/>
  <c r="U216" i="14"/>
  <c r="U224" i="14"/>
  <c r="U225" i="14"/>
  <c r="U234" i="14"/>
  <c r="U236" i="14"/>
  <c r="U235" i="14"/>
  <c r="V73" i="14"/>
  <c r="V102" i="14"/>
  <c r="V65" i="14"/>
  <c r="V72" i="14"/>
  <c r="V78" i="14"/>
  <c r="V60" i="14"/>
  <c r="V61" i="14"/>
  <c r="V67" i="14"/>
  <c r="V74" i="14"/>
  <c r="V76" i="14"/>
  <c r="V75" i="14"/>
  <c r="V91" i="14"/>
  <c r="V101" i="14"/>
  <c r="V108" i="14"/>
  <c r="V86" i="14"/>
  <c r="V87" i="14"/>
  <c r="V116" i="14"/>
  <c r="V96" i="14"/>
  <c r="V104" i="14"/>
  <c r="V106" i="14"/>
  <c r="V105" i="14"/>
  <c r="V134" i="14"/>
  <c r="V133" i="14"/>
  <c r="V140" i="14"/>
  <c r="V118" i="14"/>
  <c r="V119" i="14"/>
  <c r="V128" i="14"/>
  <c r="V136" i="14"/>
  <c r="V138" i="14"/>
  <c r="V137" i="14"/>
  <c r="V155" i="14"/>
  <c r="V166" i="14"/>
  <c r="V165" i="14"/>
  <c r="V173" i="14"/>
  <c r="V150" i="14"/>
  <c r="V151" i="14"/>
  <c r="V160" i="14"/>
  <c r="V169" i="14"/>
  <c r="V171" i="14"/>
  <c r="V170" i="14"/>
  <c r="V188" i="14"/>
  <c r="V199" i="14"/>
  <c r="V198" i="14"/>
  <c r="V204" i="14"/>
  <c r="V183" i="14"/>
  <c r="V184" i="14"/>
  <c r="V193" i="14"/>
  <c r="V200" i="14"/>
  <c r="V202" i="14"/>
  <c r="V201" i="14"/>
  <c r="V220" i="14"/>
  <c r="V231" i="14"/>
  <c r="V230" i="14"/>
  <c r="V238" i="14"/>
  <c r="V215" i="14"/>
  <c r="V216" i="14"/>
  <c r="V225" i="14"/>
  <c r="V234" i="14"/>
  <c r="V236" i="14"/>
  <c r="V235" i="14"/>
  <c r="W73" i="14"/>
  <c r="W102" i="14"/>
  <c r="W65" i="14"/>
  <c r="W72" i="14"/>
  <c r="W78" i="14"/>
  <c r="W60" i="14"/>
  <c r="W61" i="14"/>
  <c r="W67" i="14"/>
  <c r="W74" i="14"/>
  <c r="W76" i="14"/>
  <c r="W75" i="14"/>
  <c r="W81" i="14"/>
  <c r="W91" i="14"/>
  <c r="W101" i="14"/>
  <c r="W108" i="14"/>
  <c r="W86" i="14"/>
  <c r="W87" i="14"/>
  <c r="W96" i="14"/>
  <c r="W104" i="14"/>
  <c r="W106" i="14"/>
  <c r="W105" i="14"/>
  <c r="W123" i="14"/>
  <c r="W134" i="14"/>
  <c r="W133" i="14"/>
  <c r="W140" i="14"/>
  <c r="W118" i="14"/>
  <c r="W119" i="14"/>
  <c r="W127" i="14"/>
  <c r="W128" i="14"/>
  <c r="W136" i="14"/>
  <c r="W138" i="14"/>
  <c r="W137" i="14"/>
  <c r="W166" i="14"/>
  <c r="W165" i="14"/>
  <c r="W173" i="14"/>
  <c r="W150" i="14"/>
  <c r="W151" i="14"/>
  <c r="W160" i="14"/>
  <c r="W169" i="14"/>
  <c r="W171" i="14"/>
  <c r="W170" i="14"/>
  <c r="W199" i="14"/>
  <c r="W198" i="14"/>
  <c r="W204" i="14"/>
  <c r="W183" i="14"/>
  <c r="W184" i="14"/>
  <c r="W193" i="14"/>
  <c r="W200" i="14"/>
  <c r="W202" i="14"/>
  <c r="W201" i="14"/>
  <c r="W220" i="14"/>
  <c r="W231" i="14"/>
  <c r="W230" i="14"/>
  <c r="W238" i="14"/>
  <c r="W215" i="14"/>
  <c r="W216" i="14"/>
  <c r="W225" i="14"/>
  <c r="W234" i="14"/>
  <c r="W236" i="14"/>
  <c r="W235" i="14"/>
  <c r="W243" i="14"/>
  <c r="X73" i="14"/>
  <c r="X102" i="14"/>
  <c r="X72" i="14"/>
  <c r="X78" i="14"/>
  <c r="X60" i="14"/>
  <c r="X61" i="14"/>
  <c r="X67" i="14"/>
  <c r="X74" i="14"/>
  <c r="X76" i="14"/>
  <c r="X75" i="14"/>
  <c r="X91" i="14"/>
  <c r="X101" i="14"/>
  <c r="X108" i="14"/>
  <c r="X86" i="14"/>
  <c r="X87" i="14"/>
  <c r="X96" i="14"/>
  <c r="X104" i="14"/>
  <c r="X106" i="14"/>
  <c r="X105" i="14"/>
  <c r="X123" i="14"/>
  <c r="X134" i="14"/>
  <c r="X133" i="14"/>
  <c r="X140" i="14"/>
  <c r="X118" i="14"/>
  <c r="X119" i="14"/>
  <c r="X128" i="14"/>
  <c r="X136" i="14"/>
  <c r="X138" i="14"/>
  <c r="X137" i="14"/>
  <c r="X155" i="14"/>
  <c r="X166" i="14"/>
  <c r="X165" i="14"/>
  <c r="X173" i="14"/>
  <c r="X150" i="14"/>
  <c r="X151" i="14"/>
  <c r="X160" i="14"/>
  <c r="X169" i="14"/>
  <c r="X171" i="14"/>
  <c r="X170" i="14"/>
  <c r="X188" i="14"/>
  <c r="X199" i="14"/>
  <c r="X198" i="14"/>
  <c r="X204" i="14"/>
  <c r="X183" i="14"/>
  <c r="X184" i="14"/>
  <c r="X193" i="14"/>
  <c r="X200" i="14"/>
  <c r="X202" i="14"/>
  <c r="X201" i="14"/>
  <c r="X220" i="14"/>
  <c r="X231" i="14"/>
  <c r="X230" i="14"/>
  <c r="X238" i="14"/>
  <c r="X215" i="14"/>
  <c r="X216" i="14"/>
  <c r="X225" i="14"/>
  <c r="X234" i="14"/>
  <c r="X236" i="14"/>
  <c r="X235" i="14"/>
  <c r="Y73" i="14"/>
  <c r="Y102" i="14"/>
  <c r="Y65" i="14"/>
  <c r="Y72" i="14"/>
  <c r="Y78" i="14"/>
  <c r="Y60" i="14"/>
  <c r="Y61" i="14"/>
  <c r="Y66" i="14"/>
  <c r="Y67" i="14"/>
  <c r="Y74" i="14"/>
  <c r="Y76" i="14"/>
  <c r="Y75" i="14"/>
  <c r="Y91" i="14"/>
  <c r="Y101" i="14"/>
  <c r="Y108" i="14"/>
  <c r="Y86" i="14"/>
  <c r="Y87" i="14"/>
  <c r="Y95" i="14"/>
  <c r="Y96" i="14"/>
  <c r="Y104" i="14"/>
  <c r="Y106" i="14"/>
  <c r="Y105" i="14"/>
  <c r="Y123" i="14"/>
  <c r="Y134" i="14"/>
  <c r="Y133" i="14"/>
  <c r="Y140" i="14"/>
  <c r="Y118" i="14"/>
  <c r="Y119" i="14"/>
  <c r="Y128" i="14"/>
  <c r="Y136" i="14"/>
  <c r="Y138" i="14"/>
  <c r="Y137" i="14"/>
  <c r="Y155" i="14"/>
  <c r="Y166" i="14"/>
  <c r="Y165" i="14"/>
  <c r="Y173" i="14"/>
  <c r="Y150" i="14"/>
  <c r="Y151" i="14"/>
  <c r="Y160" i="14"/>
  <c r="Y169" i="14"/>
  <c r="Y171" i="14"/>
  <c r="Y170" i="14"/>
  <c r="Y188" i="14"/>
  <c r="Y199" i="14"/>
  <c r="Y198" i="14"/>
  <c r="Y204" i="14"/>
  <c r="Y183" i="14"/>
  <c r="Y184" i="14"/>
  <c r="Y193" i="14"/>
  <c r="Y200" i="14"/>
  <c r="Y202" i="14"/>
  <c r="Y201" i="14"/>
  <c r="Y220" i="14"/>
  <c r="Y231" i="14"/>
  <c r="Y230" i="14"/>
  <c r="Y238" i="14"/>
  <c r="Y215" i="14"/>
  <c r="Y216" i="14"/>
  <c r="Y225" i="14"/>
  <c r="Y234" i="14"/>
  <c r="Y236" i="14"/>
  <c r="Y235" i="14"/>
  <c r="Z73" i="14"/>
  <c r="Z102" i="14"/>
  <c r="Z65" i="14"/>
  <c r="Z72" i="14"/>
  <c r="Z78" i="14"/>
  <c r="Z60" i="14"/>
  <c r="Z61" i="14"/>
  <c r="Z66" i="14"/>
  <c r="Z67" i="14"/>
  <c r="Z74" i="14"/>
  <c r="Z76" i="14"/>
  <c r="Z75" i="14"/>
  <c r="Z91" i="14"/>
  <c r="Z101" i="14"/>
  <c r="Z108" i="14"/>
  <c r="Z86" i="14"/>
  <c r="Z87" i="14"/>
  <c r="Z96" i="14"/>
  <c r="Z104" i="14"/>
  <c r="Z106" i="14"/>
  <c r="Z105" i="14"/>
  <c r="Z123" i="14"/>
  <c r="Z134" i="14"/>
  <c r="Z133" i="14"/>
  <c r="Z140" i="14"/>
  <c r="Z118" i="14"/>
  <c r="Z119" i="14"/>
  <c r="Z128" i="14"/>
  <c r="Z136" i="14"/>
  <c r="Z138" i="14"/>
  <c r="Z137" i="14"/>
  <c r="Z145" i="14"/>
  <c r="Z155" i="14"/>
  <c r="Z166" i="14"/>
  <c r="Z165" i="14"/>
  <c r="Z173" i="14"/>
  <c r="Z150" i="14"/>
  <c r="Z151" i="14"/>
  <c r="Z159" i="14"/>
  <c r="Z160" i="14"/>
  <c r="Z169" i="14"/>
  <c r="Z171" i="14"/>
  <c r="Z170" i="14"/>
  <c r="Z188" i="14"/>
  <c r="Z199" i="14"/>
  <c r="Z198" i="14"/>
  <c r="Z204" i="14"/>
  <c r="Z183" i="14"/>
  <c r="Z184" i="14"/>
  <c r="Z193" i="14"/>
  <c r="Z200" i="14"/>
  <c r="Z202" i="14"/>
  <c r="Z201" i="14"/>
  <c r="Z220" i="14"/>
  <c r="Z231" i="14"/>
  <c r="Z230" i="14"/>
  <c r="Z238" i="14"/>
  <c r="Z215" i="14"/>
  <c r="Z216" i="14"/>
  <c r="Z224" i="14"/>
  <c r="Z225" i="14"/>
  <c r="Z234" i="14"/>
  <c r="Z236" i="14"/>
  <c r="Z235" i="14"/>
  <c r="AA73" i="14"/>
  <c r="AA102" i="14"/>
  <c r="AA65" i="14"/>
  <c r="AA72" i="14"/>
  <c r="AA78" i="14"/>
  <c r="AA60" i="14"/>
  <c r="AA61" i="14"/>
  <c r="AA66" i="14"/>
  <c r="AA67" i="14"/>
  <c r="AA74" i="14"/>
  <c r="AA76" i="14"/>
  <c r="AA75" i="14"/>
  <c r="AA91" i="14"/>
  <c r="AA101" i="14"/>
  <c r="AA108" i="14"/>
  <c r="AA86" i="14"/>
  <c r="AA87" i="14"/>
  <c r="AA95" i="14"/>
  <c r="AA96" i="14"/>
  <c r="AA104" i="14"/>
  <c r="AA106" i="14"/>
  <c r="AA105" i="14"/>
  <c r="AA123" i="14"/>
  <c r="AA134" i="14"/>
  <c r="AA133" i="14"/>
  <c r="AA140" i="14"/>
  <c r="AA118" i="14"/>
  <c r="AA119" i="14"/>
  <c r="AA128" i="14"/>
  <c r="AA136" i="14"/>
  <c r="AA138" i="14"/>
  <c r="AA137" i="14"/>
  <c r="AA155" i="14"/>
  <c r="AA166" i="14"/>
  <c r="AA165" i="14"/>
  <c r="AA173" i="14"/>
  <c r="AA150" i="14"/>
  <c r="AA151" i="14"/>
  <c r="AA160" i="14"/>
  <c r="AA169" i="14"/>
  <c r="AA171" i="14"/>
  <c r="AA170" i="14"/>
  <c r="AA188" i="14"/>
  <c r="AA199" i="14"/>
  <c r="AA198" i="14"/>
  <c r="AA204" i="14"/>
  <c r="AA183" i="14"/>
  <c r="AA184" i="14"/>
  <c r="AA212" i="14"/>
  <c r="AA193" i="14"/>
  <c r="AA200" i="14"/>
  <c r="AA202" i="14"/>
  <c r="AA201" i="14"/>
  <c r="AA220" i="14"/>
  <c r="AA231" i="14"/>
  <c r="AA230" i="14"/>
  <c r="AA238" i="14"/>
  <c r="AA215" i="14"/>
  <c r="AA216" i="14"/>
  <c r="AA224" i="14"/>
  <c r="AA225" i="14"/>
  <c r="AA234" i="14"/>
  <c r="AA236" i="14"/>
  <c r="AA235" i="14"/>
  <c r="AB73" i="14"/>
  <c r="AB102" i="14"/>
  <c r="AB65" i="14"/>
  <c r="AB72" i="14"/>
  <c r="AB78" i="14"/>
  <c r="AB60" i="14"/>
  <c r="AB61" i="14"/>
  <c r="AB67" i="14"/>
  <c r="AB74" i="14"/>
  <c r="AB76" i="14"/>
  <c r="AB75" i="14"/>
  <c r="AB91" i="14"/>
  <c r="AB101" i="14"/>
  <c r="AB108" i="14"/>
  <c r="AB86" i="14"/>
  <c r="AB87" i="14"/>
  <c r="AB96" i="14"/>
  <c r="AB104" i="14"/>
  <c r="AB106" i="14"/>
  <c r="AB105" i="14"/>
  <c r="AB123" i="14"/>
  <c r="AB134" i="14"/>
  <c r="AB133" i="14"/>
  <c r="AB140" i="14"/>
  <c r="AB118" i="14"/>
  <c r="AB119" i="14"/>
  <c r="AB128" i="14"/>
  <c r="AB136" i="14"/>
  <c r="AB138" i="14"/>
  <c r="AB137" i="14"/>
  <c r="AB155" i="14"/>
  <c r="AB166" i="14"/>
  <c r="AB165" i="14"/>
  <c r="AB173" i="14"/>
  <c r="AB150" i="14"/>
  <c r="AB151" i="14"/>
  <c r="AB159" i="14"/>
  <c r="AB160" i="14"/>
  <c r="AB169" i="14"/>
  <c r="AB171" i="14"/>
  <c r="AB170" i="14"/>
  <c r="AB188" i="14"/>
  <c r="AB199" i="14"/>
  <c r="AB198" i="14"/>
  <c r="AB204" i="14"/>
  <c r="AB183" i="14"/>
  <c r="AB184" i="14"/>
  <c r="AB193" i="14"/>
  <c r="AB200" i="14"/>
  <c r="AB202" i="14"/>
  <c r="AB201" i="14"/>
  <c r="AB220" i="14"/>
  <c r="AB231" i="14"/>
  <c r="AB230" i="14"/>
  <c r="AB238" i="14"/>
  <c r="AB215" i="14"/>
  <c r="AB216" i="14"/>
  <c r="AB225" i="14"/>
  <c r="AB234" i="14"/>
  <c r="AB236" i="14"/>
  <c r="AB235" i="14"/>
  <c r="AC73" i="14"/>
  <c r="AC102" i="14"/>
  <c r="AC65" i="14"/>
  <c r="AC72" i="14"/>
  <c r="AC78" i="14"/>
  <c r="AC60" i="14"/>
  <c r="AC61" i="14"/>
  <c r="AC67" i="14"/>
  <c r="AC74" i="14"/>
  <c r="AC76" i="14"/>
  <c r="AC75" i="14"/>
  <c r="AC91" i="14"/>
  <c r="AC101" i="14"/>
  <c r="AC108" i="14"/>
  <c r="AC86" i="14"/>
  <c r="AC87" i="14"/>
  <c r="AC96" i="14"/>
  <c r="AC104" i="14"/>
  <c r="AC106" i="14"/>
  <c r="AC105" i="14"/>
  <c r="AC113" i="14"/>
  <c r="AC123" i="14"/>
  <c r="AC134" i="14"/>
  <c r="AC133" i="14"/>
  <c r="AC140" i="14"/>
  <c r="AC118" i="14"/>
  <c r="AC119" i="14"/>
  <c r="AC127" i="14"/>
  <c r="AC128" i="14"/>
  <c r="AC136" i="14"/>
  <c r="AC138" i="14"/>
  <c r="AC137" i="14"/>
  <c r="AC155" i="14"/>
  <c r="AC166" i="14"/>
  <c r="AC165" i="14"/>
  <c r="AC173" i="14"/>
  <c r="AC150" i="14"/>
  <c r="AC151" i="14"/>
  <c r="AC160" i="14"/>
  <c r="AC169" i="14"/>
  <c r="AC171" i="14"/>
  <c r="AC170" i="14"/>
  <c r="AC188" i="14"/>
  <c r="AC199" i="14"/>
  <c r="AC198" i="14"/>
  <c r="AC204" i="14"/>
  <c r="AC183" i="14"/>
  <c r="AC184" i="14"/>
  <c r="AC192" i="14"/>
  <c r="AC193" i="14"/>
  <c r="AC200" i="14"/>
  <c r="AC202" i="14"/>
  <c r="AC201" i="14"/>
  <c r="AC220" i="14"/>
  <c r="AC231" i="14"/>
  <c r="AC230" i="14"/>
  <c r="AC238" i="14"/>
  <c r="AC215" i="14"/>
  <c r="AC216" i="14"/>
  <c r="AC224" i="14"/>
  <c r="AC225" i="14"/>
  <c r="AC234" i="14"/>
  <c r="AC236" i="14"/>
  <c r="AC235" i="14"/>
  <c r="AD73" i="14"/>
  <c r="AD102" i="14"/>
  <c r="AD65" i="14"/>
  <c r="AD72" i="14"/>
  <c r="AD78" i="14"/>
  <c r="AD60" i="14"/>
  <c r="AD61" i="14"/>
  <c r="AD67" i="14"/>
  <c r="AD74" i="14"/>
  <c r="AD76" i="14"/>
  <c r="AD75" i="14"/>
  <c r="AD91" i="14"/>
  <c r="AD101" i="14"/>
  <c r="AD108" i="14"/>
  <c r="AD86" i="14"/>
  <c r="AD87" i="14"/>
  <c r="AD116" i="14"/>
  <c r="AD96" i="14"/>
  <c r="AD104" i="14"/>
  <c r="AD106" i="14"/>
  <c r="AD105" i="14"/>
  <c r="AD123" i="14"/>
  <c r="AD134" i="14"/>
  <c r="AD133" i="14"/>
  <c r="AD140" i="14"/>
  <c r="AD118" i="14"/>
  <c r="AD119" i="14"/>
  <c r="AD128" i="14"/>
  <c r="AD136" i="14"/>
  <c r="AD138" i="14"/>
  <c r="AD137" i="14"/>
  <c r="AD155" i="14"/>
  <c r="AD166" i="14"/>
  <c r="AD165" i="14"/>
  <c r="AD173" i="14"/>
  <c r="AD150" i="14"/>
  <c r="AD151" i="14"/>
  <c r="AD160" i="14"/>
  <c r="AD169" i="14"/>
  <c r="AD171" i="14"/>
  <c r="AD170" i="14"/>
  <c r="AD188" i="14"/>
  <c r="AD199" i="14"/>
  <c r="AD198" i="14"/>
  <c r="AD204" i="14"/>
  <c r="AD183" i="14"/>
  <c r="AD184" i="14"/>
  <c r="AD192" i="14"/>
  <c r="AD193" i="14"/>
  <c r="AD200" i="14"/>
  <c r="AD202" i="14"/>
  <c r="AD201" i="14"/>
  <c r="AD220" i="14"/>
  <c r="AD231" i="14"/>
  <c r="AD230" i="14"/>
  <c r="AD238" i="14"/>
  <c r="AD215" i="14"/>
  <c r="AD216" i="14"/>
  <c r="AD225" i="14"/>
  <c r="AD234" i="14"/>
  <c r="AD236" i="14"/>
  <c r="AD235" i="14"/>
  <c r="AE73" i="14"/>
  <c r="AE102" i="14"/>
  <c r="AE65" i="14"/>
  <c r="AE72" i="14"/>
  <c r="AE78" i="14"/>
  <c r="AE60" i="14"/>
  <c r="AE61" i="14"/>
  <c r="AE67" i="14"/>
  <c r="AE74" i="14"/>
  <c r="AE76" i="14"/>
  <c r="AE75" i="14"/>
  <c r="AE91" i="14"/>
  <c r="AE101" i="14"/>
  <c r="AE108" i="14"/>
  <c r="AE86" i="14"/>
  <c r="AE87" i="14"/>
  <c r="AE96" i="14"/>
  <c r="AE104" i="14"/>
  <c r="AE106" i="14"/>
  <c r="AE105" i="14"/>
  <c r="AE123" i="14"/>
  <c r="AE134" i="14"/>
  <c r="AE133" i="14"/>
  <c r="AE140" i="14"/>
  <c r="AE118" i="14"/>
  <c r="AE119" i="14"/>
  <c r="AE148" i="14"/>
  <c r="AE127" i="14"/>
  <c r="AE128" i="14"/>
  <c r="AE136" i="14"/>
  <c r="AE138" i="14"/>
  <c r="AE137" i="14"/>
  <c r="AE155" i="14"/>
  <c r="AE166" i="14"/>
  <c r="AE165" i="14"/>
  <c r="AE173" i="14"/>
  <c r="AE150" i="14"/>
  <c r="AE151" i="14"/>
  <c r="AE177" i="14"/>
  <c r="AE160" i="14"/>
  <c r="AE169" i="14"/>
  <c r="AE171" i="14"/>
  <c r="AE170" i="14"/>
  <c r="AE188" i="14"/>
  <c r="AE199" i="14"/>
  <c r="AE198" i="14"/>
  <c r="AE204" i="14"/>
  <c r="AE183" i="14"/>
  <c r="AE184" i="14"/>
  <c r="AE193" i="14"/>
  <c r="AE200" i="14"/>
  <c r="AE202" i="14"/>
  <c r="AE201" i="14"/>
  <c r="AE220" i="14"/>
  <c r="AE231" i="14"/>
  <c r="AE230" i="14"/>
  <c r="AE238" i="14"/>
  <c r="AE215" i="14"/>
  <c r="AE216" i="14"/>
  <c r="AE224" i="14"/>
  <c r="AE225" i="14"/>
  <c r="AE234" i="14"/>
  <c r="AE236" i="14"/>
  <c r="AE235" i="14"/>
  <c r="P57" i="16"/>
  <c r="P56" i="16"/>
  <c r="P55" i="16"/>
  <c r="P45" i="16"/>
  <c r="P9" i="16"/>
  <c r="F104" i="3"/>
  <c r="G104" i="3"/>
  <c r="H104" i="3"/>
  <c r="I104" i="3"/>
  <c r="J104" i="3"/>
  <c r="K104" i="3"/>
  <c r="L104" i="3"/>
  <c r="M104" i="3"/>
  <c r="N104" i="3"/>
  <c r="O104" i="3"/>
  <c r="P104" i="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46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Q54" i="3"/>
  <c r="Q44" i="3"/>
  <c r="Q34" i="3"/>
  <c r="Q24" i="3"/>
  <c r="Q14" i="3"/>
  <c r="Q4" i="3"/>
  <c r="P62" i="3"/>
  <c r="L92" i="3" l="1"/>
  <c r="O92" i="3"/>
  <c r="P92" i="3"/>
  <c r="Q103" i="3"/>
  <c r="Q101" i="3"/>
  <c r="M92" i="3"/>
  <c r="F92" i="3"/>
  <c r="AF77" i="14"/>
  <c r="AF267" i="14"/>
  <c r="AF266" i="14"/>
  <c r="AF249" i="14"/>
  <c r="AF270" i="14"/>
  <c r="AF264" i="14"/>
  <c r="AF215" i="14"/>
  <c r="AF184" i="14"/>
  <c r="AF160" i="14"/>
  <c r="AF136" i="14"/>
  <c r="AF106" i="14"/>
  <c r="AF76" i="14"/>
  <c r="AF102" i="14"/>
  <c r="AF139" i="14"/>
  <c r="AF203" i="14"/>
  <c r="AF216" i="14"/>
  <c r="AF193" i="14"/>
  <c r="AF169" i="14"/>
  <c r="AF138" i="14"/>
  <c r="AF105" i="14"/>
  <c r="AF75" i="14"/>
  <c r="AF238" i="14"/>
  <c r="AF183" i="14"/>
  <c r="AF151" i="14"/>
  <c r="AF128" i="14"/>
  <c r="AF104" i="14"/>
  <c r="AF74" i="14"/>
  <c r="AF73" i="14"/>
  <c r="AF204" i="14"/>
  <c r="AF119" i="14"/>
  <c r="AF67" i="14"/>
  <c r="AF235" i="14"/>
  <c r="AF173" i="14"/>
  <c r="AF61" i="14"/>
  <c r="AF268" i="14"/>
  <c r="AF248" i="14"/>
  <c r="AF236" i="14"/>
  <c r="AF201" i="14"/>
  <c r="AF199" i="14"/>
  <c r="AF165" i="14"/>
  <c r="AF140" i="14"/>
  <c r="AF86" i="14"/>
  <c r="AF60" i="14"/>
  <c r="AF107" i="14"/>
  <c r="AF172" i="14"/>
  <c r="AF237" i="14"/>
  <c r="AF230" i="14"/>
  <c r="AF150" i="14"/>
  <c r="AF96" i="14"/>
  <c r="AF231" i="14"/>
  <c r="AF118" i="14"/>
  <c r="AF258" i="14"/>
  <c r="AF263" i="14"/>
  <c r="AF234" i="14"/>
  <c r="AF202" i="14"/>
  <c r="AF170" i="14"/>
  <c r="AF166" i="14"/>
  <c r="AF133" i="14"/>
  <c r="AF108" i="14"/>
  <c r="AF78" i="14"/>
  <c r="AF91" i="14"/>
  <c r="AF198" i="14"/>
  <c r="AF87" i="14"/>
  <c r="AF225" i="14"/>
  <c r="AF200" i="14"/>
  <c r="AF171" i="14"/>
  <c r="AF137" i="14"/>
  <c r="AF134" i="14"/>
  <c r="AF101" i="14"/>
  <c r="AF72" i="14"/>
  <c r="Y5" i="14"/>
  <c r="T5" i="14"/>
  <c r="AA36" i="14"/>
  <c r="AB5" i="14"/>
  <c r="AD39" i="14"/>
  <c r="AC23" i="14"/>
  <c r="AC5" i="14"/>
  <c r="U5" i="14"/>
  <c r="AE38" i="14"/>
  <c r="S13" i="12" s="1"/>
  <c r="AD16" i="14"/>
  <c r="T38" i="14"/>
  <c r="U36" i="14"/>
  <c r="Z5" i="14"/>
  <c r="AD5" i="14"/>
  <c r="V5" i="14"/>
  <c r="AA15" i="14"/>
  <c r="AC22" i="14"/>
  <c r="W23" i="14"/>
  <c r="X15" i="14"/>
  <c r="T36" i="14"/>
  <c r="Z38" i="14"/>
  <c r="Y39" i="14"/>
  <c r="V20" i="14"/>
  <c r="AB22" i="14"/>
  <c r="Z39" i="14"/>
  <c r="N14" i="12" s="1"/>
  <c r="AE37" i="14"/>
  <c r="S12" i="12" s="1"/>
  <c r="X36" i="14"/>
  <c r="AE15" i="14"/>
  <c r="S3" i="12" s="1"/>
  <c r="AD37" i="14"/>
  <c r="AC39" i="14"/>
  <c r="AC20" i="14"/>
  <c r="AB16" i="14"/>
  <c r="AA23" i="14"/>
  <c r="Z37" i="14"/>
  <c r="Y38" i="14"/>
  <c r="X23" i="14"/>
  <c r="W22" i="14"/>
  <c r="V39" i="14"/>
  <c r="V16" i="14"/>
  <c r="U23" i="14"/>
  <c r="T23" i="14"/>
  <c r="AA5" i="14"/>
  <c r="AD38" i="14"/>
  <c r="AE23" i="14"/>
  <c r="S64" i="12" s="1"/>
  <c r="AD36" i="14"/>
  <c r="AD15" i="14"/>
  <c r="AC38" i="14"/>
  <c r="AC16" i="14"/>
  <c r="AB39" i="14"/>
  <c r="AA22" i="14"/>
  <c r="Z36" i="14"/>
  <c r="Y37" i="14"/>
  <c r="X22" i="14"/>
  <c r="W20" i="14"/>
  <c r="V38" i="14"/>
  <c r="U22" i="14"/>
  <c r="T22" i="14"/>
  <c r="AE36" i="14"/>
  <c r="S11" i="12" s="1"/>
  <c r="AD23" i="14"/>
  <c r="AC37" i="14"/>
  <c r="AB38" i="14"/>
  <c r="AA20" i="14"/>
  <c r="Z15" i="14"/>
  <c r="Y36" i="14"/>
  <c r="Y15" i="14"/>
  <c r="X20" i="14"/>
  <c r="W16" i="14"/>
  <c r="V37" i="14"/>
  <c r="U20" i="14"/>
  <c r="T20" i="14"/>
  <c r="AE20" i="14"/>
  <c r="S58" i="12" s="1"/>
  <c r="AC36" i="14"/>
  <c r="Y23" i="14"/>
  <c r="X16" i="14"/>
  <c r="W39" i="14"/>
  <c r="V36" i="14"/>
  <c r="V15" i="14"/>
  <c r="U16" i="14"/>
  <c r="T16" i="14"/>
  <c r="X5" i="14"/>
  <c r="AB20" i="14"/>
  <c r="AE22" i="14"/>
  <c r="S63" i="12" s="1"/>
  <c r="AD22" i="14"/>
  <c r="AB37" i="14"/>
  <c r="AA16" i="14"/>
  <c r="Z23" i="14"/>
  <c r="AE39" i="14"/>
  <c r="S14" i="12" s="1"/>
  <c r="AE16" i="14"/>
  <c r="S4" i="12" s="1"/>
  <c r="AD20" i="14"/>
  <c r="AB36" i="14"/>
  <c r="AB15" i="14"/>
  <c r="AA39" i="14"/>
  <c r="Z22" i="14"/>
  <c r="Y22" i="14"/>
  <c r="X39" i="14"/>
  <c r="W38" i="14"/>
  <c r="U39" i="14"/>
  <c r="T39" i="14"/>
  <c r="AE5" i="14"/>
  <c r="S44" i="12" s="1"/>
  <c r="W5" i="14"/>
  <c r="AC15" i="14"/>
  <c r="AB23" i="14"/>
  <c r="AA38" i="14"/>
  <c r="Z20" i="14"/>
  <c r="Y20" i="14"/>
  <c r="X38" i="14"/>
  <c r="W37" i="14"/>
  <c r="W15" i="14"/>
  <c r="V23" i="14"/>
  <c r="U38" i="14"/>
  <c r="AA37" i="14"/>
  <c r="Z16" i="14"/>
  <c r="Y16" i="14"/>
  <c r="X37" i="14"/>
  <c r="W36" i="14"/>
  <c r="V22" i="14"/>
  <c r="U37" i="14"/>
  <c r="U15" i="14"/>
  <c r="T37" i="14"/>
  <c r="T15" i="14"/>
  <c r="U188" i="14"/>
  <c r="AD112" i="14"/>
  <c r="AD242" i="14"/>
  <c r="AB116" i="14"/>
  <c r="T224" i="14"/>
  <c r="AB144" i="14"/>
  <c r="AC208" i="14"/>
  <c r="Y177" i="14"/>
  <c r="Y80" i="14"/>
  <c r="U192" i="14"/>
  <c r="AE144" i="14"/>
  <c r="AD208" i="14"/>
  <c r="AC177" i="14"/>
  <c r="AA208" i="14"/>
  <c r="AA80" i="14"/>
  <c r="Z80" i="14"/>
  <c r="U155" i="14"/>
  <c r="T220" i="14"/>
  <c r="AC80" i="14"/>
  <c r="AA242" i="14"/>
  <c r="AE208" i="14"/>
  <c r="AC242" i="14"/>
  <c r="X80" i="14"/>
  <c r="AE80" i="14"/>
  <c r="AD144" i="14"/>
  <c r="AB208" i="14"/>
  <c r="AB177" i="14"/>
  <c r="Z208" i="14"/>
  <c r="Y208" i="14"/>
  <c r="AE242" i="14"/>
  <c r="AD177" i="14"/>
  <c r="AB80" i="14"/>
  <c r="AA144" i="14"/>
  <c r="U144" i="14"/>
  <c r="U123" i="14"/>
  <c r="U65" i="14"/>
  <c r="T188" i="14"/>
  <c r="AD80" i="14"/>
  <c r="AB212" i="14"/>
  <c r="AA177" i="14"/>
  <c r="Y242" i="14"/>
  <c r="AE112" i="14"/>
  <c r="AC144" i="14"/>
  <c r="AB242" i="14"/>
  <c r="E65" i="3"/>
  <c r="AC112" i="14"/>
  <c r="AB112" i="14"/>
  <c r="AA127" i="14"/>
  <c r="AA112" i="14"/>
  <c r="Z112" i="14"/>
  <c r="AA64" i="14"/>
  <c r="Z177" i="14"/>
  <c r="Z144" i="14"/>
  <c r="Y144" i="14"/>
  <c r="X242" i="14"/>
  <c r="W209" i="14"/>
  <c r="T81" i="14"/>
  <c r="Z242" i="14"/>
  <c r="V95" i="14"/>
  <c r="AC178" i="14"/>
  <c r="AB178" i="14"/>
  <c r="AB145" i="14"/>
  <c r="AB113" i="14"/>
  <c r="Z209" i="14"/>
  <c r="X208" i="14"/>
  <c r="X144" i="14"/>
  <c r="W242" i="14"/>
  <c r="W208" i="14"/>
  <c r="U112" i="14"/>
  <c r="AB243" i="14"/>
  <c r="X178" i="14"/>
  <c r="V145" i="14"/>
  <c r="T178" i="14"/>
  <c r="Y113" i="14"/>
  <c r="X177" i="14"/>
  <c r="V144" i="14"/>
  <c r="T209" i="14"/>
  <c r="Z257" i="14"/>
  <c r="AE243" i="14"/>
  <c r="AE178" i="14"/>
  <c r="AE145" i="14"/>
  <c r="AE81" i="14"/>
  <c r="Y178" i="14"/>
  <c r="Y145" i="14"/>
  <c r="X217" i="14"/>
  <c r="X81" i="14"/>
  <c r="V243" i="14"/>
  <c r="V178" i="14"/>
  <c r="V113" i="14"/>
  <c r="V81" i="14"/>
  <c r="U243" i="14"/>
  <c r="U145" i="14"/>
  <c r="T208" i="14"/>
  <c r="T145" i="14"/>
  <c r="T80" i="14"/>
  <c r="AE278" i="14"/>
  <c r="AB253" i="14"/>
  <c r="AB4" i="14" s="1"/>
  <c r="AE209" i="14"/>
  <c r="AE113" i="14"/>
  <c r="AD243" i="14"/>
  <c r="AD209" i="14"/>
  <c r="AD113" i="14"/>
  <c r="AD81" i="14"/>
  <c r="AC243" i="14"/>
  <c r="AC209" i="14"/>
  <c r="AC81" i="14"/>
  <c r="AA243" i="14"/>
  <c r="Z243" i="14"/>
  <c r="Z81" i="14"/>
  <c r="Y243" i="14"/>
  <c r="Y209" i="14"/>
  <c r="X243" i="14"/>
  <c r="X209" i="14"/>
  <c r="X113" i="14"/>
  <c r="W178" i="14"/>
  <c r="W113" i="14"/>
  <c r="U178" i="14"/>
  <c r="U81" i="14"/>
  <c r="T243" i="14"/>
  <c r="AD187" i="14"/>
  <c r="AD178" i="14"/>
  <c r="AD145" i="14"/>
  <c r="AC187" i="14"/>
  <c r="AC145" i="14"/>
  <c r="AB209" i="14"/>
  <c r="AB81" i="14"/>
  <c r="AA209" i="14"/>
  <c r="AA178" i="14"/>
  <c r="AA145" i="14"/>
  <c r="AA113" i="14"/>
  <c r="AA81" i="14"/>
  <c r="Z219" i="14"/>
  <c r="Z178" i="14"/>
  <c r="Z113" i="14"/>
  <c r="Y81" i="14"/>
  <c r="X145" i="14"/>
  <c r="X112" i="14"/>
  <c r="W145" i="14"/>
  <c r="W112" i="14"/>
  <c r="V209" i="14"/>
  <c r="U209" i="14"/>
  <c r="U177" i="14"/>
  <c r="T113" i="14"/>
  <c r="AE219" i="14"/>
  <c r="AE185" i="14"/>
  <c r="AE95" i="14"/>
  <c r="AE66" i="14"/>
  <c r="AD159" i="14"/>
  <c r="AC185" i="14"/>
  <c r="AC122" i="14"/>
  <c r="AC66" i="14"/>
  <c r="AB224" i="14"/>
  <c r="AB219" i="14"/>
  <c r="AB127" i="14"/>
  <c r="AB88" i="14"/>
  <c r="AA192" i="14"/>
  <c r="Z154" i="14"/>
  <c r="Z152" i="14"/>
  <c r="Y224" i="14"/>
  <c r="X224" i="14"/>
  <c r="X159" i="14"/>
  <c r="X127" i="14"/>
  <c r="X95" i="14"/>
  <c r="X90" i="14"/>
  <c r="V154" i="14"/>
  <c r="V80" i="14"/>
  <c r="U242" i="14"/>
  <c r="T66" i="14"/>
  <c r="AC252" i="14"/>
  <c r="W250" i="14"/>
  <c r="AE192" i="14"/>
  <c r="AD224" i="14"/>
  <c r="AD217" i="14"/>
  <c r="AD127" i="14"/>
  <c r="AD95" i="14"/>
  <c r="AC95" i="14"/>
  <c r="AB192" i="14"/>
  <c r="AB95" i="14"/>
  <c r="AA159" i="14"/>
  <c r="AA152" i="14"/>
  <c r="Z192" i="14"/>
  <c r="Z187" i="14"/>
  <c r="Z185" i="14"/>
  <c r="Z88" i="14"/>
  <c r="Y192" i="14"/>
  <c r="Y159" i="14"/>
  <c r="Y88" i="14"/>
  <c r="X192" i="14"/>
  <c r="X62" i="14"/>
  <c r="W187" i="14"/>
  <c r="W159" i="14"/>
  <c r="W90" i="14"/>
  <c r="V192" i="14"/>
  <c r="V120" i="14"/>
  <c r="U120" i="14"/>
  <c r="U66" i="14"/>
  <c r="T95" i="14"/>
  <c r="AE159" i="14"/>
  <c r="AD66" i="14"/>
  <c r="AC159" i="14"/>
  <c r="AC154" i="14"/>
  <c r="AB152" i="14"/>
  <c r="AB66" i="14"/>
  <c r="AB64" i="14"/>
  <c r="Z127" i="14"/>
  <c r="Z95" i="14"/>
  <c r="Y127" i="14"/>
  <c r="Y122" i="14"/>
  <c r="W95" i="14"/>
  <c r="W66" i="14"/>
  <c r="V224" i="14"/>
  <c r="V208" i="14"/>
  <c r="V64" i="14"/>
  <c r="U219" i="14"/>
  <c r="U159" i="14"/>
  <c r="T127" i="14"/>
  <c r="T88" i="14"/>
  <c r="AC257" i="14"/>
  <c r="K12" i="3"/>
  <c r="I32" i="3"/>
  <c r="H42" i="3"/>
  <c r="AE181" i="14"/>
  <c r="AE120" i="14"/>
  <c r="AD152" i="14"/>
  <c r="AD88" i="14"/>
  <c r="AC217" i="14"/>
  <c r="AB148" i="14"/>
  <c r="AB62" i="14"/>
  <c r="AA246" i="14"/>
  <c r="AA185" i="14"/>
  <c r="AA148" i="14"/>
  <c r="AA62" i="14"/>
  <c r="Z181" i="14"/>
  <c r="Z148" i="14"/>
  <c r="Z62" i="14"/>
  <c r="Y152" i="14"/>
  <c r="Y84" i="14"/>
  <c r="Y62" i="14"/>
  <c r="X212" i="14"/>
  <c r="X185" i="14"/>
  <c r="X88" i="14"/>
  <c r="X84" i="14"/>
  <c r="W152" i="14"/>
  <c r="W148" i="14"/>
  <c r="V152" i="14"/>
  <c r="V148" i="14"/>
  <c r="V88" i="14"/>
  <c r="U217" i="14"/>
  <c r="U185" i="14"/>
  <c r="T217" i="14"/>
  <c r="T181" i="14"/>
  <c r="T152" i="14"/>
  <c r="T120" i="14"/>
  <c r="AB278" i="14"/>
  <c r="V250" i="14"/>
  <c r="AE217" i="14"/>
  <c r="AE88" i="14"/>
  <c r="AD185" i="14"/>
  <c r="AD148" i="14"/>
  <c r="AD62" i="14"/>
  <c r="AC152" i="14"/>
  <c r="AC120" i="14"/>
  <c r="AB185" i="14"/>
  <c r="AA181" i="14"/>
  <c r="AA120" i="14"/>
  <c r="Z217" i="14"/>
  <c r="Z120" i="14"/>
  <c r="Y217" i="14"/>
  <c r="X152" i="14"/>
  <c r="W217" i="14"/>
  <c r="W185" i="14"/>
  <c r="W120" i="14"/>
  <c r="W62" i="14"/>
  <c r="V217" i="14"/>
  <c r="V181" i="14"/>
  <c r="V62" i="14"/>
  <c r="U62" i="14"/>
  <c r="T185" i="14"/>
  <c r="Y275" i="14"/>
  <c r="U257" i="14"/>
  <c r="T278" i="14"/>
  <c r="AD250" i="14"/>
  <c r="U250" i="14"/>
  <c r="AE246" i="14"/>
  <c r="AE212" i="14"/>
  <c r="AE152" i="14"/>
  <c r="AE62" i="14"/>
  <c r="AD181" i="14"/>
  <c r="AD120" i="14"/>
  <c r="AC148" i="14"/>
  <c r="AC116" i="14"/>
  <c r="AC88" i="14"/>
  <c r="AC62" i="14"/>
  <c r="AB217" i="14"/>
  <c r="AB181" i="14"/>
  <c r="AB120" i="14"/>
  <c r="AA217" i="14"/>
  <c r="AA88" i="14"/>
  <c r="Z116" i="14"/>
  <c r="Y185" i="14"/>
  <c r="Y120" i="14"/>
  <c r="Y116" i="14"/>
  <c r="X246" i="14"/>
  <c r="X120" i="14"/>
  <c r="W88" i="14"/>
  <c r="V185" i="14"/>
  <c r="U152" i="14"/>
  <c r="U148" i="14"/>
  <c r="U88" i="14"/>
  <c r="U84" i="14"/>
  <c r="T62" i="14"/>
  <c r="W275" i="14"/>
  <c r="AA250" i="14"/>
  <c r="V252" i="14"/>
  <c r="AB252" i="14"/>
  <c r="T90" i="14"/>
  <c r="T122" i="14"/>
  <c r="V90" i="14"/>
  <c r="W122" i="14"/>
  <c r="T252" i="14"/>
  <c r="Z252" i="14"/>
  <c r="AD252" i="14"/>
  <c r="T64" i="14"/>
  <c r="AE64" i="14"/>
  <c r="AD219" i="14"/>
  <c r="AC219" i="14"/>
  <c r="AC64" i="14"/>
  <c r="AA90" i="14"/>
  <c r="Z64" i="14"/>
  <c r="Y219" i="14"/>
  <c r="Y187" i="14"/>
  <c r="Y154" i="14"/>
  <c r="X122" i="14"/>
  <c r="W219" i="14"/>
  <c r="V187" i="14"/>
  <c r="U90" i="14"/>
  <c r="T187" i="14"/>
  <c r="AA252" i="14"/>
  <c r="Y278" i="14"/>
  <c r="AC278" i="14"/>
  <c r="T84" i="14"/>
  <c r="T246" i="14"/>
  <c r="U181" i="14"/>
  <c r="U212" i="14"/>
  <c r="V212" i="14"/>
  <c r="V246" i="14"/>
  <c r="W84" i="14"/>
  <c r="U278" i="14"/>
  <c r="AA278" i="14"/>
  <c r="AE154" i="14"/>
  <c r="AE122" i="14"/>
  <c r="AE90" i="14"/>
  <c r="AE84" i="14"/>
  <c r="AD246" i="14"/>
  <c r="AD212" i="14"/>
  <c r="AD64" i="14"/>
  <c r="AC212" i="14"/>
  <c r="AC181" i="14"/>
  <c r="AB246" i="14"/>
  <c r="AB90" i="14"/>
  <c r="AB84" i="14"/>
  <c r="AA122" i="14"/>
  <c r="AA84" i="14"/>
  <c r="Z246" i="14"/>
  <c r="Z212" i="14"/>
  <c r="Z90" i="14"/>
  <c r="Y181" i="14"/>
  <c r="Y148" i="14"/>
  <c r="Y64" i="14"/>
  <c r="X219" i="14"/>
  <c r="X187" i="14"/>
  <c r="X154" i="14"/>
  <c r="X116" i="14"/>
  <c r="X64" i="14"/>
  <c r="W212" i="14"/>
  <c r="W154" i="14"/>
  <c r="W64" i="14"/>
  <c r="V219" i="14"/>
  <c r="V122" i="14"/>
  <c r="U187" i="14"/>
  <c r="U122" i="14"/>
  <c r="U64" i="14"/>
  <c r="T219" i="14"/>
  <c r="T212" i="14"/>
  <c r="T148" i="14"/>
  <c r="Z278" i="14"/>
  <c r="X252" i="14"/>
  <c r="U274" i="14"/>
  <c r="T112" i="14"/>
  <c r="T144" i="14"/>
  <c r="V112" i="14"/>
  <c r="W144" i="14"/>
  <c r="W177" i="14"/>
  <c r="AE187" i="14"/>
  <c r="AE116" i="14"/>
  <c r="AD154" i="14"/>
  <c r="AD122" i="14"/>
  <c r="AD90" i="14"/>
  <c r="AD84" i="14"/>
  <c r="AC246" i="14"/>
  <c r="AC90" i="14"/>
  <c r="AC84" i="14"/>
  <c r="AB187" i="14"/>
  <c r="AB154" i="14"/>
  <c r="AB122" i="14"/>
  <c r="AA219" i="14"/>
  <c r="AA187" i="14"/>
  <c r="AA154" i="14"/>
  <c r="AA116" i="14"/>
  <c r="Z122" i="14"/>
  <c r="Z84" i="14"/>
  <c r="Y246" i="14"/>
  <c r="Y212" i="14"/>
  <c r="Y112" i="14"/>
  <c r="Y90" i="14"/>
  <c r="X181" i="14"/>
  <c r="X148" i="14"/>
  <c r="W246" i="14"/>
  <c r="W181" i="14"/>
  <c r="W116" i="14"/>
  <c r="W80" i="14"/>
  <c r="V242" i="14"/>
  <c r="V177" i="14"/>
  <c r="V84" i="14"/>
  <c r="U246" i="14"/>
  <c r="U208" i="14"/>
  <c r="U116" i="14"/>
  <c r="U80" i="14"/>
  <c r="T242" i="14"/>
  <c r="T177" i="14"/>
  <c r="T154" i="14"/>
  <c r="T116" i="14"/>
  <c r="W278" i="14"/>
  <c r="U252" i="14"/>
  <c r="V257" i="14"/>
  <c r="T159" i="14"/>
  <c r="T192" i="14"/>
  <c r="U95" i="14"/>
  <c r="U127" i="14"/>
  <c r="V127" i="14"/>
  <c r="V159" i="14"/>
  <c r="W192" i="14"/>
  <c r="W224" i="14"/>
  <c r="X66" i="14"/>
  <c r="AB257" i="14"/>
  <c r="T253" i="14"/>
  <c r="AE253" i="14"/>
  <c r="AE4" i="14" s="1"/>
  <c r="T65" i="14"/>
  <c r="T123" i="14"/>
  <c r="T155" i="14"/>
  <c r="V123" i="14"/>
  <c r="W155" i="14"/>
  <c r="W188" i="14"/>
  <c r="X65" i="14"/>
  <c r="W253" i="14"/>
  <c r="AD168" i="14"/>
  <c r="AD48" i="14" s="1"/>
  <c r="AB168" i="14"/>
  <c r="AB48" i="14" s="1"/>
  <c r="V168" i="14"/>
  <c r="Y168" i="14"/>
  <c r="Y48" i="14" s="1"/>
  <c r="F62" i="3"/>
  <c r="X168" i="14"/>
  <c r="X48" i="14" s="1"/>
  <c r="AA275" i="14"/>
  <c r="AA274" i="14"/>
  <c r="AD278" i="14"/>
  <c r="V278" i="14"/>
  <c r="AE252" i="14"/>
  <c r="W252" i="14"/>
  <c r="X253" i="14"/>
  <c r="AE168" i="14"/>
  <c r="W168" i="14"/>
  <c r="W48" i="14" s="1"/>
  <c r="Z275" i="14"/>
  <c r="AC168" i="14"/>
  <c r="AC48" i="14" s="1"/>
  <c r="T168" i="14"/>
  <c r="AA168" i="14"/>
  <c r="AA48" i="14" s="1"/>
  <c r="F74" i="3"/>
  <c r="F81" i="3" s="1"/>
  <c r="Z168" i="14"/>
  <c r="Z48" i="14" s="1"/>
  <c r="N32" i="3"/>
  <c r="X278" i="14"/>
  <c r="Y252" i="14"/>
  <c r="AD253" i="14"/>
  <c r="AD4" i="14" s="1"/>
  <c r="P53" i="16"/>
  <c r="F32" i="3"/>
  <c r="T274" i="14"/>
  <c r="X250" i="14"/>
  <c r="Y250" i="14"/>
  <c r="Z250" i="14"/>
  <c r="T250" i="14"/>
  <c r="AB250" i="14"/>
  <c r="V274" i="14"/>
  <c r="AD274" i="14"/>
  <c r="W274" i="14"/>
  <c r="AE274" i="14"/>
  <c r="X274" i="14"/>
  <c r="Z274" i="14"/>
  <c r="Q29" i="3"/>
  <c r="O32" i="3"/>
  <c r="O22" i="3"/>
  <c r="E22" i="3"/>
  <c r="P42" i="3"/>
  <c r="G22" i="3"/>
  <c r="G62" i="3"/>
  <c r="T257" i="14"/>
  <c r="AB274" i="14"/>
  <c r="AE250" i="14"/>
  <c r="T275" i="14"/>
  <c r="AB275" i="14"/>
  <c r="U275" i="14"/>
  <c r="AC275" i="14"/>
  <c r="V275" i="14"/>
  <c r="AD275" i="14"/>
  <c r="X275" i="14"/>
  <c r="W257" i="14"/>
  <c r="AE257" i="14"/>
  <c r="X257" i="14"/>
  <c r="Y257" i="14"/>
  <c r="AA257" i="14"/>
  <c r="AE275" i="14"/>
  <c r="AD257" i="14"/>
  <c r="Y274" i="14"/>
  <c r="AC250" i="14"/>
  <c r="Y253" i="14"/>
  <c r="Y4" i="14" s="1"/>
  <c r="Z253" i="14"/>
  <c r="Z4" i="14" s="1"/>
  <c r="AA253" i="14"/>
  <c r="AA4" i="14" s="1"/>
  <c r="U253" i="14"/>
  <c r="AC253" i="14"/>
  <c r="AC4" i="14" s="1"/>
  <c r="L42" i="3"/>
  <c r="M62" i="3"/>
  <c r="L32" i="3"/>
  <c r="L22" i="3"/>
  <c r="I12" i="3"/>
  <c r="N74" i="3"/>
  <c r="N81" i="3" s="1"/>
  <c r="M12" i="3"/>
  <c r="L62" i="3"/>
  <c r="K32" i="3"/>
  <c r="E32" i="3"/>
  <c r="P89" i="3"/>
  <c r="P6" i="16"/>
  <c r="M42" i="3"/>
  <c r="Q8" i="3"/>
  <c r="K62" i="3"/>
  <c r="K22" i="3"/>
  <c r="J32" i="3"/>
  <c r="Q21" i="3"/>
  <c r="Q37" i="3"/>
  <c r="Q50" i="3"/>
  <c r="E12" i="3"/>
  <c r="O12" i="3"/>
  <c r="O52" i="3"/>
  <c r="J89" i="3"/>
  <c r="H32" i="3"/>
  <c r="Q80" i="3"/>
  <c r="K42" i="3"/>
  <c r="N12" i="16"/>
  <c r="M32" i="3"/>
  <c r="M22" i="3"/>
  <c r="L74" i="3"/>
  <c r="L81" i="3" s="1"/>
  <c r="Q10" i="3"/>
  <c r="Q49" i="3"/>
  <c r="F12" i="3"/>
  <c r="F52" i="3"/>
  <c r="P12" i="3"/>
  <c r="H22" i="3"/>
  <c r="H62" i="3"/>
  <c r="G42" i="3"/>
  <c r="Q61" i="3"/>
  <c r="Q78" i="3"/>
  <c r="P32" i="3"/>
  <c r="Q19" i="3"/>
  <c r="Q58" i="3"/>
  <c r="J22" i="3"/>
  <c r="L12" i="3"/>
  <c r="J74" i="3"/>
  <c r="J81" i="3" s="1"/>
  <c r="I74" i="3"/>
  <c r="I81" i="3" s="1"/>
  <c r="J52" i="3"/>
  <c r="N52" i="3"/>
  <c r="O89" i="3"/>
  <c r="F89" i="3"/>
  <c r="E52" i="3"/>
  <c r="E74" i="3"/>
  <c r="E81" i="3" s="1"/>
  <c r="Q77" i="3"/>
  <c r="Q47" i="3"/>
  <c r="Q18" i="3"/>
  <c r="E62" i="3"/>
  <c r="Q40" i="3"/>
  <c r="P74" i="3"/>
  <c r="P81" i="3" s="1"/>
  <c r="Q27" i="3"/>
  <c r="J42" i="3"/>
  <c r="I62" i="3"/>
  <c r="G74" i="3"/>
  <c r="G81" i="3" s="1"/>
  <c r="Q20" i="3"/>
  <c r="N12" i="3"/>
  <c r="J62" i="3"/>
  <c r="I42" i="3"/>
  <c r="Q28" i="3"/>
  <c r="Q59" i="3"/>
  <c r="F42" i="3"/>
  <c r="P22" i="3"/>
  <c r="G32" i="3"/>
  <c r="E42" i="3"/>
  <c r="I52" i="3"/>
  <c r="K89" i="3"/>
  <c r="Q85" i="3"/>
  <c r="L89" i="3"/>
  <c r="M89" i="3"/>
  <c r="N89" i="3"/>
  <c r="G89" i="3"/>
  <c r="Q87" i="3"/>
  <c r="K74" i="3"/>
  <c r="K81" i="3" s="1"/>
  <c r="I89" i="3"/>
  <c r="H74" i="3"/>
  <c r="H81" i="3" s="1"/>
  <c r="H89" i="3"/>
  <c r="E89" i="3"/>
  <c r="K102" i="3"/>
  <c r="K92" i="3" s="1"/>
  <c r="J100" i="3"/>
  <c r="J92" i="3" s="1"/>
  <c r="P18" i="16"/>
  <c r="P54" i="16"/>
  <c r="P75" i="16" s="1"/>
  <c r="I12" i="16"/>
  <c r="F12" i="16"/>
  <c r="J12" i="16"/>
  <c r="P8" i="16"/>
  <c r="K12" i="16"/>
  <c r="O12" i="16"/>
  <c r="B4" i="19" s="1"/>
  <c r="G12" i="16"/>
  <c r="M12" i="16"/>
  <c r="E12" i="16"/>
  <c r="P11" i="16"/>
  <c r="J68" i="16" s="1"/>
  <c r="D12" i="16"/>
  <c r="C4" i="19" s="1"/>
  <c r="H12" i="16"/>
  <c r="L12" i="16"/>
  <c r="P10" i="16"/>
  <c r="P7" i="16"/>
  <c r="Q9" i="3"/>
  <c r="Q76" i="3"/>
  <c r="Q60" i="3"/>
  <c r="O62" i="3"/>
  <c r="H52" i="3"/>
  <c r="N42" i="3"/>
  <c r="Q17" i="3"/>
  <c r="Q41" i="3"/>
  <c r="G52" i="3"/>
  <c r="Q79" i="3"/>
  <c r="O74" i="3"/>
  <c r="O81" i="3" s="1"/>
  <c r="N62" i="3"/>
  <c r="Q57" i="3"/>
  <c r="Q11" i="3"/>
  <c r="O42" i="3"/>
  <c r="Q39" i="3"/>
  <c r="Q7" i="3"/>
  <c r="G12" i="3"/>
  <c r="F22" i="3"/>
  <c r="M52" i="3"/>
  <c r="P52" i="3"/>
  <c r="M74" i="3"/>
  <c r="M81" i="3" s="1"/>
  <c r="Q75" i="3"/>
  <c r="L52" i="3"/>
  <c r="Q38" i="3"/>
  <c r="N22" i="3"/>
  <c r="Q48" i="3"/>
  <c r="K52" i="3"/>
  <c r="I22" i="3"/>
  <c r="H12" i="3"/>
  <c r="Q51" i="3"/>
  <c r="Q86" i="3"/>
  <c r="Q84" i="3"/>
  <c r="Q88" i="3"/>
  <c r="E104" i="3"/>
  <c r="Q104" i="3" s="1"/>
  <c r="I102" i="3"/>
  <c r="I92" i="3" s="1"/>
  <c r="N100" i="3"/>
  <c r="N92" i="3" s="1"/>
  <c r="G102" i="3"/>
  <c r="G92" i="3" s="1"/>
  <c r="E102" i="3"/>
  <c r="H100" i="3"/>
  <c r="H92" i="3" s="1"/>
  <c r="G37" i="14"/>
  <c r="F12" i="12" s="1"/>
  <c r="G23" i="14"/>
  <c r="G21" i="14"/>
  <c r="G4" i="14"/>
  <c r="F30" i="12" s="1"/>
  <c r="G40" i="14"/>
  <c r="F15" i="12" s="1"/>
  <c r="G24" i="14"/>
  <c r="F65" i="12" s="1"/>
  <c r="G16" i="14"/>
  <c r="G17" i="14"/>
  <c r="F5" i="12" s="1"/>
  <c r="G38" i="14"/>
  <c r="F13" i="12" s="1"/>
  <c r="G22" i="14"/>
  <c r="F63" i="12" s="1"/>
  <c r="G15" i="14"/>
  <c r="G36" i="14"/>
  <c r="F11" i="12" s="1"/>
  <c r="G39" i="14"/>
  <c r="F14" i="12" s="1"/>
  <c r="G20" i="14"/>
  <c r="F58" i="12" s="1"/>
  <c r="G48" i="14"/>
  <c r="G35" i="14"/>
  <c r="F10" i="12" s="1"/>
  <c r="G3" i="14"/>
  <c r="F29" i="12" s="1"/>
  <c r="G34" i="14"/>
  <c r="F9" i="12" s="1"/>
  <c r="G5" i="14"/>
  <c r="F44" i="12" s="1"/>
  <c r="N4" i="19" l="1"/>
  <c r="Q15" i="3"/>
  <c r="Q55" i="3"/>
  <c r="Q62" i="3" s="1"/>
  <c r="Q45" i="3"/>
  <c r="Q52" i="3" s="1"/>
  <c r="Q35" i="3"/>
  <c r="Q42" i="3" s="1"/>
  <c r="I4" i="19"/>
  <c r="Q5" i="3"/>
  <c r="Q12" i="3" s="1"/>
  <c r="H4" i="19"/>
  <c r="E4" i="19"/>
  <c r="J4" i="19"/>
  <c r="O4" i="19"/>
  <c r="M4" i="19"/>
  <c r="P4" i="19"/>
  <c r="D4" i="19"/>
  <c r="K4" i="19"/>
  <c r="F4" i="19"/>
  <c r="Q25" i="3"/>
  <c r="Q32" i="3" s="1"/>
  <c r="Q102" i="3"/>
  <c r="E92" i="3"/>
  <c r="Q100" i="3"/>
  <c r="AF257" i="14"/>
  <c r="AF250" i="14"/>
  <c r="AF275" i="14"/>
  <c r="AF155" i="14"/>
  <c r="AF144" i="14"/>
  <c r="AF246" i="14"/>
  <c r="AF185" i="14"/>
  <c r="AF145" i="14"/>
  <c r="AF123" i="14"/>
  <c r="AF112" i="14"/>
  <c r="AF84" i="14"/>
  <c r="AF122" i="14"/>
  <c r="AF120" i="14"/>
  <c r="AF95" i="14"/>
  <c r="AF208" i="14"/>
  <c r="AF209" i="14"/>
  <c r="AF65" i="14"/>
  <c r="AF90" i="14"/>
  <c r="AF152" i="14"/>
  <c r="AF81" i="14"/>
  <c r="AF177" i="14"/>
  <c r="AF187" i="14"/>
  <c r="AF88" i="14"/>
  <c r="AF116" i="14"/>
  <c r="AF64" i="14"/>
  <c r="AF253" i="14"/>
  <c r="AF154" i="14"/>
  <c r="AF178" i="14"/>
  <c r="AF168" i="14"/>
  <c r="AF159" i="14"/>
  <c r="AF212" i="14"/>
  <c r="AF252" i="14"/>
  <c r="AF127" i="14"/>
  <c r="AF66" i="14"/>
  <c r="AF224" i="14"/>
  <c r="AF181" i="14"/>
  <c r="AF217" i="14"/>
  <c r="AF192" i="14"/>
  <c r="AF148" i="14"/>
  <c r="AF278" i="14"/>
  <c r="AF188" i="14"/>
  <c r="AF220" i="14"/>
  <c r="AF274" i="14"/>
  <c r="AF242" i="14"/>
  <c r="AF219" i="14"/>
  <c r="AF62" i="14"/>
  <c r="AF113" i="14"/>
  <c r="AF243" i="14"/>
  <c r="AF80" i="14"/>
  <c r="AF22" i="14"/>
  <c r="AF23" i="14"/>
  <c r="AF15" i="14"/>
  <c r="AF37" i="14"/>
  <c r="AF16" i="14"/>
  <c r="AF20" i="14"/>
  <c r="T48" i="14"/>
  <c r="H23" i="12" s="1"/>
  <c r="AF36" i="14"/>
  <c r="AF38" i="14"/>
  <c r="AF39" i="14"/>
  <c r="AF5" i="14"/>
  <c r="F82" i="12"/>
  <c r="P28" i="16"/>
  <c r="T3" i="14"/>
  <c r="AE17" i="14"/>
  <c r="S5" i="12" s="1"/>
  <c r="U3" i="14"/>
  <c r="AE24" i="14"/>
  <c r="S65" i="12" s="1"/>
  <c r="S87" i="12" s="1"/>
  <c r="Z35" i="14"/>
  <c r="AD3" i="14"/>
  <c r="Y3" i="14"/>
  <c r="AB3" i="14"/>
  <c r="X3" i="14"/>
  <c r="AC24" i="14"/>
  <c r="Q65" i="12" s="1"/>
  <c r="X24" i="14"/>
  <c r="L65" i="12" s="1"/>
  <c r="X4" i="14"/>
  <c r="W3" i="14"/>
  <c r="V3" i="14"/>
  <c r="Z3" i="14"/>
  <c r="V35" i="14"/>
  <c r="AA3" i="14"/>
  <c r="AC35" i="14"/>
  <c r="AA40" i="14"/>
  <c r="U17" i="14"/>
  <c r="AB17" i="14"/>
  <c r="Y17" i="14"/>
  <c r="AE3" i="14"/>
  <c r="S29" i="12" s="1"/>
  <c r="AC3" i="14"/>
  <c r="AD40" i="14"/>
  <c r="AC34" i="14"/>
  <c r="V4" i="14"/>
  <c r="U35" i="14"/>
  <c r="U34" i="14"/>
  <c r="AB24" i="14"/>
  <c r="P65" i="12" s="1"/>
  <c r="AA35" i="14"/>
  <c r="Z40" i="14"/>
  <c r="W17" i="14"/>
  <c r="W34" i="14"/>
  <c r="I23" i="12"/>
  <c r="V48" i="14"/>
  <c r="J23" i="12" s="1"/>
  <c r="Y34" i="14"/>
  <c r="X40" i="14"/>
  <c r="W40" i="14"/>
  <c r="AC40" i="14"/>
  <c r="AE34" i="14"/>
  <c r="S9" i="12" s="1"/>
  <c r="Y24" i="14"/>
  <c r="M65" i="12" s="1"/>
  <c r="AC17" i="14"/>
  <c r="Z24" i="14"/>
  <c r="N65" i="12" s="1"/>
  <c r="V17" i="14"/>
  <c r="T17" i="14"/>
  <c r="AD17" i="14"/>
  <c r="Z17" i="14"/>
  <c r="T40" i="14"/>
  <c r="AB34" i="14"/>
  <c r="T24" i="14"/>
  <c r="T35" i="14"/>
  <c r="AD35" i="14"/>
  <c r="V34" i="14"/>
  <c r="T34" i="14"/>
  <c r="AE48" i="14"/>
  <c r="S23" i="12" s="1"/>
  <c r="S86" i="12" s="1"/>
  <c r="AA17" i="14"/>
  <c r="U24" i="14"/>
  <c r="I65" i="12" s="1"/>
  <c r="V24" i="14"/>
  <c r="J65" i="12" s="1"/>
  <c r="AE35" i="14"/>
  <c r="S10" i="12" s="1"/>
  <c r="W35" i="14"/>
  <c r="X34" i="14"/>
  <c r="AB35" i="14"/>
  <c r="V40" i="14"/>
  <c r="T4" i="14"/>
  <c r="U40" i="14"/>
  <c r="Z34" i="14"/>
  <c r="U4" i="14"/>
  <c r="W24" i="14"/>
  <c r="K65" i="12" s="1"/>
  <c r="AD24" i="14"/>
  <c r="R65" i="12" s="1"/>
  <c r="AA24" i="14"/>
  <c r="O65" i="12" s="1"/>
  <c r="Y40" i="14"/>
  <c r="X35" i="14"/>
  <c r="AA34" i="14"/>
  <c r="W4" i="14"/>
  <c r="X17" i="14"/>
  <c r="Y35" i="14"/>
  <c r="AB40" i="14"/>
  <c r="AE40" i="14"/>
  <c r="S15" i="12" s="1"/>
  <c r="AD34" i="14"/>
  <c r="N11" i="12"/>
  <c r="I4" i="12"/>
  <c r="Q14" i="12"/>
  <c r="I63" i="12"/>
  <c r="M44" i="12"/>
  <c r="M11" i="12"/>
  <c r="M58" i="12"/>
  <c r="R23" i="12"/>
  <c r="Q3" i="12"/>
  <c r="N4" i="12"/>
  <c r="O58" i="12"/>
  <c r="J11" i="12"/>
  <c r="O64" i="12"/>
  <c r="L4" i="12"/>
  <c r="J64" i="12"/>
  <c r="R58" i="12"/>
  <c r="J3" i="12"/>
  <c r="I12" i="12"/>
  <c r="N12" i="12"/>
  <c r="L23" i="12"/>
  <c r="H64" i="12"/>
  <c r="H58" i="12"/>
  <c r="M64" i="12"/>
  <c r="H13" i="12"/>
  <c r="Q63" i="12"/>
  <c r="H44" i="12"/>
  <c r="L44" i="12"/>
  <c r="R44" i="12"/>
  <c r="Q58" i="12"/>
  <c r="J44" i="12"/>
  <c r="N63" i="12"/>
  <c r="K14" i="12"/>
  <c r="J13" i="12"/>
  <c r="R13" i="12"/>
  <c r="O23" i="12"/>
  <c r="I3" i="12"/>
  <c r="H11" i="12"/>
  <c r="M3" i="12"/>
  <c r="N13" i="12"/>
  <c r="R12" i="12"/>
  <c r="R11" i="12"/>
  <c r="J14" i="12"/>
  <c r="Q44" i="12"/>
  <c r="J58" i="12"/>
  <c r="N3" i="12"/>
  <c r="P64" i="12"/>
  <c r="L13" i="12"/>
  <c r="K12" i="12"/>
  <c r="P11" i="12"/>
  <c r="O13" i="12"/>
  <c r="P14" i="12"/>
  <c r="O4" i="12"/>
  <c r="K64" i="12"/>
  <c r="K63" i="12"/>
  <c r="R4" i="12"/>
  <c r="N44" i="12"/>
  <c r="O12" i="12"/>
  <c r="N23" i="12"/>
  <c r="L63" i="12"/>
  <c r="J12" i="12"/>
  <c r="R63" i="12"/>
  <c r="K13" i="12"/>
  <c r="Q64" i="12"/>
  <c r="L3" i="12"/>
  <c r="M23" i="12"/>
  <c r="K58" i="12"/>
  <c r="M4" i="12"/>
  <c r="M63" i="12"/>
  <c r="R14" i="12"/>
  <c r="M14" i="12"/>
  <c r="L12" i="12"/>
  <c r="J63" i="12"/>
  <c r="H4" i="12"/>
  <c r="O14" i="12"/>
  <c r="M13" i="12"/>
  <c r="I11" i="12"/>
  <c r="L11" i="12"/>
  <c r="O44" i="12"/>
  <c r="P44" i="12"/>
  <c r="H14" i="12"/>
  <c r="O3" i="12"/>
  <c r="O11" i="12"/>
  <c r="N58" i="12"/>
  <c r="L14" i="12"/>
  <c r="N64" i="12"/>
  <c r="Q23" i="12"/>
  <c r="P13" i="12"/>
  <c r="P63" i="12"/>
  <c r="H3" i="12"/>
  <c r="R3" i="12"/>
  <c r="K11" i="12"/>
  <c r="R64" i="12"/>
  <c r="Q13" i="12"/>
  <c r="I44" i="12"/>
  <c r="K44" i="12"/>
  <c r="J4" i="12"/>
  <c r="M12" i="12"/>
  <c r="O63" i="12"/>
  <c r="Q12" i="12"/>
  <c r="K4" i="12"/>
  <c r="K23" i="12"/>
  <c r="P4" i="12"/>
  <c r="I13" i="12"/>
  <c r="L64" i="12"/>
  <c r="P58" i="12"/>
  <c r="Q4" i="12"/>
  <c r="H12" i="12"/>
  <c r="L58" i="12"/>
  <c r="K3" i="12"/>
  <c r="P3" i="12"/>
  <c r="I64" i="12"/>
  <c r="P12" i="12"/>
  <c r="H63" i="12"/>
  <c r="Q11" i="12"/>
  <c r="I58" i="12"/>
  <c r="I14" i="12"/>
  <c r="P23" i="12"/>
  <c r="S30" i="12"/>
  <c r="J16" i="16"/>
  <c r="J17" i="16" s="1"/>
  <c r="Q66" i="3"/>
  <c r="Q83" i="3"/>
  <c r="Q89" i="3" s="1"/>
  <c r="E72" i="3"/>
  <c r="Q91" i="3"/>
  <c r="P12" i="16"/>
  <c r="H105" i="3"/>
  <c r="F65" i="3"/>
  <c r="F72" i="3" s="1"/>
  <c r="O105" i="3"/>
  <c r="H65" i="3"/>
  <c r="H72" i="3" s="1"/>
  <c r="I65" i="3"/>
  <c r="I72" i="3" s="1"/>
  <c r="J65" i="3"/>
  <c r="J72" i="3" s="1"/>
  <c r="I105" i="3"/>
  <c r="J105" i="3"/>
  <c r="L105" i="3"/>
  <c r="G105" i="3"/>
  <c r="G65" i="3"/>
  <c r="G72" i="3" s="1"/>
  <c r="M65" i="3"/>
  <c r="M72" i="3" s="1"/>
  <c r="O65" i="3"/>
  <c r="O72" i="3" s="1"/>
  <c r="M105" i="3"/>
  <c r="L65" i="3"/>
  <c r="L72" i="3" s="1"/>
  <c r="N105" i="3"/>
  <c r="K105" i="3"/>
  <c r="Q71" i="3"/>
  <c r="Q74" i="3"/>
  <c r="Q81" i="3" s="1"/>
  <c r="P105" i="3"/>
  <c r="P65" i="3"/>
  <c r="P72" i="3" s="1"/>
  <c r="Q70" i="3"/>
  <c r="N65" i="3"/>
  <c r="N72" i="3" s="1"/>
  <c r="Q69" i="3"/>
  <c r="Q68" i="3"/>
  <c r="Q22" i="3"/>
  <c r="Q67" i="3"/>
  <c r="K65" i="3"/>
  <c r="K72" i="3" s="1"/>
  <c r="G4" i="19" l="1"/>
  <c r="D16" i="20"/>
  <c r="D10" i="20"/>
  <c r="Q87" i="12"/>
  <c r="M87" i="12"/>
  <c r="I87" i="12"/>
  <c r="L87" i="12"/>
  <c r="J87" i="12"/>
  <c r="R87" i="12"/>
  <c r="O87" i="12"/>
  <c r="P87" i="12"/>
  <c r="N87" i="12"/>
  <c r="K87" i="12"/>
  <c r="Q4" i="19"/>
  <c r="L4" i="19"/>
  <c r="K16" i="16"/>
  <c r="K17" i="16" s="1"/>
  <c r="K68" i="16"/>
  <c r="G16" i="16"/>
  <c r="G17" i="16" s="1"/>
  <c r="G68" i="16"/>
  <c r="D16" i="16"/>
  <c r="D17" i="16" s="1"/>
  <c r="N16" i="16"/>
  <c r="N17" i="16" s="1"/>
  <c r="N68" i="16"/>
  <c r="I16" i="16"/>
  <c r="I17" i="16" s="1"/>
  <c r="I68" i="16"/>
  <c r="E16" i="16"/>
  <c r="E17" i="16" s="1"/>
  <c r="E68" i="16"/>
  <c r="F16" i="16"/>
  <c r="F17" i="16" s="1"/>
  <c r="F68" i="16"/>
  <c r="L16" i="16"/>
  <c r="L17" i="16" s="1"/>
  <c r="L68" i="16"/>
  <c r="M16" i="16"/>
  <c r="M17" i="16" s="1"/>
  <c r="M68" i="16"/>
  <c r="H16" i="16"/>
  <c r="H17" i="16" s="1"/>
  <c r="H68" i="16"/>
  <c r="O16" i="16"/>
  <c r="O17" i="16" s="1"/>
  <c r="O68" i="16"/>
  <c r="R86" i="12"/>
  <c r="L86" i="12"/>
  <c r="P86" i="12"/>
  <c r="H86" i="12"/>
  <c r="O86" i="12"/>
  <c r="J86" i="12"/>
  <c r="Q86" i="12"/>
  <c r="M86" i="12"/>
  <c r="N86" i="12"/>
  <c r="K86" i="12"/>
  <c r="I86" i="12"/>
  <c r="S85" i="12"/>
  <c r="N110" i="3"/>
  <c r="M110" i="3"/>
  <c r="P110" i="3"/>
  <c r="L110" i="3"/>
  <c r="H110" i="3"/>
  <c r="K110" i="3"/>
  <c r="J110" i="3"/>
  <c r="G110" i="3"/>
  <c r="E110" i="3"/>
  <c r="F110" i="3"/>
  <c r="I110" i="3"/>
  <c r="O110" i="3"/>
  <c r="AF35" i="14"/>
  <c r="AF17" i="14"/>
  <c r="AF4" i="14"/>
  <c r="H65" i="12"/>
  <c r="G65" i="12" s="1"/>
  <c r="AF24" i="14"/>
  <c r="AF40" i="14"/>
  <c r="AF34" i="14"/>
  <c r="AF48" i="14"/>
  <c r="U51" i="14"/>
  <c r="AC51" i="14"/>
  <c r="X51" i="14"/>
  <c r="AA51" i="14"/>
  <c r="Y51" i="14"/>
  <c r="AE51" i="14"/>
  <c r="Z51" i="14"/>
  <c r="AD51" i="14"/>
  <c r="AB51" i="14"/>
  <c r="T51" i="14"/>
  <c r="W51" i="14"/>
  <c r="V51" i="14"/>
  <c r="G11" i="12"/>
  <c r="T11" i="12"/>
  <c r="T58" i="12"/>
  <c r="G58" i="12"/>
  <c r="T64" i="12"/>
  <c r="G64" i="12"/>
  <c r="T4" i="12"/>
  <c r="G4" i="12"/>
  <c r="T14" i="12"/>
  <c r="G14" i="12"/>
  <c r="T44" i="12"/>
  <c r="G44" i="12"/>
  <c r="G23" i="12"/>
  <c r="T23" i="12"/>
  <c r="T12" i="12"/>
  <c r="G12" i="12"/>
  <c r="T63" i="12"/>
  <c r="G63" i="12"/>
  <c r="T13" i="12"/>
  <c r="G13" i="12"/>
  <c r="T3" i="12"/>
  <c r="G3" i="12"/>
  <c r="N9" i="12"/>
  <c r="K10" i="12"/>
  <c r="Q15" i="12"/>
  <c r="J10" i="12"/>
  <c r="P5" i="12"/>
  <c r="N5" i="12"/>
  <c r="H15" i="12"/>
  <c r="J5" i="12"/>
  <c r="N15" i="12"/>
  <c r="J30" i="12"/>
  <c r="K9" i="12"/>
  <c r="H10" i="12"/>
  <c r="R15" i="12"/>
  <c r="R29" i="12"/>
  <c r="Q30" i="12"/>
  <c r="M5" i="12"/>
  <c r="M30" i="12"/>
  <c r="O15" i="12"/>
  <c r="O9" i="12"/>
  <c r="Q9" i="12"/>
  <c r="I30" i="12"/>
  <c r="Q10" i="12"/>
  <c r="I9" i="12"/>
  <c r="K15" i="12"/>
  <c r="K29" i="12"/>
  <c r="H29" i="12"/>
  <c r="N30" i="12"/>
  <c r="N10" i="12"/>
  <c r="L10" i="12"/>
  <c r="N29" i="12"/>
  <c r="L15" i="12"/>
  <c r="P10" i="12"/>
  <c r="Q29" i="12"/>
  <c r="H30" i="12"/>
  <c r="P30" i="12"/>
  <c r="M15" i="12"/>
  <c r="L5" i="12"/>
  <c r="R9" i="12"/>
  <c r="R10" i="12"/>
  <c r="O10" i="12"/>
  <c r="I29" i="12"/>
  <c r="I15" i="12"/>
  <c r="J29" i="12"/>
  <c r="R30" i="12"/>
  <c r="J15" i="12"/>
  <c r="P15" i="12"/>
  <c r="O5" i="12"/>
  <c r="I10" i="12"/>
  <c r="P9" i="12"/>
  <c r="L30" i="12"/>
  <c r="J9" i="12"/>
  <c r="H5" i="12"/>
  <c r="O29" i="12"/>
  <c r="P29" i="12"/>
  <c r="L9" i="12"/>
  <c r="K30" i="12"/>
  <c r="H9" i="12"/>
  <c r="M9" i="12"/>
  <c r="O30" i="12"/>
  <c r="M10" i="12"/>
  <c r="M29" i="12"/>
  <c r="L29" i="12"/>
  <c r="K5" i="12"/>
  <c r="Q5" i="12"/>
  <c r="R5" i="12"/>
  <c r="I5" i="12"/>
  <c r="AF3" i="14"/>
  <c r="P13" i="16"/>
  <c r="F105" i="3"/>
  <c r="E105" i="3"/>
  <c r="Q65" i="3"/>
  <c r="Q72" i="3" s="1"/>
  <c r="E10" i="20" l="1"/>
  <c r="E16" i="20"/>
  <c r="F15" i="20" s="1"/>
  <c r="F10" i="20"/>
  <c r="F16" i="20"/>
  <c r="E15" i="20"/>
  <c r="R55" i="12"/>
  <c r="N40" i="16" s="1"/>
  <c r="R62" i="12"/>
  <c r="N39" i="16" s="1"/>
  <c r="R56" i="12"/>
  <c r="N41" i="16" s="1"/>
  <c r="R57" i="12"/>
  <c r="N42" i="16" s="1"/>
  <c r="R54" i="12"/>
  <c r="N38" i="16" s="1"/>
  <c r="R36" i="12"/>
  <c r="N44" i="16" s="1"/>
  <c r="O55" i="12"/>
  <c r="K40" i="16" s="1"/>
  <c r="O57" i="12"/>
  <c r="K42" i="16" s="1"/>
  <c r="O54" i="12"/>
  <c r="K38" i="16" s="1"/>
  <c r="O62" i="12"/>
  <c r="K39" i="16" s="1"/>
  <c r="O56" i="12"/>
  <c r="K41" i="16" s="1"/>
  <c r="O36" i="12"/>
  <c r="K44" i="16" s="1"/>
  <c r="I55" i="12"/>
  <c r="E40" i="16" s="1"/>
  <c r="I62" i="12"/>
  <c r="E39" i="16" s="1"/>
  <c r="I56" i="12"/>
  <c r="E41" i="16" s="1"/>
  <c r="I36" i="12"/>
  <c r="E44" i="16" s="1"/>
  <c r="I57" i="12"/>
  <c r="E42" i="16" s="1"/>
  <c r="I54" i="12"/>
  <c r="E38" i="16" s="1"/>
  <c r="N55" i="12"/>
  <c r="J40" i="16" s="1"/>
  <c r="N54" i="12"/>
  <c r="J38" i="16" s="1"/>
  <c r="N57" i="12"/>
  <c r="J42" i="16" s="1"/>
  <c r="N62" i="12"/>
  <c r="J39" i="16" s="1"/>
  <c r="N56" i="12"/>
  <c r="J41" i="16" s="1"/>
  <c r="N36" i="12"/>
  <c r="J44" i="16" s="1"/>
  <c r="K55" i="12"/>
  <c r="G40" i="16" s="1"/>
  <c r="K62" i="12"/>
  <c r="G39" i="16" s="1"/>
  <c r="K56" i="12"/>
  <c r="G41" i="16" s="1"/>
  <c r="K36" i="12"/>
  <c r="G44" i="16" s="1"/>
  <c r="K57" i="12"/>
  <c r="G42" i="16" s="1"/>
  <c r="K54" i="12"/>
  <c r="G38" i="16" s="1"/>
  <c r="L55" i="12"/>
  <c r="H40" i="16" s="1"/>
  <c r="L62" i="12"/>
  <c r="H39" i="16" s="1"/>
  <c r="L56" i="12"/>
  <c r="H41" i="16" s="1"/>
  <c r="L36" i="12"/>
  <c r="H44" i="16" s="1"/>
  <c r="L57" i="12"/>
  <c r="H42" i="16" s="1"/>
  <c r="L54" i="12"/>
  <c r="H38" i="16" s="1"/>
  <c r="S55" i="12"/>
  <c r="O40" i="16" s="1"/>
  <c r="S62" i="12"/>
  <c r="O39" i="16" s="1"/>
  <c r="S56" i="12"/>
  <c r="O41" i="16" s="1"/>
  <c r="S36" i="12"/>
  <c r="O44" i="16" s="1"/>
  <c r="S57" i="12"/>
  <c r="O42" i="16" s="1"/>
  <c r="S54" i="12"/>
  <c r="O38" i="16" s="1"/>
  <c r="P55" i="12"/>
  <c r="L40" i="16" s="1"/>
  <c r="P62" i="12"/>
  <c r="L39" i="16" s="1"/>
  <c r="P56" i="12"/>
  <c r="L41" i="16" s="1"/>
  <c r="P57" i="12"/>
  <c r="L42" i="16" s="1"/>
  <c r="P54" i="12"/>
  <c r="L38" i="16" s="1"/>
  <c r="P36" i="12"/>
  <c r="L44" i="16" s="1"/>
  <c r="H55" i="12"/>
  <c r="H54" i="12"/>
  <c r="H62" i="12"/>
  <c r="H56" i="12"/>
  <c r="H36" i="12"/>
  <c r="H57" i="12"/>
  <c r="Q55" i="12"/>
  <c r="M40" i="16" s="1"/>
  <c r="Q62" i="12"/>
  <c r="M39" i="16" s="1"/>
  <c r="Q56" i="12"/>
  <c r="M41" i="16" s="1"/>
  <c r="Q36" i="12"/>
  <c r="M44" i="16" s="1"/>
  <c r="Q57" i="12"/>
  <c r="M42" i="16" s="1"/>
  <c r="Q54" i="12"/>
  <c r="M38" i="16" s="1"/>
  <c r="M55" i="12"/>
  <c r="I40" i="16" s="1"/>
  <c r="M57" i="12"/>
  <c r="I42" i="16" s="1"/>
  <c r="M54" i="12"/>
  <c r="I38" i="16" s="1"/>
  <c r="M62" i="12"/>
  <c r="I39" i="16" s="1"/>
  <c r="M56" i="12"/>
  <c r="I41" i="16" s="1"/>
  <c r="M36" i="12"/>
  <c r="I44" i="16" s="1"/>
  <c r="J55" i="12"/>
  <c r="F40" i="16" s="1"/>
  <c r="J62" i="12"/>
  <c r="F39" i="16" s="1"/>
  <c r="J56" i="12"/>
  <c r="F41" i="16" s="1"/>
  <c r="J36" i="12"/>
  <c r="F44" i="16" s="1"/>
  <c r="J57" i="12"/>
  <c r="F42" i="16" s="1"/>
  <c r="J54" i="12"/>
  <c r="F38" i="16" s="1"/>
  <c r="R88" i="12"/>
  <c r="R34" i="12" s="1"/>
  <c r="N27" i="16" s="1"/>
  <c r="L88" i="12"/>
  <c r="L34" i="12" s="1"/>
  <c r="H27" i="16" s="1"/>
  <c r="N88" i="12"/>
  <c r="N34" i="12" s="1"/>
  <c r="J27" i="16" s="1"/>
  <c r="M88" i="12"/>
  <c r="M34" i="12" s="1"/>
  <c r="I27" i="16" s="1"/>
  <c r="J88" i="12"/>
  <c r="J34" i="12" s="1"/>
  <c r="F27" i="16" s="1"/>
  <c r="O88" i="12"/>
  <c r="O34" i="12" s="1"/>
  <c r="K27" i="16" s="1"/>
  <c r="K88" i="12"/>
  <c r="K34" i="12" s="1"/>
  <c r="G27" i="16" s="1"/>
  <c r="S88" i="12"/>
  <c r="S34" i="12" s="1"/>
  <c r="O27" i="16" s="1"/>
  <c r="P88" i="12"/>
  <c r="P34" i="12" s="1"/>
  <c r="L27" i="16" s="1"/>
  <c r="Q88" i="12"/>
  <c r="Q34" i="12" s="1"/>
  <c r="M27" i="16" s="1"/>
  <c r="H87" i="12"/>
  <c r="P15" i="16"/>
  <c r="P16" i="16" s="1"/>
  <c r="P17" i="16" s="1"/>
  <c r="R4" i="19"/>
  <c r="P68" i="16"/>
  <c r="D68" i="16"/>
  <c r="Q85" i="12"/>
  <c r="T86" i="12"/>
  <c r="I85" i="12"/>
  <c r="H85" i="12"/>
  <c r="R85" i="12"/>
  <c r="M85" i="12"/>
  <c r="J85" i="12"/>
  <c r="G86" i="12"/>
  <c r="O85" i="12"/>
  <c r="N85" i="12"/>
  <c r="L85" i="12"/>
  <c r="P85" i="12"/>
  <c r="K85" i="12"/>
  <c r="R82" i="12"/>
  <c r="D40" i="16"/>
  <c r="T65" i="12"/>
  <c r="AF51" i="14"/>
  <c r="AF52" i="14" s="1"/>
  <c r="T5" i="12"/>
  <c r="G5" i="12"/>
  <c r="T9" i="12"/>
  <c r="G9" i="12"/>
  <c r="G30" i="12"/>
  <c r="T30" i="12"/>
  <c r="G29" i="12"/>
  <c r="T29" i="12"/>
  <c r="G10" i="12"/>
  <c r="T10" i="12"/>
  <c r="T15" i="12"/>
  <c r="G15" i="12"/>
  <c r="O47" i="16"/>
  <c r="Q92" i="3"/>
  <c r="Q105" i="3" s="1"/>
  <c r="E106" i="3"/>
  <c r="F106" i="3" s="1"/>
  <c r="G106" i="3" s="1"/>
  <c r="H106" i="3" s="1"/>
  <c r="I106" i="3" s="1"/>
  <c r="J106" i="3" s="1"/>
  <c r="K106" i="3" s="1"/>
  <c r="L106" i="3" s="1"/>
  <c r="M106" i="3" s="1"/>
  <c r="N106" i="3" s="1"/>
  <c r="O106" i="3" s="1"/>
  <c r="P106" i="3" s="1"/>
  <c r="P29" i="16"/>
  <c r="F46" i="16" l="1"/>
  <c r="O46" i="16"/>
  <c r="G46" i="16"/>
  <c r="G50" i="16" s="1"/>
  <c r="G51" i="16" s="1"/>
  <c r="K46" i="16"/>
  <c r="J46" i="16"/>
  <c r="M46" i="16"/>
  <c r="H46" i="16"/>
  <c r="I46" i="16"/>
  <c r="I50" i="16" s="1"/>
  <c r="I51" i="16" s="1"/>
  <c r="L46" i="16"/>
  <c r="L50" i="16" s="1"/>
  <c r="L51" i="16" s="1"/>
  <c r="N46" i="16"/>
  <c r="M82" i="12"/>
  <c r="G48" i="16"/>
  <c r="G55" i="12"/>
  <c r="T55" i="12"/>
  <c r="L82" i="12"/>
  <c r="K48" i="16"/>
  <c r="F48" i="16"/>
  <c r="I48" i="16"/>
  <c r="J48" i="16"/>
  <c r="P40" i="16"/>
  <c r="M48" i="16"/>
  <c r="D42" i="16"/>
  <c r="P42" i="16" s="1"/>
  <c r="G57" i="12"/>
  <c r="T57" i="12"/>
  <c r="D44" i="16"/>
  <c r="P44" i="16" s="1"/>
  <c r="T36" i="12"/>
  <c r="G36" i="12"/>
  <c r="D41" i="16"/>
  <c r="G56" i="12"/>
  <c r="T56" i="12"/>
  <c r="D39" i="16"/>
  <c r="P39" i="16" s="1"/>
  <c r="T62" i="12"/>
  <c r="G62" i="12"/>
  <c r="D38" i="16"/>
  <c r="P38" i="16" s="1"/>
  <c r="G54" i="12"/>
  <c r="T54" i="12"/>
  <c r="N82" i="12"/>
  <c r="J82" i="12"/>
  <c r="O82" i="12"/>
  <c r="K82" i="12"/>
  <c r="P82" i="12"/>
  <c r="T87" i="12"/>
  <c r="Q82" i="12"/>
  <c r="S82" i="12"/>
  <c r="H88" i="12"/>
  <c r="H34" i="12" s="1"/>
  <c r="I88" i="12"/>
  <c r="I34" i="12" s="1"/>
  <c r="G85" i="12"/>
  <c r="T85" i="12"/>
  <c r="F47" i="16"/>
  <c r="D47" i="16"/>
  <c r="K47" i="16"/>
  <c r="M47" i="16"/>
  <c r="N47" i="16"/>
  <c r="H47" i="16"/>
  <c r="E47" i="16"/>
  <c r="J47" i="16"/>
  <c r="G47" i="16"/>
  <c r="I47" i="16"/>
  <c r="O48" i="16"/>
  <c r="B3" i="19" s="1"/>
  <c r="H48" i="16"/>
  <c r="L48" i="16"/>
  <c r="N48" i="16"/>
  <c r="P41" i="16"/>
  <c r="O50" i="16"/>
  <c r="O51" i="16" s="1"/>
  <c r="N3" i="19" l="1"/>
  <c r="F3" i="19"/>
  <c r="I3" i="19"/>
  <c r="J3" i="19"/>
  <c r="K3" i="19"/>
  <c r="E27" i="16"/>
  <c r="I82" i="12"/>
  <c r="D27" i="16"/>
  <c r="D46" i="16" s="1"/>
  <c r="G34" i="12"/>
  <c r="G82" i="12" s="1"/>
  <c r="T34" i="12"/>
  <c r="T82" i="12" s="1"/>
  <c r="H82" i="12"/>
  <c r="G88" i="12"/>
  <c r="P3" i="19"/>
  <c r="O3" i="19"/>
  <c r="H3" i="19"/>
  <c r="G58" i="16"/>
  <c r="G62" i="16" s="1"/>
  <c r="F2" i="19"/>
  <c r="O58" i="16"/>
  <c r="O62" i="16" s="1"/>
  <c r="P2" i="19"/>
  <c r="L58" i="16"/>
  <c r="L62" i="16" s="1"/>
  <c r="M2" i="19"/>
  <c r="I58" i="16"/>
  <c r="I62" i="16" s="1"/>
  <c r="I2" i="19"/>
  <c r="M3" i="19"/>
  <c r="F50" i="16"/>
  <c r="F51" i="16" s="1"/>
  <c r="J50" i="16"/>
  <c r="J51" i="16" s="1"/>
  <c r="K50" i="16"/>
  <c r="K51" i="16" s="1"/>
  <c r="M50" i="16"/>
  <c r="M51" i="16" s="1"/>
  <c r="L47" i="16"/>
  <c r="P47" i="16"/>
  <c r="N50" i="16"/>
  <c r="N51" i="16" s="1"/>
  <c r="H50" i="16"/>
  <c r="H51" i="16" s="1"/>
  <c r="E48" i="16" l="1"/>
  <c r="E3" i="19" s="1"/>
  <c r="E46" i="16"/>
  <c r="I64" i="16"/>
  <c r="I77" i="16" s="1"/>
  <c r="I79" i="16" s="1"/>
  <c r="L64" i="16"/>
  <c r="L77" i="16" s="1"/>
  <c r="L79" i="16" s="1"/>
  <c r="O64" i="16"/>
  <c r="O77" i="16" s="1"/>
  <c r="O79" i="16" s="1"/>
  <c r="G64" i="16"/>
  <c r="G77" i="16" s="1"/>
  <c r="G79" i="16" s="1"/>
  <c r="F6" i="19"/>
  <c r="F17" i="19" s="1"/>
  <c r="I6" i="19"/>
  <c r="I17" i="19" s="1"/>
  <c r="L3" i="19"/>
  <c r="E50" i="16"/>
  <c r="E51" i="16" s="1"/>
  <c r="P27" i="16"/>
  <c r="D50" i="16"/>
  <c r="D48" i="16"/>
  <c r="Q3" i="19"/>
  <c r="P6" i="19"/>
  <c r="P17" i="19" s="1"/>
  <c r="M6" i="19"/>
  <c r="M17" i="19" s="1"/>
  <c r="N58" i="16"/>
  <c r="N62" i="16" s="1"/>
  <c r="O2" i="19"/>
  <c r="O6" i="19" s="1"/>
  <c r="K58" i="16"/>
  <c r="K62" i="16" s="1"/>
  <c r="K2" i="19"/>
  <c r="K6" i="19" s="1"/>
  <c r="F58" i="16"/>
  <c r="F62" i="16" s="1"/>
  <c r="E2" i="19"/>
  <c r="E6" i="19" s="1"/>
  <c r="M58" i="16"/>
  <c r="M62" i="16" s="1"/>
  <c r="N2" i="19"/>
  <c r="N6" i="19" s="1"/>
  <c r="J58" i="16"/>
  <c r="J62" i="16" s="1"/>
  <c r="J2" i="19"/>
  <c r="J6" i="19" s="1"/>
  <c r="H58" i="16"/>
  <c r="H62" i="16" s="1"/>
  <c r="H2" i="19"/>
  <c r="F20" i="20" l="1"/>
  <c r="F34" i="20"/>
  <c r="F38" i="20" s="1"/>
  <c r="F39" i="20" s="1"/>
  <c r="E34" i="20"/>
  <c r="E38" i="20" s="1"/>
  <c r="E39" i="20" s="1"/>
  <c r="E20" i="20"/>
  <c r="F19" i="20" s="1"/>
  <c r="M64" i="16"/>
  <c r="M77" i="16" s="1"/>
  <c r="M79" i="16" s="1"/>
  <c r="P48" i="16"/>
  <c r="P46" i="16"/>
  <c r="P50" i="16" s="1"/>
  <c r="P51" i="16" s="1"/>
  <c r="N64" i="16"/>
  <c r="N77" i="16" s="1"/>
  <c r="N79" i="16" s="1"/>
  <c r="J64" i="16"/>
  <c r="J77" i="16" s="1"/>
  <c r="J79" i="16" s="1"/>
  <c r="H64" i="16"/>
  <c r="H77" i="16" s="1"/>
  <c r="H79" i="16" s="1"/>
  <c r="K64" i="16"/>
  <c r="K77" i="16" s="1"/>
  <c r="K79" i="16" s="1"/>
  <c r="F64" i="16"/>
  <c r="F77" i="16" s="1"/>
  <c r="F79" i="16" s="1"/>
  <c r="D2" i="19"/>
  <c r="E58" i="16"/>
  <c r="E62" i="16" s="1"/>
  <c r="D3" i="19"/>
  <c r="C3" i="19"/>
  <c r="G3" i="19" s="1"/>
  <c r="D51" i="16"/>
  <c r="C2" i="19"/>
  <c r="D58" i="16"/>
  <c r="D62" i="16" s="1"/>
  <c r="Q2" i="19"/>
  <c r="Q6" i="19" s="1"/>
  <c r="Q17" i="19" s="1"/>
  <c r="H6" i="19"/>
  <c r="H17" i="19" s="1"/>
  <c r="L2" i="19"/>
  <c r="L6" i="19" s="1"/>
  <c r="L17" i="19" s="1"/>
  <c r="E17" i="19"/>
  <c r="O17" i="19"/>
  <c r="K17" i="19"/>
  <c r="N17" i="19"/>
  <c r="J17" i="19"/>
  <c r="D34" i="20" l="1"/>
  <c r="D38" i="20" s="1"/>
  <c r="D39" i="20" s="1"/>
  <c r="D20" i="20"/>
  <c r="D64" i="16"/>
  <c r="D77" i="16" s="1"/>
  <c r="E64" i="16"/>
  <c r="E77" i="16" s="1"/>
  <c r="E79" i="16" s="1"/>
  <c r="B2" i="19"/>
  <c r="B6" i="19" s="1"/>
  <c r="B17" i="19" s="1"/>
  <c r="B20" i="19" s="1"/>
  <c r="P58" i="16"/>
  <c r="P62" i="16" s="1"/>
  <c r="C6" i="19"/>
  <c r="C17" i="19" s="1"/>
  <c r="C20" i="19" s="1"/>
  <c r="D19" i="19" s="1"/>
  <c r="R3" i="19"/>
  <c r="G2" i="19"/>
  <c r="D6" i="19"/>
  <c r="D17" i="19" s="1"/>
  <c r="E19" i="20" l="1"/>
  <c r="D12" i="20"/>
  <c r="D79" i="16"/>
  <c r="D78" i="16"/>
  <c r="E78" i="16" s="1"/>
  <c r="F78" i="16" s="1"/>
  <c r="G78" i="16" s="1"/>
  <c r="H78" i="16" s="1"/>
  <c r="I78" i="16" s="1"/>
  <c r="J78" i="16" s="1"/>
  <c r="K78" i="16" s="1"/>
  <c r="L78" i="16" s="1"/>
  <c r="M78" i="16" s="1"/>
  <c r="N78" i="16" s="1"/>
  <c r="O78" i="16" s="1"/>
  <c r="P64" i="16"/>
  <c r="P77" i="16" s="1"/>
  <c r="G6" i="19"/>
  <c r="G17" i="19" s="1"/>
  <c r="D20" i="19"/>
  <c r="E19" i="19" s="1"/>
  <c r="E20" i="19" s="1"/>
  <c r="F19" i="19" s="1"/>
  <c r="F20" i="19" s="1"/>
  <c r="H19" i="19" s="1"/>
  <c r="H20" i="19" s="1"/>
  <c r="I19" i="19" s="1"/>
  <c r="I20" i="19" s="1"/>
  <c r="J19" i="19" s="1"/>
  <c r="J20" i="19" s="1"/>
  <c r="K19" i="19" s="1"/>
  <c r="K20" i="19" s="1"/>
  <c r="M19" i="19" s="1"/>
  <c r="M20" i="19" s="1"/>
  <c r="N19" i="19" s="1"/>
  <c r="N20" i="19" s="1"/>
  <c r="O19" i="19" s="1"/>
  <c r="O20" i="19" s="1"/>
  <c r="P19" i="19" s="1"/>
  <c r="P20" i="19" s="1"/>
  <c r="R2" i="19"/>
  <c r="E13" i="20" l="1"/>
  <c r="E12" i="20" s="1"/>
  <c r="D24" i="20"/>
  <c r="D25" i="20" s="1"/>
  <c r="D40" i="20" s="1"/>
  <c r="B21" i="19"/>
  <c r="R6" i="19"/>
  <c r="G20" i="19"/>
  <c r="L19" i="19" s="1"/>
  <c r="L20" i="19" s="1"/>
  <c r="Q19" i="19" s="1"/>
  <c r="Q20" i="19" s="1"/>
  <c r="R17" i="19"/>
  <c r="R20" i="19" s="1"/>
  <c r="F13" i="20" l="1"/>
  <c r="F12" i="20" s="1"/>
  <c r="F24" i="20" s="1"/>
  <c r="F25" i="20" s="1"/>
  <c r="F40" i="20" s="1"/>
  <c r="E24" i="20"/>
  <c r="E25" i="20" s="1"/>
  <c r="E40" i="20" s="1"/>
  <c r="O11" i="18"/>
  <c r="C19" i="18"/>
  <c r="O1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Virginie Bauchau</author>
  </authors>
  <commentList>
    <comment ref="A3" authorId="0" shapeId="0" xr:uid="{CC353240-B3D4-4152-A681-1E0D357BD18E}">
      <text>
        <r>
          <rPr>
            <b/>
            <sz val="9"/>
            <color indexed="81"/>
            <rFont val="Tahoma"/>
            <family val="2"/>
          </rPr>
          <t>Virginie Bauchau:</t>
        </r>
        <r>
          <rPr>
            <sz val="9"/>
            <color indexed="81"/>
            <rFont val="Tahoma"/>
            <family val="2"/>
          </rPr>
          <t xml:space="preserve">
Délai: 30 jours</t>
        </r>
      </text>
    </comment>
    <comment ref="A4" authorId="0" shapeId="0" xr:uid="{F1C83D77-8D10-403A-95E8-5BD25F511FA0}">
      <text>
        <r>
          <rPr>
            <b/>
            <sz val="9"/>
            <color indexed="81"/>
            <rFont val="Tahoma"/>
            <family val="2"/>
          </rPr>
          <t>Virginie Bauchau:</t>
        </r>
        <r>
          <rPr>
            <sz val="9"/>
            <color indexed="81"/>
            <rFont val="Tahoma"/>
            <family val="2"/>
          </rPr>
          <t xml:space="preserve">
Délai: 60 jours</t>
        </r>
      </text>
    </comment>
    <comment ref="B4" authorId="0" shapeId="0" xr:uid="{4C3B9E49-E3A9-4927-B332-47737191E883}">
      <text>
        <r>
          <rPr>
            <b/>
            <sz val="9"/>
            <color indexed="81"/>
            <rFont val="Tahoma"/>
            <family val="2"/>
          </rPr>
          <t>Virginie Bauchau:</t>
        </r>
        <r>
          <rPr>
            <sz val="9"/>
            <color indexed="81"/>
            <rFont val="Tahoma"/>
            <family val="2"/>
          </rPr>
          <t xml:space="preserve">
Q4 23: uniquement 1/3 des revenus sera payé encore en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Virginie Bauchau</author>
  </authors>
  <commentList>
    <comment ref="C34" authorId="0" shapeId="0" xr:uid="{3078878A-2963-4A33-8807-D2DC45B24C9D}">
      <text>
        <r>
          <rPr>
            <b/>
            <sz val="9"/>
            <color indexed="81"/>
            <rFont val="Tahoma"/>
            <family val="2"/>
          </rPr>
          <t>Virginie Bauchau:</t>
        </r>
        <r>
          <rPr>
            <sz val="9"/>
            <color indexed="81"/>
            <rFont val="Tahoma"/>
            <family val="2"/>
          </rPr>
          <t xml:space="preserve">
10K€ par recrutement</t>
        </r>
      </text>
    </comment>
    <comment ref="E88" authorId="0" shapeId="0" xr:uid="{D46E5658-B022-4752-BA0D-DDFD0907CAE8}">
      <text>
        <r>
          <rPr>
            <b/>
            <sz val="9"/>
            <color indexed="81"/>
            <rFont val="Tahoma"/>
            <family val="2"/>
          </rPr>
          <t>Virginie Bauchau:</t>
        </r>
        <r>
          <rPr>
            <sz val="9"/>
            <color indexed="81"/>
            <rFont val="Tahoma"/>
            <family val="2"/>
          </rPr>
          <t xml:space="preserve">
in order to calculate recruitement cost 
</t>
        </r>
      </text>
    </comment>
  </commentList>
</comments>
</file>

<file path=xl/sharedStrings.xml><?xml version="1.0" encoding="utf-8"?>
<sst xmlns="http://schemas.openxmlformats.org/spreadsheetml/2006/main" count="2689" uniqueCount="314">
  <si>
    <t>G&amp;A</t>
  </si>
  <si>
    <t>TOTAL</t>
  </si>
  <si>
    <t>T1</t>
  </si>
  <si>
    <t>T2</t>
  </si>
  <si>
    <t>T3</t>
  </si>
  <si>
    <t>T4</t>
  </si>
  <si>
    <t>COGS</t>
  </si>
  <si>
    <t>Development &amp; op.</t>
  </si>
  <si>
    <t>NET</t>
  </si>
  <si>
    <t>T5</t>
  </si>
  <si>
    <t>T6</t>
  </si>
  <si>
    <t>TARGETS</t>
  </si>
  <si>
    <t>HR</t>
  </si>
  <si>
    <t>Clinical affairs</t>
  </si>
  <si>
    <t xml:space="preserve">Other </t>
  </si>
  <si>
    <t>Directors</t>
  </si>
  <si>
    <t xml:space="preserve">Recruitment </t>
  </si>
  <si>
    <t>Training</t>
  </si>
  <si>
    <t>IP &amp; patents costs</t>
  </si>
  <si>
    <t xml:space="preserve">Marketing &amp; communication </t>
  </si>
  <si>
    <t>Shipment in &amp; out</t>
  </si>
  <si>
    <t>Small equipment</t>
  </si>
  <si>
    <t>Software &amp; licences</t>
  </si>
  <si>
    <t>Facilities</t>
  </si>
  <si>
    <t>Admin costs</t>
  </si>
  <si>
    <t>Financial costs</t>
  </si>
  <si>
    <t xml:space="preserve">Cumulated </t>
  </si>
  <si>
    <t xml:space="preserve">Cash in from Revenue </t>
  </si>
  <si>
    <t xml:space="preserve">TOTAL </t>
  </si>
  <si>
    <t>QA Manager</t>
  </si>
  <si>
    <t>KOL Mngt (6)</t>
  </si>
  <si>
    <t xml:space="preserve">Clinical affairs </t>
  </si>
  <si>
    <t>Secretary</t>
  </si>
  <si>
    <t>Argafin</t>
  </si>
  <si>
    <t>CFO</t>
  </si>
  <si>
    <t>Trigone</t>
  </si>
  <si>
    <t>Accountancy</t>
  </si>
  <si>
    <t>P &amp; P company</t>
  </si>
  <si>
    <t>IT and Facilities</t>
  </si>
  <si>
    <t>JCHyTECH or other</t>
  </si>
  <si>
    <t>Marketing</t>
  </si>
  <si>
    <t>DDG</t>
  </si>
  <si>
    <t>Fonction</t>
  </si>
  <si>
    <t>Allocation</t>
  </si>
  <si>
    <t>Italian KOL</t>
  </si>
  <si>
    <t>Fabiocchi</t>
  </si>
  <si>
    <t>CEO</t>
  </si>
  <si>
    <t>JCH</t>
  </si>
  <si>
    <t>TKE</t>
  </si>
  <si>
    <t>Business Development Manager HQ</t>
  </si>
  <si>
    <t>BPI</t>
  </si>
  <si>
    <t xml:space="preserve">Sales and bus dev </t>
  </si>
  <si>
    <t>Business Development Manager Italy</t>
  </si>
  <si>
    <t>GTA</t>
  </si>
  <si>
    <t xml:space="preserve">Détails </t>
  </si>
  <si>
    <t xml:space="preserve">Total </t>
  </si>
  <si>
    <t>T&amp;E</t>
  </si>
  <si>
    <t>Other costs</t>
  </si>
  <si>
    <t>Legal</t>
  </si>
  <si>
    <t xml:space="preserve">Marketing </t>
  </si>
  <si>
    <t>Étiquettes de lignes</t>
  </si>
  <si>
    <t>Total général</t>
  </si>
  <si>
    <t>E&amp;F</t>
  </si>
  <si>
    <t>HR/Admin</t>
  </si>
  <si>
    <t>Finance</t>
  </si>
  <si>
    <t>Costs not allocated to targets</t>
  </si>
  <si>
    <t xml:space="preserve">COSTS </t>
  </si>
  <si>
    <t>COSTS</t>
  </si>
  <si>
    <t>QA-RA</t>
  </si>
  <si>
    <t>Consultancies</t>
  </si>
  <si>
    <t xml:space="preserve">E&amp;F + Consultancies </t>
  </si>
  <si>
    <t xml:space="preserve">Consultancies </t>
  </si>
  <si>
    <t xml:space="preserve">Target </t>
  </si>
  <si>
    <t xml:space="preserve">Costs not allocated to target </t>
  </si>
  <si>
    <t xml:space="preserve">Legal </t>
  </si>
  <si>
    <t>See Target allocation</t>
  </si>
  <si>
    <t xml:space="preserve">Dev &amp; Op </t>
  </si>
  <si>
    <t>GGO</t>
  </si>
  <si>
    <t>KSC</t>
  </si>
  <si>
    <t>RNU</t>
  </si>
  <si>
    <t>USA</t>
  </si>
  <si>
    <t>FTE</t>
  </si>
  <si>
    <t xml:space="preserve">Montant </t>
  </si>
  <si>
    <t xml:space="preserve">CHECK </t>
  </si>
  <si>
    <t>#</t>
  </si>
  <si>
    <t>Capital increase</t>
  </si>
  <si>
    <t xml:space="preserve">Capital increase </t>
  </si>
  <si>
    <t>Salma Michor</t>
  </si>
  <si>
    <t>Clinical Affairs watch</t>
  </si>
  <si>
    <t xml:space="preserve">Salma Michor </t>
  </si>
  <si>
    <t>MMO</t>
  </si>
  <si>
    <t xml:space="preserve">PROFIT AND LOSS </t>
  </si>
  <si>
    <t>ALL AMOUNTS IN KEUR</t>
  </si>
  <si>
    <t>TOTAL REVENUE</t>
  </si>
  <si>
    <t>TOTAL COGS</t>
  </si>
  <si>
    <t>GROSS MARGIN</t>
  </si>
  <si>
    <t>GROSS MARGIN Rate</t>
  </si>
  <si>
    <t>Employees &amp; Freelances</t>
  </si>
  <si>
    <t xml:space="preserve">Travel </t>
  </si>
  <si>
    <t>Travel</t>
  </si>
  <si>
    <t xml:space="preserve">Other costs </t>
  </si>
  <si>
    <t>Capitalized costs</t>
  </si>
  <si>
    <t>Total payroll</t>
  </si>
  <si>
    <t>Total Opex</t>
  </si>
  <si>
    <t>EBITDA</t>
  </si>
  <si>
    <t>Depreciation &amp; Amortization</t>
  </si>
  <si>
    <t>Financial income</t>
  </si>
  <si>
    <t>Extraordinary costs</t>
  </si>
  <si>
    <t>Extraordinary income</t>
  </si>
  <si>
    <t>PROFIT BEFORE TAXES</t>
  </si>
  <si>
    <t>Income tax</t>
  </si>
  <si>
    <t>NET PROFIT</t>
  </si>
  <si>
    <t xml:space="preserve">Comments </t>
  </si>
  <si>
    <t xml:space="preserve">Senior Developper - début mars </t>
  </si>
  <si>
    <t>VCA</t>
  </si>
  <si>
    <t xml:space="preserve">Project Manager </t>
  </si>
  <si>
    <t>Q1 21</t>
  </si>
  <si>
    <t>Q2 21</t>
  </si>
  <si>
    <t>Q3 21</t>
  </si>
  <si>
    <t>Q4 21</t>
  </si>
  <si>
    <t>Q1 22</t>
  </si>
  <si>
    <t>Q2 22</t>
  </si>
  <si>
    <t>Q3 23</t>
  </si>
  <si>
    <t>Q3 22</t>
  </si>
  <si>
    <t>Q4 22</t>
  </si>
  <si>
    <t>Q1 23</t>
  </si>
  <si>
    <t>Q2 23</t>
  </si>
  <si>
    <t xml:space="preserve">Q3 23 </t>
  </si>
  <si>
    <t xml:space="preserve">Q4 23 </t>
  </si>
  <si>
    <t xml:space="preserve">Hospital market: Baxter &amp; DIM 3 Pilot </t>
  </si>
  <si>
    <t>Homecare market: Vivisol</t>
  </si>
  <si>
    <t xml:space="preserve">Nutrow &amp; Feedim evolution </t>
  </si>
  <si>
    <t xml:space="preserve">Oncology: development </t>
  </si>
  <si>
    <t xml:space="preserve">Operations organisation (Services): Installation &amp; Interfaçage </t>
  </si>
  <si>
    <t xml:space="preserve">OEM Feedim </t>
  </si>
  <si>
    <t>Q4 23</t>
  </si>
  <si>
    <t xml:space="preserve">Q4 22 </t>
  </si>
  <si>
    <t>CFR</t>
  </si>
  <si>
    <t>Somme de Q1 21</t>
  </si>
  <si>
    <t>Somme de Q2 21</t>
  </si>
  <si>
    <t>Somme de Q3 21</t>
  </si>
  <si>
    <t>Somme de Q1 212</t>
  </si>
  <si>
    <t>Somme de Q2 212</t>
  </si>
  <si>
    <t>Somme de Q3 212</t>
  </si>
  <si>
    <t>Somme de Q4 212</t>
  </si>
  <si>
    <t>Somme de Q1 222</t>
  </si>
  <si>
    <t>Somme de Q2 222</t>
  </si>
  <si>
    <t>Somme de Q3 222</t>
  </si>
  <si>
    <t xml:space="preserve">Somme de Q4 22 </t>
  </si>
  <si>
    <t>Somme de Q1 232</t>
  </si>
  <si>
    <t>Somme de Q2 232</t>
  </si>
  <si>
    <t>Somme de Q3 232</t>
  </si>
  <si>
    <t>Somme de Q4 232</t>
  </si>
  <si>
    <t>Somme de Q4 21</t>
  </si>
  <si>
    <t>Somme de Q1 22</t>
  </si>
  <si>
    <t>Somme de Q2 22</t>
  </si>
  <si>
    <t>Somme de Q3 22</t>
  </si>
  <si>
    <t>Somme de Q4 22</t>
  </si>
  <si>
    <t>Somme de Q1 23</t>
  </si>
  <si>
    <t>Somme de Q2 23</t>
  </si>
  <si>
    <t>Somme de Q3 23</t>
  </si>
  <si>
    <t>Somme de Q4 23</t>
  </si>
  <si>
    <t xml:space="preserve">General Management </t>
  </si>
  <si>
    <t>Operations</t>
  </si>
  <si>
    <t xml:space="preserve">General management </t>
  </si>
  <si>
    <t>JBE</t>
  </si>
  <si>
    <t>CDE</t>
  </si>
  <si>
    <t>COO</t>
  </si>
  <si>
    <t>TBH</t>
  </si>
  <si>
    <t>Senior Engineer 1</t>
  </si>
  <si>
    <t>Senior Engineer 2</t>
  </si>
  <si>
    <t>Engineer 3</t>
  </si>
  <si>
    <t>Engineer 1</t>
  </si>
  <si>
    <t>Engineer 2</t>
  </si>
  <si>
    <t xml:space="preserve">Moyenne EFT </t>
  </si>
  <si>
    <t>Full costs/Q - 1FTE</t>
  </si>
  <si>
    <t>Montly full costs - 1 FTE</t>
  </si>
  <si>
    <t>Other</t>
  </si>
  <si>
    <t>Regulatory Affairs consultant</t>
  </si>
  <si>
    <t>(vide)</t>
  </si>
  <si>
    <t>Development</t>
  </si>
  <si>
    <t>Product Development Mgr</t>
  </si>
  <si>
    <t>Product Manager 2</t>
  </si>
  <si>
    <t>Senior Engineer 3</t>
  </si>
  <si>
    <t>Senior Engineer 4</t>
  </si>
  <si>
    <t>Engineer 4</t>
  </si>
  <si>
    <t>Engineer 5</t>
  </si>
  <si>
    <t>Product Manager 3</t>
  </si>
  <si>
    <t>Senior Engineer 5</t>
  </si>
  <si>
    <t>Senior Engineer 6</t>
  </si>
  <si>
    <t>Engineer 6</t>
  </si>
  <si>
    <t>Engineer 7</t>
  </si>
  <si>
    <t>Engineer 8</t>
  </si>
  <si>
    <t xml:space="preserve">Wifi et 4G </t>
  </si>
  <si>
    <t xml:space="preserve">COGS </t>
  </si>
  <si>
    <t>Clinical Affairs Onco</t>
  </si>
  <si>
    <t>Manufacturing</t>
  </si>
  <si>
    <t xml:space="preserve">Manufacturing assistant 1 </t>
  </si>
  <si>
    <t xml:space="preserve">E&amp;F </t>
  </si>
  <si>
    <t>Other costs 1</t>
  </si>
  <si>
    <t>Other costs 2</t>
  </si>
  <si>
    <t xml:space="preserve">T1 -Hospital market: Baxter &amp; DIM 3 Pilot </t>
  </si>
  <si>
    <t>T2 - Homecare market: Vivisol</t>
  </si>
  <si>
    <t xml:space="preserve">T3 - Nutrow &amp; Feedim evolution </t>
  </si>
  <si>
    <t xml:space="preserve">T5 - Operations organisation (Services): Installation &amp; Interfaçage </t>
  </si>
  <si>
    <t xml:space="preserve">T6 - OEM Feedim </t>
  </si>
  <si>
    <t>T1 -Hospital market</t>
  </si>
  <si>
    <t>T2 - Homecare market</t>
  </si>
  <si>
    <t>T4 - Oncology development</t>
  </si>
  <si>
    <t xml:space="preserve">T5 - Operations </t>
  </si>
  <si>
    <t xml:space="preserve">Medical director </t>
  </si>
  <si>
    <t>Ghislain</t>
  </si>
  <si>
    <t xml:space="preserve">CAPEX </t>
  </si>
  <si>
    <t xml:space="preserve">Loan reimbursement </t>
  </si>
  <si>
    <t xml:space="preserve">Subsidies </t>
  </si>
  <si>
    <t>OPERATING CASH FLOW</t>
  </si>
  <si>
    <t xml:space="preserve">FINANCING CASH FLOW </t>
  </si>
  <si>
    <t xml:space="preserve">NET CASH FLOW </t>
  </si>
  <si>
    <t xml:space="preserve">NET CUMULATIVE CASH FLOW </t>
  </si>
  <si>
    <t xml:space="preserve">INVESTING CASH FLOW </t>
  </si>
  <si>
    <t xml:space="preserve">File "BP 21-23 - Amortissements" </t>
  </si>
  <si>
    <t>Financial costs/ income</t>
  </si>
  <si>
    <t xml:space="preserve">Capitalized costs </t>
  </si>
  <si>
    <t xml:space="preserve">Gross cash flow (EBITDA) </t>
  </si>
  <si>
    <t xml:space="preserve">CASH FROM OPERATING ACTIVITIES </t>
  </si>
  <si>
    <t xml:space="preserve">R&amp;D and other capitalised costs </t>
  </si>
  <si>
    <t xml:space="preserve">CASH FROM INVESTING ACTIVITIES </t>
  </si>
  <si>
    <t xml:space="preserve">New funding </t>
  </si>
  <si>
    <t xml:space="preserve">CASH FROM FINANCING ACTIVITIES </t>
  </si>
  <si>
    <t xml:space="preserve">NET CASH VARIATION </t>
  </si>
  <si>
    <t>OPENING CASH 01/01/2021</t>
  </si>
  <si>
    <t>CLOSING CASH 31/12/2023</t>
  </si>
  <si>
    <t xml:space="preserve">EBITDA rate </t>
  </si>
  <si>
    <t>BP 2021</t>
  </si>
  <si>
    <t>BP 2022</t>
  </si>
  <si>
    <t>BP 2023</t>
  </si>
  <si>
    <t>T4 - Oncology: development</t>
  </si>
  <si>
    <t>Engineer 10</t>
  </si>
  <si>
    <t>Variation de stock</t>
  </si>
  <si>
    <t xml:space="preserve">Suppliers - WK changes (30 days) </t>
  </si>
  <si>
    <t>Clients - WK changes (60 days)</t>
  </si>
  <si>
    <t>Inventory</t>
  </si>
  <si>
    <t xml:space="preserve">COGS by TARGET </t>
  </si>
  <si>
    <t xml:space="preserve">Q </t>
  </si>
  <si>
    <t>Engineer 11</t>
  </si>
  <si>
    <t>Engineer 12</t>
  </si>
  <si>
    <t xml:space="preserve">Sales Manager France </t>
  </si>
  <si>
    <t xml:space="preserve">Sales Manager Germany </t>
  </si>
  <si>
    <t xml:space="preserve">VP Sales </t>
  </si>
  <si>
    <t xml:space="preserve">Senior Sales Manager France </t>
  </si>
  <si>
    <t xml:space="preserve">Senior Sales Manager Germany </t>
  </si>
  <si>
    <t xml:space="preserve">TBH </t>
  </si>
  <si>
    <t xml:space="preserve">Senior Business Dev Belgium </t>
  </si>
  <si>
    <t>Marketing 1</t>
  </si>
  <si>
    <t>Marketing 2</t>
  </si>
  <si>
    <t>Senior Sales Manager BeNeLux</t>
  </si>
  <si>
    <t>Sales Manager OEM</t>
  </si>
  <si>
    <t xml:space="preserve">NB TBH </t>
  </si>
  <si>
    <t xml:space="preserve">TBH per Q </t>
  </si>
  <si>
    <t>Senior Engineer 7</t>
  </si>
  <si>
    <t>Senior Engineer 8</t>
  </si>
  <si>
    <t xml:space="preserve">Variation de stock </t>
  </si>
  <si>
    <t>Senior Sales Manager Country 1</t>
  </si>
  <si>
    <t>Sales Manager Country 1</t>
  </si>
  <si>
    <t xml:space="preserve">Explained in the text </t>
  </si>
  <si>
    <t>TOTAL OVERHEAD</t>
  </si>
  <si>
    <t xml:space="preserve">Feedim WIFI Cost/device </t>
  </si>
  <si>
    <t xml:space="preserve">Feedim 4G Cost/device </t>
  </si>
  <si>
    <t>BILAN PREVISIONNEL</t>
  </si>
  <si>
    <t>Immobilisations financières</t>
  </si>
  <si>
    <t>Actifs immobilisés</t>
  </si>
  <si>
    <t>Stocks</t>
  </si>
  <si>
    <t>Créances commerciales</t>
  </si>
  <si>
    <t>Autres créances</t>
  </si>
  <si>
    <t>Cash &amp; équivalents</t>
  </si>
  <si>
    <t>Opening cash</t>
  </si>
  <si>
    <t>Apport capital</t>
  </si>
  <si>
    <t xml:space="preserve">Acquisitions immobilisations </t>
  </si>
  <si>
    <t>Subsides reçus</t>
  </si>
  <si>
    <t>Impôts sur le résultat</t>
  </si>
  <si>
    <t>Comptes de régularisation</t>
  </si>
  <si>
    <t>Actifs circulants</t>
  </si>
  <si>
    <t>TOTAL ACTIF</t>
  </si>
  <si>
    <t>Capital</t>
  </si>
  <si>
    <t>Réserves &amp; résultat reporté</t>
  </si>
  <si>
    <t>Subsides</t>
  </si>
  <si>
    <t>Fonds propres</t>
  </si>
  <si>
    <t>Provisions pour risques et charges</t>
  </si>
  <si>
    <t>Dettes financières long terme</t>
  </si>
  <si>
    <t>Dettes financières court terme</t>
  </si>
  <si>
    <t>Dettes commerciales</t>
  </si>
  <si>
    <t>Dettes fiscales, salariales et sociales</t>
  </si>
  <si>
    <t>Autres dettes</t>
  </si>
  <si>
    <t>Autres passifs</t>
  </si>
  <si>
    <t>TOTAL PASSIF</t>
  </si>
  <si>
    <t>Revenus</t>
  </si>
  <si>
    <t>Achat stock</t>
  </si>
  <si>
    <t>Actual 08/2020</t>
  </si>
  <si>
    <t>Estimé 2020</t>
  </si>
  <si>
    <t xml:space="preserve">Payroll &amp; OPEX &amp; coûts financiers </t>
  </si>
  <si>
    <t>Immobilisations</t>
  </si>
  <si>
    <t>Amortissement</t>
  </si>
  <si>
    <t>Immobilisations corporelles/ incorporelles</t>
  </si>
  <si>
    <t xml:space="preserve">Revenus non perçus </t>
  </si>
  <si>
    <t xml:space="preserve">Report des paiements OPEX </t>
  </si>
  <si>
    <t>BP 21-23</t>
  </si>
  <si>
    <t>Q1</t>
  </si>
  <si>
    <t>Q2</t>
  </si>
  <si>
    <t>Q3</t>
  </si>
  <si>
    <t>Q4</t>
  </si>
  <si>
    <t>YEAR 1</t>
  </si>
  <si>
    <t>Year2</t>
  </si>
  <si>
    <t>Year3</t>
  </si>
  <si>
    <t>DATA FROM  sales V8.4 / somme corrections in 8.6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</si>
</sst>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\ _€"/>
    <numFmt numFmtId="165" formatCode="_ * #,##0.00_ ;_ * \-#,##0.00_ ;_ * &quot;-&quot;??_ ;_ @_ "/>
    <numFmt numFmtId="166" formatCode="#,##0.0000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72">
    <xf numFmtId="0" fontId="0" fillId="0" borderId="0" xfId="0"/>
    <xf numFmtId="4" fontId="0" fillId="0" borderId="0" xfId="0" applyNumberFormat="1"/>
    <xf numFmtId="3" fontId="0" fillId="0" borderId="0" xfId="0" applyNumberFormat="1"/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" fontId="0" fillId="4" borderId="11" xfId="0" applyNumberFormat="1" applyFill="1" applyBorder="1" applyAlignment="1">
      <alignment horizontal="left"/>
    </xf>
    <xf numFmtId="1" fontId="0" fillId="4" borderId="10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/>
    <xf numFmtId="1" fontId="5" fillId="4" borderId="26" xfId="0" applyNumberFormat="1" applyFont="1" applyFill="1" applyBorder="1" applyAlignment="1">
      <alignment horizontal="left"/>
    </xf>
    <xf numFmtId="4" fontId="7" fillId="0" borderId="0" xfId="0" applyNumberFormat="1" applyFont="1"/>
    <xf numFmtId="0" fontId="7" fillId="0" borderId="0" xfId="0" applyFont="1"/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5" fillId="0" borderId="0" xfId="0" applyFont="1"/>
    <xf numFmtId="1" fontId="0" fillId="0" borderId="0" xfId="0" applyNumberFormat="1"/>
    <xf numFmtId="0" fontId="0" fillId="0" borderId="0" xfId="0" pivotButton="1"/>
    <xf numFmtId="0" fontId="4" fillId="4" borderId="24" xfId="0" applyFont="1" applyFill="1" applyBorder="1"/>
    <xf numFmtId="1" fontId="4" fillId="4" borderId="26" xfId="0" applyNumberFormat="1" applyFont="1" applyFill="1" applyBorder="1" applyAlignment="1">
      <alignment horizontal="left"/>
    </xf>
    <xf numFmtId="1" fontId="5" fillId="4" borderId="10" xfId="0" applyNumberFormat="1" applyFont="1" applyFill="1" applyBorder="1" applyAlignment="1">
      <alignment horizontal="left"/>
    </xf>
    <xf numFmtId="1" fontId="0" fillId="4" borderId="10" xfId="0" applyNumberForma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left" wrapText="1"/>
    </xf>
    <xf numFmtId="0" fontId="3" fillId="4" borderId="10" xfId="0" applyFont="1" applyFill="1" applyBorder="1" applyAlignment="1">
      <alignment horizontal="left" vertical="center"/>
    </xf>
    <xf numFmtId="3" fontId="0" fillId="5" borderId="18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1" fillId="2" borderId="0" xfId="0" applyNumberFormat="1" applyFont="1" applyFill="1" applyAlignment="1">
      <alignment horizontal="left"/>
    </xf>
    <xf numFmtId="3" fontId="4" fillId="5" borderId="18" xfId="0" applyNumberFormat="1" applyFont="1" applyFill="1" applyBorder="1" applyAlignment="1">
      <alignment horizontal="center"/>
    </xf>
    <xf numFmtId="0" fontId="2" fillId="3" borderId="15" xfId="0" applyFont="1" applyFill="1" applyBorder="1"/>
    <xf numFmtId="0" fontId="2" fillId="4" borderId="8" xfId="0" applyFont="1" applyFill="1" applyBorder="1" applyAlignment="1">
      <alignment horizontal="left" indent="1"/>
    </xf>
    <xf numFmtId="3" fontId="0" fillId="5" borderId="18" xfId="0" applyNumberFormat="1" applyFill="1" applyBorder="1" applyAlignment="1">
      <alignment horizontal="center" vertical="center"/>
    </xf>
    <xf numFmtId="1" fontId="5" fillId="4" borderId="41" xfId="0" applyNumberFormat="1" applyFont="1" applyFill="1" applyBorder="1" applyAlignment="1">
      <alignment horizontal="left"/>
    </xf>
    <xf numFmtId="3" fontId="4" fillId="4" borderId="39" xfId="0" applyNumberFormat="1" applyFont="1" applyFill="1" applyBorder="1" applyAlignment="1">
      <alignment horizontal="center"/>
    </xf>
    <xf numFmtId="1" fontId="0" fillId="4" borderId="10" xfId="0" quotePrefix="1" applyNumberFormat="1" applyFill="1" applyBorder="1" applyAlignment="1">
      <alignment horizontal="left"/>
    </xf>
    <xf numFmtId="17" fontId="3" fillId="2" borderId="5" xfId="0" applyNumberFormat="1" applyFont="1" applyFill="1" applyBorder="1" applyAlignment="1">
      <alignment horizontal="center" vertical="center"/>
    </xf>
    <xf numFmtId="3" fontId="5" fillId="5" borderId="18" xfId="0" applyNumberFormat="1" applyFont="1" applyFill="1" applyBorder="1" applyAlignment="1">
      <alignment horizontal="center" vertical="center"/>
    </xf>
    <xf numFmtId="3" fontId="5" fillId="5" borderId="18" xfId="0" applyNumberFormat="1" applyFon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0" fontId="1" fillId="2" borderId="37" xfId="0" applyFont="1" applyFill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/>
    </xf>
    <xf numFmtId="3" fontId="1" fillId="2" borderId="18" xfId="0" applyNumberFormat="1" applyFont="1" applyFill="1" applyBorder="1" applyAlignment="1">
      <alignment horizontal="center"/>
    </xf>
    <xf numFmtId="3" fontId="5" fillId="0" borderId="27" xfId="0" applyNumberFormat="1" applyFont="1" applyBorder="1"/>
    <xf numFmtId="3" fontId="0" fillId="0" borderId="27" xfId="0" applyNumberFormat="1" applyBorder="1"/>
    <xf numFmtId="0" fontId="1" fillId="2" borderId="36" xfId="0" applyFon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/>
    </xf>
    <xf numFmtId="0" fontId="0" fillId="0" borderId="0" xfId="0" applyAlignment="1">
      <alignment horizontal="left" indent="1"/>
    </xf>
    <xf numFmtId="3" fontId="5" fillId="0" borderId="27" xfId="0" applyNumberFormat="1" applyFont="1" applyBorder="1" applyAlignment="1">
      <alignment horizontal="left"/>
    </xf>
    <xf numFmtId="3" fontId="5" fillId="6" borderId="27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left"/>
    </xf>
    <xf numFmtId="3" fontId="0" fillId="0" borderId="31" xfId="0" applyNumberFormat="1" applyBorder="1" applyAlignment="1">
      <alignment horizontal="center"/>
    </xf>
    <xf numFmtId="3" fontId="1" fillId="2" borderId="30" xfId="0" applyNumberFormat="1" applyFont="1" applyFill="1" applyBorder="1" applyAlignment="1">
      <alignment horizontal="center"/>
    </xf>
    <xf numFmtId="3" fontId="1" fillId="2" borderId="32" xfId="0" applyNumberFormat="1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1" fillId="2" borderId="19" xfId="0" applyFont="1" applyFill="1" applyBorder="1" applyAlignment="1">
      <alignment horizontal="center" vertical="center"/>
    </xf>
    <xf numFmtId="9" fontId="5" fillId="0" borderId="27" xfId="1" applyFont="1" applyFill="1" applyBorder="1" applyAlignment="1">
      <alignment horizontal="center"/>
    </xf>
    <xf numFmtId="9" fontId="5" fillId="0" borderId="32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4" fillId="0" borderId="27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3" fontId="1" fillId="2" borderId="45" xfId="0" applyNumberFormat="1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11" xfId="0" applyFont="1" applyFill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/>
    </xf>
    <xf numFmtId="9" fontId="1" fillId="2" borderId="46" xfId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3" fontId="2" fillId="0" borderId="42" xfId="0" applyNumberFormat="1" applyFont="1" applyBorder="1" applyAlignment="1">
      <alignment horizontal="center"/>
    </xf>
    <xf numFmtId="3" fontId="2" fillId="7" borderId="43" xfId="0" applyNumberFormat="1" applyFont="1" applyFill="1" applyBorder="1" applyAlignment="1">
      <alignment horizontal="center"/>
    </xf>
    <xf numFmtId="3" fontId="0" fillId="6" borderId="0" xfId="0" applyNumberFormat="1" applyFill="1"/>
    <xf numFmtId="3" fontId="2" fillId="0" borderId="0" xfId="0" applyNumberFormat="1" applyFont="1" applyAlignment="1">
      <alignment horizontal="center"/>
    </xf>
    <xf numFmtId="0" fontId="2" fillId="7" borderId="42" xfId="0" applyFont="1" applyFill="1" applyBorder="1"/>
    <xf numFmtId="3" fontId="4" fillId="0" borderId="27" xfId="0" applyNumberFormat="1" applyFont="1" applyBorder="1" applyAlignment="1">
      <alignment horizontal="center"/>
    </xf>
    <xf numFmtId="1" fontId="1" fillId="2" borderId="0" xfId="0" applyNumberFormat="1" applyFont="1" applyFill="1" applyAlignment="1">
      <alignment horizontal="center" vertical="center" wrapText="1"/>
    </xf>
    <xf numFmtId="3" fontId="5" fillId="0" borderId="27" xfId="1" applyNumberFormat="1" applyFont="1" applyFill="1" applyBorder="1" applyAlignment="1">
      <alignment horizontal="center"/>
    </xf>
    <xf numFmtId="3" fontId="2" fillId="7" borderId="43" xfId="0" applyNumberFormat="1" applyFont="1" applyFill="1" applyBorder="1"/>
    <xf numFmtId="3" fontId="2" fillId="0" borderId="42" xfId="0" applyNumberFormat="1" applyFont="1" applyBorder="1"/>
    <xf numFmtId="3" fontId="2" fillId="6" borderId="42" xfId="0" applyNumberFormat="1" applyFont="1" applyFill="1" applyBorder="1"/>
    <xf numFmtId="3" fontId="0" fillId="4" borderId="27" xfId="0" applyNumberForma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3" fontId="5" fillId="4" borderId="27" xfId="0" applyNumberFormat="1" applyFont="1" applyFill="1" applyBorder="1"/>
    <xf numFmtId="9" fontId="5" fillId="4" borderId="27" xfId="1" applyFont="1" applyFill="1" applyBorder="1" applyAlignment="1">
      <alignment horizontal="center"/>
    </xf>
    <xf numFmtId="3" fontId="5" fillId="4" borderId="32" xfId="0" applyNumberFormat="1" applyFont="1" applyFill="1" applyBorder="1" applyAlignment="1">
      <alignment horizontal="center"/>
    </xf>
    <xf numFmtId="3" fontId="5" fillId="4" borderId="31" xfId="0" applyNumberFormat="1" applyFont="1" applyFill="1" applyBorder="1" applyAlignment="1">
      <alignment horizontal="center"/>
    </xf>
    <xf numFmtId="0" fontId="2" fillId="4" borderId="14" xfId="0" applyFont="1" applyFill="1" applyBorder="1"/>
    <xf numFmtId="1" fontId="2" fillId="4" borderId="0" xfId="0" applyNumberFormat="1" applyFont="1" applyFill="1"/>
    <xf numFmtId="1" fontId="0" fillId="4" borderId="0" xfId="0" applyNumberFormat="1" applyFill="1"/>
    <xf numFmtId="0" fontId="0" fillId="4" borderId="0" xfId="0" applyFill="1"/>
    <xf numFmtId="0" fontId="10" fillId="4" borderId="0" xfId="0" applyFont="1" applyFill="1"/>
    <xf numFmtId="0" fontId="11" fillId="4" borderId="0" xfId="0" applyFont="1" applyFill="1"/>
    <xf numFmtId="1" fontId="2" fillId="4" borderId="0" xfId="0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4" borderId="8" xfId="0" applyFont="1" applyFill="1" applyBorder="1" applyAlignment="1">
      <alignment horizontal="left" indent="2"/>
    </xf>
    <xf numFmtId="0" fontId="13" fillId="4" borderId="8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left"/>
    </xf>
    <xf numFmtId="0" fontId="13" fillId="4" borderId="8" xfId="0" applyFont="1" applyFill="1" applyBorder="1"/>
    <xf numFmtId="1" fontId="4" fillId="4" borderId="0" xfId="0" applyNumberFormat="1" applyFont="1" applyFill="1"/>
    <xf numFmtId="1" fontId="5" fillId="4" borderId="0" xfId="0" applyNumberFormat="1" applyFont="1" applyFill="1"/>
    <xf numFmtId="0" fontId="13" fillId="9" borderId="3" xfId="0" applyFont="1" applyFill="1" applyBorder="1" applyAlignment="1">
      <alignment horizontal="left"/>
    </xf>
    <xf numFmtId="0" fontId="13" fillId="9" borderId="0" xfId="0" applyFont="1" applyFill="1" applyAlignment="1">
      <alignment horizontal="left"/>
    </xf>
    <xf numFmtId="0" fontId="10" fillId="4" borderId="7" xfId="0" applyFont="1" applyFill="1" applyBorder="1"/>
    <xf numFmtId="0" fontId="10" fillId="4" borderId="8" xfId="0" applyFont="1" applyFill="1" applyBorder="1"/>
    <xf numFmtId="0" fontId="10" fillId="4" borderId="9" xfId="0" applyFont="1" applyFill="1" applyBorder="1"/>
    <xf numFmtId="0" fontId="10" fillId="8" borderId="3" xfId="0" applyFont="1" applyFill="1" applyBorder="1" applyAlignment="1">
      <alignment horizontal="left"/>
    </xf>
    <xf numFmtId="0" fontId="16" fillId="5" borderId="4" xfId="0" applyFont="1" applyFill="1" applyBorder="1" applyAlignment="1">
      <alignment vertical="center" wrapText="1"/>
    </xf>
    <xf numFmtId="0" fontId="16" fillId="5" borderId="5" xfId="0" applyFont="1" applyFill="1" applyBorder="1" applyAlignment="1">
      <alignment vertical="center" wrapText="1"/>
    </xf>
    <xf numFmtId="17" fontId="14" fillId="2" borderId="3" xfId="0" applyNumberFormat="1" applyFont="1" applyFill="1" applyBorder="1" applyAlignment="1">
      <alignment horizontal="center" vertical="center" wrapText="1"/>
    </xf>
    <xf numFmtId="3" fontId="10" fillId="4" borderId="8" xfId="0" applyNumberFormat="1" applyFont="1" applyFill="1" applyBorder="1" applyAlignment="1">
      <alignment horizontal="center" wrapText="1"/>
    </xf>
    <xf numFmtId="3" fontId="10" fillId="4" borderId="8" xfId="2" applyNumberFormat="1" applyFont="1" applyFill="1" applyBorder="1" applyAlignment="1">
      <alignment horizontal="center" wrapText="1"/>
    </xf>
    <xf numFmtId="3" fontId="13" fillId="4" borderId="8" xfId="0" applyNumberFormat="1" applyFont="1" applyFill="1" applyBorder="1" applyAlignment="1">
      <alignment horizontal="center" wrapText="1"/>
    </xf>
    <xf numFmtId="3" fontId="13" fillId="4" borderId="8" xfId="2" applyNumberFormat="1" applyFont="1" applyFill="1" applyBorder="1" applyAlignment="1">
      <alignment horizontal="center" wrapText="1"/>
    </xf>
    <xf numFmtId="3" fontId="14" fillId="2" borderId="3" xfId="2" applyNumberFormat="1" applyFont="1" applyFill="1" applyBorder="1" applyAlignment="1">
      <alignment horizontal="center" wrapText="1"/>
    </xf>
    <xf numFmtId="9" fontId="15" fillId="4" borderId="3" xfId="1" applyFont="1" applyFill="1" applyBorder="1" applyAlignment="1">
      <alignment horizontal="center" wrapText="1"/>
    </xf>
    <xf numFmtId="3" fontId="13" fillId="8" borderId="3" xfId="0" applyNumberFormat="1" applyFont="1" applyFill="1" applyBorder="1" applyAlignment="1">
      <alignment horizontal="center" wrapText="1"/>
    </xf>
    <xf numFmtId="3" fontId="13" fillId="8" borderId="0" xfId="0" applyNumberFormat="1" applyFont="1" applyFill="1" applyAlignment="1">
      <alignment horizontal="center" wrapText="1"/>
    </xf>
    <xf numFmtId="0" fontId="10" fillId="4" borderId="0" xfId="0" applyFont="1" applyFill="1" applyAlignment="1">
      <alignment wrapText="1"/>
    </xf>
    <xf numFmtId="3" fontId="10" fillId="4" borderId="0" xfId="0" applyNumberFormat="1" applyFont="1" applyFill="1" applyAlignment="1">
      <alignment horizontal="center" wrapText="1"/>
    </xf>
    <xf numFmtId="3" fontId="10" fillId="4" borderId="7" xfId="0" applyNumberFormat="1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left" wrapText="1"/>
    </xf>
    <xf numFmtId="3" fontId="10" fillId="8" borderId="3" xfId="0" applyNumberFormat="1" applyFont="1" applyFill="1" applyBorder="1" applyAlignment="1">
      <alignment horizontal="center" wrapText="1"/>
    </xf>
    <xf numFmtId="0" fontId="16" fillId="5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3" fontId="2" fillId="0" borderId="0" xfId="0" applyNumberFormat="1" applyFont="1"/>
    <xf numFmtId="3" fontId="10" fillId="4" borderId="7" xfId="0" applyNumberFormat="1" applyFont="1" applyFill="1" applyBorder="1" applyAlignment="1">
      <alignment horizontal="center"/>
    </xf>
    <xf numFmtId="0" fontId="16" fillId="4" borderId="8" xfId="0" applyFont="1" applyFill="1" applyBorder="1" applyAlignment="1">
      <alignment horizontal="left" indent="1"/>
    </xf>
    <xf numFmtId="4" fontId="4" fillId="0" borderId="27" xfId="0" applyNumberFormat="1" applyFont="1" applyBorder="1" applyAlignment="1">
      <alignment horizontal="center"/>
    </xf>
    <xf numFmtId="4" fontId="5" fillId="0" borderId="27" xfId="0" applyNumberFormat="1" applyFont="1" applyBorder="1" applyAlignment="1">
      <alignment horizontal="center"/>
    </xf>
    <xf numFmtId="9" fontId="5" fillId="4" borderId="31" xfId="0" applyNumberFormat="1" applyFont="1" applyFill="1" applyBorder="1" applyAlignment="1">
      <alignment horizontal="center"/>
    </xf>
    <xf numFmtId="0" fontId="2" fillId="0" borderId="14" xfId="0" applyFont="1" applyBorder="1"/>
    <xf numFmtId="17" fontId="1" fillId="2" borderId="21" xfId="0" applyNumberFormat="1" applyFont="1" applyFill="1" applyBorder="1" applyAlignment="1">
      <alignment horizontal="center" vertical="center"/>
    </xf>
    <xf numFmtId="3" fontId="1" fillId="2" borderId="44" xfId="0" applyNumberFormat="1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 wrapText="1"/>
    </xf>
    <xf numFmtId="3" fontId="5" fillId="4" borderId="27" xfId="0" applyNumberFormat="1" applyFont="1" applyFill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1" fillId="2" borderId="46" xfId="1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7" borderId="42" xfId="0" applyFont="1" applyFill="1" applyBorder="1" applyAlignment="1">
      <alignment horizontal="center" wrapText="1"/>
    </xf>
    <xf numFmtId="3" fontId="3" fillId="5" borderId="38" xfId="0" applyNumberFormat="1" applyFont="1" applyFill="1" applyBorder="1" applyAlignment="1">
      <alignment horizontal="center" vertical="center"/>
    </xf>
    <xf numFmtId="3" fontId="2" fillId="4" borderId="28" xfId="0" applyNumberFormat="1" applyFont="1" applyFill="1" applyBorder="1" applyAlignment="1">
      <alignment horizontal="center"/>
    </xf>
    <xf numFmtId="3" fontId="2" fillId="3" borderId="28" xfId="0" applyNumberFormat="1" applyFont="1" applyFill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2" fillId="3" borderId="27" xfId="0" applyNumberFormat="1" applyFont="1" applyFill="1" applyBorder="1" applyAlignment="1">
      <alignment horizontal="center"/>
    </xf>
    <xf numFmtId="3" fontId="2" fillId="4" borderId="13" xfId="0" applyNumberFormat="1" applyFont="1" applyFill="1" applyBorder="1" applyAlignment="1">
      <alignment horizontal="center"/>
    </xf>
    <xf numFmtId="3" fontId="2" fillId="3" borderId="13" xfId="0" applyNumberFormat="1" applyFont="1" applyFill="1" applyBorder="1" applyAlignment="1">
      <alignment horizontal="center"/>
    </xf>
    <xf numFmtId="3" fontId="4" fillId="4" borderId="25" xfId="0" applyNumberFormat="1" applyFont="1" applyFill="1" applyBorder="1" applyAlignment="1">
      <alignment horizontal="center"/>
    </xf>
    <xf numFmtId="9" fontId="0" fillId="0" borderId="0" xfId="1" applyFont="1"/>
    <xf numFmtId="0" fontId="20" fillId="2" borderId="3" xfId="0" applyFont="1" applyFill="1" applyBorder="1" applyAlignment="1">
      <alignment horizontal="left"/>
    </xf>
    <xf numFmtId="3" fontId="20" fillId="2" borderId="3" xfId="2" applyNumberFormat="1" applyFont="1" applyFill="1" applyBorder="1" applyAlignment="1">
      <alignment horizontal="center" wrapText="1"/>
    </xf>
    <xf numFmtId="0" fontId="10" fillId="0" borderId="8" xfId="0" applyFont="1" applyBorder="1"/>
    <xf numFmtId="3" fontId="10" fillId="0" borderId="8" xfId="0" applyNumberFormat="1" applyFont="1" applyBorder="1" applyAlignment="1">
      <alignment horizontal="center" wrapText="1"/>
    </xf>
    <xf numFmtId="3" fontId="10" fillId="0" borderId="8" xfId="0" applyNumberFormat="1" applyFont="1" applyBorder="1" applyAlignment="1">
      <alignment horizontal="center"/>
    </xf>
    <xf numFmtId="0" fontId="21" fillId="2" borderId="27" xfId="0" applyFont="1" applyFill="1" applyBorder="1"/>
    <xf numFmtId="0" fontId="1" fillId="2" borderId="27" xfId="0" applyFont="1" applyFill="1" applyBorder="1" applyAlignment="1">
      <alignment horizontal="center"/>
    </xf>
    <xf numFmtId="0" fontId="1" fillId="2" borderId="27" xfId="0" applyFont="1" applyFill="1" applyBorder="1"/>
    <xf numFmtId="3" fontId="1" fillId="2" borderId="27" xfId="0" applyNumberFormat="1" applyFont="1" applyFill="1" applyBorder="1" applyAlignment="1">
      <alignment horizontal="center"/>
    </xf>
    <xf numFmtId="3" fontId="2" fillId="0" borderId="48" xfId="0" applyNumberFormat="1" applyFont="1" applyBorder="1" applyAlignment="1">
      <alignment horizontal="center"/>
    </xf>
    <xf numFmtId="0" fontId="2" fillId="0" borderId="48" xfId="0" applyFont="1" applyBorder="1"/>
    <xf numFmtId="0" fontId="2" fillId="4" borderId="48" xfId="0" applyFont="1" applyFill="1" applyBorder="1"/>
    <xf numFmtId="3" fontId="2" fillId="4" borderId="48" xfId="0" applyNumberFormat="1" applyFont="1" applyFill="1" applyBorder="1" applyAlignment="1">
      <alignment horizontal="center"/>
    </xf>
    <xf numFmtId="0" fontId="2" fillId="4" borderId="18" xfId="0" applyFont="1" applyFill="1" applyBorder="1"/>
    <xf numFmtId="3" fontId="2" fillId="4" borderId="18" xfId="0" applyNumberFormat="1" applyFont="1" applyFill="1" applyBorder="1" applyAlignment="1">
      <alignment horizontal="center"/>
    </xf>
    <xf numFmtId="0" fontId="2" fillId="4" borderId="13" xfId="0" applyFont="1" applyFill="1" applyBorder="1"/>
    <xf numFmtId="0" fontId="22" fillId="2" borderId="27" xfId="0" applyFont="1" applyFill="1" applyBorder="1" applyAlignment="1">
      <alignment horizontal="center"/>
    </xf>
    <xf numFmtId="3" fontId="0" fillId="4" borderId="48" xfId="0" applyNumberFormat="1" applyFill="1" applyBorder="1" applyAlignment="1">
      <alignment horizontal="center"/>
    </xf>
    <xf numFmtId="3" fontId="0" fillId="4" borderId="18" xfId="0" applyNumberFormat="1" applyFill="1" applyBorder="1" applyAlignment="1">
      <alignment horizontal="center"/>
    </xf>
    <xf numFmtId="3" fontId="0" fillId="4" borderId="13" xfId="0" applyNumberFormat="1" applyFill="1" applyBorder="1" applyAlignment="1">
      <alignment horizontal="center"/>
    </xf>
    <xf numFmtId="3" fontId="22" fillId="2" borderId="27" xfId="0" applyNumberFormat="1" applyFont="1" applyFill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9" fontId="10" fillId="4" borderId="0" xfId="1" applyFont="1" applyFill="1" applyAlignment="1">
      <alignment horizontal="center" wrapText="1"/>
    </xf>
    <xf numFmtId="0" fontId="23" fillId="4" borderId="3" xfId="0" applyFont="1" applyFill="1" applyBorder="1" applyAlignment="1">
      <alignment horizontal="left"/>
    </xf>
    <xf numFmtId="9" fontId="23" fillId="4" borderId="3" xfId="1" applyFont="1" applyFill="1" applyBorder="1" applyAlignment="1">
      <alignment horizontal="center" wrapText="1"/>
    </xf>
    <xf numFmtId="3" fontId="2" fillId="4" borderId="40" xfId="0" applyNumberFormat="1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3" fontId="2" fillId="3" borderId="40" xfId="0" applyNumberFormat="1" applyFont="1" applyFill="1" applyBorder="1" applyAlignment="1">
      <alignment horizontal="center"/>
    </xf>
    <xf numFmtId="3" fontId="3" fillId="2" borderId="2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3" fontId="4" fillId="5" borderId="27" xfId="0" applyNumberFormat="1" applyFont="1" applyFill="1" applyBorder="1"/>
    <xf numFmtId="3" fontId="4" fillId="5" borderId="27" xfId="0" applyNumberFormat="1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3" fontId="0" fillId="5" borderId="48" xfId="0" applyNumberFormat="1" applyFill="1" applyBorder="1" applyAlignment="1">
      <alignment horizontal="center"/>
    </xf>
    <xf numFmtId="3" fontId="0" fillId="5" borderId="13" xfId="0" applyNumberFormat="1" applyFill="1" applyBorder="1" applyAlignment="1">
      <alignment horizontal="center"/>
    </xf>
    <xf numFmtId="0" fontId="0" fillId="0" borderId="28" xfId="0" applyBorder="1"/>
    <xf numFmtId="0" fontId="0" fillId="0" borderId="34" xfId="0" applyBorder="1"/>
    <xf numFmtId="17" fontId="1" fillId="2" borderId="21" xfId="0" applyNumberFormat="1" applyFont="1" applyFill="1" applyBorder="1" applyAlignment="1">
      <alignment horizontal="left" vertical="center"/>
    </xf>
    <xf numFmtId="3" fontId="1" fillId="2" borderId="3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3" fontId="0" fillId="4" borderId="0" xfId="0" applyNumberFormat="1" applyFill="1"/>
    <xf numFmtId="0" fontId="19" fillId="4" borderId="0" xfId="0" applyFont="1" applyFill="1"/>
    <xf numFmtId="3" fontId="24" fillId="4" borderId="0" xfId="0" applyNumberFormat="1" applyFont="1" applyFill="1" applyAlignment="1">
      <alignment horizontal="center" wrapText="1"/>
    </xf>
    <xf numFmtId="9" fontId="5" fillId="6" borderId="27" xfId="1" applyFont="1" applyFill="1" applyBorder="1" applyAlignment="1">
      <alignment horizontal="center"/>
    </xf>
    <xf numFmtId="3" fontId="0" fillId="0" borderId="2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3" fillId="4" borderId="7" xfId="0" applyFont="1" applyFill="1" applyBorder="1" applyAlignment="1">
      <alignment horizontal="left"/>
    </xf>
    <xf numFmtId="3" fontId="13" fillId="4" borderId="7" xfId="3" applyNumberFormat="1" applyFont="1" applyFill="1" applyBorder="1" applyAlignment="1">
      <alignment horizontal="center"/>
    </xf>
    <xf numFmtId="0" fontId="16" fillId="4" borderId="8" xfId="0" applyFont="1" applyFill="1" applyBorder="1" applyAlignment="1">
      <alignment horizontal="left" indent="2"/>
    </xf>
    <xf numFmtId="3" fontId="13" fillId="4" borderId="8" xfId="3" applyNumberFormat="1" applyFont="1" applyFill="1" applyBorder="1" applyAlignment="1">
      <alignment horizontal="center"/>
    </xf>
    <xf numFmtId="3" fontId="16" fillId="4" borderId="8" xfId="3" applyNumberFormat="1" applyFont="1" applyFill="1" applyBorder="1" applyAlignment="1">
      <alignment horizontal="center"/>
    </xf>
    <xf numFmtId="0" fontId="26" fillId="9" borderId="3" xfId="0" applyFont="1" applyFill="1" applyBorder="1" applyAlignment="1">
      <alignment horizontal="left"/>
    </xf>
    <xf numFmtId="3" fontId="26" fillId="8" borderId="3" xfId="0" applyNumberFormat="1" applyFont="1" applyFill="1" applyBorder="1" applyAlignment="1">
      <alignment horizontal="center"/>
    </xf>
    <xf numFmtId="3" fontId="13" fillId="4" borderId="8" xfId="0" applyNumberFormat="1" applyFont="1" applyFill="1" applyBorder="1" applyAlignment="1">
      <alignment horizontal="center"/>
    </xf>
    <xf numFmtId="3" fontId="16" fillId="4" borderId="8" xfId="0" applyNumberFormat="1" applyFont="1" applyFill="1" applyBorder="1" applyAlignment="1">
      <alignment horizontal="center"/>
    </xf>
    <xf numFmtId="3" fontId="16" fillId="4" borderId="8" xfId="0" quotePrefix="1" applyNumberFormat="1" applyFont="1" applyFill="1" applyBorder="1" applyAlignment="1">
      <alignment horizontal="center"/>
    </xf>
    <xf numFmtId="3" fontId="14" fillId="2" borderId="3" xfId="2" applyNumberFormat="1" applyFont="1" applyFill="1" applyBorder="1" applyAlignment="1">
      <alignment horizontal="center"/>
    </xf>
    <xf numFmtId="0" fontId="13" fillId="4" borderId="7" xfId="0" applyFont="1" applyFill="1" applyBorder="1"/>
    <xf numFmtId="3" fontId="13" fillId="4" borderId="7" xfId="0" applyNumberFormat="1" applyFont="1" applyFill="1" applyBorder="1" applyAlignment="1">
      <alignment horizontal="center"/>
    </xf>
    <xf numFmtId="0" fontId="13" fillId="4" borderId="9" xfId="0" applyFont="1" applyFill="1" applyBorder="1"/>
    <xf numFmtId="3" fontId="13" fillId="4" borderId="9" xfId="3" applyNumberFormat="1" applyFont="1" applyFill="1" applyBorder="1" applyAlignment="1">
      <alignment horizontal="center"/>
    </xf>
    <xf numFmtId="0" fontId="25" fillId="4" borderId="0" xfId="0" applyFont="1" applyFill="1" applyAlignment="1">
      <alignment horizontal="left" vertical="center"/>
    </xf>
    <xf numFmtId="1" fontId="14" fillId="2" borderId="3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4" borderId="22" xfId="0" applyFont="1" applyFill="1" applyBorder="1"/>
    <xf numFmtId="3" fontId="10" fillId="4" borderId="0" xfId="0" applyNumberFormat="1" applyFont="1" applyFill="1" applyAlignment="1">
      <alignment horizontal="center"/>
    </xf>
    <xf numFmtId="3" fontId="27" fillId="4" borderId="0" xfId="0" applyNumberFormat="1" applyFont="1" applyFill="1" applyAlignment="1">
      <alignment horizontal="center"/>
    </xf>
    <xf numFmtId="0" fontId="0" fillId="4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/>
    </xf>
    <xf numFmtId="0" fontId="0" fillId="0" borderId="47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</cellXfs>
  <cellStyles count="4">
    <cellStyle name="Comma" xfId="3" builtinId="3"/>
    <cellStyle name="Milliers 2" xfId="2" xr:uid="{F9FB2D8A-2AA0-4DB0-AA5D-38B59F47F56E}"/>
    <cellStyle name="Normal" xfId="0" builtinId="0"/>
    <cellStyle name="Percent" xfId="1" builtinId="5"/>
  </cellStyles>
  <dxfs count="10">
    <dxf>
      <alignment horizontal="center"/>
    </dxf>
    <dxf>
      <numFmt numFmtId="3" formatCode="#,##0"/>
    </dxf>
    <dxf>
      <alignment wrapText="1"/>
    </dxf>
    <dxf>
      <alignment horizontal="center"/>
    </dxf>
    <dxf>
      <alignment wrapText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vib/ARGAFIN%20Team%20Dropbox/Dossier%20de%20l'&#233;quipe%20ARGAFIN%20Team/DIM3/I.%20Financials/2020/A.%20Budget-Forecast/Lev&#233;e%20de%20fonds/Working%20files/Amortissement/BP%2021-23%20-%20Amortissements%20V6%201609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vib/ARGAFIN%20Team%20Dropbox/Dossier%20de%20l'&#233;quipe%20ARGAFIN%20Team/New%20Clin/Business%20Plan/BP%20New%20Clin%20V13%202808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 Amortissement"/>
      <sheetName val="CAPEX and R&amp;D 31072020"/>
      <sheetName val="R&amp;D 010820-311220"/>
      <sheetName val="R&amp;D 21-23"/>
      <sheetName val="CAPEX 21-23"/>
    </sheetNames>
    <sheetDataSet>
      <sheetData sheetId="0">
        <row r="10">
          <cell r="E10">
            <v>-503.9606704176548</v>
          </cell>
          <cell r="I10">
            <v>-639.70370501238096</v>
          </cell>
          <cell r="M10">
            <v>-735.51273104770257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 Statement"/>
      <sheetName val="Terminal value"/>
      <sheetName val="Balance sheet"/>
      <sheetName val="P&amp;L"/>
      <sheetName val="Monthly cash"/>
      <sheetName val="Subsides"/>
      <sheetName val="Recap emprunt"/>
      <sheetName val="TVA"/>
      <sheetName val="Immobilisations"/>
      <sheetName val="Costs review"/>
      <sheetName val="Monthly costs review"/>
      <sheetName val="BP Payroll costs"/>
      <sheetName val="Revenue review"/>
      <sheetName val="Loan"/>
      <sheetName val="Tarifs loyer"/>
    </sheetNames>
    <sheetDataSet>
      <sheetData sheetId="0"/>
      <sheetData sheetId="1"/>
      <sheetData sheetId="2"/>
      <sheetData sheetId="3">
        <row r="38">
          <cell r="B3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ginie Bauchau" refreshedDate="44095.411813541665" createdVersion="6" refreshedVersion="6" minRefreshableVersion="3" recordCount="80" xr:uid="{DC4A4C3E-2E45-4AF6-8469-560D20541684}">
  <cacheSource type="worksheet">
    <worksheetSource ref="A1:T81" sheet="Recap costs"/>
  </cacheSource>
  <cacheFields count="20">
    <cacheField name="Allocation" numFmtId="3">
      <sharedItems containsBlank="1" count="17">
        <s v="Capital increase"/>
        <s v="Clinical affairs"/>
        <s v="Clinical affairs "/>
        <s v="COGS"/>
        <s v="Development"/>
        <s v="Facilities"/>
        <s v="Finance"/>
        <s v="General Management "/>
        <s v="HR/Admin"/>
        <s v="Legal"/>
        <s v="Manufacturing"/>
        <s v="Operations"/>
        <s v="Other costs"/>
        <s v="QA-RA"/>
        <s v="Sales and bus dev "/>
        <s v="T&amp;E"/>
        <m/>
      </sharedItems>
    </cacheField>
    <cacheField name="Target " numFmtId="3">
      <sharedItems containsBlank="1" count="10">
        <s v="G&amp;A"/>
        <s v="See Target allocation"/>
        <s v="T3"/>
        <s v="T1"/>
        <s v="T2"/>
        <s v="T4"/>
        <s v="T5"/>
        <s v="T6"/>
        <s v="Costs not allocated to target "/>
        <m/>
      </sharedItems>
    </cacheField>
    <cacheField name="Fonction" numFmtId="3">
      <sharedItems containsBlank="1"/>
    </cacheField>
    <cacheField name="Détails " numFmtId="3">
      <sharedItems containsBlank="1"/>
    </cacheField>
    <cacheField name="E&amp;F + Consultancies " numFmtId="3">
      <sharedItems containsBlank="1"/>
    </cacheField>
    <cacheField name="Moyenne EFT " numFmtId="0">
      <sharedItems containsString="0" containsBlank="1" containsNumber="1" minValue="0" maxValue="1"/>
    </cacheField>
    <cacheField name="Total " numFmtId="3">
      <sharedItems containsString="0" containsBlank="1" containsNumber="1" minValue="0" maxValue="2358987.3849634524"/>
    </cacheField>
    <cacheField name="Q1 21" numFmtId="3">
      <sharedItems containsString="0" containsBlank="1" containsNumber="1" minValue="0" maxValue="75000"/>
    </cacheField>
    <cacheField name="Q2 21" numFmtId="3">
      <sharedItems containsString="0" containsBlank="1" containsNumber="1" minValue="0" maxValue="75000"/>
    </cacheField>
    <cacheField name="Q3 21" numFmtId="3">
      <sharedItems containsString="0" containsBlank="1" containsNumber="1" minValue="0" maxValue="75000"/>
    </cacheField>
    <cacheField name="Q4 21" numFmtId="3">
      <sharedItems containsString="0" containsBlank="1" containsNumber="1" minValue="0" maxValue="219598.32936624574"/>
    </cacheField>
    <cacheField name="Q1 22" numFmtId="3">
      <sharedItems containsString="0" containsBlank="1" containsNumber="1" minValue="0" maxValue="184373.65925763309"/>
    </cacheField>
    <cacheField name="Q2 22" numFmtId="3">
      <sharedItems containsString="0" containsBlank="1" containsNumber="1" minValue="0" maxValue="187924.7421157581"/>
    </cacheField>
    <cacheField name="Q3 22" numFmtId="3">
      <sharedItems containsString="0" containsBlank="1" containsNumber="1" minValue="0" maxValue="191475.82497388311"/>
    </cacheField>
    <cacheField name="Q4 22" numFmtId="3">
      <sharedItems containsString="0" containsBlank="1" containsNumber="1" minValue="0" maxValue="195026.90783200809"/>
    </cacheField>
    <cacheField name="Q1 23" numFmtId="3">
      <sharedItems containsString="0" containsBlank="1" containsNumber="1" minValue="0" maxValue="338881.25401461666"/>
    </cacheField>
    <cacheField name="Q2 23" numFmtId="3">
      <sharedItems containsString="0" containsBlank="1" containsNumber="1" minValue="0" maxValue="338881.25401461666"/>
    </cacheField>
    <cacheField name="Q3 23" numFmtId="3">
      <sharedItems containsString="0" containsBlank="1" containsNumber="1" minValue="0" maxValue="338881.25401461666"/>
    </cacheField>
    <cacheField name="Q4 23" numFmtId="3">
      <sharedItems containsString="0" containsBlank="1" containsNumber="1" minValue="0" maxValue="338881.25401461666"/>
    </cacheField>
    <cacheField name="Total 2" numFmtId="3">
      <sharedItems containsString="0" containsBlank="1" containsNumber="1" minValue="0" maxValue="2358987.38496345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ginie Bauchau" refreshedDate="44095.411861111112" createdVersion="6" refreshedVersion="6" minRefreshableVersion="3" recordCount="317" xr:uid="{7B44527B-EC92-4BDD-9DC8-0348619FA352}">
  <cacheSource type="worksheet">
    <worksheetSource ref="A53:AE370" sheet="Target allocation"/>
  </cacheSource>
  <cacheFields count="31">
    <cacheField name="Allocation" numFmtId="3">
      <sharedItems/>
    </cacheField>
    <cacheField name="Target " numFmtId="0">
      <sharedItems count="7">
        <s v="Other"/>
        <s v="T1"/>
        <s v="T2"/>
        <s v="T3"/>
        <s v="T4"/>
        <s v="T5"/>
        <s v="T6"/>
      </sharedItems>
    </cacheField>
    <cacheField name="Fonction" numFmtId="3">
      <sharedItems count="47">
        <s v="Engineer 1"/>
        <s v="Engineer 2"/>
        <s v="Engineer 3"/>
        <s v="Manufacturing assistant 1 "/>
        <s v="Senior Engineer 1"/>
        <s v="Senior Engineer 2"/>
        <s v="Business Development Manager HQ"/>
        <s v="Business Development Manager Italy"/>
        <s v="CEO"/>
        <s v="Clinical Affairs Onco"/>
        <s v="Clinical Affairs watch"/>
        <s v="COO"/>
        <s v="Engineer 4"/>
        <s v="Engineer 5"/>
        <s v="Engineer 6"/>
        <s v="Engineer 7"/>
        <s v="Engineer 8"/>
        <s v="Senior Engineer 7"/>
        <s v="Italian KOL"/>
        <s v="KOL Mngt (6)"/>
        <s v="Product Development Mgr"/>
        <s v="Product Manager 2"/>
        <s v="Product Manager 3"/>
        <s v="Project Manager "/>
        <s v="QA Manager"/>
        <s v="Regulatory Affairs consultant"/>
        <s v="Senior Engineer 3"/>
        <s v="Senior Engineer 4"/>
        <s v="Senior Engineer 5"/>
        <s v="Senior Engineer 6"/>
        <s v="Senior Sales Manager France "/>
        <s v="Medical director "/>
        <s v="Other costs 2"/>
        <s v="Other costs 1"/>
        <s v="Senior Business Dev Belgium "/>
        <s v="Sales Manager France "/>
        <s v="Engineer 10"/>
        <s v="Engineer 11"/>
        <s v="Engineer 12"/>
        <s v="Senior Sales Manager Germany "/>
        <s v="Sales Manager Germany "/>
        <s v="VP Sales "/>
        <s v="Senior Sales Manager BeNeLux"/>
        <s v="Sales Manager OEM"/>
        <s v="Senior Engineer 8"/>
        <s v="Senior Sales Manager Country 1"/>
        <s v="Sales Manager Country 1"/>
      </sharedItems>
    </cacheField>
    <cacheField name="Détails " numFmtId="3">
      <sharedItems containsBlank="1"/>
    </cacheField>
    <cacheField name="E&amp;F + Consultancies " numFmtId="3">
      <sharedItems count="3">
        <s v="Dev &amp; Op "/>
        <s v="E&amp;F "/>
        <s v="Consultancies"/>
      </sharedItems>
    </cacheField>
    <cacheField name="#" numFmtId="3">
      <sharedItems containsNonDate="0" containsString="0" containsBlank="1"/>
    </cacheField>
    <cacheField name="Moyenne EFT " numFmtId="9">
      <sharedItems containsSemiMixedTypes="0" containsString="0" containsNumber="1" minValue="0" maxValue="1"/>
    </cacheField>
    <cacheField name="Q1 21" numFmtId="9">
      <sharedItems containsSemiMixedTypes="0" containsString="0" containsNumber="1" minValue="0" maxValue="1"/>
    </cacheField>
    <cacheField name="Q2 21" numFmtId="9">
      <sharedItems containsSemiMixedTypes="0" containsString="0" containsNumber="1" minValue="0" maxValue="1"/>
    </cacheField>
    <cacheField name="Q3 21" numFmtId="9">
      <sharedItems containsSemiMixedTypes="0" containsString="0" containsNumber="1" minValue="0" maxValue="1"/>
    </cacheField>
    <cacheField name="Q4 21" numFmtId="9">
      <sharedItems containsSemiMixedTypes="0" containsString="0" containsNumber="1" minValue="0" maxValue="1"/>
    </cacheField>
    <cacheField name="Q1 22" numFmtId="9">
      <sharedItems containsSemiMixedTypes="0" containsString="0" containsNumber="1" minValue="0" maxValue="1"/>
    </cacheField>
    <cacheField name="Q2 22" numFmtId="9">
      <sharedItems containsSemiMixedTypes="0" containsString="0" containsNumber="1" minValue="0" maxValue="1"/>
    </cacheField>
    <cacheField name="Q3 22" numFmtId="9">
      <sharedItems containsSemiMixedTypes="0" containsString="0" containsNumber="1" minValue="0" maxValue="1"/>
    </cacheField>
    <cacheField name="Q4 22" numFmtId="9">
      <sharedItems containsSemiMixedTypes="0" containsString="0" containsNumber="1" minValue="0" maxValue="1"/>
    </cacheField>
    <cacheField name="Q1 23" numFmtId="9">
      <sharedItems containsSemiMixedTypes="0" containsString="0" containsNumber="1" minValue="0" maxValue="1"/>
    </cacheField>
    <cacheField name="Q2 23" numFmtId="9">
      <sharedItems containsSemiMixedTypes="0" containsString="0" containsNumber="1" minValue="0" maxValue="1"/>
    </cacheField>
    <cacheField name="Q3 23" numFmtId="9">
      <sharedItems containsSemiMixedTypes="0" containsString="0" containsNumber="1" minValue="0" maxValue="1"/>
    </cacheField>
    <cacheField name="Q4 23" numFmtId="9">
      <sharedItems containsSemiMixedTypes="0" containsString="0" containsNumber="1" minValue="0" maxValue="1"/>
    </cacheField>
    <cacheField name="Q1 212" numFmtId="3">
      <sharedItems containsSemiMixedTypes="0" containsString="0" containsNumber="1" minValue="0" maxValue="75000"/>
    </cacheField>
    <cacheField name="Q2 212" numFmtId="3">
      <sharedItems containsSemiMixedTypes="0" containsString="0" containsNumber="1" minValue="0" maxValue="75000"/>
    </cacheField>
    <cacheField name="Q3 212" numFmtId="3">
      <sharedItems containsSemiMixedTypes="0" containsString="0" containsNumber="1" minValue="0" maxValue="75000"/>
    </cacheField>
    <cacheField name="Q4 212" numFmtId="3">
      <sharedItems containsSemiMixedTypes="0" containsString="0" containsNumber="1" minValue="0" maxValue="75000"/>
    </cacheField>
    <cacheField name="Q1 222" numFmtId="3">
      <sharedItems containsSemiMixedTypes="0" containsString="0" containsNumber="1" minValue="0" maxValue="61875"/>
    </cacheField>
    <cacheField name="Q2 222" numFmtId="3">
      <sharedItems containsSemiMixedTypes="0" containsString="0" containsNumber="1" minValue="0" maxValue="61875"/>
    </cacheField>
    <cacheField name="Q3 222" numFmtId="3">
      <sharedItems containsSemiMixedTypes="0" containsString="0" containsNumber="1" minValue="0" maxValue="61875"/>
    </cacheField>
    <cacheField name="Q4 22 " numFmtId="3">
      <sharedItems containsSemiMixedTypes="0" containsString="0" containsNumber="1" minValue="0" maxValue="61875"/>
    </cacheField>
    <cacheField name="Q1 232" numFmtId="3">
      <sharedItems containsSemiMixedTypes="0" containsString="0" containsNumber="1" minValue="0" maxValue="61875"/>
    </cacheField>
    <cacheField name="Q2 232" numFmtId="3">
      <sharedItems containsSemiMixedTypes="0" containsString="0" containsNumber="1" minValue="0" maxValue="61875"/>
    </cacheField>
    <cacheField name="Q3 232" numFmtId="3">
      <sharedItems containsSemiMixedTypes="0" containsString="0" containsNumber="1" minValue="0" maxValue="61875"/>
    </cacheField>
    <cacheField name="Q4 232" numFmtId="3">
      <sharedItems containsSemiMixedTypes="0" containsString="0" containsNumber="1" minValue="0" maxValue="6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m/>
    <m/>
    <s v="Consultancies"/>
    <m/>
    <n v="14000"/>
    <n v="7000"/>
    <n v="7000"/>
    <n v="0"/>
    <n v="0"/>
    <n v="0"/>
    <n v="0"/>
    <n v="0"/>
    <n v="0"/>
    <n v="0"/>
    <n v="0"/>
    <n v="0"/>
    <n v="0"/>
    <n v="14000"/>
  </r>
  <r>
    <x v="1"/>
    <x v="1"/>
    <s v="KOL Mngt (6)"/>
    <s v="KOL Mngt (6)"/>
    <s v="Consultancies"/>
    <m/>
    <n v="240000"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x v="1"/>
    <s v="Italian KOL"/>
    <s v="Fabiocchi"/>
    <s v="Consultancies"/>
    <m/>
    <n v="36072"/>
    <n v="3006"/>
    <n v="3006"/>
    <n v="3006"/>
    <n v="3006"/>
    <n v="3006"/>
    <n v="3006"/>
    <n v="3006"/>
    <n v="3006"/>
    <n v="3006"/>
    <n v="3006"/>
    <n v="3006"/>
    <n v="3006"/>
    <n v="36072"/>
  </r>
  <r>
    <x v="1"/>
    <x v="1"/>
    <s v="Clinical Affairs watch"/>
    <s v="DDG"/>
    <s v="E&amp;F"/>
    <n v="4.9999999999999996E-2"/>
    <n v="17325"/>
    <n v="1443.75"/>
    <n v="1443.75"/>
    <n v="1443.75"/>
    <n v="1443.75"/>
    <n v="1443.75"/>
    <n v="1443.75"/>
    <n v="1443.75"/>
    <n v="1443.75"/>
    <n v="1443.75"/>
    <n v="1443.75"/>
    <n v="1443.75"/>
    <n v="1443.75"/>
    <n v="17325"/>
  </r>
  <r>
    <x v="2"/>
    <x v="1"/>
    <s v="Clinical Affairs Onco"/>
    <s v="TBH"/>
    <s v="E&amp;F"/>
    <n v="8.3333333333333329E-2"/>
    <n v="45000"/>
    <n v="11250"/>
    <n v="11250"/>
    <n v="11250"/>
    <n v="11250"/>
    <n v="0"/>
    <n v="0"/>
    <n v="0"/>
    <n v="0"/>
    <n v="0"/>
    <n v="0"/>
    <n v="0"/>
    <n v="0"/>
    <n v="45000"/>
  </r>
  <r>
    <x v="2"/>
    <x v="1"/>
    <s v="Medical director "/>
    <s v="TBH"/>
    <s v="E&amp;F"/>
    <n v="0.16666666666666666"/>
    <n v="120000"/>
    <n v="6000"/>
    <n v="6000"/>
    <n v="6000"/>
    <n v="6000"/>
    <n v="12000"/>
    <n v="12000"/>
    <n v="12000"/>
    <n v="12000"/>
    <n v="12000"/>
    <n v="12000"/>
    <n v="12000"/>
    <n v="12000"/>
    <n v="120000"/>
  </r>
  <r>
    <x v="3"/>
    <x v="2"/>
    <m/>
    <s v="Wifi et 4G "/>
    <m/>
    <m/>
    <n v="2358987.3849634524"/>
    <n v="2348.2652023600003"/>
    <n v="8685.1810628390085"/>
    <n v="14029.459094258513"/>
    <n v="219598.32936624574"/>
    <n v="184373.65925763309"/>
    <n v="187924.7421157581"/>
    <n v="191475.82497388311"/>
    <n v="195026.90783200809"/>
    <n v="338881.25401461666"/>
    <n v="338881.25401461666"/>
    <n v="338881.25401461666"/>
    <n v="338881.25401461666"/>
    <n v="2358987.3849634524"/>
  </r>
  <r>
    <x v="4"/>
    <x v="1"/>
    <s v="Senior Engineer 3"/>
    <s v="GGO"/>
    <s v="E&amp;F"/>
    <n v="1"/>
    <n v="396000"/>
    <n v="33000"/>
    <n v="33000"/>
    <n v="33000"/>
    <n v="33000"/>
    <n v="33000"/>
    <n v="33000"/>
    <n v="33000"/>
    <n v="33000"/>
    <n v="33000"/>
    <n v="33000"/>
    <n v="33000"/>
    <n v="33000"/>
    <n v="396000"/>
  </r>
  <r>
    <x v="4"/>
    <x v="1"/>
    <s v="Engineer 4"/>
    <s v="KSC"/>
    <s v="E&amp;F"/>
    <n v="1"/>
    <n v="231000"/>
    <n v="19250"/>
    <n v="19250"/>
    <n v="19250"/>
    <n v="19250"/>
    <n v="19250"/>
    <n v="19250"/>
    <n v="19250"/>
    <n v="19250"/>
    <n v="19250"/>
    <n v="19250"/>
    <n v="19250"/>
    <n v="19250"/>
    <n v="231000"/>
  </r>
  <r>
    <x v="4"/>
    <x v="1"/>
    <s v="Engineer 5"/>
    <s v="RNU"/>
    <s v="E&amp;F"/>
    <n v="1"/>
    <n v="165391.28640000001"/>
    <n v="13782.6072"/>
    <n v="13782.6072"/>
    <n v="13782.6072"/>
    <n v="13782.6072"/>
    <n v="13782.6072"/>
    <n v="13782.6072"/>
    <n v="13782.6072"/>
    <n v="13782.6072"/>
    <n v="13782.6072"/>
    <n v="13782.6072"/>
    <n v="13782.6072"/>
    <n v="13782.6072"/>
    <n v="165391.28640000001"/>
  </r>
  <r>
    <x v="4"/>
    <x v="1"/>
    <s v="Product Development Mgr"/>
    <s v="USA"/>
    <s v="E&amp;F"/>
    <n v="1"/>
    <n v="226238.1624"/>
    <n v="18853.180199999999"/>
    <n v="18853.180199999999"/>
    <n v="18853.180199999999"/>
    <n v="18853.180199999999"/>
    <n v="18853.180199999999"/>
    <n v="18853.180199999999"/>
    <n v="18853.180199999999"/>
    <n v="18853.180199999999"/>
    <n v="18853.180199999999"/>
    <n v="18853.180199999999"/>
    <n v="18853.180199999999"/>
    <n v="18853.180199999999"/>
    <n v="226238.1624"/>
  </r>
  <r>
    <x v="4"/>
    <x v="1"/>
    <s v="Product Manager 3"/>
    <s v="TBH"/>
    <s v="E&amp;F"/>
    <n v="0.41666666666666669"/>
    <n v="150000"/>
    <n v="0"/>
    <n v="0"/>
    <n v="0"/>
    <n v="30000"/>
    <n v="30000"/>
    <n v="30000"/>
    <n v="30000"/>
    <n v="30000"/>
    <n v="0"/>
    <n v="0"/>
    <n v="0"/>
    <n v="0"/>
    <n v="150000"/>
  </r>
  <r>
    <x v="4"/>
    <x v="1"/>
    <s v="Product Manager 2"/>
    <s v="MMO"/>
    <s v="E&amp;F"/>
    <n v="1"/>
    <n v="189517.42800000004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89517.42800000004"/>
  </r>
  <r>
    <x v="4"/>
    <x v="1"/>
    <s v="Senior Engineer 4"/>
    <s v="JBE"/>
    <s v="E&amp;F"/>
    <n v="0.33333333333333331"/>
    <n v="121000"/>
    <n v="0"/>
    <n v="0"/>
    <n v="0"/>
    <n v="30250"/>
    <n v="30250"/>
    <n v="30250"/>
    <n v="0"/>
    <n v="0"/>
    <n v="0"/>
    <n v="0"/>
    <n v="0"/>
    <n v="30250"/>
    <n v="121000"/>
  </r>
  <r>
    <x v="4"/>
    <x v="1"/>
    <s v="Senior Engineer 5"/>
    <s v="TBH"/>
    <s v="E&amp;F"/>
    <n v="0.75"/>
    <n v="272250"/>
    <n v="0"/>
    <n v="0"/>
    <n v="0"/>
    <n v="0"/>
    <n v="60500"/>
    <n v="30250"/>
    <n v="30250"/>
    <n v="30250"/>
    <n v="30250"/>
    <n v="30250"/>
    <n v="30250"/>
    <n v="30250"/>
    <n v="272250"/>
  </r>
  <r>
    <x v="4"/>
    <x v="1"/>
    <s v="Senior Engineer 6"/>
    <s v="TBH"/>
    <s v="E&amp;F"/>
    <n v="0.16666666666666666"/>
    <n v="60500"/>
    <n v="0"/>
    <n v="0"/>
    <n v="0"/>
    <n v="0"/>
    <n v="30250"/>
    <n v="30250"/>
    <n v="0"/>
    <n v="0"/>
    <n v="0"/>
    <n v="0"/>
    <n v="0"/>
    <n v="0"/>
    <n v="60500"/>
  </r>
  <r>
    <x v="4"/>
    <x v="1"/>
    <s v="Engineer 6"/>
    <s v="TBH"/>
    <s v="E&amp;F"/>
    <n v="0.33333333333333331"/>
    <n v="66000"/>
    <n v="0"/>
    <n v="0"/>
    <n v="0"/>
    <n v="16500"/>
    <n v="16500"/>
    <n v="16500"/>
    <n v="0"/>
    <n v="0"/>
    <n v="0"/>
    <n v="0"/>
    <n v="0"/>
    <n v="16500"/>
    <n v="66000"/>
  </r>
  <r>
    <x v="4"/>
    <x v="1"/>
    <s v="Engineer 7"/>
    <s v="TBH"/>
    <s v="E&amp;F"/>
    <n v="0.16666666666666666"/>
    <n v="33000"/>
    <n v="0"/>
    <n v="0"/>
    <n v="0"/>
    <n v="0"/>
    <n v="16500"/>
    <n v="16500"/>
    <n v="0"/>
    <n v="0"/>
    <n v="0"/>
    <n v="0"/>
    <n v="0"/>
    <n v="0"/>
    <n v="33000"/>
  </r>
  <r>
    <x v="4"/>
    <x v="1"/>
    <s v="Engineer 8"/>
    <s v="TBH"/>
    <s v="E&amp;F"/>
    <n v="0"/>
    <n v="0"/>
    <n v="0"/>
    <n v="0"/>
    <n v="0"/>
    <n v="0"/>
    <n v="0"/>
    <n v="0"/>
    <n v="0"/>
    <n v="0"/>
    <n v="0"/>
    <n v="0"/>
    <n v="0"/>
    <n v="0"/>
    <n v="0"/>
  </r>
  <r>
    <x v="4"/>
    <x v="1"/>
    <s v="Senior Engineer 7"/>
    <s v="TBH"/>
    <s v="E&amp;F"/>
    <n v="0.66666666666666663"/>
    <n v="242000"/>
    <n v="0"/>
    <n v="0"/>
    <n v="0"/>
    <n v="0"/>
    <n v="30250"/>
    <n v="30250"/>
    <n v="30250"/>
    <n v="30250"/>
    <n v="30250"/>
    <n v="30250"/>
    <n v="30250"/>
    <n v="30250"/>
    <n v="242000"/>
  </r>
  <r>
    <x v="4"/>
    <x v="1"/>
    <s v="Senior Engineer 8"/>
    <s v="TBH"/>
    <s v="E&amp;F"/>
    <n v="0.5"/>
    <n v="181500"/>
    <n v="0"/>
    <n v="0"/>
    <n v="0"/>
    <n v="0"/>
    <n v="0"/>
    <n v="0"/>
    <n v="30250"/>
    <n v="30250"/>
    <n v="30250"/>
    <n v="30250"/>
    <n v="30250"/>
    <n v="30250"/>
    <n v="181500"/>
  </r>
  <r>
    <x v="4"/>
    <x v="1"/>
    <s v="Other costs 2"/>
    <m/>
    <s v="Consultancies"/>
    <m/>
    <n v="540000"/>
    <n v="75000"/>
    <n v="75000"/>
    <n v="75000"/>
    <n v="75000"/>
    <n v="30000"/>
    <n v="30000"/>
    <n v="30000"/>
    <n v="30000"/>
    <n v="30000"/>
    <n v="30000"/>
    <n v="30000"/>
    <n v="30000"/>
    <n v="540000"/>
  </r>
  <r>
    <x v="5"/>
    <x v="0"/>
    <s v="IT and Facilities"/>
    <s v="P &amp; P company"/>
    <s v="Consultancies"/>
    <m/>
    <n v="16200"/>
    <n v="1350"/>
    <n v="1350"/>
    <n v="1350"/>
    <n v="1350"/>
    <n v="1350"/>
    <n v="1350"/>
    <n v="1350"/>
    <n v="1350"/>
    <n v="1350"/>
    <n v="1350"/>
    <n v="1350"/>
    <n v="1350"/>
    <n v="16200"/>
  </r>
  <r>
    <x v="5"/>
    <x v="0"/>
    <s v="Facilities"/>
    <m/>
    <m/>
    <m/>
    <n v="152000"/>
    <n v="10500"/>
    <n v="10500"/>
    <n v="10500"/>
    <n v="10500"/>
    <n v="12500"/>
    <n v="12500"/>
    <n v="12500"/>
    <n v="12500"/>
    <n v="15000"/>
    <n v="15000"/>
    <n v="15000"/>
    <n v="15000"/>
    <n v="152000"/>
  </r>
  <r>
    <x v="6"/>
    <x v="0"/>
    <s v="CFO"/>
    <s v="Argafin"/>
    <s v="Consultancies"/>
    <m/>
    <n v="132000.00000000015"/>
    <n v="11000.000000000011"/>
    <n v="11000.000000000011"/>
    <n v="11000.000000000011"/>
    <n v="11000.000000000011"/>
    <n v="11000.000000000011"/>
    <n v="11000.000000000011"/>
    <n v="11000.000000000011"/>
    <n v="11000.000000000011"/>
    <n v="11000.000000000011"/>
    <n v="11000.000000000011"/>
    <n v="11000.000000000011"/>
    <n v="11000.000000000011"/>
    <n v="132000.00000000015"/>
  </r>
  <r>
    <x v="6"/>
    <x v="0"/>
    <s v="Accountancy"/>
    <s v="Trigone"/>
    <s v="Consultancies"/>
    <m/>
    <n v="36000"/>
    <n v="3000"/>
    <n v="3000"/>
    <n v="3000"/>
    <n v="3000"/>
    <n v="3000"/>
    <n v="3000"/>
    <n v="3000"/>
    <n v="3000"/>
    <n v="3000"/>
    <n v="3000"/>
    <n v="3000"/>
    <n v="3000"/>
    <n v="36000"/>
  </r>
  <r>
    <x v="6"/>
    <x v="0"/>
    <s v="Financial costs"/>
    <m/>
    <m/>
    <m/>
    <n v="24000"/>
    <n v="2000"/>
    <n v="2000"/>
    <n v="2000"/>
    <n v="2000"/>
    <n v="2000"/>
    <n v="2000"/>
    <n v="2000"/>
    <n v="2000"/>
    <n v="2000"/>
    <n v="2000"/>
    <n v="2000"/>
    <n v="2000"/>
    <n v="24000"/>
  </r>
  <r>
    <x v="7"/>
    <x v="1"/>
    <s v="CEO"/>
    <s v="JCH"/>
    <s v="E&amp;F"/>
    <n v="0.90000000000000024"/>
    <n v="742500"/>
    <n v="61875"/>
    <n v="61875"/>
    <n v="61875"/>
    <n v="61875"/>
    <n v="61875"/>
    <n v="61875"/>
    <n v="61875"/>
    <n v="61875"/>
    <n v="61875"/>
    <n v="61875"/>
    <n v="61875"/>
    <n v="61875"/>
    <n v="742500"/>
  </r>
  <r>
    <x v="7"/>
    <x v="1"/>
    <s v="COO"/>
    <s v="TKE"/>
    <s v="E&amp;F"/>
    <n v="0.79999999999999993"/>
    <n v="660000"/>
    <n v="55000"/>
    <n v="55000"/>
    <n v="55000"/>
    <n v="55000"/>
    <n v="55000"/>
    <n v="55000"/>
    <n v="55000"/>
    <n v="55000"/>
    <n v="55000"/>
    <n v="55000"/>
    <n v="55000"/>
    <n v="55000"/>
    <n v="660000"/>
  </r>
  <r>
    <x v="8"/>
    <x v="0"/>
    <s v="Secretary"/>
    <s v="CDE"/>
    <s v="E&amp;F"/>
    <n v="1"/>
    <n v="183891.00000000012"/>
    <n v="15324.250000000013"/>
    <n v="15324.250000000013"/>
    <n v="15324.250000000013"/>
    <n v="15324.250000000013"/>
    <n v="15324.250000000013"/>
    <n v="15324.250000000013"/>
    <n v="15324.250000000013"/>
    <n v="15324.250000000013"/>
    <n v="15324.250000000013"/>
    <n v="15324.250000000013"/>
    <n v="15324.250000000013"/>
    <n v="15324.250000000013"/>
    <n v="183891.00000000012"/>
  </r>
  <r>
    <x v="8"/>
    <x v="0"/>
    <s v="HR"/>
    <s v="JCHyTECH or other"/>
    <s v="Consultancies"/>
    <m/>
    <n v="23699.999999999996"/>
    <n v="1974.9999999999991"/>
    <n v="1974.9999999999991"/>
    <n v="1974.9999999999991"/>
    <n v="1974.9999999999991"/>
    <n v="1974.9999999999991"/>
    <n v="1974.9999999999991"/>
    <n v="1974.9999999999991"/>
    <n v="1974.9999999999991"/>
    <n v="1974.9999999999991"/>
    <n v="1974.9999999999991"/>
    <n v="1974.9999999999991"/>
    <n v="1974.9999999999991"/>
    <n v="23699.999999999996"/>
  </r>
  <r>
    <x v="8"/>
    <x v="0"/>
    <s v="Directors"/>
    <m/>
    <m/>
    <m/>
    <n v="108000"/>
    <n v="9000"/>
    <n v="9000"/>
    <n v="9000"/>
    <n v="9000"/>
    <n v="9000"/>
    <n v="9000"/>
    <n v="9000"/>
    <n v="9000"/>
    <n v="9000"/>
    <n v="9000"/>
    <n v="9000"/>
    <n v="9000"/>
    <n v="108000"/>
  </r>
  <r>
    <x v="8"/>
    <x v="0"/>
    <s v="Recruitment "/>
    <m/>
    <m/>
    <m/>
    <n v="250000"/>
    <n v="30000"/>
    <n v="60000"/>
    <n v="0"/>
    <n v="40000"/>
    <n v="40000"/>
    <n v="0"/>
    <n v="10000"/>
    <n v="30000"/>
    <n v="20000"/>
    <n v="10000"/>
    <n v="0"/>
    <n v="10000"/>
    <n v="250000"/>
  </r>
  <r>
    <x v="8"/>
    <x v="0"/>
    <s v="Training"/>
    <m/>
    <m/>
    <m/>
    <n v="152000"/>
    <n v="10500"/>
    <n v="12500"/>
    <n v="13500"/>
    <n v="13500"/>
    <n v="12500"/>
    <n v="12500"/>
    <n v="12500"/>
    <n v="12500"/>
    <n v="13000"/>
    <n v="13000"/>
    <n v="13000"/>
    <n v="13000"/>
    <n v="152000"/>
  </r>
  <r>
    <x v="8"/>
    <x v="0"/>
    <s v="Admin costs"/>
    <m/>
    <m/>
    <m/>
    <n v="26500"/>
    <n v="152.54137582564201"/>
    <n v="270.30994135640412"/>
    <n v="366.19506366005749"/>
    <n v="1576.34321859532"/>
    <n v="1507.6123546372805"/>
    <n v="1902.3195181604235"/>
    <n v="2215.0435570618138"/>
    <n v="2527.7675959632052"/>
    <n v="3995.4668436849629"/>
    <n v="3995.4668436849629"/>
    <n v="3995.4668436849629"/>
    <n v="3995.4668436849629"/>
    <n v="26500"/>
  </r>
  <r>
    <x v="9"/>
    <x v="3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9"/>
    <x v="4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9"/>
    <x v="2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9"/>
    <x v="5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9"/>
    <x v="6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9"/>
    <x v="7"/>
    <s v="Legal"/>
    <s v="Legal"/>
    <s v="Consultancies"/>
    <m/>
    <n v="6666.666666666667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555.55555555555554"/>
    <n v="6666.666666666667"/>
  </r>
  <r>
    <x v="10"/>
    <x v="1"/>
    <s v="Manufacturing assistant 1 "/>
    <s v="TBH"/>
    <s v="E&amp;F"/>
    <n v="0.41666666666666669"/>
    <n v="55000"/>
    <n v="0"/>
    <n v="2750"/>
    <n v="2750"/>
    <n v="5500"/>
    <n v="5500"/>
    <n v="5500"/>
    <n v="5500"/>
    <n v="5500"/>
    <n v="5500"/>
    <n v="5500"/>
    <n v="5500"/>
    <n v="5500"/>
    <n v="55000"/>
  </r>
  <r>
    <x v="11"/>
    <x v="1"/>
    <s v="Project Manager "/>
    <s v="CFR"/>
    <s v="E&amp;F"/>
    <n v="1"/>
    <n v="324000"/>
    <n v="27000"/>
    <n v="27000"/>
    <n v="27000"/>
    <n v="27000"/>
    <n v="27000"/>
    <n v="27000"/>
    <n v="27000"/>
    <n v="27000"/>
    <n v="27000"/>
    <n v="27000"/>
    <n v="27000"/>
    <n v="27000"/>
    <n v="324000"/>
  </r>
  <r>
    <x v="11"/>
    <x v="1"/>
    <s v="Senior Engineer 1"/>
    <s v="TBH"/>
    <s v="E&amp;F"/>
    <n v="0.91666666666666663"/>
    <n v="332750"/>
    <n v="0"/>
    <n v="30250"/>
    <n v="30250"/>
    <n v="30250"/>
    <n v="30250"/>
    <n v="30250"/>
    <n v="30250"/>
    <n v="30250"/>
    <n v="30250"/>
    <n v="30250"/>
    <n v="30250"/>
    <n v="30250"/>
    <n v="332750"/>
  </r>
  <r>
    <x v="11"/>
    <x v="1"/>
    <s v="Senior Engineer 2"/>
    <s v="TBH"/>
    <s v="E&amp;F"/>
    <n v="0.75"/>
    <n v="272250"/>
    <n v="0"/>
    <n v="0"/>
    <n v="0"/>
    <n v="30250"/>
    <n v="30250"/>
    <n v="30250"/>
    <n v="30250"/>
    <n v="30250"/>
    <n v="30250"/>
    <n v="30250"/>
    <n v="30250"/>
    <n v="30250"/>
    <n v="272250"/>
  </r>
  <r>
    <x v="11"/>
    <x v="1"/>
    <s v="Engineer 1"/>
    <s v="TBH"/>
    <s v="E&amp;F"/>
    <n v="0.41666666666666669"/>
    <n v="96250"/>
    <n v="0"/>
    <n v="0"/>
    <n v="0"/>
    <n v="0"/>
    <n v="0"/>
    <n v="0"/>
    <n v="0"/>
    <n v="19250"/>
    <n v="19250"/>
    <n v="19250"/>
    <n v="19250"/>
    <n v="19250"/>
    <n v="96250"/>
  </r>
  <r>
    <x v="11"/>
    <x v="1"/>
    <s v="Engineer 2"/>
    <s v="TBH"/>
    <s v="E&amp;F"/>
    <n v="0.41666666666666669"/>
    <n v="96250"/>
    <n v="0"/>
    <n v="0"/>
    <n v="0"/>
    <n v="0"/>
    <n v="0"/>
    <n v="0"/>
    <n v="0"/>
    <n v="19250"/>
    <n v="19250"/>
    <n v="19250"/>
    <n v="19250"/>
    <n v="19250"/>
    <n v="96250"/>
  </r>
  <r>
    <x v="11"/>
    <x v="1"/>
    <s v="Engineer 3"/>
    <s v="TBH"/>
    <s v="E&amp;F"/>
    <n v="0.41666666666666669"/>
    <n v="96250"/>
    <n v="0"/>
    <n v="0"/>
    <n v="0"/>
    <n v="0"/>
    <n v="0"/>
    <n v="0"/>
    <n v="0"/>
    <n v="19250"/>
    <n v="19250"/>
    <n v="19250"/>
    <n v="19250"/>
    <n v="19250"/>
    <n v="96250"/>
  </r>
  <r>
    <x v="11"/>
    <x v="1"/>
    <s v="Other costs 1"/>
    <m/>
    <s v="Consultancies"/>
    <m/>
    <n v="12000"/>
    <n v="1000"/>
    <n v="1000"/>
    <n v="1000"/>
    <n v="1000"/>
    <n v="1000"/>
    <n v="1000"/>
    <n v="1000"/>
    <n v="1000"/>
    <n v="1000"/>
    <n v="1000"/>
    <n v="1000"/>
    <n v="1000"/>
    <n v="12000"/>
  </r>
  <r>
    <x v="11"/>
    <x v="1"/>
    <s v="Engineer 10"/>
    <s v="TBH"/>
    <s v="E&amp;F"/>
    <n v="0.33333333333333331"/>
    <n v="77000"/>
    <n v="0"/>
    <n v="0"/>
    <n v="0"/>
    <n v="0"/>
    <n v="0"/>
    <n v="0"/>
    <n v="0"/>
    <n v="0"/>
    <n v="19250"/>
    <n v="19250"/>
    <n v="19250"/>
    <n v="19250"/>
    <n v="77000"/>
  </r>
  <r>
    <x v="11"/>
    <x v="1"/>
    <s v="Engineer 11"/>
    <s v="TBH"/>
    <s v="E&amp;F"/>
    <n v="0.33333333333333331"/>
    <n v="77000"/>
    <n v="0"/>
    <n v="0"/>
    <n v="0"/>
    <n v="0"/>
    <n v="0"/>
    <n v="0"/>
    <n v="0"/>
    <n v="0"/>
    <n v="19250"/>
    <n v="19250"/>
    <n v="19250"/>
    <n v="19250"/>
    <n v="77000"/>
  </r>
  <r>
    <x v="11"/>
    <x v="1"/>
    <s v="Engineer 12"/>
    <s v="TBH"/>
    <s v="E&amp;F"/>
    <n v="0.33333333333333331"/>
    <n v="77000"/>
    <n v="0"/>
    <n v="0"/>
    <n v="0"/>
    <n v="0"/>
    <n v="0"/>
    <n v="0"/>
    <n v="0"/>
    <n v="0"/>
    <n v="19250"/>
    <n v="19250"/>
    <n v="19250"/>
    <n v="19250"/>
    <n v="77000"/>
  </r>
  <r>
    <x v="12"/>
    <x v="0"/>
    <s v="IP &amp; patents costs"/>
    <m/>
    <m/>
    <m/>
    <n v="60000.000000000007"/>
    <n v="345.37669998258571"/>
    <n v="612.02250873148103"/>
    <n v="829.12089885296029"/>
    <n v="3569.0789854988375"/>
    <n v="3413.4619350278049"/>
    <n v="4307.1385316839778"/>
    <n v="5015.1929593852392"/>
    <n v="5723.2473870865024"/>
    <n v="9046.3400234376531"/>
    <n v="9046.3400234376531"/>
    <n v="9046.3400234376531"/>
    <n v="9046.3400234376531"/>
    <n v="60000.000000000007"/>
  </r>
  <r>
    <x v="12"/>
    <x v="0"/>
    <s v="Shipment in &amp; out"/>
    <m/>
    <m/>
    <m/>
    <n v="12000"/>
    <n v="69.075339996517144"/>
    <n v="122.40450174629621"/>
    <n v="165.82417977059205"/>
    <n v="713.81579709976756"/>
    <n v="682.69238700556093"/>
    <n v="861.4277063367955"/>
    <n v="1003.0385918770478"/>
    <n v="1144.6494774173007"/>
    <n v="1809.2680046875305"/>
    <n v="1809.2680046875305"/>
    <n v="1809.2680046875305"/>
    <n v="1809.2680046875305"/>
    <n v="12000"/>
  </r>
  <r>
    <x v="12"/>
    <x v="0"/>
    <s v="Small equipment"/>
    <m/>
    <m/>
    <m/>
    <n v="22499.999999999996"/>
    <n v="129.51626249346964"/>
    <n v="229.50844077430537"/>
    <n v="310.92033706986012"/>
    <n v="1338.4046195620642"/>
    <n v="1280.0482256354269"/>
    <n v="1615.1769493814916"/>
    <n v="1880.6973597694646"/>
    <n v="2146.2177701574387"/>
    <n v="3392.3775087891195"/>
    <n v="3392.3775087891195"/>
    <n v="3392.3775087891195"/>
    <n v="3392.3775087891195"/>
    <n v="22499.999999999996"/>
  </r>
  <r>
    <x v="12"/>
    <x v="0"/>
    <s v="Software &amp; licences"/>
    <m/>
    <m/>
    <m/>
    <n v="150000"/>
    <n v="863.44174995646426"/>
    <n v="1530.0562718287026"/>
    <n v="2072.8022471324007"/>
    <n v="8922.6974637470939"/>
    <n v="8533.6548375695129"/>
    <n v="10767.846329209944"/>
    <n v="12537.982398463098"/>
    <n v="14308.118467716256"/>
    <n v="22615.850058594129"/>
    <n v="22615.850058594129"/>
    <n v="22615.850058594129"/>
    <n v="22615.850058594129"/>
    <n v="150000"/>
  </r>
  <r>
    <x v="13"/>
    <x v="1"/>
    <s v="QA Manager"/>
    <s v="VCA"/>
    <s v="E&amp;F"/>
    <n v="0.91666666666666663"/>
    <n v="244200"/>
    <n v="11100"/>
    <n v="11100"/>
    <n v="22200"/>
    <n v="22200"/>
    <n v="22200"/>
    <n v="22200"/>
    <n v="22200"/>
    <n v="22200"/>
    <n v="22200"/>
    <n v="22200"/>
    <n v="22200"/>
    <n v="22200"/>
    <n v="244200"/>
  </r>
  <r>
    <x v="13"/>
    <x v="1"/>
    <s v="Regulatory Affairs consultant"/>
    <s v="Salma Michor"/>
    <s v="Consultancies"/>
    <m/>
    <n v="26400"/>
    <n v="2200"/>
    <n v="2200"/>
    <n v="2200"/>
    <n v="2200"/>
    <n v="2200"/>
    <n v="2200"/>
    <n v="2200"/>
    <n v="2200"/>
    <n v="2200"/>
    <n v="2200"/>
    <n v="2200"/>
    <n v="2200"/>
    <n v="26400"/>
  </r>
  <r>
    <x v="14"/>
    <x v="8"/>
    <s v="Marketing 1"/>
    <s v="TBH"/>
    <s v="E&amp;F"/>
    <n v="0.91666666666666663"/>
    <n v="242000"/>
    <n v="11000"/>
    <n v="11000"/>
    <n v="22000"/>
    <n v="22000"/>
    <n v="22000"/>
    <n v="22000"/>
    <n v="22000"/>
    <n v="22000"/>
    <n v="22000"/>
    <n v="22000"/>
    <n v="22000"/>
    <n v="22000"/>
    <n v="242000"/>
  </r>
  <r>
    <x v="14"/>
    <x v="8"/>
    <s v="Marketing 2"/>
    <s v="TBH"/>
    <s v="E&amp;F"/>
    <n v="0.66666666666666663"/>
    <n v="176000"/>
    <n v="0"/>
    <n v="0"/>
    <n v="0"/>
    <n v="0"/>
    <n v="22000"/>
    <n v="22000"/>
    <n v="22000"/>
    <n v="22000"/>
    <n v="22000"/>
    <n v="22000"/>
    <n v="22000"/>
    <n v="22000"/>
    <n v="176000"/>
  </r>
  <r>
    <x v="14"/>
    <x v="8"/>
    <s v="Marketing &amp; communication "/>
    <m/>
    <m/>
    <m/>
    <n v="300000"/>
    <n v="1726.8834999129285"/>
    <n v="3060.1125436574052"/>
    <n v="4145.6044942648014"/>
    <n v="17845.394927494188"/>
    <n v="17067.309675139026"/>
    <n v="21535.692658419888"/>
    <n v="25075.964796926197"/>
    <n v="28616.236935432513"/>
    <n v="45231.700117188258"/>
    <n v="45231.700117188258"/>
    <n v="45231.700117188258"/>
    <n v="45231.700117188258"/>
    <n v="300000"/>
  </r>
  <r>
    <x v="14"/>
    <x v="1"/>
    <s v="Business Development Manager HQ"/>
    <s v="BPI"/>
    <s v="E&amp;F"/>
    <n v="1"/>
    <n v="237554.16480000006"/>
    <n v="19796.180400000001"/>
    <n v="19796.180400000001"/>
    <n v="19796.180400000001"/>
    <n v="19796.180400000001"/>
    <n v="19796.180400000001"/>
    <n v="19796.180400000001"/>
    <n v="19796.180400000001"/>
    <n v="19796.180400000001"/>
    <n v="19796.180400000001"/>
    <n v="19796.180400000001"/>
    <n v="19796.180400000001"/>
    <n v="19796.180400000001"/>
    <n v="237554.16480000006"/>
  </r>
  <r>
    <x v="14"/>
    <x v="1"/>
    <s v="Business Development Manager Italy"/>
    <s v="GTA"/>
    <s v="Consultancies"/>
    <m/>
    <n v="108000"/>
    <n v="9000"/>
    <n v="9000"/>
    <n v="9000"/>
    <n v="9000"/>
    <n v="9000"/>
    <n v="9000"/>
    <n v="9000"/>
    <n v="9000"/>
    <n v="9000"/>
    <n v="9000"/>
    <n v="9000"/>
    <n v="9000"/>
    <n v="108000"/>
  </r>
  <r>
    <x v="14"/>
    <x v="1"/>
    <s v="Senior Sales Manager France "/>
    <s v="TBH"/>
    <s v="E&amp;F"/>
    <n v="0.91666666666666663"/>
    <n v="496100"/>
    <n v="0"/>
    <n v="45100"/>
    <n v="45100"/>
    <n v="45100"/>
    <n v="45100"/>
    <n v="45100"/>
    <n v="45100"/>
    <n v="45100"/>
    <n v="45100"/>
    <n v="45100"/>
    <n v="45100"/>
    <n v="45100"/>
    <n v="496100"/>
  </r>
  <r>
    <x v="14"/>
    <x v="1"/>
    <s v="Senior Sales Manager Germany "/>
    <s v="TBH"/>
    <s v="E&amp;F"/>
    <n v="0.91666666666666663"/>
    <n v="496100"/>
    <n v="0"/>
    <n v="45100"/>
    <n v="45100"/>
    <n v="45100"/>
    <n v="45100"/>
    <n v="45100"/>
    <n v="45100"/>
    <n v="45100"/>
    <n v="45100"/>
    <n v="45100"/>
    <n v="45100"/>
    <n v="45100"/>
    <n v="496100"/>
  </r>
  <r>
    <x v="14"/>
    <x v="1"/>
    <s v="Senior Business Dev Belgium "/>
    <s v="Ghislain"/>
    <s v="E&amp;F"/>
    <n v="0.42499999999999999"/>
    <n v="182325"/>
    <n v="7150"/>
    <n v="10725"/>
    <n v="10725"/>
    <n v="10725"/>
    <n v="17875"/>
    <n v="17875"/>
    <n v="17875"/>
    <n v="17875"/>
    <n v="17875"/>
    <n v="17875"/>
    <n v="17875"/>
    <n v="17875"/>
    <n v="182325"/>
  </r>
  <r>
    <x v="14"/>
    <x v="1"/>
    <s v="Sales Manager France "/>
    <s v="TBH"/>
    <s v="E&amp;F"/>
    <n v="0.5"/>
    <n v="180000"/>
    <n v="0"/>
    <n v="0"/>
    <n v="0"/>
    <n v="0"/>
    <n v="0"/>
    <n v="0"/>
    <n v="30000"/>
    <n v="30000"/>
    <n v="30000"/>
    <n v="30000"/>
    <n v="30000"/>
    <n v="30000"/>
    <n v="180000"/>
  </r>
  <r>
    <x v="14"/>
    <x v="1"/>
    <s v="Sales Manager Germany "/>
    <s v="TBH"/>
    <s v="E&amp;F"/>
    <n v="0.5"/>
    <n v="180000"/>
    <n v="0"/>
    <n v="0"/>
    <n v="0"/>
    <n v="0"/>
    <n v="0"/>
    <n v="0"/>
    <n v="30000"/>
    <n v="30000"/>
    <n v="30000"/>
    <n v="30000"/>
    <n v="30000"/>
    <n v="30000"/>
    <n v="180000"/>
  </r>
  <r>
    <x v="14"/>
    <x v="1"/>
    <s v="VP Sales "/>
    <s v="TBH"/>
    <s v="E&amp;F"/>
    <n v="0.25"/>
    <n v="135300"/>
    <n v="0"/>
    <n v="0"/>
    <n v="0"/>
    <n v="0"/>
    <n v="0"/>
    <n v="0"/>
    <n v="0"/>
    <n v="0"/>
    <n v="0"/>
    <n v="45100"/>
    <n v="45100"/>
    <n v="45100"/>
    <n v="135300"/>
  </r>
  <r>
    <x v="14"/>
    <x v="1"/>
    <s v="Senior Sales Manager BeNeLux"/>
    <s v="TBH"/>
    <s v="E&amp;F"/>
    <n v="0.75"/>
    <n v="405900"/>
    <n v="0"/>
    <n v="0"/>
    <n v="0"/>
    <n v="45100"/>
    <n v="45100"/>
    <n v="45100"/>
    <n v="45100"/>
    <n v="45100"/>
    <n v="45100"/>
    <n v="45100"/>
    <n v="45100"/>
    <n v="45100"/>
    <n v="405900"/>
  </r>
  <r>
    <x v="14"/>
    <x v="1"/>
    <s v="Sales Manager OEM"/>
    <s v="TBH"/>
    <s v="E&amp;F"/>
    <n v="0.875"/>
    <n v="315000"/>
    <n v="0"/>
    <n v="15000"/>
    <n v="30000"/>
    <n v="30000"/>
    <n v="30000"/>
    <n v="30000"/>
    <n v="30000"/>
    <n v="30000"/>
    <n v="30000"/>
    <n v="30000"/>
    <n v="30000"/>
    <n v="30000"/>
    <n v="315000"/>
  </r>
  <r>
    <x v="14"/>
    <x v="1"/>
    <s v="Senior Sales Manager Country 1"/>
    <s v="TBH"/>
    <s v="E&amp;F"/>
    <n v="0.91666666666666663"/>
    <n v="496100"/>
    <n v="0"/>
    <n v="45100"/>
    <n v="45100"/>
    <n v="45100"/>
    <n v="45100"/>
    <n v="45100"/>
    <n v="45100"/>
    <n v="45100"/>
    <n v="45100"/>
    <n v="45100"/>
    <n v="45100"/>
    <n v="45100"/>
    <n v="496100"/>
  </r>
  <r>
    <x v="14"/>
    <x v="1"/>
    <s v="Sales Manager Country 1"/>
    <s v="TBH"/>
    <s v="E&amp;F"/>
    <n v="0.5"/>
    <n v="180000"/>
    <n v="0"/>
    <n v="0"/>
    <n v="0"/>
    <n v="0"/>
    <n v="0"/>
    <n v="0"/>
    <n v="30000"/>
    <n v="30000"/>
    <n v="30000"/>
    <n v="30000"/>
    <n v="30000"/>
    <n v="30000"/>
    <n v="180000"/>
  </r>
  <r>
    <x v="15"/>
    <x v="3"/>
    <s v="T&amp;E"/>
    <s v="T&amp;E"/>
    <m/>
    <m/>
    <n v="40000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40000"/>
  </r>
  <r>
    <x v="15"/>
    <x v="4"/>
    <s v="T&amp;E"/>
    <s v="T&amp;E"/>
    <m/>
    <m/>
    <n v="40000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40000"/>
  </r>
  <r>
    <x v="15"/>
    <x v="2"/>
    <s v="T&amp;E"/>
    <s v="T&amp;E"/>
    <m/>
    <m/>
    <n v="60000"/>
    <n v="5000"/>
    <n v="5000"/>
    <n v="5000"/>
    <n v="5000"/>
    <n v="5000"/>
    <n v="5000"/>
    <n v="5000"/>
    <n v="5000"/>
    <n v="5000"/>
    <n v="5000"/>
    <n v="5000"/>
    <n v="5000"/>
    <n v="60000"/>
  </r>
  <r>
    <x v="15"/>
    <x v="5"/>
    <s v="T&amp;E"/>
    <s v="T&amp;E"/>
    <m/>
    <m/>
    <n v="0"/>
    <n v="0"/>
    <n v="0"/>
    <n v="0"/>
    <n v="0"/>
    <n v="0"/>
    <n v="0"/>
    <n v="0"/>
    <n v="0"/>
    <n v="0"/>
    <n v="0"/>
    <n v="0"/>
    <n v="0"/>
    <n v="0"/>
  </r>
  <r>
    <x v="15"/>
    <x v="6"/>
    <s v="T&amp;E"/>
    <s v="T&amp;E"/>
    <m/>
    <m/>
    <n v="150000"/>
    <n v="7500"/>
    <n v="7500"/>
    <n v="7500"/>
    <n v="7500"/>
    <n v="15000"/>
    <n v="15000"/>
    <n v="15000"/>
    <n v="15000"/>
    <n v="15000"/>
    <n v="15000"/>
    <n v="15000"/>
    <n v="15000"/>
    <n v="150000"/>
  </r>
  <r>
    <x v="15"/>
    <x v="7"/>
    <s v="T&amp;E"/>
    <s v="T&amp;E"/>
    <m/>
    <m/>
    <n v="40000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3333.3333333333335"/>
    <n v="40000"/>
  </r>
  <r>
    <x v="16"/>
    <x v="9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s v="Operations"/>
    <x v="0"/>
    <x v="0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1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0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6"/>
    <s v="BPI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7"/>
    <s v="GTA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0"/>
    <x v="8"/>
    <s v="JCH"/>
    <x v="1"/>
    <m/>
    <n v="0.90000000000000024"/>
    <n v="0.9"/>
    <n v="0.9"/>
    <n v="0.9"/>
    <n v="0.9"/>
    <n v="0.9"/>
    <n v="0.9"/>
    <n v="0.9"/>
    <n v="0.9"/>
    <n v="0.9"/>
    <n v="0.9"/>
    <n v="0.9"/>
    <n v="0.9"/>
    <n v="61875"/>
    <n v="61875"/>
    <n v="61875"/>
    <n v="61875"/>
    <n v="61875"/>
    <n v="61875"/>
    <n v="61875"/>
    <n v="61875"/>
    <n v="61875"/>
    <n v="61875"/>
    <n v="61875"/>
    <n v="61875"/>
  </r>
  <r>
    <s v="Clinical affairs "/>
    <x v="0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0"/>
    <x v="10"/>
    <s v="DDG"/>
    <x v="1"/>
    <m/>
    <n v="4.9999999999999996E-2"/>
    <n v="0.05"/>
    <n v="0.05"/>
    <n v="0.05"/>
    <n v="0.05"/>
    <n v="0.05"/>
    <n v="0.05"/>
    <n v="0.05"/>
    <n v="0.05"/>
    <n v="0.05"/>
    <n v="0.05"/>
    <n v="0.05"/>
    <n v="0.05"/>
    <n v="1443.75"/>
    <n v="1443.75"/>
    <n v="1443.75"/>
    <n v="1443.75"/>
    <n v="1443.75"/>
    <n v="1443.75"/>
    <n v="1443.75"/>
    <n v="1443.75"/>
    <n v="1443.75"/>
    <n v="1443.75"/>
    <n v="1443.75"/>
    <n v="1443.75"/>
  </r>
  <r>
    <s v="General management "/>
    <x v="0"/>
    <x v="11"/>
    <s v="TKE"/>
    <x v="1"/>
    <m/>
    <n v="0.79999999999999993"/>
    <n v="0.8"/>
    <n v="0.8"/>
    <n v="0.8"/>
    <n v="0.8"/>
    <n v="0.8"/>
    <n v="0.8"/>
    <n v="0.8"/>
    <n v="0.8"/>
    <n v="0.8"/>
    <n v="0.8"/>
    <n v="0.8"/>
    <n v="0.8"/>
    <n v="55000"/>
    <n v="55000"/>
    <n v="55000"/>
    <n v="55000"/>
    <n v="55000"/>
    <n v="55000"/>
    <n v="55000"/>
    <n v="55000"/>
    <n v="55000"/>
    <n v="55000"/>
    <n v="55000"/>
    <n v="55000"/>
  </r>
  <r>
    <s v="Development"/>
    <x v="0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0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0"/>
    <x v="19"/>
    <s v="KOL Mngt (6)"/>
    <x v="2"/>
    <m/>
    <n v="1"/>
    <n v="1"/>
    <n v="1"/>
    <n v="1"/>
    <n v="1"/>
    <n v="1"/>
    <n v="1"/>
    <n v="1"/>
    <n v="1"/>
    <n v="1"/>
    <n v="1"/>
    <n v="1"/>
    <n v="1"/>
    <n v="20000"/>
    <n v="20000"/>
    <n v="20000"/>
    <n v="20000"/>
    <n v="20000"/>
    <n v="20000"/>
    <n v="20000"/>
    <n v="20000"/>
    <n v="20000"/>
    <n v="20000"/>
    <n v="20000"/>
    <n v="20000"/>
  </r>
  <r>
    <s v="Development"/>
    <x v="0"/>
    <x v="20"/>
    <s v="USA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0"/>
    <x v="24"/>
    <s v="VCA"/>
    <x v="1"/>
    <m/>
    <n v="0.91666666666666663"/>
    <n v="0.5"/>
    <n v="0.5"/>
    <n v="1"/>
    <n v="1"/>
    <n v="1"/>
    <n v="1"/>
    <n v="1"/>
    <n v="1"/>
    <n v="1"/>
    <n v="1"/>
    <n v="1"/>
    <n v="1"/>
    <n v="11100"/>
    <n v="11100"/>
    <n v="22200"/>
    <n v="22200"/>
    <n v="22200"/>
    <n v="22200"/>
    <n v="22200"/>
    <n v="22200"/>
    <n v="22200"/>
    <n v="22200"/>
    <n v="22200"/>
    <n v="22200"/>
  </r>
  <r>
    <s v="QA-RA"/>
    <x v="0"/>
    <x v="25"/>
    <s v="Salma Michor "/>
    <x v="2"/>
    <m/>
    <n v="4.9999999999999996E-2"/>
    <n v="0.05"/>
    <n v="0.05"/>
    <n v="0.05"/>
    <n v="0.05"/>
    <n v="0.05"/>
    <n v="0.05"/>
    <n v="0.05"/>
    <n v="0.05"/>
    <n v="0.05"/>
    <n v="0.05"/>
    <n v="0.05"/>
    <n v="0.05"/>
    <n v="2200"/>
    <n v="2200"/>
    <n v="2200"/>
    <n v="2200"/>
    <n v="2200"/>
    <n v="2200"/>
    <n v="2200"/>
    <n v="2200"/>
    <n v="2200"/>
    <n v="2200"/>
    <n v="2200"/>
    <n v="2200"/>
  </r>
  <r>
    <s v="Development"/>
    <x v="0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2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0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3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0"/>
    <x v="31"/>
    <s v="TBH"/>
    <x v="1"/>
    <m/>
    <n v="0.16666666666666666"/>
    <n v="0.1"/>
    <n v="0.1"/>
    <n v="0.1"/>
    <n v="0.1"/>
    <n v="0.2"/>
    <n v="0.2"/>
    <n v="0.2"/>
    <n v="0.2"/>
    <n v="0.2"/>
    <n v="0.2"/>
    <n v="0.2"/>
    <n v="0.2"/>
    <n v="6000"/>
    <n v="6000"/>
    <n v="6000"/>
    <n v="6000"/>
    <n v="12000"/>
    <n v="12000"/>
    <n v="12000"/>
    <n v="12000"/>
    <n v="12000"/>
    <n v="12000"/>
    <n v="12000"/>
    <n v="12000"/>
  </r>
  <r>
    <s v="Sales and bus dev "/>
    <x v="1"/>
    <x v="6"/>
    <s v="BPI"/>
    <x v="1"/>
    <m/>
    <n v="0.5"/>
    <n v="0.5"/>
    <n v="0.5"/>
    <n v="0.5"/>
    <n v="0.5"/>
    <n v="0.5"/>
    <n v="0.5"/>
    <n v="0.5"/>
    <n v="0.5"/>
    <n v="0.5"/>
    <n v="0.5"/>
    <n v="0.5"/>
    <n v="0.5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</r>
  <r>
    <s v="Sales and bus dev "/>
    <x v="1"/>
    <x v="7"/>
    <s v="GTA"/>
    <x v="2"/>
    <m/>
    <n v="0.5"/>
    <n v="0.5"/>
    <n v="0.5"/>
    <n v="0.5"/>
    <n v="0.5"/>
    <n v="0.5"/>
    <n v="0.5"/>
    <n v="0.5"/>
    <n v="0.5"/>
    <n v="0.5"/>
    <n v="0.5"/>
    <n v="0.5"/>
    <n v="0.5"/>
    <n v="4500"/>
    <n v="4500"/>
    <n v="4500"/>
    <n v="4500"/>
    <n v="4500"/>
    <n v="4500"/>
    <n v="4500"/>
    <n v="4500"/>
    <n v="4500"/>
    <n v="4500"/>
    <n v="4500"/>
    <n v="4500"/>
  </r>
  <r>
    <s v="General management "/>
    <x v="1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1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1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1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0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1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1"/>
    <x v="18"/>
    <s v="Fabiocchi"/>
    <x v="2"/>
    <m/>
    <n v="1"/>
    <n v="1"/>
    <n v="1"/>
    <n v="1"/>
    <n v="1"/>
    <n v="1"/>
    <n v="1"/>
    <n v="1"/>
    <n v="1"/>
    <n v="1"/>
    <n v="1"/>
    <n v="1"/>
    <n v="1"/>
    <n v="3006"/>
    <n v="3006"/>
    <n v="3006"/>
    <n v="3006"/>
    <n v="3006"/>
    <n v="3006"/>
    <n v="3006"/>
    <n v="3006"/>
    <n v="3006"/>
    <n v="3006"/>
    <n v="3006"/>
    <n v="3006"/>
  </r>
  <r>
    <s v="Clinical affairs "/>
    <x v="1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1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0"/>
    <s v="USA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1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1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30"/>
    <s v="TBH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Clinical affairs "/>
    <x v="1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6"/>
    <s v="BPI"/>
    <x v="1"/>
    <m/>
    <n v="0.5"/>
    <n v="0.5"/>
    <n v="0.5"/>
    <n v="0.5"/>
    <n v="0.5"/>
    <n v="0.5"/>
    <n v="0.5"/>
    <n v="0.5"/>
    <n v="0.5"/>
    <n v="0.5"/>
    <n v="0.5"/>
    <n v="0.5"/>
    <n v="0.5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  <n v="9898.0902000000006"/>
  </r>
  <r>
    <s v="Sales and bus dev "/>
    <x v="2"/>
    <x v="7"/>
    <s v="GTA"/>
    <x v="2"/>
    <m/>
    <n v="0.5"/>
    <n v="0.5"/>
    <n v="0.5"/>
    <n v="0.5"/>
    <n v="0.5"/>
    <n v="0.5"/>
    <n v="0.5"/>
    <n v="0.5"/>
    <n v="0.5"/>
    <n v="0.5"/>
    <n v="0.5"/>
    <n v="0.5"/>
    <n v="0.5"/>
    <n v="4500"/>
    <n v="4500"/>
    <n v="4500"/>
    <n v="4500"/>
    <n v="4500"/>
    <n v="4500"/>
    <n v="4500"/>
    <n v="4500"/>
    <n v="4500"/>
    <n v="4500"/>
    <n v="4500"/>
    <n v="4500"/>
  </r>
  <r>
    <s v="General management "/>
    <x v="2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2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2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2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0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1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2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2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2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0"/>
    <s v="USA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2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2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30"/>
    <s v="TBH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Clinical affairs "/>
    <x v="2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6"/>
    <s v="BPI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7"/>
    <s v="GTA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3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3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3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3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0"/>
    <s v="TBH"/>
    <x v="0"/>
    <m/>
    <n v="0.20833333333333334"/>
    <n v="0"/>
    <n v="0"/>
    <n v="0"/>
    <n v="0"/>
    <n v="0"/>
    <n v="0"/>
    <n v="0"/>
    <n v="0.5"/>
    <n v="0.5"/>
    <n v="0.5"/>
    <n v="0.5"/>
    <n v="0.5"/>
    <n v="0"/>
    <n v="0"/>
    <n v="0"/>
    <n v="0"/>
    <n v="0"/>
    <n v="0"/>
    <n v="0"/>
    <n v="9625"/>
    <n v="9625"/>
    <n v="9625"/>
    <n v="9625"/>
    <n v="9625"/>
  </r>
  <r>
    <s v="Operations"/>
    <x v="3"/>
    <x v="1"/>
    <s v="TBH"/>
    <x v="0"/>
    <m/>
    <n v="0.20833333333333334"/>
    <n v="0"/>
    <n v="0"/>
    <n v="0"/>
    <n v="0"/>
    <n v="0"/>
    <n v="0"/>
    <n v="0"/>
    <n v="0.5"/>
    <n v="0.5"/>
    <n v="0.5"/>
    <n v="0.5"/>
    <n v="0.5"/>
    <n v="0"/>
    <n v="0"/>
    <n v="0"/>
    <n v="0"/>
    <n v="0"/>
    <n v="0"/>
    <n v="0"/>
    <n v="9625"/>
    <n v="9625"/>
    <n v="9625"/>
    <n v="9625"/>
    <n v="9625"/>
  </r>
  <r>
    <s v="Operations"/>
    <x v="3"/>
    <x v="2"/>
    <s v="TBH"/>
    <x v="0"/>
    <m/>
    <n v="0.41666666666666669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19250"/>
    <n v="19250"/>
    <n v="19250"/>
    <n v="19250"/>
    <n v="19250"/>
  </r>
  <r>
    <s v="Development"/>
    <x v="3"/>
    <x v="12"/>
    <s v="KSC"/>
    <x v="0"/>
    <m/>
    <n v="1"/>
    <n v="1"/>
    <n v="1"/>
    <n v="1"/>
    <n v="1"/>
    <n v="1"/>
    <n v="1"/>
    <n v="1"/>
    <n v="1"/>
    <n v="1"/>
    <n v="1"/>
    <n v="1"/>
    <n v="1"/>
    <n v="19250"/>
    <n v="19250"/>
    <n v="19250"/>
    <n v="19250"/>
    <n v="19250"/>
    <n v="19250"/>
    <n v="19250"/>
    <n v="19250"/>
    <n v="19250"/>
    <n v="19250"/>
    <n v="19250"/>
    <n v="19250"/>
  </r>
  <r>
    <s v="Development"/>
    <x v="3"/>
    <x v="13"/>
    <s v="RNU"/>
    <x v="0"/>
    <m/>
    <n v="1"/>
    <n v="1"/>
    <n v="1"/>
    <n v="1"/>
    <n v="1"/>
    <n v="1"/>
    <n v="1"/>
    <n v="1"/>
    <n v="1"/>
    <n v="1"/>
    <n v="1"/>
    <n v="1"/>
    <n v="1"/>
    <n v="13782.6072"/>
    <n v="13782.6072"/>
    <n v="13782.6072"/>
    <n v="13782.6072"/>
    <n v="13782.6072"/>
    <n v="13782.6072"/>
    <n v="13782.6072"/>
    <n v="13782.6072"/>
    <n v="13782.6072"/>
    <n v="13782.6072"/>
    <n v="13782.6072"/>
    <n v="13782.6072"/>
  </r>
  <r>
    <s v="Development"/>
    <x v="3"/>
    <x v="14"/>
    <s v="TBH"/>
    <x v="0"/>
    <m/>
    <n v="0.33333333333333331"/>
    <n v="0"/>
    <n v="0"/>
    <n v="0"/>
    <n v="1"/>
    <n v="1"/>
    <n v="1"/>
    <n v="0"/>
    <n v="0"/>
    <n v="0"/>
    <n v="0"/>
    <n v="0"/>
    <n v="1"/>
    <n v="0"/>
    <n v="0"/>
    <n v="0"/>
    <n v="16500"/>
    <n v="16500"/>
    <n v="16500"/>
    <n v="0"/>
    <n v="0"/>
    <n v="0"/>
    <n v="0"/>
    <n v="0"/>
    <n v="16500"/>
  </r>
  <r>
    <s v="Development"/>
    <x v="3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3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3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3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3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3"/>
    <x v="3"/>
    <s v="TBH"/>
    <x v="1"/>
    <m/>
    <n v="0.41666666666666669"/>
    <n v="0"/>
    <n v="0.25"/>
    <n v="0.25"/>
    <n v="0.5"/>
    <n v="0.5"/>
    <n v="0.5"/>
    <n v="0.5"/>
    <n v="0.5"/>
    <n v="0.5"/>
    <n v="0.5"/>
    <n v="0.5"/>
    <n v="0.5"/>
    <n v="0"/>
    <n v="2750"/>
    <n v="2750"/>
    <n v="5500"/>
    <n v="5500"/>
    <n v="5500"/>
    <n v="5500"/>
    <n v="5500"/>
    <n v="5500"/>
    <n v="5500"/>
    <n v="5500"/>
    <n v="5500"/>
  </r>
  <r>
    <s v="Development"/>
    <x v="3"/>
    <x v="32"/>
    <m/>
    <x v="2"/>
    <m/>
    <n v="0.6000000000000002"/>
    <n v="1"/>
    <n v="1"/>
    <n v="1"/>
    <n v="1"/>
    <n v="0.4"/>
    <n v="0.4"/>
    <n v="0.4"/>
    <n v="0.4"/>
    <n v="0.4"/>
    <n v="0.4"/>
    <n v="0.4"/>
    <n v="0.4"/>
    <n v="75000"/>
    <n v="75000"/>
    <n v="75000"/>
    <n v="75000"/>
    <n v="30000"/>
    <n v="30000"/>
    <n v="30000"/>
    <n v="30000"/>
    <n v="30000"/>
    <n v="30000"/>
    <n v="30000"/>
    <n v="30000"/>
  </r>
  <r>
    <s v="Development"/>
    <x v="3"/>
    <x v="20"/>
    <s v="USA"/>
    <x v="0"/>
    <m/>
    <n v="0.95833333333333337"/>
    <n v="1"/>
    <n v="1"/>
    <n v="0.75"/>
    <n v="0.75"/>
    <n v="1"/>
    <n v="1"/>
    <n v="1"/>
    <n v="1"/>
    <n v="1"/>
    <n v="1"/>
    <n v="1"/>
    <n v="1"/>
    <n v="18853.180199999999"/>
    <n v="18853.180199999999"/>
    <n v="14139.885149999998"/>
    <n v="14139.885149999998"/>
    <n v="18853.180199999999"/>
    <n v="18853.180199999999"/>
    <n v="18853.180199999999"/>
    <n v="18853.180199999999"/>
    <n v="18853.180199999999"/>
    <n v="18853.180199999999"/>
    <n v="18853.180199999999"/>
    <n v="18853.180199999999"/>
  </r>
  <r>
    <s v="Development"/>
    <x v="3"/>
    <x v="21"/>
    <s v="MMO"/>
    <x v="0"/>
    <m/>
    <n v="1"/>
    <n v="1"/>
    <n v="1"/>
    <n v="1"/>
    <n v="1"/>
    <n v="1"/>
    <n v="1"/>
    <n v="1"/>
    <n v="1"/>
    <n v="1"/>
    <n v="1"/>
    <n v="1"/>
    <n v="1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  <n v="15793.118999999999"/>
  </r>
  <r>
    <s v="Development"/>
    <x v="3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3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3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5"/>
    <s v="TBH"/>
    <x v="0"/>
    <m/>
    <n v="0.41666666666666669"/>
    <n v="0"/>
    <n v="0"/>
    <n v="0"/>
    <n v="1"/>
    <n v="1"/>
    <n v="1"/>
    <n v="0"/>
    <n v="0"/>
    <n v="0.5"/>
    <n v="0.5"/>
    <n v="0.5"/>
    <n v="0.5"/>
    <n v="0"/>
    <n v="0"/>
    <n v="0"/>
    <n v="30250"/>
    <n v="30250"/>
    <n v="30250"/>
    <n v="0"/>
    <n v="0"/>
    <n v="15125"/>
    <n v="15125"/>
    <n v="15125"/>
    <n v="15125"/>
  </r>
  <r>
    <s v="Development"/>
    <x v="3"/>
    <x v="26"/>
    <s v="GGO"/>
    <x v="0"/>
    <m/>
    <n v="1"/>
    <n v="1"/>
    <n v="1"/>
    <n v="1"/>
    <n v="1"/>
    <n v="1"/>
    <n v="1"/>
    <n v="1"/>
    <n v="1"/>
    <n v="1"/>
    <n v="1"/>
    <n v="1"/>
    <n v="1"/>
    <n v="33000"/>
    <n v="33000"/>
    <n v="33000"/>
    <n v="33000"/>
    <n v="33000"/>
    <n v="33000"/>
    <n v="33000"/>
    <n v="33000"/>
    <n v="33000"/>
    <n v="33000"/>
    <n v="33000"/>
    <n v="33000"/>
  </r>
  <r>
    <s v="Development"/>
    <x v="3"/>
    <x v="27"/>
    <s v="TBH"/>
    <x v="0"/>
    <m/>
    <n v="0.33333333333333331"/>
    <n v="0"/>
    <n v="0"/>
    <n v="0"/>
    <n v="1"/>
    <n v="1"/>
    <n v="1"/>
    <n v="0"/>
    <n v="0"/>
    <n v="0"/>
    <n v="0"/>
    <n v="0"/>
    <n v="1"/>
    <n v="0"/>
    <n v="0"/>
    <n v="0"/>
    <n v="30250"/>
    <n v="30250"/>
    <n v="30250"/>
    <n v="0"/>
    <n v="0"/>
    <n v="0"/>
    <n v="0"/>
    <n v="0"/>
    <n v="30250"/>
  </r>
  <r>
    <s v="Development"/>
    <x v="3"/>
    <x v="28"/>
    <s v="TBH"/>
    <x v="0"/>
    <m/>
    <n v="8.3333333333333329E-2"/>
    <n v="0"/>
    <n v="0"/>
    <n v="0"/>
    <n v="0"/>
    <n v="1"/>
    <n v="0"/>
    <n v="0"/>
    <n v="0"/>
    <n v="0"/>
    <n v="0"/>
    <n v="0"/>
    <n v="0"/>
    <n v="0"/>
    <n v="0"/>
    <n v="0"/>
    <n v="0"/>
    <n v="30250"/>
    <n v="0"/>
    <n v="0"/>
    <n v="0"/>
    <n v="0"/>
    <n v="0"/>
    <n v="0"/>
    <n v="0"/>
  </r>
  <r>
    <s v="Development"/>
    <x v="3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3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3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6"/>
    <s v="BPI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7"/>
    <s v="GTA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4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4"/>
    <x v="9"/>
    <s v="TBH"/>
    <x v="1"/>
    <m/>
    <n v="8.3333333333333329E-2"/>
    <n v="0.25"/>
    <n v="0.25"/>
    <n v="0.25"/>
    <n v="0.25"/>
    <n v="0"/>
    <n v="0"/>
    <n v="0"/>
    <n v="0"/>
    <n v="0"/>
    <n v="0"/>
    <n v="0"/>
    <n v="0"/>
    <n v="11250"/>
    <n v="11250"/>
    <n v="11250"/>
    <n v="11250"/>
    <n v="0"/>
    <n v="0"/>
    <n v="0"/>
    <n v="0"/>
    <n v="0"/>
    <n v="0"/>
    <n v="0"/>
    <n v="0"/>
  </r>
  <r>
    <s v="Clinical affairs "/>
    <x v="4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4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4"/>
    <x v="0"/>
    <s v="TBH"/>
    <x v="0"/>
    <m/>
    <n v="0.20833333333333334"/>
    <n v="0"/>
    <n v="0"/>
    <n v="0"/>
    <n v="0"/>
    <n v="0"/>
    <n v="0"/>
    <n v="0"/>
    <n v="0.5"/>
    <n v="0.5"/>
    <n v="0.5"/>
    <n v="0.5"/>
    <n v="0.5"/>
    <n v="0"/>
    <n v="0"/>
    <n v="0"/>
    <n v="0"/>
    <n v="0"/>
    <n v="0"/>
    <n v="0"/>
    <n v="9625"/>
    <n v="9625"/>
    <n v="9625"/>
    <n v="9625"/>
    <n v="9625"/>
  </r>
  <r>
    <s v="Operations"/>
    <x v="4"/>
    <x v="1"/>
    <s v="TBH"/>
    <x v="0"/>
    <m/>
    <n v="0.20833333333333334"/>
    <n v="0"/>
    <n v="0"/>
    <n v="0"/>
    <n v="0"/>
    <n v="0"/>
    <n v="0"/>
    <n v="0"/>
    <n v="0.5"/>
    <n v="0.5"/>
    <n v="0.5"/>
    <n v="0.5"/>
    <n v="0.5"/>
    <n v="0"/>
    <n v="0"/>
    <n v="0"/>
    <n v="0"/>
    <n v="0"/>
    <n v="0"/>
    <n v="0"/>
    <n v="9625"/>
    <n v="9625"/>
    <n v="9625"/>
    <n v="9625"/>
    <n v="9625"/>
  </r>
  <r>
    <s v="Operations"/>
    <x v="4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4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4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20"/>
    <s v="USA"/>
    <x v="0"/>
    <m/>
    <n v="4.1666666666666664E-2"/>
    <n v="0"/>
    <n v="0"/>
    <n v="0.25"/>
    <n v="0.25"/>
    <n v="0"/>
    <n v="0"/>
    <n v="0"/>
    <n v="0"/>
    <n v="0"/>
    <n v="0"/>
    <n v="0"/>
    <n v="0"/>
    <n v="0"/>
    <n v="0"/>
    <n v="4713.2950499999997"/>
    <n v="4713.2950499999997"/>
    <n v="0"/>
    <n v="0"/>
    <n v="0"/>
    <n v="0"/>
    <n v="0"/>
    <n v="0"/>
    <n v="0"/>
    <n v="0"/>
  </r>
  <r>
    <s v="Development"/>
    <x v="4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22"/>
    <s v="TBH"/>
    <x v="0"/>
    <m/>
    <n v="0.41666666666666669"/>
    <n v="0"/>
    <n v="0"/>
    <n v="0"/>
    <n v="1"/>
    <n v="1"/>
    <n v="1"/>
    <n v="1"/>
    <n v="1"/>
    <n v="0"/>
    <n v="0"/>
    <n v="0"/>
    <n v="0"/>
    <n v="0"/>
    <n v="0"/>
    <n v="0"/>
    <n v="30000"/>
    <n v="30000"/>
    <n v="30000"/>
    <n v="30000"/>
    <n v="30000"/>
    <n v="0"/>
    <n v="0"/>
    <n v="0"/>
    <n v="0"/>
  </r>
  <r>
    <s v="Operations"/>
    <x v="4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4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4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4"/>
    <x v="4"/>
    <s v="TBH"/>
    <x v="0"/>
    <m/>
    <n v="0.91666666666666663"/>
    <n v="0"/>
    <n v="1"/>
    <n v="1"/>
    <n v="1"/>
    <n v="1"/>
    <n v="1"/>
    <n v="1"/>
    <n v="1"/>
    <n v="1"/>
    <n v="1"/>
    <n v="1"/>
    <n v="1"/>
    <n v="0"/>
    <n v="30250"/>
    <n v="30250"/>
    <n v="30250"/>
    <n v="30250"/>
    <n v="30250"/>
    <n v="30250"/>
    <n v="30250"/>
    <n v="30250"/>
    <n v="30250"/>
    <n v="30250"/>
    <n v="30250"/>
  </r>
  <r>
    <s v="Operations"/>
    <x v="4"/>
    <x v="5"/>
    <s v="TBH"/>
    <x v="0"/>
    <m/>
    <n v="0.33333333333333331"/>
    <n v="0"/>
    <n v="0"/>
    <n v="0"/>
    <n v="0"/>
    <n v="0"/>
    <n v="0"/>
    <n v="1"/>
    <n v="1"/>
    <n v="0.5"/>
    <n v="0.5"/>
    <n v="0.5"/>
    <n v="0.5"/>
    <n v="0"/>
    <n v="0"/>
    <n v="0"/>
    <n v="0"/>
    <n v="0"/>
    <n v="0"/>
    <n v="30250"/>
    <n v="30250"/>
    <n v="15125"/>
    <n v="15125"/>
    <n v="15125"/>
    <n v="15125"/>
  </r>
  <r>
    <s v="Development"/>
    <x v="4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2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3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4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4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6"/>
    <s v="BPI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7"/>
    <s v="GTA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5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5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5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5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0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1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15"/>
    <s v="TBH"/>
    <x v="0"/>
    <m/>
    <n v="0.16666666666666666"/>
    <n v="0"/>
    <n v="0"/>
    <n v="0"/>
    <n v="0"/>
    <n v="1"/>
    <n v="1"/>
    <n v="0"/>
    <n v="0"/>
    <n v="0"/>
    <n v="0"/>
    <n v="0"/>
    <n v="0"/>
    <n v="0"/>
    <n v="0"/>
    <n v="0"/>
    <n v="0"/>
    <n v="16500"/>
    <n v="16500"/>
    <n v="0"/>
    <n v="0"/>
    <n v="0"/>
    <n v="0"/>
    <n v="0"/>
    <n v="0"/>
  </r>
  <r>
    <s v="Development"/>
    <x v="5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17"/>
    <s v="TBH"/>
    <x v="0"/>
    <m/>
    <n v="0.66666666666666663"/>
    <n v="0"/>
    <n v="0"/>
    <n v="0"/>
    <n v="0"/>
    <n v="1"/>
    <n v="1"/>
    <n v="1"/>
    <n v="1"/>
    <n v="1"/>
    <n v="1"/>
    <n v="1"/>
    <n v="1"/>
    <n v="0"/>
    <n v="0"/>
    <n v="0"/>
    <n v="0"/>
    <n v="30250"/>
    <n v="30250"/>
    <n v="30250"/>
    <n v="30250"/>
    <n v="30250"/>
    <n v="30250"/>
    <n v="30250"/>
    <n v="30250"/>
  </r>
  <r>
    <s v="Clinical affairs "/>
    <x v="5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5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5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33"/>
    <m/>
    <x v="2"/>
    <m/>
    <n v="1"/>
    <n v="1"/>
    <n v="1"/>
    <n v="1"/>
    <n v="1"/>
    <n v="1"/>
    <n v="1"/>
    <n v="1"/>
    <n v="1"/>
    <n v="1"/>
    <n v="1"/>
    <n v="1"/>
    <n v="1"/>
    <n v="1000"/>
    <n v="1000"/>
    <n v="1000"/>
    <n v="1000"/>
    <n v="1000"/>
    <n v="1000"/>
    <n v="1000"/>
    <n v="1000"/>
    <n v="1000"/>
    <n v="1000"/>
    <n v="1000"/>
    <n v="1000"/>
  </r>
  <r>
    <s v="Development"/>
    <x v="5"/>
    <x v="20"/>
    <s v="USA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23"/>
    <s v="CFR"/>
    <x v="0"/>
    <m/>
    <n v="1"/>
    <n v="1"/>
    <n v="1"/>
    <n v="1"/>
    <n v="1"/>
    <n v="1"/>
    <n v="1"/>
    <n v="1"/>
    <n v="1"/>
    <n v="1"/>
    <n v="1"/>
    <n v="1"/>
    <n v="1"/>
    <n v="27000"/>
    <n v="27000"/>
    <n v="27000"/>
    <n v="27000"/>
    <n v="27000"/>
    <n v="27000"/>
    <n v="27000"/>
    <n v="27000"/>
    <n v="27000"/>
    <n v="27000"/>
    <n v="27000"/>
    <n v="27000"/>
  </r>
  <r>
    <s v="QA-RA"/>
    <x v="5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5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5"/>
    <x v="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28"/>
    <s v="TBH"/>
    <x v="0"/>
    <m/>
    <n v="0.66666666666666663"/>
    <n v="0"/>
    <n v="0"/>
    <n v="0"/>
    <n v="0"/>
    <n v="1"/>
    <n v="1"/>
    <n v="1"/>
    <n v="1"/>
    <n v="1"/>
    <n v="1"/>
    <n v="1"/>
    <n v="1"/>
    <n v="0"/>
    <n v="0"/>
    <n v="0"/>
    <n v="0"/>
    <n v="30250"/>
    <n v="30250"/>
    <n v="30250"/>
    <n v="30250"/>
    <n v="30250"/>
    <n v="30250"/>
    <n v="30250"/>
    <n v="30250"/>
  </r>
  <r>
    <s v="Development"/>
    <x v="5"/>
    <x v="29"/>
    <s v="TBH"/>
    <x v="0"/>
    <m/>
    <n v="0.16666666666666666"/>
    <n v="0"/>
    <n v="0"/>
    <n v="0"/>
    <n v="0"/>
    <n v="1"/>
    <n v="1"/>
    <n v="0"/>
    <n v="0"/>
    <n v="0"/>
    <n v="0"/>
    <n v="0"/>
    <n v="0"/>
    <n v="0"/>
    <n v="0"/>
    <n v="0"/>
    <n v="0"/>
    <n v="30250"/>
    <n v="30250"/>
    <n v="0"/>
    <n v="0"/>
    <n v="0"/>
    <n v="0"/>
    <n v="0"/>
    <n v="0"/>
  </r>
  <r>
    <s v="Sales and bus dev "/>
    <x v="5"/>
    <x v="3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5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6"/>
    <s v="BPI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7"/>
    <s v="GTA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6"/>
    <x v="8"/>
    <s v="JC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6"/>
    <x v="9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6"/>
    <x v="10"/>
    <s v="DDG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management "/>
    <x v="6"/>
    <x v="11"/>
    <s v="TKE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0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1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2"/>
    <s v="KSC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3"/>
    <s v="RNU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1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6"/>
    <x v="18"/>
    <s v="Fabiocchi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6"/>
    <x v="19"/>
    <s v="KOL Mngt (6)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ufacturing"/>
    <x v="6"/>
    <x v="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0"/>
    <s v="USA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1"/>
    <s v="MM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2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23"/>
    <s v="CFR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6"/>
    <x v="24"/>
    <s v="VCA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A-RA"/>
    <x v="6"/>
    <x v="25"/>
    <s v="Salma Michor 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4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5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6"/>
    <s v="GGO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6"/>
    <x v="29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3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inical affairs "/>
    <x v="6"/>
    <x v="3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34"/>
    <s v="Ghislain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34"/>
    <s v="Ghislain"/>
    <x v="1"/>
    <m/>
    <n v="0.21249999999999999"/>
    <n v="0.1"/>
    <n v="0.15"/>
    <n v="0.15"/>
    <n v="0.15"/>
    <n v="0.25"/>
    <n v="0.25"/>
    <n v="0.25"/>
    <n v="0.25"/>
    <n v="0.25"/>
    <n v="0.25"/>
    <n v="0.25"/>
    <n v="0.25"/>
    <n v="3575"/>
    <n v="5362.5"/>
    <n v="5362.5"/>
    <n v="5362.5"/>
    <n v="8937.5"/>
    <n v="8937.5"/>
    <n v="8937.5"/>
    <n v="8937.5"/>
    <n v="8937.5"/>
    <n v="8937.5"/>
    <n v="8937.5"/>
    <n v="8937.5"/>
  </r>
  <r>
    <s v="Sales and bus dev "/>
    <x v="1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34"/>
    <s v="Ghislain"/>
    <x v="1"/>
    <m/>
    <n v="0.21249999999999999"/>
    <n v="0.1"/>
    <n v="0.15"/>
    <n v="0.15"/>
    <n v="0.15"/>
    <n v="0.25"/>
    <n v="0.25"/>
    <n v="0.25"/>
    <n v="0.25"/>
    <n v="0.25"/>
    <n v="0.25"/>
    <n v="0.25"/>
    <n v="0.25"/>
    <n v="3575"/>
    <n v="5362.5"/>
    <n v="5362.5"/>
    <n v="5362.5"/>
    <n v="8937.5"/>
    <n v="8937.5"/>
    <n v="8937.5"/>
    <n v="8937.5"/>
    <n v="8937.5"/>
    <n v="8937.5"/>
    <n v="8937.5"/>
    <n v="8937.5"/>
  </r>
  <r>
    <s v="Sales and bus dev "/>
    <x v="2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34"/>
    <s v="Ghislain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34"/>
    <s v="Ghislain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34"/>
    <s v="Ghislain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3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34"/>
    <s v="Ghislain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35"/>
    <s v="TBH"/>
    <x v="1"/>
    <m/>
    <n v="0.5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30000"/>
    <n v="30000"/>
    <n v="30000"/>
    <n v="30000"/>
    <n v="30000"/>
    <n v="30000"/>
  </r>
  <r>
    <s v="Operations"/>
    <x v="0"/>
    <x v="3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3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3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36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4"/>
    <x v="36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5"/>
    <x v="3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36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3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3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3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37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4"/>
    <x v="37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5"/>
    <x v="3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37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0"/>
    <x v="3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1"/>
    <x v="3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2"/>
    <x v="3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3"/>
    <x v="38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4"/>
    <x v="38"/>
    <s v="TBH"/>
    <x v="0"/>
    <m/>
    <n v="0.16666666666666666"/>
    <n v="0"/>
    <n v="0"/>
    <n v="0"/>
    <n v="0"/>
    <n v="0"/>
    <n v="0"/>
    <n v="0"/>
    <n v="0"/>
    <n v="0.5"/>
    <n v="0.5"/>
    <n v="0.5"/>
    <n v="0.5"/>
    <n v="0"/>
    <n v="0"/>
    <n v="0"/>
    <n v="0"/>
    <n v="0"/>
    <n v="0"/>
    <n v="0"/>
    <n v="0"/>
    <n v="9625"/>
    <n v="9625"/>
    <n v="9625"/>
    <n v="9625"/>
  </r>
  <r>
    <s v="Operations"/>
    <x v="5"/>
    <x v="3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rations"/>
    <x v="6"/>
    <x v="38"/>
    <s v="TBH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39"/>
    <s v="TBH 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39"/>
    <s v="TBH 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Sales and bus dev "/>
    <x v="2"/>
    <x v="39"/>
    <s v="TBH 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Sales and bus dev "/>
    <x v="3"/>
    <x v="39"/>
    <s v="TBH 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39"/>
    <s v="TBH 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39"/>
    <s v="TBH 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39"/>
    <s v="TBH 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0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40"/>
    <s v="TBH"/>
    <x v="1"/>
    <m/>
    <n v="0.5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30000"/>
    <n v="30000"/>
    <n v="30000"/>
    <n v="30000"/>
    <n v="30000"/>
    <n v="30000"/>
  </r>
  <r>
    <s v="Sales and bus dev "/>
    <x v="0"/>
    <x v="4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1"/>
    <s v="TBH"/>
    <x v="1"/>
    <m/>
    <n v="6.25E-2"/>
    <n v="0"/>
    <n v="0"/>
    <n v="0"/>
    <n v="0"/>
    <n v="0"/>
    <n v="0"/>
    <n v="0"/>
    <n v="0"/>
    <n v="0"/>
    <n v="0.25"/>
    <n v="0.25"/>
    <n v="0.25"/>
    <n v="0"/>
    <n v="0"/>
    <n v="0"/>
    <n v="0"/>
    <n v="0"/>
    <n v="0"/>
    <n v="0"/>
    <n v="0"/>
    <n v="0"/>
    <n v="11275"/>
    <n v="11275"/>
    <n v="11275"/>
  </r>
  <r>
    <s v="Sales and bus dev "/>
    <x v="2"/>
    <x v="41"/>
    <s v="TBH"/>
    <x v="1"/>
    <m/>
    <n v="6.25E-2"/>
    <n v="0"/>
    <n v="0"/>
    <n v="0"/>
    <n v="0"/>
    <n v="0"/>
    <n v="0"/>
    <n v="0"/>
    <n v="0"/>
    <n v="0"/>
    <n v="0.25"/>
    <n v="0.25"/>
    <n v="0.25"/>
    <n v="0"/>
    <n v="0"/>
    <n v="0"/>
    <n v="0"/>
    <n v="0"/>
    <n v="0"/>
    <n v="0"/>
    <n v="0"/>
    <n v="0"/>
    <n v="11275"/>
    <n v="11275"/>
    <n v="11275"/>
  </r>
  <r>
    <s v="Sales and bus dev "/>
    <x v="3"/>
    <x v="4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1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1"/>
    <s v="TBH"/>
    <x v="1"/>
    <m/>
    <n v="6.25E-2"/>
    <n v="0"/>
    <n v="0"/>
    <n v="0"/>
    <n v="0"/>
    <n v="0"/>
    <n v="0"/>
    <n v="0"/>
    <n v="0"/>
    <n v="0"/>
    <n v="0.25"/>
    <n v="0.25"/>
    <n v="0.25"/>
    <n v="0"/>
    <n v="0"/>
    <n v="0"/>
    <n v="0"/>
    <n v="0"/>
    <n v="0"/>
    <n v="0"/>
    <n v="0"/>
    <n v="0"/>
    <n v="11275"/>
    <n v="11275"/>
    <n v="11275"/>
  </r>
  <r>
    <s v="Sales and bus dev "/>
    <x v="6"/>
    <x v="41"/>
    <s v="TBH"/>
    <x v="1"/>
    <m/>
    <n v="6.25E-2"/>
    <n v="0"/>
    <n v="0"/>
    <n v="0"/>
    <n v="0"/>
    <n v="0"/>
    <n v="0"/>
    <n v="0"/>
    <n v="0"/>
    <n v="0"/>
    <n v="0.25"/>
    <n v="0.25"/>
    <n v="0.25"/>
    <n v="0"/>
    <n v="0"/>
    <n v="0"/>
    <n v="0"/>
    <n v="0"/>
    <n v="0"/>
    <n v="0"/>
    <n v="0"/>
    <n v="0"/>
    <n v="11275"/>
    <n v="11275"/>
    <n v="11275"/>
  </r>
  <r>
    <s v="Sales and bus dev "/>
    <x v="0"/>
    <x v="42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2"/>
    <s v="TBH"/>
    <x v="1"/>
    <m/>
    <n v="0.375"/>
    <n v="0"/>
    <n v="0"/>
    <n v="0"/>
    <n v="0.5"/>
    <n v="0.5"/>
    <n v="0.5"/>
    <n v="0.5"/>
    <n v="0.5"/>
    <n v="0.5"/>
    <n v="0.5"/>
    <n v="0.5"/>
    <n v="0.5"/>
    <n v="0"/>
    <n v="0"/>
    <n v="0"/>
    <n v="22550"/>
    <n v="22550"/>
    <n v="22550"/>
    <n v="22550"/>
    <n v="22550"/>
    <n v="22550"/>
    <n v="22550"/>
    <n v="22550"/>
    <n v="22550"/>
  </r>
  <r>
    <s v="Sales and bus dev "/>
    <x v="2"/>
    <x v="42"/>
    <s v="TBH"/>
    <x v="1"/>
    <m/>
    <n v="0.375"/>
    <n v="0"/>
    <n v="0"/>
    <n v="0"/>
    <n v="0.5"/>
    <n v="0.5"/>
    <n v="0.5"/>
    <n v="0.5"/>
    <n v="0.5"/>
    <n v="0.5"/>
    <n v="0.5"/>
    <n v="0.5"/>
    <n v="0.5"/>
    <n v="0"/>
    <n v="0"/>
    <n v="0"/>
    <n v="22550"/>
    <n v="22550"/>
    <n v="22550"/>
    <n v="22550"/>
    <n v="22550"/>
    <n v="22550"/>
    <n v="22550"/>
    <n v="22550"/>
    <n v="22550"/>
  </r>
  <r>
    <s v="Sales and bus dev "/>
    <x v="3"/>
    <x v="42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2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2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42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3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43"/>
    <s v="TBH"/>
    <x v="1"/>
    <m/>
    <n v="0.875"/>
    <n v="0"/>
    <n v="0.5"/>
    <n v="1"/>
    <n v="1"/>
    <n v="1"/>
    <n v="1"/>
    <n v="1"/>
    <n v="1"/>
    <n v="1"/>
    <n v="1"/>
    <n v="1"/>
    <n v="1"/>
    <n v="0"/>
    <n v="15000"/>
    <n v="30000"/>
    <n v="30000"/>
    <n v="30000"/>
    <n v="30000"/>
    <n v="30000"/>
    <n v="30000"/>
    <n v="30000"/>
    <n v="30000"/>
    <n v="30000"/>
    <n v="30000"/>
  </r>
  <r>
    <s v="Development"/>
    <x v="0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1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2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3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4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elopment"/>
    <x v="5"/>
    <x v="44"/>
    <s v="TBH"/>
    <x v="1"/>
    <m/>
    <n v="0.5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30250"/>
    <n v="30250"/>
    <n v="30250"/>
    <n v="30250"/>
    <n v="30250"/>
    <n v="30250"/>
  </r>
  <r>
    <s v="Development"/>
    <x v="6"/>
    <x v="44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4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5"/>
    <s v="TBH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Sales and bus dev "/>
    <x v="2"/>
    <x v="45"/>
    <s v="TBH"/>
    <x v="1"/>
    <m/>
    <n v="0.45833333333333331"/>
    <n v="0"/>
    <n v="0.5"/>
    <n v="0.5"/>
    <n v="0.5"/>
    <n v="0.5"/>
    <n v="0.5"/>
    <n v="0.5"/>
    <n v="0.5"/>
    <n v="0.5"/>
    <n v="0.5"/>
    <n v="0.5"/>
    <n v="0.5"/>
    <n v="0"/>
    <n v="22550"/>
    <n v="22550"/>
    <n v="22550"/>
    <n v="22550"/>
    <n v="22550"/>
    <n v="22550"/>
    <n v="22550"/>
    <n v="22550"/>
    <n v="22550"/>
    <n v="22550"/>
    <n v="22550"/>
  </r>
  <r>
    <s v="Sales and bus dev "/>
    <x v="3"/>
    <x v="4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45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0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1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2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3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4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5"/>
    <x v="46"/>
    <s v="TBH"/>
    <x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 and bus dev "/>
    <x v="6"/>
    <x v="46"/>
    <s v="TBH"/>
    <x v="1"/>
    <m/>
    <n v="0.5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30000"/>
    <n v="30000"/>
    <n v="30000"/>
    <n v="30000"/>
    <n v="30000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9350F-C9B0-40E5-BEA8-93CD955E7DC7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45:M74" firstHeaderRow="0" firstDataRow="1" firstDataCol="1"/>
  <pivotFields count="31"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48">
        <item x="6"/>
        <item x="7"/>
        <item x="8"/>
        <item x="18"/>
        <item x="19"/>
        <item x="24"/>
        <item x="10"/>
        <item x="23"/>
        <item x="0"/>
        <item x="1"/>
        <item x="2"/>
        <item x="3"/>
        <item x="4"/>
        <item x="5"/>
        <item x="9"/>
        <item x="11"/>
        <item x="12"/>
        <item x="13"/>
        <item x="14"/>
        <item x="15"/>
        <item x="16"/>
        <item x="20"/>
        <item x="21"/>
        <item x="22"/>
        <item x="25"/>
        <item x="26"/>
        <item x="27"/>
        <item x="28"/>
        <item x="29"/>
        <item x="32"/>
        <item x="33"/>
        <item x="31"/>
        <item x="36"/>
        <item x="30"/>
        <item x="35"/>
        <item x="37"/>
        <item x="38"/>
        <item x="39"/>
        <item x="40"/>
        <item x="41"/>
        <item x="34"/>
        <item x="42"/>
        <item x="43"/>
        <item x="17"/>
        <item x="44"/>
        <item x="45"/>
        <item x="46"/>
        <item t="default"/>
      </items>
    </pivotField>
    <pivotField showAll="0"/>
    <pivotField axis="axisRow" showAll="0">
      <items count="4">
        <item sd="0" x="2"/>
        <item sd="0" x="0"/>
        <item sd="0" x="1"/>
        <item t="default" sd="0"/>
      </items>
    </pivotField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</pivotFields>
  <rowFields count="3">
    <field x="1"/>
    <field x="4"/>
    <field x="2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omme de Q1 212" fld="19" baseField="0" baseItem="0"/>
    <dataField name="Somme de Q2 212" fld="20" baseField="0" baseItem="0"/>
    <dataField name="Somme de Q3 212" fld="21" baseField="0" baseItem="0"/>
    <dataField name="Somme de Q4 212" fld="22" baseField="0" baseItem="0"/>
    <dataField name="Somme de Q1 222" fld="23" baseField="0" baseItem="0"/>
    <dataField name="Somme de Q2 222" fld="24" baseField="0" baseItem="0"/>
    <dataField name="Somme de Q3 222" fld="25" baseField="0" baseItem="0"/>
    <dataField name="Somme de Q4 22 " fld="26" baseField="0" baseItem="0"/>
    <dataField name="Somme de Q1 232" fld="27" baseField="0" baseItem="0"/>
    <dataField name="Somme de Q2 232" fld="28" baseField="0" baseItem="0"/>
    <dataField name="Somme de Q3 232" fld="29" baseField="0" baseItem="0"/>
    <dataField name="Somme de Q4 232" fld="30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A7BA6-4EE4-4100-B3AE-C98BBF9EFFCC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M42" firstHeaderRow="0" firstDataRow="1" firstDataCol="1"/>
  <pivotFields count="20">
    <pivotField axis="axisRow" showAll="0">
      <items count="18">
        <item x="1"/>
        <item x="2"/>
        <item x="3"/>
        <item x="5"/>
        <item x="6"/>
        <item x="8"/>
        <item x="9"/>
        <item x="12"/>
        <item x="13"/>
        <item x="14"/>
        <item x="15"/>
        <item x="0"/>
        <item x="7"/>
        <item x="11"/>
        <item x="4"/>
        <item x="10"/>
        <item x="16"/>
        <item t="default"/>
      </items>
    </pivotField>
    <pivotField axis="axisRow" showAll="0">
      <items count="11">
        <item x="8"/>
        <item x="0"/>
        <item x="6"/>
        <item x="1"/>
        <item x="7"/>
        <item x="2"/>
        <item x="9"/>
        <item x="3"/>
        <item x="4"/>
        <item x="5"/>
        <item t="default"/>
      </items>
    </pivotField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</pivotFields>
  <rowFields count="2">
    <field x="1"/>
    <field x="0"/>
  </rowFields>
  <rowItems count="39">
    <i>
      <x/>
    </i>
    <i r="1">
      <x v="9"/>
    </i>
    <i>
      <x v="1"/>
    </i>
    <i r="1">
      <x v="3"/>
    </i>
    <i r="1">
      <x v="4"/>
    </i>
    <i r="1">
      <x v="5"/>
    </i>
    <i r="1">
      <x v="7"/>
    </i>
    <i r="1">
      <x v="11"/>
    </i>
    <i>
      <x v="2"/>
    </i>
    <i r="1">
      <x v="6"/>
    </i>
    <i r="1">
      <x v="10"/>
    </i>
    <i>
      <x v="3"/>
    </i>
    <i r="1">
      <x/>
    </i>
    <i r="1">
      <x v="1"/>
    </i>
    <i r="1">
      <x v="8"/>
    </i>
    <i r="1">
      <x v="9"/>
    </i>
    <i r="1">
      <x v="12"/>
    </i>
    <i r="1">
      <x v="13"/>
    </i>
    <i r="1">
      <x v="14"/>
    </i>
    <i r="1">
      <x v="15"/>
    </i>
    <i>
      <x v="4"/>
    </i>
    <i r="1">
      <x v="6"/>
    </i>
    <i r="1">
      <x v="10"/>
    </i>
    <i>
      <x v="5"/>
    </i>
    <i r="1">
      <x v="2"/>
    </i>
    <i r="1">
      <x v="6"/>
    </i>
    <i r="1">
      <x v="10"/>
    </i>
    <i>
      <x v="6"/>
    </i>
    <i r="1">
      <x v="16"/>
    </i>
    <i>
      <x v="7"/>
    </i>
    <i r="1">
      <x v="6"/>
    </i>
    <i r="1">
      <x v="10"/>
    </i>
    <i>
      <x v="8"/>
    </i>
    <i r="1">
      <x v="6"/>
    </i>
    <i r="1">
      <x v="10"/>
    </i>
    <i>
      <x v="9"/>
    </i>
    <i r="1">
      <x v="6"/>
    </i>
    <i r="1"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omme de Q1 21" fld="7" baseField="0" baseItem="0"/>
    <dataField name="Somme de Q2 21" fld="8" baseField="0" baseItem="0"/>
    <dataField name="Somme de Q3 21" fld="9" baseField="0" baseItem="0"/>
    <dataField name="Somme de Q4 21" fld="10" baseField="0" baseItem="0"/>
    <dataField name="Somme de Q1 22" fld="11" baseField="0" baseItem="0"/>
    <dataField name="Somme de Q2 22" fld="12" baseField="0" baseItem="0"/>
    <dataField name="Somme de Q3 22" fld="13" baseField="0" baseItem="0"/>
    <dataField name="Somme de Q4 22" fld="14" baseField="0" baseItem="0"/>
    <dataField name="Somme de Q1 23" fld="15" baseField="0" baseItem="0"/>
    <dataField name="Somme de Q2 23" fld="16" baseField="0" baseItem="0"/>
    <dataField name="Somme de Q3 23" fld="17" baseField="0" baseItem="0"/>
    <dataField name="Somme de Q4 23" fld="18" baseField="0" baseItem="0"/>
  </dataFields>
  <formats count="8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1" count="1">
            <x v="3"/>
          </reference>
        </references>
      </pivotArea>
    </format>
    <format dxfId="6">
      <pivotArea collapsedLevelsAreSubtotals="1" fieldPosition="0">
        <references count="1">
          <reference field="1" count="1">
            <x v="3"/>
          </reference>
        </references>
      </pivotArea>
    </format>
    <format dxfId="5">
      <pivotArea dataOnly="0" labelOnly="1" fieldPosition="0">
        <references count="1">
          <reference field="1" count="1">
            <x v="3"/>
          </reference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8E46-1603-47C5-B1ED-230FEE73AF15}">
  <dimension ref="A1:H40"/>
  <sheetViews>
    <sheetView zoomScaleNormal="100" workbookViewId="0">
      <selection activeCell="L7" sqref="L7"/>
    </sheetView>
  </sheetViews>
  <sheetFormatPr baseColWidth="10" defaultRowHeight="15" outlineLevelRow="1" x14ac:dyDescent="0.2"/>
  <cols>
    <col min="1" max="1" width="38.5" bestFit="1" customWidth="1"/>
    <col min="3" max="3" width="9.5" customWidth="1"/>
    <col min="7" max="7" width="0" hidden="1" customWidth="1"/>
  </cols>
  <sheetData>
    <row r="1" spans="1:8" ht="24" x14ac:dyDescent="0.3">
      <c r="A1" s="101" t="s">
        <v>268</v>
      </c>
      <c r="B1" s="100"/>
      <c r="C1" s="100"/>
      <c r="D1" s="100"/>
      <c r="E1" s="100"/>
      <c r="F1" s="100"/>
      <c r="G1" s="99"/>
    </row>
    <row r="2" spans="1:8" ht="16" thickBot="1" x14ac:dyDescent="0.25">
      <c r="A2" s="100"/>
      <c r="B2" s="214"/>
      <c r="C2" s="214"/>
      <c r="D2" s="214"/>
      <c r="E2" s="214"/>
      <c r="F2" s="214"/>
      <c r="G2" s="99"/>
    </row>
    <row r="3" spans="1:8" s="233" customFormat="1" ht="31" thickBot="1" x14ac:dyDescent="0.25">
      <c r="A3" s="230" t="s">
        <v>92</v>
      </c>
      <c r="B3" s="231" t="s">
        <v>297</v>
      </c>
      <c r="C3" s="231" t="s">
        <v>298</v>
      </c>
      <c r="D3" s="232">
        <v>2021</v>
      </c>
      <c r="E3" s="232">
        <v>2022</v>
      </c>
      <c r="F3" s="232">
        <v>2023</v>
      </c>
      <c r="G3" s="237"/>
    </row>
    <row r="4" spans="1:8" x14ac:dyDescent="0.2">
      <c r="A4" s="215" t="s">
        <v>302</v>
      </c>
      <c r="B4" s="218">
        <f>SUM(B5:B6)</f>
        <v>1870.4445900000005</v>
      </c>
      <c r="C4" s="218">
        <f>SUM(C5:C6)</f>
        <v>1881.4578380619635</v>
      </c>
      <c r="D4" s="218">
        <f t="shared" ref="D4:F4" si="0">SUM(D5:D6)</f>
        <v>2111.6055009776419</v>
      </c>
      <c r="E4" s="218">
        <f t="shared" si="0"/>
        <v>2634.010129298596</v>
      </c>
      <c r="F4" s="218">
        <f t="shared" si="0"/>
        <v>2950.6057315842281</v>
      </c>
      <c r="G4" s="99"/>
      <c r="H4" s="2"/>
    </row>
    <row r="5" spans="1:8" x14ac:dyDescent="0.2">
      <c r="A5" s="217" t="s">
        <v>300</v>
      </c>
      <c r="B5" s="219">
        <v>2987.6657900000005</v>
      </c>
      <c r="C5" s="219">
        <v>3129.3648050000002</v>
      </c>
      <c r="D5" s="219">
        <f>C5+400/3+'2 P&amp;L'!D45+'2 P&amp;L'!E45+'2 P&amp;L'!F45+'2 P&amp;L'!G45</f>
        <v>3863.4731383333333</v>
      </c>
      <c r="E5" s="219">
        <f>D5+400/3+'2 P&amp;L'!H45+'2 P&amp;L'!I45+'2 P&amp;L'!J45+'2 P&amp;L'!K45</f>
        <v>5025.5814716666682</v>
      </c>
      <c r="F5" s="219">
        <f>E5+400/3+'2 P&amp;L'!L45+'2 P&amp;L'!M45+'2 P&amp;L'!N45+'2 P&amp;L'!O45</f>
        <v>6077.6898050000027</v>
      </c>
      <c r="G5" s="207">
        <f>F5-C5</f>
        <v>2948.3250000000025</v>
      </c>
      <c r="H5" s="2"/>
    </row>
    <row r="6" spans="1:8" x14ac:dyDescent="0.2">
      <c r="A6" s="217" t="s">
        <v>301</v>
      </c>
      <c r="B6" s="219">
        <v>-1117.2212</v>
      </c>
      <c r="C6" s="219">
        <v>-1247.9069669380367</v>
      </c>
      <c r="D6" s="219">
        <f>C6+'[1]Recap Amortissement'!$E$10</f>
        <v>-1751.8676373556914</v>
      </c>
      <c r="E6" s="219">
        <f>D6+'[1]Recap Amortissement'!$I$10</f>
        <v>-2391.5713423680722</v>
      </c>
      <c r="F6" s="219">
        <f>E6+'[1]Recap Amortissement'!$M$10</f>
        <v>-3127.0840734157746</v>
      </c>
      <c r="G6" s="207">
        <f>F6-C6</f>
        <v>-1879.1771064777379</v>
      </c>
      <c r="H6" s="2"/>
    </row>
    <row r="7" spans="1:8" ht="16" thickBot="1" x14ac:dyDescent="0.25">
      <c r="A7" s="106" t="s">
        <v>269</v>
      </c>
      <c r="B7" s="218">
        <v>7.05</v>
      </c>
      <c r="C7" s="218">
        <f>B7</f>
        <v>7.05</v>
      </c>
      <c r="D7" s="218">
        <f>C7</f>
        <v>7.05</v>
      </c>
      <c r="E7" s="218">
        <f>D7</f>
        <v>7.05</v>
      </c>
      <c r="F7" s="218">
        <f>E7</f>
        <v>7.05</v>
      </c>
      <c r="G7" s="207">
        <f>D6-C6</f>
        <v>-503.96067041765468</v>
      </c>
    </row>
    <row r="8" spans="1:8" ht="16" thickBot="1" x14ac:dyDescent="0.25">
      <c r="A8" s="220" t="s">
        <v>270</v>
      </c>
      <c r="B8" s="221">
        <f>B4+B7</f>
        <v>1877.4945900000005</v>
      </c>
      <c r="C8" s="221">
        <f t="shared" ref="C8:F8" si="1">C4+C7</f>
        <v>1888.5078380619634</v>
      </c>
      <c r="D8" s="221">
        <f t="shared" si="1"/>
        <v>2118.6555009776421</v>
      </c>
      <c r="E8" s="221">
        <f t="shared" si="1"/>
        <v>2641.0601292985962</v>
      </c>
      <c r="F8" s="221">
        <f t="shared" si="1"/>
        <v>2957.6557315842283</v>
      </c>
      <c r="G8" s="207">
        <f>D5-C5</f>
        <v>734.10833333333312</v>
      </c>
    </row>
    <row r="9" spans="1:8" x14ac:dyDescent="0.2">
      <c r="A9" s="215" t="s">
        <v>271</v>
      </c>
      <c r="B9" s="216">
        <v>7.3782100000000002</v>
      </c>
      <c r="C9" s="216">
        <v>7.3782100000000002</v>
      </c>
      <c r="D9" s="216">
        <f>C9</f>
        <v>7.3782100000000002</v>
      </c>
      <c r="E9" s="216">
        <f t="shared" ref="E9:F9" si="2">D9</f>
        <v>7.3782100000000002</v>
      </c>
      <c r="F9" s="216">
        <f t="shared" si="2"/>
        <v>7.3782100000000002</v>
      </c>
      <c r="G9" s="99"/>
    </row>
    <row r="10" spans="1:8" x14ac:dyDescent="0.2">
      <c r="A10" s="106" t="s">
        <v>272</v>
      </c>
      <c r="B10" s="218">
        <v>5.8322599999999998</v>
      </c>
      <c r="C10" s="218">
        <v>5.8322599999999998</v>
      </c>
      <c r="D10" s="218">
        <f>C10-'3 Cash Flow'!G4</f>
        <v>582.66190361317331</v>
      </c>
      <c r="E10" s="218">
        <f>C10-'3 Cash Flow'!L4</f>
        <v>353.98599837878226</v>
      </c>
      <c r="F10" s="218">
        <f>C10-'3 Cash Flow'!Q4</f>
        <v>542.9059277188112</v>
      </c>
      <c r="G10" s="99"/>
    </row>
    <row r="11" spans="1:8" x14ac:dyDescent="0.2">
      <c r="A11" s="106" t="s">
        <v>273</v>
      </c>
      <c r="B11" s="222">
        <v>36.429300000000005</v>
      </c>
      <c r="C11" s="222">
        <v>36.429300000000005</v>
      </c>
      <c r="D11" s="222">
        <f>C11</f>
        <v>36.429300000000005</v>
      </c>
      <c r="E11" s="222">
        <f t="shared" ref="E11:F11" si="3">D11</f>
        <v>36.429300000000005</v>
      </c>
      <c r="F11" s="222">
        <f t="shared" si="3"/>
        <v>36.429300000000005</v>
      </c>
      <c r="G11" s="99"/>
    </row>
    <row r="12" spans="1:8" x14ac:dyDescent="0.2">
      <c r="A12" s="106" t="s">
        <v>274</v>
      </c>
      <c r="B12" s="222">
        <f>SUM(B13:B22)</f>
        <v>523.59175000000005</v>
      </c>
      <c r="C12" s="222">
        <f>SUM(C13:C22)</f>
        <v>129.30680019104</v>
      </c>
      <c r="D12" s="222">
        <f>SUM(D13:D22)</f>
        <v>1515.0340005643302</v>
      </c>
      <c r="E12" s="222">
        <f>SUM(E13:E22)</f>
        <v>2876.1212657028746</v>
      </c>
      <c r="F12" s="222">
        <f>SUM(F13:F22)</f>
        <v>4998.9830152437326</v>
      </c>
      <c r="G12" s="99"/>
    </row>
    <row r="13" spans="1:8" hidden="1" outlineLevel="1" x14ac:dyDescent="0.2">
      <c r="A13" s="217" t="s">
        <v>275</v>
      </c>
      <c r="B13" s="223">
        <v>523.59175000000005</v>
      </c>
      <c r="C13" s="223">
        <f>B13</f>
        <v>523.59175000000005</v>
      </c>
      <c r="D13" s="223">
        <f>C12</f>
        <v>129.30680019104</v>
      </c>
      <c r="E13" s="223">
        <f t="shared" ref="E13:F13" si="4">D12</f>
        <v>1515.0340005643302</v>
      </c>
      <c r="F13" s="223">
        <f t="shared" si="4"/>
        <v>2876.1212657028746</v>
      </c>
      <c r="G13" s="99"/>
    </row>
    <row r="14" spans="1:8" hidden="1" outlineLevel="1" x14ac:dyDescent="0.2">
      <c r="A14" s="217" t="s">
        <v>276</v>
      </c>
      <c r="B14" s="224">
        <v>0</v>
      </c>
      <c r="C14" s="224">
        <v>0</v>
      </c>
      <c r="D14" s="223">
        <v>4000</v>
      </c>
      <c r="E14" s="223">
        <v>2000</v>
      </c>
      <c r="F14" s="223">
        <v>0</v>
      </c>
      <c r="G14" s="99"/>
    </row>
    <row r="15" spans="1:8" ht="13.75" hidden="1" customHeight="1" outlineLevel="1" x14ac:dyDescent="0.2">
      <c r="A15" s="217" t="s">
        <v>295</v>
      </c>
      <c r="B15" s="224">
        <v>0</v>
      </c>
      <c r="C15" s="224">
        <v>67.823999999999998</v>
      </c>
      <c r="D15" s="223">
        <f>SUM('2 P&amp;L'!D12:G12)</f>
        <v>1298.3468544994</v>
      </c>
      <c r="E15" s="223">
        <f>SUM('2 P&amp;L'!H12:K12)-D16</f>
        <v>5051.8168785432563</v>
      </c>
      <c r="F15" s="223">
        <f>SUM('2 P&amp;L'!L12:O12)-E16</f>
        <v>9120.4960366433825</v>
      </c>
      <c r="G15" s="99"/>
    </row>
    <row r="16" spans="1:8" ht="13.75" hidden="1" customHeight="1" outlineLevel="1" x14ac:dyDescent="0.2">
      <c r="A16" s="217" t="s">
        <v>303</v>
      </c>
      <c r="B16" s="224">
        <v>0</v>
      </c>
      <c r="C16" s="224">
        <v>0</v>
      </c>
      <c r="D16" s="223">
        <f>'3 Cash Flow'!G4</f>
        <v>-576.82964361317329</v>
      </c>
      <c r="E16" s="223">
        <f>'3 Cash Flow'!L4</f>
        <v>-348.15373837878224</v>
      </c>
      <c r="F16" s="223">
        <f>'3 Cash Flow'!Q4</f>
        <v>-537.07366771881118</v>
      </c>
      <c r="G16" s="99"/>
    </row>
    <row r="17" spans="1:8" hidden="1" outlineLevel="1" x14ac:dyDescent="0.2">
      <c r="A17" s="217" t="s">
        <v>277</v>
      </c>
      <c r="B17" s="224">
        <v>0</v>
      </c>
      <c r="C17" s="224">
        <v>0</v>
      </c>
      <c r="D17" s="223">
        <f>-400/3</f>
        <v>-133.33333333333334</v>
      </c>
      <c r="E17" s="223">
        <f>-400/3</f>
        <v>-133.33333333333334</v>
      </c>
      <c r="F17" s="223">
        <f>-400/3</f>
        <v>-133.33333333333334</v>
      </c>
      <c r="G17" s="99"/>
    </row>
    <row r="18" spans="1:8" hidden="1" outlineLevel="1" x14ac:dyDescent="0.2">
      <c r="A18" s="217" t="s">
        <v>278</v>
      </c>
      <c r="B18" s="224">
        <v>0</v>
      </c>
      <c r="C18" s="224">
        <v>0</v>
      </c>
      <c r="D18" s="223">
        <v>0</v>
      </c>
      <c r="E18" s="223">
        <v>0</v>
      </c>
      <c r="F18" s="223">
        <v>0</v>
      </c>
      <c r="G18" s="99"/>
    </row>
    <row r="19" spans="1:8" hidden="1" outlineLevel="1" x14ac:dyDescent="0.2">
      <c r="A19" s="217" t="s">
        <v>299</v>
      </c>
      <c r="B19" s="224">
        <v>0</v>
      </c>
      <c r="C19" s="224">
        <v>-462.10894980896001</v>
      </c>
      <c r="D19" s="223">
        <f>SUM('2 P&amp;L'!D47:G48)+SUM('2 P&amp;L'!D54:G54)</f>
        <v>-3044.5721319023437</v>
      </c>
      <c r="E19" s="223">
        <f>SUM('2 P&amp;L'!H47:K48)+SUM('2 P&amp;L'!H54:K54)-D20</f>
        <v>-4441.7749083872413</v>
      </c>
      <c r="F19" s="223">
        <f>SUM('2 P&amp;L'!L47:O48)+SUM('2 P&amp;L'!L54:O54)-E20</f>
        <v>-4976.577191632784</v>
      </c>
      <c r="G19" s="99"/>
    </row>
    <row r="20" spans="1:8" hidden="1" outlineLevel="1" x14ac:dyDescent="0.2">
      <c r="A20" s="217" t="s">
        <v>304</v>
      </c>
      <c r="B20" s="224">
        <v>0</v>
      </c>
      <c r="C20" s="224">
        <v>0</v>
      </c>
      <c r="D20" s="223">
        <f>'3 Cash Flow'!G3</f>
        <v>86.776689448443548</v>
      </c>
      <c r="E20" s="223">
        <f>'3 Cash Flow'!L3</f>
        <v>-8.6664991260746831</v>
      </c>
      <c r="F20" s="223">
        <f>'3 Cash Flow'!Q3</f>
        <v>4.8749216408694735</v>
      </c>
      <c r="G20" s="99"/>
    </row>
    <row r="21" spans="1:8" hidden="1" outlineLevel="1" x14ac:dyDescent="0.2">
      <c r="A21" s="217" t="s">
        <v>296</v>
      </c>
      <c r="B21" s="224">
        <v>0</v>
      </c>
      <c r="C21" s="224">
        <v>0</v>
      </c>
      <c r="D21" s="223">
        <f>SUM('2 P&amp;L'!D13:G13)</f>
        <v>-244.66123472570325</v>
      </c>
      <c r="E21" s="223">
        <f>SUM('2 P&amp;L'!H13:K13)</f>
        <v>-758.80113417928237</v>
      </c>
      <c r="F21" s="223">
        <f>SUM('2 P&amp;L'!L13:O13)</f>
        <v>-1355.5250160584667</v>
      </c>
      <c r="G21" s="99"/>
    </row>
    <row r="22" spans="1:8" hidden="1" outlineLevel="1" x14ac:dyDescent="0.2">
      <c r="A22" s="217" t="s">
        <v>279</v>
      </c>
      <c r="B22" s="224">
        <f>'[2]P&amp;L'!B38</f>
        <v>0</v>
      </c>
      <c r="C22" s="224">
        <v>0</v>
      </c>
      <c r="D22" s="224">
        <v>0</v>
      </c>
      <c r="E22" s="224">
        <v>0</v>
      </c>
      <c r="F22" s="224">
        <v>0</v>
      </c>
      <c r="G22" s="99"/>
    </row>
    <row r="23" spans="1:8" ht="16" collapsed="1" thickBot="1" x14ac:dyDescent="0.25">
      <c r="A23" s="106" t="s">
        <v>280</v>
      </c>
      <c r="B23" s="222">
        <v>0</v>
      </c>
      <c r="C23" s="222">
        <v>0</v>
      </c>
      <c r="D23" s="222">
        <v>0</v>
      </c>
      <c r="E23" s="222">
        <v>0</v>
      </c>
      <c r="F23" s="222">
        <v>0</v>
      </c>
      <c r="G23" s="99"/>
      <c r="H23" s="2"/>
    </row>
    <row r="24" spans="1:8" ht="16" thickBot="1" x14ac:dyDescent="0.25">
      <c r="A24" s="220" t="s">
        <v>281</v>
      </c>
      <c r="B24" s="221">
        <f>+B12+B11+B23+B10+B9</f>
        <v>573.23152000000005</v>
      </c>
      <c r="C24" s="221">
        <f>+C12+C11+C23+C10+C9</f>
        <v>178.94657019104</v>
      </c>
      <c r="D24" s="221">
        <f>+D12+D11+D23+D10+D9</f>
        <v>2141.5034141775031</v>
      </c>
      <c r="E24" s="221">
        <f>+E12+E11+E23+E10+E9</f>
        <v>3273.9147740816566</v>
      </c>
      <c r="F24" s="221">
        <f>+F12+F11+F23+F10+F9</f>
        <v>5585.6964529625429</v>
      </c>
      <c r="G24" s="99"/>
    </row>
    <row r="25" spans="1:8" ht="16" thickBot="1" x14ac:dyDescent="0.25">
      <c r="A25" s="107" t="s">
        <v>282</v>
      </c>
      <c r="B25" s="225">
        <f>B8+B24</f>
        <v>2450.7261100000005</v>
      </c>
      <c r="C25" s="225">
        <f>C8+C24</f>
        <v>2067.4544082530033</v>
      </c>
      <c r="D25" s="225">
        <f>D8+D24</f>
        <v>4260.1589151551452</v>
      </c>
      <c r="E25" s="225">
        <f>E8+E24</f>
        <v>5914.9749033802527</v>
      </c>
      <c r="F25" s="225">
        <f>F8+F24</f>
        <v>8543.3521845467712</v>
      </c>
      <c r="G25" s="99"/>
    </row>
    <row r="26" spans="1:8" ht="16" thickBot="1" x14ac:dyDescent="0.25">
      <c r="A26" s="234"/>
      <c r="B26" s="235"/>
      <c r="C26" s="235"/>
      <c r="D26" s="235"/>
      <c r="E26" s="235"/>
      <c r="F26" s="100"/>
      <c r="G26" s="99"/>
    </row>
    <row r="27" spans="1:8" x14ac:dyDescent="0.2">
      <c r="A27" s="226" t="s">
        <v>283</v>
      </c>
      <c r="B27" s="227">
        <v>4650.3150400000004</v>
      </c>
      <c r="C27" s="227">
        <f>B27</f>
        <v>4650.3150400000004</v>
      </c>
      <c r="D27" s="227">
        <f>C27+4000</f>
        <v>8650.3150400000013</v>
      </c>
      <c r="E27" s="227">
        <f>D27+2000</f>
        <v>10650.315040000001</v>
      </c>
      <c r="F27" s="227">
        <f>E27</f>
        <v>10650.315040000001</v>
      </c>
      <c r="G27" s="99"/>
    </row>
    <row r="28" spans="1:8" x14ac:dyDescent="0.2">
      <c r="A28" s="109" t="s">
        <v>284</v>
      </c>
      <c r="B28" s="222">
        <v>-2386.62916</v>
      </c>
      <c r="C28" s="222">
        <f>B28+C15+C19+C4-B4</f>
        <v>-2769.9008617469972</v>
      </c>
      <c r="D28" s="222">
        <f>C28+SUM('2 P&amp;L'!D62:G62)</f>
        <v>-4663.9730442932987</v>
      </c>
      <c r="E28" s="222">
        <f>D28+SUM('2 P&amp;L'!H62:K62)</f>
        <v>-4913.7138674936759</v>
      </c>
      <c r="F28" s="222">
        <f>E28+SUM('2 P&amp;L'!L62:O62)</f>
        <v>-2298.8780070941043</v>
      </c>
      <c r="G28" s="207">
        <f>F28-C28</f>
        <v>471.02285465289287</v>
      </c>
    </row>
    <row r="29" spans="1:8" ht="16" thickBot="1" x14ac:dyDescent="0.25">
      <c r="A29" s="228" t="s">
        <v>285</v>
      </c>
      <c r="B29" s="229">
        <v>0</v>
      </c>
      <c r="C29" s="229">
        <f>B29</f>
        <v>0</v>
      </c>
      <c r="D29" s="229">
        <f t="shared" ref="D29:F29" si="5">C29</f>
        <v>0</v>
      </c>
      <c r="E29" s="229">
        <f t="shared" si="5"/>
        <v>0</v>
      </c>
      <c r="F29" s="229">
        <f t="shared" si="5"/>
        <v>0</v>
      </c>
      <c r="G29" s="99"/>
    </row>
    <row r="30" spans="1:8" ht="16" thickBot="1" x14ac:dyDescent="0.25">
      <c r="A30" s="220" t="s">
        <v>286</v>
      </c>
      <c r="B30" s="221">
        <f>SUM(B27:B29)</f>
        <v>2263.6858800000005</v>
      </c>
      <c r="C30" s="221">
        <f>SUM(C27:C29)</f>
        <v>1880.4141782530032</v>
      </c>
      <c r="D30" s="221">
        <f>SUM(D27:D29)</f>
        <v>3986.3419957067026</v>
      </c>
      <c r="E30" s="221">
        <f>SUM(E27:E29)</f>
        <v>5736.6011725063254</v>
      </c>
      <c r="F30" s="221">
        <f>SUM(F27:F29)</f>
        <v>8351.4370329058966</v>
      </c>
      <c r="G30" s="99"/>
    </row>
    <row r="31" spans="1:8" x14ac:dyDescent="0.2">
      <c r="A31" s="215" t="s">
        <v>287</v>
      </c>
      <c r="B31" s="216">
        <v>0</v>
      </c>
      <c r="C31" s="216">
        <f>B31</f>
        <v>0</v>
      </c>
      <c r="D31" s="216">
        <f t="shared" ref="D31:F31" si="6">C31</f>
        <v>0</v>
      </c>
      <c r="E31" s="216">
        <f t="shared" si="6"/>
        <v>0</v>
      </c>
      <c r="F31" s="216">
        <f t="shared" si="6"/>
        <v>0</v>
      </c>
      <c r="G31" s="99"/>
    </row>
    <row r="32" spans="1:8" x14ac:dyDescent="0.2">
      <c r="A32" s="106" t="s">
        <v>288</v>
      </c>
      <c r="B32" s="218">
        <v>94.289860000000004</v>
      </c>
      <c r="C32" s="218">
        <f>B32</f>
        <v>94.289860000000004</v>
      </c>
      <c r="D32" s="218">
        <f t="shared" ref="D32:F32" si="7">C32</f>
        <v>94.289860000000004</v>
      </c>
      <c r="E32" s="218">
        <f t="shared" si="7"/>
        <v>94.289860000000004</v>
      </c>
      <c r="F32" s="218">
        <f t="shared" si="7"/>
        <v>94.289860000000004</v>
      </c>
      <c r="G32" s="99"/>
    </row>
    <row r="33" spans="1:7" x14ac:dyDescent="0.2">
      <c r="A33" s="106" t="s">
        <v>289</v>
      </c>
      <c r="B33" s="222">
        <v>0</v>
      </c>
      <c r="C33" s="218">
        <f t="shared" ref="C33:F33" si="8">B33</f>
        <v>0</v>
      </c>
      <c r="D33" s="218">
        <f t="shared" si="8"/>
        <v>0</v>
      </c>
      <c r="E33" s="218">
        <f t="shared" si="8"/>
        <v>0</v>
      </c>
      <c r="F33" s="218">
        <f t="shared" si="8"/>
        <v>0</v>
      </c>
      <c r="G33" s="99"/>
    </row>
    <row r="34" spans="1:7" x14ac:dyDescent="0.2">
      <c r="A34" s="106" t="s">
        <v>290</v>
      </c>
      <c r="B34" s="222">
        <v>107.13428999999999</v>
      </c>
      <c r="C34" s="218">
        <f t="shared" ref="C34" si="9">B34</f>
        <v>107.13428999999999</v>
      </c>
      <c r="D34" s="218">
        <f>C34+'3 Cash Flow'!G3</f>
        <v>193.91097944844353</v>
      </c>
      <c r="E34" s="218">
        <f>C34+'3 Cash Flow'!L3</f>
        <v>98.46779087392531</v>
      </c>
      <c r="F34" s="218">
        <f>C34+'3 Cash Flow'!Q3</f>
        <v>112.00921164086947</v>
      </c>
      <c r="G34" s="99"/>
    </row>
    <row r="35" spans="1:7" x14ac:dyDescent="0.2">
      <c r="A35" s="106" t="s">
        <v>291</v>
      </c>
      <c r="B35" s="222">
        <v>32.620959999999997</v>
      </c>
      <c r="C35" s="218">
        <f t="shared" ref="C35:F35" si="10">B35</f>
        <v>32.620959999999997</v>
      </c>
      <c r="D35" s="218">
        <f t="shared" si="10"/>
        <v>32.620959999999997</v>
      </c>
      <c r="E35" s="218">
        <f t="shared" si="10"/>
        <v>32.620959999999997</v>
      </c>
      <c r="F35" s="218">
        <f t="shared" si="10"/>
        <v>32.620959999999997</v>
      </c>
      <c r="G35" s="99"/>
    </row>
    <row r="36" spans="1:7" x14ac:dyDescent="0.2">
      <c r="A36" s="106" t="s">
        <v>292</v>
      </c>
      <c r="B36" s="222">
        <v>-47.00488</v>
      </c>
      <c r="C36" s="218">
        <f t="shared" ref="C36:F36" si="11">B36</f>
        <v>-47.00488</v>
      </c>
      <c r="D36" s="218">
        <f t="shared" si="11"/>
        <v>-47.00488</v>
      </c>
      <c r="E36" s="218">
        <f t="shared" si="11"/>
        <v>-47.00488</v>
      </c>
      <c r="F36" s="218">
        <f t="shared" si="11"/>
        <v>-47.00488</v>
      </c>
      <c r="G36" s="99"/>
    </row>
    <row r="37" spans="1:7" ht="16" thickBot="1" x14ac:dyDescent="0.25">
      <c r="A37" s="106" t="s">
        <v>280</v>
      </c>
      <c r="B37" s="222">
        <v>0</v>
      </c>
      <c r="C37" s="218">
        <f t="shared" ref="C37:F37" si="12">B37</f>
        <v>0</v>
      </c>
      <c r="D37" s="218">
        <f t="shared" si="12"/>
        <v>0</v>
      </c>
      <c r="E37" s="218">
        <f t="shared" si="12"/>
        <v>0</v>
      </c>
      <c r="F37" s="218">
        <f t="shared" si="12"/>
        <v>0</v>
      </c>
      <c r="G37" s="99"/>
    </row>
    <row r="38" spans="1:7" ht="16" thickBot="1" x14ac:dyDescent="0.25">
      <c r="A38" s="220" t="s">
        <v>293</v>
      </c>
      <c r="B38" s="221">
        <f>SUM(B31:B36,B37)</f>
        <v>187.04023000000001</v>
      </c>
      <c r="C38" s="221">
        <f>SUM(C31:C36,C37)</f>
        <v>187.04023000000001</v>
      </c>
      <c r="D38" s="221">
        <f>SUM(D31:D36,D37)</f>
        <v>273.81691944844346</v>
      </c>
      <c r="E38" s="221">
        <f>SUM(E31:E36,E37)</f>
        <v>178.3737308739253</v>
      </c>
      <c r="F38" s="221">
        <f t="shared" ref="F38" si="13">SUM(F31:F36,F37)</f>
        <v>191.91515164086945</v>
      </c>
      <c r="G38" s="99"/>
    </row>
    <row r="39" spans="1:7" ht="16" thickBot="1" x14ac:dyDescent="0.25">
      <c r="A39" s="107" t="s">
        <v>294</v>
      </c>
      <c r="B39" s="225">
        <f>+B38+B30</f>
        <v>2450.7261100000005</v>
      </c>
      <c r="C39" s="225">
        <f>+C38+C30</f>
        <v>2067.4544082530033</v>
      </c>
      <c r="D39" s="225">
        <f>+D38+D30</f>
        <v>4260.1589151551461</v>
      </c>
      <c r="E39" s="225">
        <f>+E38+E30</f>
        <v>5914.9749033802509</v>
      </c>
      <c r="F39" s="225">
        <f t="shared" ref="F39" si="14">+F38+F30</f>
        <v>8543.3521845467658</v>
      </c>
      <c r="G39" s="99"/>
    </row>
    <row r="40" spans="1:7" x14ac:dyDescent="0.2">
      <c r="A40" s="100"/>
      <c r="B40" s="236">
        <f>+B39-B25</f>
        <v>0</v>
      </c>
      <c r="C40" s="236">
        <f t="shared" ref="C40:D40" si="15">+C39-C25</f>
        <v>0</v>
      </c>
      <c r="D40" s="236">
        <f t="shared" si="15"/>
        <v>0</v>
      </c>
      <c r="E40" s="236">
        <f t="shared" ref="E40" si="16">+E39-E25</f>
        <v>0</v>
      </c>
      <c r="F40" s="236">
        <f t="shared" ref="F40" si="17">+F39-F25</f>
        <v>0</v>
      </c>
      <c r="G40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9EA8-6DCE-41C2-9047-3CEC55EDBF3A}">
  <dimension ref="A1:Q93"/>
  <sheetViews>
    <sheetView tabSelected="1" zoomScaleNormal="100" workbookViewId="0">
      <pane ySplit="5" topLeftCell="A6" activePane="bottomLeft" state="frozen"/>
      <selection pane="bottomLeft" activeCell="C3" sqref="C3"/>
    </sheetView>
  </sheetViews>
  <sheetFormatPr baseColWidth="10" defaultColWidth="10.6640625" defaultRowHeight="15" x14ac:dyDescent="0.2"/>
  <cols>
    <col min="1" max="1" width="3.33203125" style="99" customWidth="1"/>
    <col min="2" max="2" width="10.1640625" style="99" bestFit="1" customWidth="1"/>
    <col min="3" max="3" width="40.33203125" customWidth="1"/>
    <col min="4" max="16" width="8.5" customWidth="1"/>
    <col min="17" max="17" width="59" bestFit="1" customWidth="1"/>
    <col min="18" max="16384" width="10.6640625" style="99"/>
  </cols>
  <sheetData>
    <row r="1" spans="1:17" x14ac:dyDescent="0.2">
      <c r="A1" s="97"/>
      <c r="B1" s="98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7" x14ac:dyDescent="0.2">
      <c r="A2" s="97"/>
      <c r="B2" s="97" t="s">
        <v>313</v>
      </c>
      <c r="C2" s="99"/>
      <c r="D2" s="99"/>
      <c r="E2" s="99"/>
      <c r="F2" s="207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</row>
    <row r="3" spans="1:17" ht="16" thickBot="1" x14ac:dyDescent="0.25">
      <c r="A3" s="97"/>
      <c r="B3" s="98"/>
      <c r="C3" s="100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ht="25" thickBot="1" x14ac:dyDescent="0.35">
      <c r="A4" s="97"/>
      <c r="B4" s="98"/>
      <c r="C4" s="101" t="s">
        <v>91</v>
      </c>
      <c r="D4" s="118" t="s">
        <v>310</v>
      </c>
      <c r="E4" s="119"/>
      <c r="F4" s="119"/>
      <c r="G4" s="119"/>
      <c r="H4" s="119" t="s">
        <v>311</v>
      </c>
      <c r="I4" s="119"/>
      <c r="J4" s="119"/>
      <c r="K4" s="119"/>
      <c r="L4" s="119" t="s">
        <v>312</v>
      </c>
      <c r="M4" s="119"/>
      <c r="N4" s="119"/>
      <c r="O4" s="119"/>
      <c r="P4" s="134"/>
      <c r="Q4" s="134"/>
    </row>
    <row r="5" spans="1:17" ht="15" customHeight="1" thickBot="1" x14ac:dyDescent="0.25">
      <c r="A5" s="102"/>
      <c r="B5" s="103"/>
      <c r="C5" s="104" t="s">
        <v>92</v>
      </c>
      <c r="D5" s="120" t="s">
        <v>306</v>
      </c>
      <c r="E5" s="120" t="s">
        <v>307</v>
      </c>
      <c r="F5" s="120" t="s">
        <v>308</v>
      </c>
      <c r="G5" s="120" t="s">
        <v>309</v>
      </c>
      <c r="H5" s="120" t="s">
        <v>306</v>
      </c>
      <c r="I5" s="120" t="s">
        <v>307</v>
      </c>
      <c r="J5" s="120" t="s">
        <v>308</v>
      </c>
      <c r="K5" s="120" t="s">
        <v>309</v>
      </c>
      <c r="L5" s="120" t="s">
        <v>306</v>
      </c>
      <c r="M5" s="120" t="s">
        <v>307</v>
      </c>
      <c r="N5" s="120" t="s">
        <v>308</v>
      </c>
      <c r="O5" s="120" t="s">
        <v>309</v>
      </c>
      <c r="P5" s="120" t="s">
        <v>28</v>
      </c>
      <c r="Q5" s="120" t="s">
        <v>112</v>
      </c>
    </row>
    <row r="6" spans="1:17" x14ac:dyDescent="0.2">
      <c r="A6" s="97"/>
      <c r="B6" s="98"/>
      <c r="C6" s="105" t="s">
        <v>206</v>
      </c>
      <c r="D6" s="121">
        <f>'Tableau recap'!E4</f>
        <v>23.585794267699999</v>
      </c>
      <c r="E6" s="121">
        <f>'Tableau recap'!F4</f>
        <v>47.171588535399998</v>
      </c>
      <c r="F6" s="121">
        <f>'Tableau recap'!G4</f>
        <v>99.514920303099998</v>
      </c>
      <c r="G6" s="121">
        <f>'Tableau recap'!H4</f>
        <v>373.10071457079994</v>
      </c>
      <c r="H6" s="121">
        <f>'Tableau recap'!I4</f>
        <v>280.07968874777504</v>
      </c>
      <c r="I6" s="121">
        <f>'Tableau recap'!J4</f>
        <v>402.23186491805001</v>
      </c>
      <c r="J6" s="121">
        <f>'Tableau recap'!K4</f>
        <v>524.38404108832492</v>
      </c>
      <c r="K6" s="121">
        <f>'Tableau recap'!L4</f>
        <v>646.5362172586</v>
      </c>
      <c r="L6" s="121">
        <f>'Tableau recap'!M4</f>
        <v>1210.05637316615</v>
      </c>
      <c r="M6" s="121">
        <f>'Tableau recap'!N4</f>
        <v>1210.05637316615</v>
      </c>
      <c r="N6" s="121">
        <f>'Tableau recap'!O4</f>
        <v>1210.05637316615</v>
      </c>
      <c r="O6" s="121">
        <f>'Tableau recap'!P4</f>
        <v>1210.05637316615</v>
      </c>
      <c r="P6" s="122">
        <f t="shared" ref="P6:P11" si="0">SUM(D6:O6)</f>
        <v>7236.8303223543498</v>
      </c>
      <c r="Q6" s="122"/>
    </row>
    <row r="7" spans="1:17" x14ac:dyDescent="0.2">
      <c r="A7" s="97"/>
      <c r="B7" s="98"/>
      <c r="C7" s="105" t="s">
        <v>207</v>
      </c>
      <c r="D7" s="121">
        <f>'Tableau recap'!E14</f>
        <v>12.01816756224</v>
      </c>
      <c r="E7" s="121">
        <f>'Tableau recap'!F14</f>
        <v>35.574767364480003</v>
      </c>
      <c r="F7" s="121">
        <f>'Tableau recap'!G14</f>
        <v>53.362151046720001</v>
      </c>
      <c r="G7" s="121">
        <f>'Tableau recap'!H14</f>
        <v>76.918750848960002</v>
      </c>
      <c r="H7" s="121">
        <f>'Tableau recap'!I14</f>
        <v>238.18885572933331</v>
      </c>
      <c r="I7" s="121">
        <f>'Tableau recap'!J14</f>
        <v>238.18885572933331</v>
      </c>
      <c r="J7" s="121">
        <f>'Tableau recap'!K14</f>
        <v>238.18885572933331</v>
      </c>
      <c r="K7" s="121">
        <f>'Tableau recap'!L14</f>
        <v>238.18885572933331</v>
      </c>
      <c r="L7" s="121">
        <f>'Tableau recap'!M14</f>
        <v>485.30420140000001</v>
      </c>
      <c r="M7" s="121">
        <f>'Tableau recap'!N14</f>
        <v>485.30420140000001</v>
      </c>
      <c r="N7" s="121">
        <f>'Tableau recap'!O14</f>
        <v>485.30420140000001</v>
      </c>
      <c r="O7" s="121">
        <f>'Tableau recap'!P14</f>
        <v>485.30420140000001</v>
      </c>
      <c r="P7" s="122">
        <f t="shared" si="0"/>
        <v>3071.8460653397333</v>
      </c>
      <c r="Q7" s="122"/>
    </row>
    <row r="8" spans="1:17" x14ac:dyDescent="0.2">
      <c r="A8" s="97"/>
      <c r="B8" s="98"/>
      <c r="C8" s="105" t="s">
        <v>203</v>
      </c>
      <c r="D8" s="121">
        <f>'Tableau recap'!E24</f>
        <v>0</v>
      </c>
      <c r="E8" s="121">
        <f>'Tableau recap'!F24</f>
        <v>0</v>
      </c>
      <c r="F8" s="121">
        <f>'Tableau recap'!G24</f>
        <v>0</v>
      </c>
      <c r="G8" s="121">
        <f>'Tableau recap'!H24</f>
        <v>0</v>
      </c>
      <c r="H8" s="121">
        <f>'Tableau recap'!I24</f>
        <v>0</v>
      </c>
      <c r="I8" s="121">
        <f>'Tableau recap'!J24</f>
        <v>0</v>
      </c>
      <c r="J8" s="121">
        <f>'Tableau recap'!K24</f>
        <v>0</v>
      </c>
      <c r="K8" s="121">
        <f>'Tableau recap'!L24</f>
        <v>0</v>
      </c>
      <c r="L8" s="121">
        <f>'Tableau recap'!M24</f>
        <v>0</v>
      </c>
      <c r="M8" s="121">
        <f>'Tableau recap'!N24</f>
        <v>0</v>
      </c>
      <c r="N8" s="121">
        <f>'Tableau recap'!O24</f>
        <v>0</v>
      </c>
      <c r="O8" s="121">
        <f>'Tableau recap'!P24</f>
        <v>0</v>
      </c>
      <c r="P8" s="122">
        <f t="shared" si="0"/>
        <v>0</v>
      </c>
      <c r="Q8" s="122"/>
    </row>
    <row r="9" spans="1:17" x14ac:dyDescent="0.2">
      <c r="A9" s="97"/>
      <c r="B9" s="98"/>
      <c r="C9" s="105" t="s">
        <v>208</v>
      </c>
      <c r="D9" s="121">
        <f>'Tableau recap'!E34</f>
        <v>0</v>
      </c>
      <c r="E9" s="121">
        <f>'Tableau recap'!F34</f>
        <v>0</v>
      </c>
      <c r="F9" s="121">
        <f>'Tableau recap'!G34</f>
        <v>0</v>
      </c>
      <c r="G9" s="121">
        <f>'Tableau recap'!H34</f>
        <v>0</v>
      </c>
      <c r="H9" s="121">
        <f>'Tableau recap'!I34</f>
        <v>0</v>
      </c>
      <c r="I9" s="121">
        <f>'Tableau recap'!J34</f>
        <v>0</v>
      </c>
      <c r="J9" s="121">
        <f>'Tableau recap'!K34</f>
        <v>0</v>
      </c>
      <c r="K9" s="121">
        <f>'Tableau recap'!L34</f>
        <v>0</v>
      </c>
      <c r="L9" s="121">
        <f>'Tableau recap'!M34</f>
        <v>0</v>
      </c>
      <c r="M9" s="121">
        <f>'Tableau recap'!N34</f>
        <v>0</v>
      </c>
      <c r="N9" s="121">
        <f>'Tableau recap'!O34</f>
        <v>0</v>
      </c>
      <c r="O9" s="121">
        <f>'Tableau recap'!P34</f>
        <v>0</v>
      </c>
      <c r="P9" s="122">
        <f t="shared" si="0"/>
        <v>0</v>
      </c>
      <c r="Q9" s="122"/>
    </row>
    <row r="10" spans="1:17" x14ac:dyDescent="0.2">
      <c r="A10" s="97"/>
      <c r="B10" s="98"/>
      <c r="C10" s="105" t="s">
        <v>209</v>
      </c>
      <c r="D10" s="121">
        <f>'Tableau recap'!E44</f>
        <v>48.125</v>
      </c>
      <c r="E10" s="121">
        <f>'Tableau recap'!F44</f>
        <v>20.625</v>
      </c>
      <c r="F10" s="121">
        <f>'Tableau recap'!G44</f>
        <v>48.125</v>
      </c>
      <c r="G10" s="121">
        <f>'Tableau recap'!H44</f>
        <v>20.625</v>
      </c>
      <c r="H10" s="121">
        <f>'Tableau recap'!I44</f>
        <v>90.75</v>
      </c>
      <c r="I10" s="121">
        <f>'Tableau recap'!J44</f>
        <v>140.25</v>
      </c>
      <c r="J10" s="121">
        <f>'Tableau recap'!K44</f>
        <v>189.75</v>
      </c>
      <c r="K10" s="121">
        <f>'Tableau recap'!L44</f>
        <v>239.25</v>
      </c>
      <c r="L10" s="121">
        <f>'Tableau recap'!M44</f>
        <v>103.125</v>
      </c>
      <c r="M10" s="121">
        <f>'Tableau recap'!N44</f>
        <v>103.125</v>
      </c>
      <c r="N10" s="121">
        <f>'Tableau recap'!O44</f>
        <v>103.125</v>
      </c>
      <c r="O10" s="121">
        <f>'Tableau recap'!P44</f>
        <v>103.125</v>
      </c>
      <c r="P10" s="122">
        <f t="shared" si="0"/>
        <v>1210</v>
      </c>
      <c r="Q10" s="122"/>
    </row>
    <row r="11" spans="1:17" x14ac:dyDescent="0.2">
      <c r="A11" s="97"/>
      <c r="B11" s="98"/>
      <c r="C11" s="105" t="s">
        <v>205</v>
      </c>
      <c r="D11" s="121">
        <f>'Tableau recap'!E54</f>
        <v>0</v>
      </c>
      <c r="E11" s="121">
        <f>'Tableau recap'!F54</f>
        <v>45</v>
      </c>
      <c r="F11" s="121">
        <f>'Tableau recap'!G54</f>
        <v>0</v>
      </c>
      <c r="G11" s="121">
        <f>'Tableau recap'!H54</f>
        <v>394.6</v>
      </c>
      <c r="H11" s="121">
        <f>'Tableau recap'!I54</f>
        <v>218.5</v>
      </c>
      <c r="I11" s="121">
        <f>'Tableau recap'!J54</f>
        <v>263.5</v>
      </c>
      <c r="J11" s="121">
        <f>'Tableau recap'!K54</f>
        <v>263.5</v>
      </c>
      <c r="K11" s="121">
        <f>'Tableau recap'!L54</f>
        <v>263.5</v>
      </c>
      <c r="L11" s="121">
        <f>'Tableau recap'!M54</f>
        <v>394.6</v>
      </c>
      <c r="M11" s="121">
        <f>'Tableau recap'!N54</f>
        <v>394.6</v>
      </c>
      <c r="N11" s="121">
        <f>'Tableau recap'!O54</f>
        <v>394.6</v>
      </c>
      <c r="O11" s="121">
        <f>'Tableau recap'!P54</f>
        <v>394.6</v>
      </c>
      <c r="P11" s="122">
        <f t="shared" si="0"/>
        <v>3026.9999999999995</v>
      </c>
      <c r="Q11" s="122"/>
    </row>
    <row r="12" spans="1:17" x14ac:dyDescent="0.2">
      <c r="A12" s="97"/>
      <c r="B12" s="98"/>
      <c r="C12" s="106" t="s">
        <v>93</v>
      </c>
      <c r="D12" s="123">
        <f t="shared" ref="D12:P12" si="1">SUM(D6:D11)</f>
        <v>83.728961829940005</v>
      </c>
      <c r="E12" s="123">
        <f t="shared" si="1"/>
        <v>148.37135589988</v>
      </c>
      <c r="F12" s="123">
        <f t="shared" si="1"/>
        <v>201.00207134982</v>
      </c>
      <c r="G12" s="123">
        <f t="shared" si="1"/>
        <v>865.24446541975999</v>
      </c>
      <c r="H12" s="123">
        <f t="shared" si="1"/>
        <v>827.51854447710832</v>
      </c>
      <c r="I12" s="123">
        <f t="shared" si="1"/>
        <v>1044.1707206473834</v>
      </c>
      <c r="J12" s="123">
        <f t="shared" si="1"/>
        <v>1215.8228968176581</v>
      </c>
      <c r="K12" s="123">
        <f t="shared" si="1"/>
        <v>1387.4750729879333</v>
      </c>
      <c r="L12" s="123">
        <f t="shared" si="1"/>
        <v>2193.0855745661502</v>
      </c>
      <c r="M12" s="123">
        <f t="shared" si="1"/>
        <v>2193.0855745661502</v>
      </c>
      <c r="N12" s="123">
        <f t="shared" si="1"/>
        <v>2193.0855745661502</v>
      </c>
      <c r="O12" s="123">
        <f t="shared" si="1"/>
        <v>2193.0855745661502</v>
      </c>
      <c r="P12" s="123">
        <f t="shared" si="1"/>
        <v>14545.676387694082</v>
      </c>
      <c r="Q12" s="123"/>
    </row>
    <row r="13" spans="1:17" x14ac:dyDescent="0.2">
      <c r="A13" s="97">
        <v>22</v>
      </c>
      <c r="B13" s="98"/>
      <c r="C13" s="105" t="s">
        <v>6</v>
      </c>
      <c r="D13" s="121">
        <f>-'Tableau recap'!E93</f>
        <v>-2.3482652023600004</v>
      </c>
      <c r="E13" s="121">
        <f>-'Tableau recap'!F93</f>
        <v>-8.6851810628390069</v>
      </c>
      <c r="F13" s="121">
        <f>-'Tableau recap'!G93</f>
        <v>-14.029459094258513</v>
      </c>
      <c r="G13" s="121">
        <f>-'Tableau recap'!H93</f>
        <v>-219.59832936624574</v>
      </c>
      <c r="H13" s="121">
        <f>-'Tableau recap'!I93</f>
        <v>-184.37365925763311</v>
      </c>
      <c r="I13" s="121">
        <f>-'Tableau recap'!J93</f>
        <v>-187.92474211575808</v>
      </c>
      <c r="J13" s="121">
        <f>-'Tableau recap'!K93</f>
        <v>-191.47582497388311</v>
      </c>
      <c r="K13" s="121">
        <f>-'Tableau recap'!L93</f>
        <v>-195.02690783200808</v>
      </c>
      <c r="L13" s="121">
        <f>-'Tableau recap'!M93</f>
        <v>-338.88125401461667</v>
      </c>
      <c r="M13" s="121">
        <f>-'Tableau recap'!N93</f>
        <v>-338.88125401461667</v>
      </c>
      <c r="N13" s="121">
        <f>-'Tableau recap'!O93</f>
        <v>-338.88125401461667</v>
      </c>
      <c r="O13" s="121">
        <f>-'Tableau recap'!P93</f>
        <v>-338.88125401461667</v>
      </c>
      <c r="P13" s="122">
        <f>SUM(D13:O13)</f>
        <v>-2358.9873849634523</v>
      </c>
      <c r="Q13" s="122"/>
    </row>
    <row r="14" spans="1:17" x14ac:dyDescent="0.2">
      <c r="A14" s="97"/>
      <c r="B14" s="98"/>
      <c r="C14" s="105" t="s">
        <v>238</v>
      </c>
      <c r="D14" s="121">
        <f>COGS!C21/1000</f>
        <v>0</v>
      </c>
      <c r="E14" s="121">
        <f>COGS!D21/1000</f>
        <v>0</v>
      </c>
      <c r="F14" s="121">
        <f>COGS!E21/1000</f>
        <v>0</v>
      </c>
      <c r="G14" s="121">
        <f>COGS!F21/1000</f>
        <v>0</v>
      </c>
      <c r="H14" s="121">
        <f>COGS!G21/1000</f>
        <v>0</v>
      </c>
      <c r="I14" s="121">
        <f>COGS!H21/1000</f>
        <v>0</v>
      </c>
      <c r="J14" s="121">
        <f>COGS!I21/1000</f>
        <v>0</v>
      </c>
      <c r="K14" s="121">
        <f>COGS!J21/1000</f>
        <v>0</v>
      </c>
      <c r="L14" s="121">
        <f>COGS!K21/1000</f>
        <v>0</v>
      </c>
      <c r="M14" s="121">
        <f>COGS!L21/1000</f>
        <v>0</v>
      </c>
      <c r="N14" s="121">
        <f>COGS!M21/1000</f>
        <v>0</v>
      </c>
      <c r="O14" s="121">
        <f>COGS!N21/1000</f>
        <v>0</v>
      </c>
      <c r="P14" s="122">
        <f>SUM(D14:O14)</f>
        <v>0</v>
      </c>
      <c r="Q14" s="122"/>
    </row>
    <row r="15" spans="1:17" ht="16" thickBot="1" x14ac:dyDescent="0.25">
      <c r="A15" s="97"/>
      <c r="B15" s="98"/>
      <c r="C15" s="106" t="s">
        <v>94</v>
      </c>
      <c r="D15" s="124">
        <f>SUM(D13:D14)</f>
        <v>-2.3482652023600004</v>
      </c>
      <c r="E15" s="124">
        <f t="shared" ref="E15:P15" si="2">SUM(E13:E14)</f>
        <v>-8.6851810628390069</v>
      </c>
      <c r="F15" s="124">
        <f t="shared" si="2"/>
        <v>-14.029459094258513</v>
      </c>
      <c r="G15" s="124">
        <f t="shared" si="2"/>
        <v>-219.59832936624574</v>
      </c>
      <c r="H15" s="124">
        <f t="shared" si="2"/>
        <v>-184.37365925763311</v>
      </c>
      <c r="I15" s="124">
        <f t="shared" si="2"/>
        <v>-187.92474211575808</v>
      </c>
      <c r="J15" s="124">
        <f t="shared" si="2"/>
        <v>-191.47582497388311</v>
      </c>
      <c r="K15" s="124">
        <f t="shared" si="2"/>
        <v>-195.02690783200808</v>
      </c>
      <c r="L15" s="124">
        <f t="shared" si="2"/>
        <v>-338.88125401461667</v>
      </c>
      <c r="M15" s="124">
        <f t="shared" si="2"/>
        <v>-338.88125401461667</v>
      </c>
      <c r="N15" s="124">
        <f t="shared" si="2"/>
        <v>-338.88125401461667</v>
      </c>
      <c r="O15" s="124">
        <f t="shared" si="2"/>
        <v>-338.88125401461667</v>
      </c>
      <c r="P15" s="124">
        <f t="shared" si="2"/>
        <v>-2358.9873849634523</v>
      </c>
      <c r="Q15" s="122"/>
    </row>
    <row r="16" spans="1:17" ht="16" thickBot="1" x14ac:dyDescent="0.25">
      <c r="A16" s="97"/>
      <c r="B16" s="98"/>
      <c r="C16" s="107" t="s">
        <v>95</v>
      </c>
      <c r="D16" s="125">
        <f t="shared" ref="D16:N16" si="3">D12+D15</f>
        <v>81.380696627580008</v>
      </c>
      <c r="E16" s="125">
        <f t="shared" si="3"/>
        <v>139.68617483704099</v>
      </c>
      <c r="F16" s="125">
        <f t="shared" si="3"/>
        <v>186.9726122555615</v>
      </c>
      <c r="G16" s="125">
        <f t="shared" si="3"/>
        <v>645.64613605351428</v>
      </c>
      <c r="H16" s="125">
        <f t="shared" si="3"/>
        <v>643.14488521947521</v>
      </c>
      <c r="I16" s="125">
        <f t="shared" si="3"/>
        <v>856.24597853162527</v>
      </c>
      <c r="J16" s="125">
        <f t="shared" si="3"/>
        <v>1024.347071843775</v>
      </c>
      <c r="K16" s="125">
        <f t="shared" si="3"/>
        <v>1192.4481651559254</v>
      </c>
      <c r="L16" s="125">
        <f t="shared" si="3"/>
        <v>1854.2043205515336</v>
      </c>
      <c r="M16" s="125">
        <f t="shared" si="3"/>
        <v>1854.2043205515336</v>
      </c>
      <c r="N16" s="125">
        <f t="shared" si="3"/>
        <v>1854.2043205515336</v>
      </c>
      <c r="O16" s="125">
        <f>O12+O15</f>
        <v>1854.2043205515336</v>
      </c>
      <c r="P16" s="125">
        <f>P12+P15</f>
        <v>12186.689002730629</v>
      </c>
      <c r="Q16" s="125"/>
    </row>
    <row r="17" spans="1:17" ht="16" thickBot="1" x14ac:dyDescent="0.25">
      <c r="A17" s="97"/>
      <c r="B17" s="98"/>
      <c r="C17" s="108" t="s">
        <v>96</v>
      </c>
      <c r="D17" s="126">
        <f t="shared" ref="D17:O17" si="4">D16/D12</f>
        <v>0.97195396728876793</v>
      </c>
      <c r="E17" s="126">
        <f t="shared" si="4"/>
        <v>0.94146322239786151</v>
      </c>
      <c r="F17" s="126">
        <f t="shared" si="4"/>
        <v>0.93020241532813908</v>
      </c>
      <c r="G17" s="126">
        <f t="shared" si="4"/>
        <v>0.74620082746243166</v>
      </c>
      <c r="H17" s="126">
        <f t="shared" si="4"/>
        <v>0.77719694562961728</v>
      </c>
      <c r="I17" s="126">
        <f t="shared" si="4"/>
        <v>0.8200248882680361</v>
      </c>
      <c r="J17" s="126">
        <f t="shared" si="4"/>
        <v>0.84251339115667312</v>
      </c>
      <c r="K17" s="126">
        <f t="shared" si="4"/>
        <v>0.85943754116460147</v>
      </c>
      <c r="L17" s="126">
        <f t="shared" si="4"/>
        <v>0.84547741413070199</v>
      </c>
      <c r="M17" s="126">
        <f t="shared" si="4"/>
        <v>0.84547741413070199</v>
      </c>
      <c r="N17" s="126">
        <f t="shared" si="4"/>
        <v>0.84547741413070199</v>
      </c>
      <c r="O17" s="126">
        <f t="shared" si="4"/>
        <v>0.84547741413070199</v>
      </c>
      <c r="P17" s="126">
        <f t="shared" ref="P17" si="5">P16/P12</f>
        <v>0.83782209076511549</v>
      </c>
      <c r="Q17" s="126"/>
    </row>
    <row r="18" spans="1:17" x14ac:dyDescent="0.2">
      <c r="A18" s="97">
        <v>10</v>
      </c>
      <c r="B18" s="98" t="s">
        <v>63</v>
      </c>
      <c r="C18" s="109" t="s">
        <v>15</v>
      </c>
      <c r="D18" s="124">
        <f>-'Recap costs'!H33/1000</f>
        <v>-9</v>
      </c>
      <c r="E18" s="124">
        <f>-'Recap costs'!I33/1000</f>
        <v>-9</v>
      </c>
      <c r="F18" s="124">
        <f>-'Recap costs'!J33/1000</f>
        <v>-9</v>
      </c>
      <c r="G18" s="124">
        <f>-'Recap costs'!K33/1000</f>
        <v>-9</v>
      </c>
      <c r="H18" s="124">
        <f>-'Recap costs'!L33/1000</f>
        <v>-9</v>
      </c>
      <c r="I18" s="124">
        <f>-'Recap costs'!M33/1000</f>
        <v>-9</v>
      </c>
      <c r="J18" s="124">
        <f>-'Recap costs'!N33/1000</f>
        <v>-9</v>
      </c>
      <c r="K18" s="124">
        <f>-'Recap costs'!O33/1000</f>
        <v>-9</v>
      </c>
      <c r="L18" s="124">
        <f>-'Recap costs'!P33/1000</f>
        <v>-9</v>
      </c>
      <c r="M18" s="124">
        <f>-'Recap costs'!Q33/1000</f>
        <v>-9</v>
      </c>
      <c r="N18" s="124">
        <f>-'Recap costs'!R33/1000</f>
        <v>-9</v>
      </c>
      <c r="O18" s="124">
        <f>-'Recap costs'!S33/1000</f>
        <v>-9</v>
      </c>
      <c r="P18" s="124">
        <f t="shared" ref="P18:P44" si="6">SUM(D18:O18)</f>
        <v>-108</v>
      </c>
      <c r="Q18" s="124"/>
    </row>
    <row r="19" spans="1:17" x14ac:dyDescent="0.2">
      <c r="A19" s="110">
        <v>11</v>
      </c>
      <c r="B19" s="111"/>
      <c r="C19" s="109" t="s">
        <v>97</v>
      </c>
      <c r="D19" s="124">
        <f>SUM(D20:D26)</f>
        <v>-327.61808680000001</v>
      </c>
      <c r="E19" s="124">
        <f t="shared" ref="E19:O19" si="7">SUM(E20:E26)</f>
        <v>-514.49308680000001</v>
      </c>
      <c r="F19" s="124">
        <f t="shared" si="7"/>
        <v>-551.59308680000004</v>
      </c>
      <c r="G19" s="124">
        <f t="shared" si="7"/>
        <v>-706.44308680000017</v>
      </c>
      <c r="H19" s="124">
        <f t="shared" si="7"/>
        <v>-867.84308680000004</v>
      </c>
      <c r="I19" s="124">
        <f t="shared" si="7"/>
        <v>-837.59308680000004</v>
      </c>
      <c r="J19" s="124">
        <f t="shared" si="7"/>
        <v>-864.34308680000004</v>
      </c>
      <c r="K19" s="124">
        <f t="shared" si="7"/>
        <v>-922.09308680000004</v>
      </c>
      <c r="L19" s="124">
        <f t="shared" si="7"/>
        <v>-949.84308680000004</v>
      </c>
      <c r="M19" s="124">
        <f t="shared" si="7"/>
        <v>-994.94308679999995</v>
      </c>
      <c r="N19" s="124">
        <f t="shared" si="7"/>
        <v>-994.94308679999995</v>
      </c>
      <c r="O19" s="124">
        <f t="shared" si="7"/>
        <v>-1041.6930867999999</v>
      </c>
      <c r="P19" s="124">
        <f t="shared" si="6"/>
        <v>-9573.4420415999994</v>
      </c>
      <c r="Q19" s="124"/>
    </row>
    <row r="20" spans="1:17" x14ac:dyDescent="0.2">
      <c r="A20" s="110"/>
      <c r="B20" s="111"/>
      <c r="C20" s="139" t="s">
        <v>201</v>
      </c>
      <c r="D20" s="121">
        <f>-('PT Recap costs'!B48+'PT Recap costs'!B49)/1000</f>
        <v>-13.4730902</v>
      </c>
      <c r="E20" s="121">
        <f>-('PT Recap costs'!C48+'PT Recap costs'!C49)/1000</f>
        <v>-82.910590200000001</v>
      </c>
      <c r="F20" s="121">
        <f>-('PT Recap costs'!D48+'PT Recap costs'!D49)/1000</f>
        <v>-82.910590200000001</v>
      </c>
      <c r="G20" s="121">
        <f>-('PT Recap costs'!E48+'PT Recap costs'!E49)/1000</f>
        <v>-105.46059020000001</v>
      </c>
      <c r="H20" s="121">
        <f>-('PT Recap costs'!F48+'PT Recap costs'!F49)/1000</f>
        <v>-109.0355902</v>
      </c>
      <c r="I20" s="121">
        <f>-('PT Recap costs'!G48+'PT Recap costs'!G49)/1000</f>
        <v>-109.0355902</v>
      </c>
      <c r="J20" s="121">
        <f>-('PT Recap costs'!H48+'PT Recap costs'!H49)/1000</f>
        <v>-109.0355902</v>
      </c>
      <c r="K20" s="121">
        <f>-('PT Recap costs'!I48+'PT Recap costs'!I49)/1000</f>
        <v>-109.0355902</v>
      </c>
      <c r="L20" s="121">
        <f>-('PT Recap costs'!J48+'PT Recap costs'!J49)/1000</f>
        <v>-109.0355902</v>
      </c>
      <c r="M20" s="121">
        <f>-('PT Recap costs'!K48+'PT Recap costs'!K49)/1000</f>
        <v>-120.31059020000001</v>
      </c>
      <c r="N20" s="121">
        <f>-('PT Recap costs'!L48+'PT Recap costs'!L49)/1000</f>
        <v>-120.31059020000001</v>
      </c>
      <c r="O20" s="121">
        <f>-('PT Recap costs'!M48+'PT Recap costs'!M49)/1000</f>
        <v>-120.31059020000001</v>
      </c>
      <c r="P20" s="122">
        <f>SUM(D20:O20)</f>
        <v>-1190.8645824</v>
      </c>
      <c r="Q20" s="124"/>
    </row>
    <row r="21" spans="1:17" x14ac:dyDescent="0.2">
      <c r="A21" s="110"/>
      <c r="B21" s="111"/>
      <c r="C21" s="139" t="s">
        <v>202</v>
      </c>
      <c r="D21" s="121">
        <f>-('PT Recap costs'!B52+'PT Recap costs'!B53)/1000</f>
        <v>-13.4730902</v>
      </c>
      <c r="E21" s="121">
        <f>-('PT Recap costs'!C52+'PT Recap costs'!C53)/1000</f>
        <v>-82.910590200000001</v>
      </c>
      <c r="F21" s="121">
        <f>-('PT Recap costs'!D52+'PT Recap costs'!D53)/1000</f>
        <v>-82.910590200000001</v>
      </c>
      <c r="G21" s="121">
        <f>-('PT Recap costs'!E52+'PT Recap costs'!E53)/1000</f>
        <v>-105.46059020000001</v>
      </c>
      <c r="H21" s="121">
        <f>-('PT Recap costs'!F52+'PT Recap costs'!F53)/1000</f>
        <v>-109.0355902</v>
      </c>
      <c r="I21" s="121">
        <f>-('PT Recap costs'!G52+'PT Recap costs'!G53)/1000</f>
        <v>-109.0355902</v>
      </c>
      <c r="J21" s="121">
        <f>-('PT Recap costs'!H52+'PT Recap costs'!H53)/1000</f>
        <v>-109.0355902</v>
      </c>
      <c r="K21" s="121">
        <f>-('PT Recap costs'!I52+'PT Recap costs'!I53)/1000</f>
        <v>-109.0355902</v>
      </c>
      <c r="L21" s="121">
        <f>-('PT Recap costs'!J52+'PT Recap costs'!J53)/1000</f>
        <v>-109.0355902</v>
      </c>
      <c r="M21" s="121">
        <f>-('PT Recap costs'!K52+'PT Recap costs'!K53)/1000</f>
        <v>-120.31059020000001</v>
      </c>
      <c r="N21" s="121">
        <f>-('PT Recap costs'!L52+'PT Recap costs'!L53)/1000</f>
        <v>-120.31059020000001</v>
      </c>
      <c r="O21" s="121">
        <f>-('PT Recap costs'!M52+'PT Recap costs'!M53)/1000</f>
        <v>-120.31059020000001</v>
      </c>
      <c r="P21" s="122">
        <f t="shared" ref="P21:P26" si="8">SUM(D21:O21)</f>
        <v>-1190.8645824</v>
      </c>
      <c r="Q21" s="124"/>
    </row>
    <row r="22" spans="1:17" x14ac:dyDescent="0.2">
      <c r="A22" s="110"/>
      <c r="B22" s="111"/>
      <c r="C22" s="139" t="s">
        <v>203</v>
      </c>
      <c r="D22" s="121">
        <f>-('PT Recap costs'!B56+'PT Recap costs'!B57)/1000</f>
        <v>-100.6789064</v>
      </c>
      <c r="E22" s="121">
        <f>-('PT Recap costs'!C56+'PT Recap costs'!C57)/1000</f>
        <v>-103.4289064</v>
      </c>
      <c r="F22" s="121">
        <f>-('PT Recap costs'!D56+'PT Recap costs'!D57)/1000</f>
        <v>-98.715611349999989</v>
      </c>
      <c r="G22" s="121">
        <f>-('PT Recap costs'!E56+'PT Recap costs'!E57)/1000</f>
        <v>-178.46561134999999</v>
      </c>
      <c r="H22" s="121">
        <f>-('PT Recap costs'!F56+'PT Recap costs'!F57)/1000</f>
        <v>-213.42890640000002</v>
      </c>
      <c r="I22" s="121">
        <f>-('PT Recap costs'!G56+'PT Recap costs'!G57)/1000</f>
        <v>-183.17890640000002</v>
      </c>
      <c r="J22" s="121">
        <f>-('PT Recap costs'!H56+'PT Recap costs'!H57)/1000</f>
        <v>-106.1789064</v>
      </c>
      <c r="K22" s="121">
        <f>-('PT Recap costs'!I56+'PT Recap costs'!I57)/1000</f>
        <v>-144.67890640000002</v>
      </c>
      <c r="L22" s="121">
        <f>-('PT Recap costs'!J56+'PT Recap costs'!J57)/1000</f>
        <v>-188.67890640000002</v>
      </c>
      <c r="M22" s="121">
        <f>-('PT Recap costs'!K56+'PT Recap costs'!K57)/1000</f>
        <v>-188.67890640000002</v>
      </c>
      <c r="N22" s="121">
        <f>-('PT Recap costs'!L56+'PT Recap costs'!L57)/1000</f>
        <v>-188.67890640000002</v>
      </c>
      <c r="O22" s="121">
        <f>-('PT Recap costs'!M56+'PT Recap costs'!M57)/1000</f>
        <v>-235.42890640000002</v>
      </c>
      <c r="P22" s="122">
        <f t="shared" si="8"/>
        <v>-1930.2202866999996</v>
      </c>
      <c r="Q22" s="124"/>
    </row>
    <row r="23" spans="1:17" x14ac:dyDescent="0.2">
      <c r="A23" s="110"/>
      <c r="B23" s="111"/>
      <c r="C23" s="139" t="s">
        <v>236</v>
      </c>
      <c r="D23" s="121">
        <f>-('PT Recap costs'!B60+'PT Recap costs'!B61)/1000</f>
        <v>-11.25</v>
      </c>
      <c r="E23" s="121">
        <f>-('PT Recap costs'!C60+'PT Recap costs'!C61)/1000</f>
        <v>-41.5</v>
      </c>
      <c r="F23" s="121">
        <f>-('PT Recap costs'!D60+'PT Recap costs'!D61)/1000</f>
        <v>-46.213295049999999</v>
      </c>
      <c r="G23" s="121">
        <f>-('PT Recap costs'!E60+'PT Recap costs'!E61)/1000</f>
        <v>-76.213295049999999</v>
      </c>
      <c r="H23" s="121">
        <f>-('PT Recap costs'!F60+'PT Recap costs'!F61)/1000</f>
        <v>-60.25</v>
      </c>
      <c r="I23" s="121">
        <f>-('PT Recap costs'!G60+'PT Recap costs'!G61)/1000</f>
        <v>-60.25</v>
      </c>
      <c r="J23" s="121">
        <f>-('PT Recap costs'!H60+'PT Recap costs'!H61)/1000</f>
        <v>-90.5</v>
      </c>
      <c r="K23" s="121">
        <f>-('PT Recap costs'!I60+'PT Recap costs'!I61)/1000</f>
        <v>-109.75</v>
      </c>
      <c r="L23" s="121">
        <f>-('PT Recap costs'!J60+'PT Recap costs'!J61)/1000</f>
        <v>-93.5</v>
      </c>
      <c r="M23" s="121">
        <f>-('PT Recap costs'!K60+'PT Recap costs'!K61)/1000</f>
        <v>-93.5</v>
      </c>
      <c r="N23" s="121">
        <f>-('PT Recap costs'!L60+'PT Recap costs'!L61)/1000</f>
        <v>-93.5</v>
      </c>
      <c r="O23" s="121">
        <f>-('PT Recap costs'!M60+'PT Recap costs'!M61)/1000</f>
        <v>-93.5</v>
      </c>
      <c r="P23" s="122">
        <f t="shared" si="8"/>
        <v>-869.9265901</v>
      </c>
      <c r="Q23" s="124"/>
    </row>
    <row r="24" spans="1:17" x14ac:dyDescent="0.2">
      <c r="A24" s="110"/>
      <c r="B24" s="111"/>
      <c r="C24" s="139" t="s">
        <v>204</v>
      </c>
      <c r="D24" s="121">
        <f>-('PT Recap costs'!B64+'PT Recap costs'!B65)/1000</f>
        <v>-27</v>
      </c>
      <c r="E24" s="121">
        <f>-('PT Recap costs'!C64+'PT Recap costs'!C65)/1000</f>
        <v>-27</v>
      </c>
      <c r="F24" s="121">
        <f>-('PT Recap costs'!D64+'PT Recap costs'!D65)/1000</f>
        <v>-27</v>
      </c>
      <c r="G24" s="121">
        <f>-('PT Recap costs'!E64+'PT Recap costs'!E65)/1000</f>
        <v>-27</v>
      </c>
      <c r="H24" s="121">
        <f>-('PT Recap costs'!F64+'PT Recap costs'!F65)/1000</f>
        <v>-134.25</v>
      </c>
      <c r="I24" s="121">
        <f>-('PT Recap costs'!G64+'PT Recap costs'!G65)/1000</f>
        <v>-134.25</v>
      </c>
      <c r="J24" s="121">
        <f>-('PT Recap costs'!H64+'PT Recap costs'!H65)/1000</f>
        <v>-117.75</v>
      </c>
      <c r="K24" s="121">
        <f>-('PT Recap costs'!I64+'PT Recap costs'!I65)/1000</f>
        <v>-117.75</v>
      </c>
      <c r="L24" s="121">
        <f>-('PT Recap costs'!J64+'PT Recap costs'!J65)/1000</f>
        <v>-117.75</v>
      </c>
      <c r="M24" s="121">
        <f>-('PT Recap costs'!K64+'PT Recap costs'!K65)/1000</f>
        <v>-129.02500000000001</v>
      </c>
      <c r="N24" s="121">
        <f>-('PT Recap costs'!L64+'PT Recap costs'!L65)/1000</f>
        <v>-129.02500000000001</v>
      </c>
      <c r="O24" s="121">
        <f>-('PT Recap costs'!M64+'PT Recap costs'!M65)/1000</f>
        <v>-129.02500000000001</v>
      </c>
      <c r="P24" s="122">
        <f t="shared" si="8"/>
        <v>-1116.825</v>
      </c>
      <c r="Q24" s="124"/>
    </row>
    <row r="25" spans="1:17" x14ac:dyDescent="0.2">
      <c r="A25" s="110"/>
      <c r="B25" s="111"/>
      <c r="C25" s="139" t="s">
        <v>205</v>
      </c>
      <c r="D25" s="121">
        <f>-('PT Recap costs'!B68+'PT Recap costs'!B69)/1000</f>
        <v>0</v>
      </c>
      <c r="E25" s="121">
        <f>-('PT Recap costs'!C68+'PT Recap costs'!C69)/1000</f>
        <v>-15</v>
      </c>
      <c r="F25" s="121">
        <f>-('PT Recap costs'!D68+'PT Recap costs'!D69)/1000</f>
        <v>-30</v>
      </c>
      <c r="G25" s="121">
        <f>-('PT Recap costs'!E68+'PT Recap costs'!E69)/1000</f>
        <v>-30</v>
      </c>
      <c r="H25" s="121">
        <f>-('PT Recap costs'!F68+'PT Recap costs'!F69)/1000</f>
        <v>-30</v>
      </c>
      <c r="I25" s="121">
        <f>-('PT Recap costs'!G68+'PT Recap costs'!G69)/1000</f>
        <v>-30</v>
      </c>
      <c r="J25" s="121">
        <f>-('PT Recap costs'!H68+'PT Recap costs'!H69)/1000</f>
        <v>-120</v>
      </c>
      <c r="K25" s="121">
        <f>-('PT Recap costs'!I68+'PT Recap costs'!I69)/1000</f>
        <v>-120</v>
      </c>
      <c r="L25" s="121">
        <f>-('PT Recap costs'!J68+'PT Recap costs'!J69)/1000</f>
        <v>-120</v>
      </c>
      <c r="M25" s="121">
        <f>-('PT Recap costs'!K68+'PT Recap costs'!K69)/1000</f>
        <v>-131.27500000000001</v>
      </c>
      <c r="N25" s="121">
        <f>-('PT Recap costs'!L68+'PT Recap costs'!L69)/1000</f>
        <v>-131.27500000000001</v>
      </c>
      <c r="O25" s="121">
        <f>-('PT Recap costs'!M68+'PT Recap costs'!M69)/1000</f>
        <v>-131.27500000000001</v>
      </c>
      <c r="P25" s="122">
        <f t="shared" si="8"/>
        <v>-888.82499999999993</v>
      </c>
      <c r="Q25" s="124"/>
    </row>
    <row r="26" spans="1:17" x14ac:dyDescent="0.2">
      <c r="A26" s="110"/>
      <c r="B26" s="111"/>
      <c r="C26" s="139" t="s">
        <v>14</v>
      </c>
      <c r="D26" s="121">
        <f>-('PT Recap costs'!B72+'PT Recap costs'!B73)/1000-'Recap costs'!H31/1000-'Recap costs'!H60/1000-'Recap costs'!H61/1000</f>
        <v>-161.74299999999999</v>
      </c>
      <c r="E26" s="121">
        <f>-('PT Recap costs'!C72+'PT Recap costs'!C73)/1000-'Recap costs'!I31/1000-'Recap costs'!I60/1000-'Recap costs'!I61/1000</f>
        <v>-161.74299999999999</v>
      </c>
      <c r="F26" s="121">
        <f>-('PT Recap costs'!D72+'PT Recap costs'!D73)/1000-'Recap costs'!J31/1000-'Recap costs'!J60/1000-'Recap costs'!J61/1000</f>
        <v>-183.84300000000002</v>
      </c>
      <c r="G26" s="121">
        <f>-('PT Recap costs'!E72+'PT Recap costs'!E73)/1000-'Recap costs'!K31/1000-'Recap costs'!K60/1000-'Recap costs'!K61/1000</f>
        <v>-183.84300000000002</v>
      </c>
      <c r="H26" s="121">
        <f>-('PT Recap costs'!F72+'PT Recap costs'!F73)/1000-'Recap costs'!L31/1000-'Recap costs'!L60/1000-'Recap costs'!L61/1000</f>
        <v>-211.84300000000002</v>
      </c>
      <c r="I26" s="121">
        <f>-('PT Recap costs'!G72+'PT Recap costs'!G73)/1000-'Recap costs'!M31/1000-'Recap costs'!M60/1000-'Recap costs'!M61/1000</f>
        <v>-211.84300000000002</v>
      </c>
      <c r="J26" s="121">
        <f>-('PT Recap costs'!H72+'PT Recap costs'!H73)/1000-'Recap costs'!N31/1000-'Recap costs'!N60/1000-'Recap costs'!N61/1000</f>
        <v>-211.84300000000002</v>
      </c>
      <c r="K26" s="121">
        <f>-('PT Recap costs'!I72+'PT Recap costs'!I73)/1000-'Recap costs'!O31/1000-'Recap costs'!O60/1000-'Recap costs'!O61/1000</f>
        <v>-211.84300000000002</v>
      </c>
      <c r="L26" s="121">
        <f>-('PT Recap costs'!J72+'PT Recap costs'!J73)/1000-'Recap costs'!P31/1000-'Recap costs'!P60/1000-'Recap costs'!P61/1000</f>
        <v>-211.84300000000002</v>
      </c>
      <c r="M26" s="121">
        <f>-('PT Recap costs'!K72+'PT Recap costs'!K73)/1000-'Recap costs'!Q31/1000-'Recap costs'!Q60/1000-'Recap costs'!Q61/1000</f>
        <v>-211.84300000000002</v>
      </c>
      <c r="N26" s="121">
        <f>-('PT Recap costs'!L72+'PT Recap costs'!L73)/1000-'Recap costs'!R31/1000-'Recap costs'!R60/1000-'Recap costs'!R61/1000</f>
        <v>-211.84300000000002</v>
      </c>
      <c r="O26" s="121">
        <f>-('PT Recap costs'!M72+'PT Recap costs'!M73)/1000-'Recap costs'!S31/1000-'Recap costs'!S60/1000-'Recap costs'!S61/1000</f>
        <v>-211.84300000000002</v>
      </c>
      <c r="P26" s="122">
        <f t="shared" si="8"/>
        <v>-2385.9160000000002</v>
      </c>
      <c r="Q26" s="124"/>
    </row>
    <row r="27" spans="1:17" x14ac:dyDescent="0.2">
      <c r="A27" s="110">
        <v>13</v>
      </c>
      <c r="B27" s="111" t="s">
        <v>63</v>
      </c>
      <c r="C27" s="109" t="s">
        <v>16</v>
      </c>
      <c r="D27" s="124">
        <f>-'Recap costs'!H34/1000</f>
        <v>-30</v>
      </c>
      <c r="E27" s="124">
        <f>-'Recap costs'!I34/1000</f>
        <v>-60</v>
      </c>
      <c r="F27" s="124">
        <f>-'Recap costs'!J34/1000</f>
        <v>0</v>
      </c>
      <c r="G27" s="124">
        <f>-'Recap costs'!K34/1000</f>
        <v>-40</v>
      </c>
      <c r="H27" s="124">
        <f>-'Recap costs'!L34/1000</f>
        <v>-40</v>
      </c>
      <c r="I27" s="124">
        <f>-'Recap costs'!M34/1000</f>
        <v>0</v>
      </c>
      <c r="J27" s="124">
        <f>-'Recap costs'!N34/1000</f>
        <v>-10</v>
      </c>
      <c r="K27" s="124">
        <f>-'Recap costs'!O34/1000</f>
        <v>-30</v>
      </c>
      <c r="L27" s="124">
        <f>-'Recap costs'!P34/1000</f>
        <v>-20</v>
      </c>
      <c r="M27" s="124">
        <f>-'Recap costs'!Q34/1000</f>
        <v>-10</v>
      </c>
      <c r="N27" s="124">
        <f>-'Recap costs'!R34/1000</f>
        <v>0</v>
      </c>
      <c r="O27" s="124">
        <f>-'Recap costs'!S34/1000</f>
        <v>-10</v>
      </c>
      <c r="P27" s="124">
        <f t="shared" si="6"/>
        <v>-250</v>
      </c>
      <c r="Q27" s="124"/>
    </row>
    <row r="28" spans="1:17" x14ac:dyDescent="0.2">
      <c r="A28" s="110">
        <v>14</v>
      </c>
      <c r="B28" s="111" t="s">
        <v>63</v>
      </c>
      <c r="C28" s="109" t="s">
        <v>17</v>
      </c>
      <c r="D28" s="124">
        <f>-'Recap costs'!H35/1000</f>
        <v>-10.5</v>
      </c>
      <c r="E28" s="124">
        <f>-'Recap costs'!I35/1000</f>
        <v>-12.5</v>
      </c>
      <c r="F28" s="124">
        <f>-'Recap costs'!J35/1000</f>
        <v>-13.5</v>
      </c>
      <c r="G28" s="124">
        <f>-'Recap costs'!K35/1000</f>
        <v>-13.5</v>
      </c>
      <c r="H28" s="124">
        <f>-'Recap costs'!L35/1000</f>
        <v>-12.5</v>
      </c>
      <c r="I28" s="124">
        <f>-'Recap costs'!M35/1000</f>
        <v>-12.5</v>
      </c>
      <c r="J28" s="124">
        <f>-'Recap costs'!N35/1000</f>
        <v>-12.5</v>
      </c>
      <c r="K28" s="124">
        <f>-'Recap costs'!O35/1000</f>
        <v>-12.5</v>
      </c>
      <c r="L28" s="124">
        <f>-'Recap costs'!P35/1000</f>
        <v>-13</v>
      </c>
      <c r="M28" s="124">
        <f>-'Recap costs'!Q35/1000</f>
        <v>-13</v>
      </c>
      <c r="N28" s="124">
        <f>-'Recap costs'!R35/1000</f>
        <v>-13</v>
      </c>
      <c r="O28" s="124">
        <f>-'Recap costs'!S35/1000</f>
        <v>-13</v>
      </c>
      <c r="P28" s="124">
        <f t="shared" si="6"/>
        <v>-152</v>
      </c>
      <c r="Q28" s="124"/>
    </row>
    <row r="29" spans="1:17" x14ac:dyDescent="0.2">
      <c r="A29" s="110">
        <v>15</v>
      </c>
      <c r="B29" s="111" t="s">
        <v>98</v>
      </c>
      <c r="C29" s="109" t="s">
        <v>99</v>
      </c>
      <c r="D29" s="124">
        <f>-('Recap costs'!H75+'Recap costs'!H76+'Recap costs'!H77+'Recap costs'!H78+'Recap costs'!H79+'Recap costs'!H80)/1000</f>
        <v>-22.5</v>
      </c>
      <c r="E29" s="124">
        <f>-('Recap costs'!I75+'Recap costs'!I76+'Recap costs'!I77+'Recap costs'!I78+'Recap costs'!I79+'Recap costs'!I80)/1000</f>
        <v>-22.5</v>
      </c>
      <c r="F29" s="124">
        <f>-('Recap costs'!J75+'Recap costs'!J76+'Recap costs'!J77+'Recap costs'!J78+'Recap costs'!J79+'Recap costs'!J80)/1000</f>
        <v>-22.5</v>
      </c>
      <c r="G29" s="124">
        <f>-('Recap costs'!K75+'Recap costs'!K76+'Recap costs'!K77+'Recap costs'!K78+'Recap costs'!K79+'Recap costs'!K80)/1000</f>
        <v>-22.5</v>
      </c>
      <c r="H29" s="124">
        <f>-('Recap costs'!L75+'Recap costs'!L76+'Recap costs'!L77+'Recap costs'!L78+'Recap costs'!L79+'Recap costs'!L80)/1000</f>
        <v>-30</v>
      </c>
      <c r="I29" s="124">
        <f>-('Recap costs'!M75+'Recap costs'!M76+'Recap costs'!M77+'Recap costs'!M78+'Recap costs'!M79+'Recap costs'!M80)/1000</f>
        <v>-30</v>
      </c>
      <c r="J29" s="124">
        <f>-('Recap costs'!N75+'Recap costs'!N76+'Recap costs'!N77+'Recap costs'!N78+'Recap costs'!N79+'Recap costs'!N80)/1000</f>
        <v>-30</v>
      </c>
      <c r="K29" s="124">
        <f>-('Recap costs'!O75+'Recap costs'!O76+'Recap costs'!O77+'Recap costs'!O78+'Recap costs'!O79+'Recap costs'!O80)/1000</f>
        <v>-30</v>
      </c>
      <c r="L29" s="124">
        <f>-('Recap costs'!P75+'Recap costs'!P76+'Recap costs'!P77+'Recap costs'!P78+'Recap costs'!P79+'Recap costs'!P80)/1000</f>
        <v>-30</v>
      </c>
      <c r="M29" s="124">
        <f>-('Recap costs'!Q75+'Recap costs'!Q76+'Recap costs'!Q77+'Recap costs'!Q78+'Recap costs'!Q79+'Recap costs'!Q80)/1000</f>
        <v>-30</v>
      </c>
      <c r="N29" s="124">
        <f>-('Recap costs'!R75+'Recap costs'!R76+'Recap costs'!R77+'Recap costs'!R78+'Recap costs'!R79+'Recap costs'!R80)/1000</f>
        <v>-30</v>
      </c>
      <c r="O29" s="124">
        <f>-('Recap costs'!S75+'Recap costs'!S76+'Recap costs'!S77+'Recap costs'!S78+'Recap costs'!S79+'Recap costs'!S80)/1000</f>
        <v>-30</v>
      </c>
      <c r="P29" s="124">
        <f t="shared" si="6"/>
        <v>-330</v>
      </c>
      <c r="Q29" s="124"/>
    </row>
    <row r="30" spans="1:17" x14ac:dyDescent="0.2">
      <c r="A30" s="110">
        <v>16</v>
      </c>
      <c r="B30" s="111"/>
      <c r="C30" s="109" t="s">
        <v>71</v>
      </c>
      <c r="D30" s="124">
        <f>SUM(D31:D37)</f>
        <v>-137.86433333333335</v>
      </c>
      <c r="E30" s="124">
        <f t="shared" ref="E30:O30" si="9">SUM(E31:E37)</f>
        <v>-137.86433333333335</v>
      </c>
      <c r="F30" s="124">
        <f t="shared" si="9"/>
        <v>-130.86433333333335</v>
      </c>
      <c r="G30" s="124">
        <f t="shared" si="9"/>
        <v>-130.86433333333335</v>
      </c>
      <c r="H30" s="124">
        <f t="shared" si="9"/>
        <v>-85.864333333333349</v>
      </c>
      <c r="I30" s="124">
        <f t="shared" si="9"/>
        <v>-85.864333333333349</v>
      </c>
      <c r="J30" s="124">
        <f t="shared" si="9"/>
        <v>-85.864333333333349</v>
      </c>
      <c r="K30" s="124">
        <f t="shared" si="9"/>
        <v>-85.864333333333349</v>
      </c>
      <c r="L30" s="124">
        <f t="shared" si="9"/>
        <v>-85.864333333333349</v>
      </c>
      <c r="M30" s="124">
        <f t="shared" si="9"/>
        <v>-85.864333333333349</v>
      </c>
      <c r="N30" s="124">
        <f t="shared" si="9"/>
        <v>-85.864333333333349</v>
      </c>
      <c r="O30" s="124">
        <f t="shared" si="9"/>
        <v>-85.864333333333349</v>
      </c>
      <c r="P30" s="124">
        <f t="shared" si="6"/>
        <v>-1224.3720000000003</v>
      </c>
      <c r="Q30" s="124"/>
    </row>
    <row r="31" spans="1:17" x14ac:dyDescent="0.2">
      <c r="A31" s="110"/>
      <c r="B31" s="111"/>
      <c r="C31" s="139" t="s">
        <v>201</v>
      </c>
      <c r="D31" s="121">
        <f>-'PT Recap costs'!B47/1000-'PT Recap costs'!B34/1000</f>
        <v>-8.0615555555555556</v>
      </c>
      <c r="E31" s="121">
        <f>-'PT Recap costs'!C47/1000-'PT Recap costs'!C34/1000</f>
        <v>-8.0615555555555556</v>
      </c>
      <c r="F31" s="121">
        <f>-'PT Recap costs'!D47/1000-'PT Recap costs'!D34/1000</f>
        <v>-8.0615555555555556</v>
      </c>
      <c r="G31" s="121">
        <f>-'PT Recap costs'!E47/1000-'PT Recap costs'!E34/1000</f>
        <v>-8.0615555555555556</v>
      </c>
      <c r="H31" s="121">
        <f>-'PT Recap costs'!F47/1000-'PT Recap costs'!F34/1000</f>
        <v>-8.0615555555555556</v>
      </c>
      <c r="I31" s="121">
        <f>-'PT Recap costs'!G47/1000-'PT Recap costs'!G34/1000</f>
        <v>-8.0615555555555556</v>
      </c>
      <c r="J31" s="121">
        <f>-'PT Recap costs'!H47/1000-'PT Recap costs'!H34/1000</f>
        <v>-8.0615555555555556</v>
      </c>
      <c r="K31" s="121">
        <f>-'PT Recap costs'!I47/1000-'PT Recap costs'!I34/1000</f>
        <v>-8.0615555555555556</v>
      </c>
      <c r="L31" s="121">
        <f>-'PT Recap costs'!J47/1000-'PT Recap costs'!J34/1000</f>
        <v>-8.0615555555555556</v>
      </c>
      <c r="M31" s="121">
        <f>-'PT Recap costs'!K47/1000-'PT Recap costs'!K34/1000</f>
        <v>-8.0615555555555556</v>
      </c>
      <c r="N31" s="121">
        <f>-'PT Recap costs'!L47/1000-'PT Recap costs'!L34/1000</f>
        <v>-8.0615555555555556</v>
      </c>
      <c r="O31" s="121">
        <f>-'PT Recap costs'!M47/1000-'PT Recap costs'!M34/1000</f>
        <v>-8.0615555555555556</v>
      </c>
      <c r="P31" s="122">
        <f t="shared" ref="P31:P37" si="10">SUM(D31:O31)</f>
        <v>-96.738666666666674</v>
      </c>
      <c r="Q31" s="124"/>
    </row>
    <row r="32" spans="1:17" x14ac:dyDescent="0.2">
      <c r="A32" s="110"/>
      <c r="B32" s="111"/>
      <c r="C32" s="139" t="s">
        <v>202</v>
      </c>
      <c r="D32" s="121">
        <f>-'PT Recap costs'!B51/1000-'PT Recap costs'!B37/1000</f>
        <v>-5.0555555555555554</v>
      </c>
      <c r="E32" s="121">
        <f>-'PT Recap costs'!C51/1000-'PT Recap costs'!C37/1000</f>
        <v>-5.0555555555555554</v>
      </c>
      <c r="F32" s="121">
        <f>-'PT Recap costs'!D51/1000-'PT Recap costs'!D37/1000</f>
        <v>-5.0555555555555554</v>
      </c>
      <c r="G32" s="121">
        <f>-'PT Recap costs'!E51/1000-'PT Recap costs'!E37/1000</f>
        <v>-5.0555555555555554</v>
      </c>
      <c r="H32" s="121">
        <f>-'PT Recap costs'!F51/1000-'PT Recap costs'!F37/1000</f>
        <v>-5.0555555555555554</v>
      </c>
      <c r="I32" s="121">
        <f>-'PT Recap costs'!G51/1000-'PT Recap costs'!G37/1000</f>
        <v>-5.0555555555555554</v>
      </c>
      <c r="J32" s="121">
        <f>-'PT Recap costs'!H51/1000-'PT Recap costs'!H37/1000</f>
        <v>-5.0555555555555554</v>
      </c>
      <c r="K32" s="121">
        <f>-'PT Recap costs'!I51/1000-'PT Recap costs'!I37/1000</f>
        <v>-5.0555555555555554</v>
      </c>
      <c r="L32" s="121">
        <f>-'PT Recap costs'!J51/1000-'PT Recap costs'!J37/1000</f>
        <v>-5.0555555555555554</v>
      </c>
      <c r="M32" s="121">
        <f>-'PT Recap costs'!K51/1000-'PT Recap costs'!K37/1000</f>
        <v>-5.0555555555555554</v>
      </c>
      <c r="N32" s="121">
        <f>-'PT Recap costs'!L51/1000-'PT Recap costs'!L37/1000</f>
        <v>-5.0555555555555554</v>
      </c>
      <c r="O32" s="121">
        <f>-'PT Recap costs'!M51/1000-'PT Recap costs'!M37/1000</f>
        <v>-5.0555555555555554</v>
      </c>
      <c r="P32" s="122">
        <f t="shared" si="10"/>
        <v>-60.666666666666679</v>
      </c>
      <c r="Q32" s="124"/>
    </row>
    <row r="33" spans="1:17" x14ac:dyDescent="0.2">
      <c r="A33" s="110"/>
      <c r="B33" s="111"/>
      <c r="C33" s="139" t="s">
        <v>203</v>
      </c>
      <c r="D33" s="121">
        <f>-'PT Recap costs'!B55/1000-'PT Recap costs'!B29/1000</f>
        <v>-75.555555555555557</v>
      </c>
      <c r="E33" s="121">
        <f>-'PT Recap costs'!C55/1000-'PT Recap costs'!C29/1000</f>
        <v>-75.555555555555557</v>
      </c>
      <c r="F33" s="121">
        <f>-'PT Recap costs'!D55/1000-'PT Recap costs'!D29/1000</f>
        <v>-75.555555555555557</v>
      </c>
      <c r="G33" s="121">
        <f>-'PT Recap costs'!E55/1000-'PT Recap costs'!E29/1000</f>
        <v>-75.555555555555557</v>
      </c>
      <c r="H33" s="121">
        <f>-'PT Recap costs'!F55/1000-'PT Recap costs'!F29/1000</f>
        <v>-30.555555555555557</v>
      </c>
      <c r="I33" s="121">
        <f>-'PT Recap costs'!G55/1000-'PT Recap costs'!G29/1000</f>
        <v>-30.555555555555557</v>
      </c>
      <c r="J33" s="121">
        <f>-'PT Recap costs'!H55/1000-'PT Recap costs'!H29/1000</f>
        <v>-30.555555555555557</v>
      </c>
      <c r="K33" s="121">
        <f>-'PT Recap costs'!I55/1000-'PT Recap costs'!I29/1000</f>
        <v>-30.555555555555557</v>
      </c>
      <c r="L33" s="121">
        <f>-'PT Recap costs'!J55/1000-'PT Recap costs'!J29/1000</f>
        <v>-30.555555555555557</v>
      </c>
      <c r="M33" s="121">
        <f>-'PT Recap costs'!K55/1000-'PT Recap costs'!K29/1000</f>
        <v>-30.555555555555557</v>
      </c>
      <c r="N33" s="121">
        <f>-'PT Recap costs'!L55/1000-'PT Recap costs'!L29/1000</f>
        <v>-30.555555555555557</v>
      </c>
      <c r="O33" s="121">
        <f>-'PT Recap costs'!M55/1000-'PT Recap costs'!M29/1000</f>
        <v>-30.555555555555557</v>
      </c>
      <c r="P33" s="122">
        <f t="shared" si="10"/>
        <v>-546.66666666666663</v>
      </c>
      <c r="Q33" s="124"/>
    </row>
    <row r="34" spans="1:17" x14ac:dyDescent="0.2">
      <c r="A34" s="110"/>
      <c r="B34" s="111"/>
      <c r="C34" s="139" t="s">
        <v>236</v>
      </c>
      <c r="D34" s="121">
        <f>-'PT Recap costs'!B59/1000-'PT Recap costs'!B40/1000</f>
        <v>-0.55555555555555558</v>
      </c>
      <c r="E34" s="121">
        <f>-'PT Recap costs'!C59/1000-'PT Recap costs'!C40/1000</f>
        <v>-0.55555555555555558</v>
      </c>
      <c r="F34" s="121">
        <f>-'PT Recap costs'!D59/1000-'PT Recap costs'!D40/1000</f>
        <v>-0.55555555555555558</v>
      </c>
      <c r="G34" s="121">
        <f>-'PT Recap costs'!E59/1000-'PT Recap costs'!E40/1000</f>
        <v>-0.55555555555555558</v>
      </c>
      <c r="H34" s="121">
        <f>-'PT Recap costs'!F59/1000-'PT Recap costs'!F40/1000</f>
        <v>-0.55555555555555558</v>
      </c>
      <c r="I34" s="121">
        <f>-'PT Recap costs'!G59/1000-'PT Recap costs'!G40/1000</f>
        <v>-0.55555555555555558</v>
      </c>
      <c r="J34" s="121">
        <f>-'PT Recap costs'!H59/1000-'PT Recap costs'!H40/1000</f>
        <v>-0.55555555555555558</v>
      </c>
      <c r="K34" s="121">
        <f>-'PT Recap costs'!I59/1000-'PT Recap costs'!I40/1000</f>
        <v>-0.55555555555555558</v>
      </c>
      <c r="L34" s="121">
        <f>-'PT Recap costs'!J59/1000-'PT Recap costs'!J40/1000</f>
        <v>-0.55555555555555558</v>
      </c>
      <c r="M34" s="121">
        <f>-'PT Recap costs'!K59/1000-'PT Recap costs'!K40/1000</f>
        <v>-0.55555555555555558</v>
      </c>
      <c r="N34" s="121">
        <f>-'PT Recap costs'!L59/1000-'PT Recap costs'!L40/1000</f>
        <v>-0.55555555555555558</v>
      </c>
      <c r="O34" s="121">
        <f>-'PT Recap costs'!M59/1000-'PT Recap costs'!M40/1000</f>
        <v>-0.55555555555555558</v>
      </c>
      <c r="P34" s="122">
        <f t="shared" si="10"/>
        <v>-6.6666666666666652</v>
      </c>
      <c r="Q34" s="124"/>
    </row>
    <row r="35" spans="1:17" x14ac:dyDescent="0.2">
      <c r="A35" s="110"/>
      <c r="B35" s="111"/>
      <c r="C35" s="139" t="s">
        <v>204</v>
      </c>
      <c r="D35" s="121">
        <f>-'PT Recap costs'!B63/1000-'PT Recap costs'!B13/1000</f>
        <v>-1.5555555555555556</v>
      </c>
      <c r="E35" s="121">
        <f>-'PT Recap costs'!C63/1000-'PT Recap costs'!C13/1000</f>
        <v>-1.5555555555555556</v>
      </c>
      <c r="F35" s="121">
        <f>-'PT Recap costs'!D63/1000-'PT Recap costs'!D13/1000</f>
        <v>-1.5555555555555556</v>
      </c>
      <c r="G35" s="121">
        <f>-'PT Recap costs'!E63/1000-'PT Recap costs'!E13/1000</f>
        <v>-1.5555555555555556</v>
      </c>
      <c r="H35" s="121">
        <f>-'PT Recap costs'!F63/1000-'PT Recap costs'!F13/1000</f>
        <v>-1.5555555555555556</v>
      </c>
      <c r="I35" s="121">
        <f>-'PT Recap costs'!G63/1000-'PT Recap costs'!G13/1000</f>
        <v>-1.5555555555555556</v>
      </c>
      <c r="J35" s="121">
        <f>-'PT Recap costs'!H63/1000-'PT Recap costs'!H13/1000</f>
        <v>-1.5555555555555556</v>
      </c>
      <c r="K35" s="121">
        <f>-'PT Recap costs'!I63/1000-'PT Recap costs'!I13/1000</f>
        <v>-1.5555555555555556</v>
      </c>
      <c r="L35" s="121">
        <f>-'PT Recap costs'!J63/1000-'PT Recap costs'!J13/1000</f>
        <v>-1.5555555555555556</v>
      </c>
      <c r="M35" s="121">
        <f>-'PT Recap costs'!K63/1000-'PT Recap costs'!K13/1000</f>
        <v>-1.5555555555555556</v>
      </c>
      <c r="N35" s="121">
        <f>-'PT Recap costs'!L63/1000-'PT Recap costs'!L13/1000</f>
        <v>-1.5555555555555556</v>
      </c>
      <c r="O35" s="121">
        <f>-'PT Recap costs'!M63/1000-'PT Recap costs'!M13/1000</f>
        <v>-1.5555555555555556</v>
      </c>
      <c r="P35" s="122">
        <f t="shared" si="10"/>
        <v>-18.666666666666668</v>
      </c>
      <c r="Q35" s="124"/>
    </row>
    <row r="36" spans="1:17" x14ac:dyDescent="0.2">
      <c r="A36" s="110"/>
      <c r="B36" s="111"/>
      <c r="C36" s="139" t="s">
        <v>205</v>
      </c>
      <c r="D36" s="121">
        <f>-'PT Recap costs'!B67/1000-'PT Recap costs'!B25/1000</f>
        <v>-0.55555555555555558</v>
      </c>
      <c r="E36" s="121">
        <f>-'PT Recap costs'!C67/1000-'PT Recap costs'!C25/1000</f>
        <v>-0.55555555555555558</v>
      </c>
      <c r="F36" s="121">
        <f>-'PT Recap costs'!D67/1000-'PT Recap costs'!D25/1000</f>
        <v>-0.55555555555555558</v>
      </c>
      <c r="G36" s="121">
        <f>-'PT Recap costs'!E67/1000-'PT Recap costs'!E25/1000</f>
        <v>-0.55555555555555558</v>
      </c>
      <c r="H36" s="121">
        <f>-'PT Recap costs'!F67/1000-'PT Recap costs'!F25/1000</f>
        <v>-0.55555555555555558</v>
      </c>
      <c r="I36" s="121">
        <f>-'PT Recap costs'!G67/1000-'PT Recap costs'!G25/1000</f>
        <v>-0.55555555555555558</v>
      </c>
      <c r="J36" s="121">
        <f>-'PT Recap costs'!H67/1000-'PT Recap costs'!H25/1000</f>
        <v>-0.55555555555555558</v>
      </c>
      <c r="K36" s="121">
        <f>-'PT Recap costs'!I67/1000-'PT Recap costs'!I25/1000</f>
        <v>-0.55555555555555558</v>
      </c>
      <c r="L36" s="121">
        <f>-'PT Recap costs'!J67/1000-'PT Recap costs'!J25/1000</f>
        <v>-0.55555555555555558</v>
      </c>
      <c r="M36" s="121">
        <f>-'PT Recap costs'!K67/1000-'PT Recap costs'!K25/1000</f>
        <v>-0.55555555555555558</v>
      </c>
      <c r="N36" s="121">
        <f>-'PT Recap costs'!L67/1000-'PT Recap costs'!L25/1000</f>
        <v>-0.55555555555555558</v>
      </c>
      <c r="O36" s="121">
        <f>-'PT Recap costs'!M67/1000-'PT Recap costs'!M25/1000</f>
        <v>-0.55555555555555558</v>
      </c>
      <c r="P36" s="122">
        <f t="shared" si="10"/>
        <v>-6.6666666666666652</v>
      </c>
      <c r="Q36" s="124"/>
    </row>
    <row r="37" spans="1:17" x14ac:dyDescent="0.2">
      <c r="A37" s="110"/>
      <c r="B37" s="111"/>
      <c r="C37" s="139" t="s">
        <v>14</v>
      </c>
      <c r="D37" s="121">
        <f>-'PT Recap costs'!B71/1000-('Recap costs'!H24+'Recap costs'!H26+'Recap costs'!H27+'Recap costs'!H32+'Recap costs'!H2)/1000</f>
        <v>-46.525000000000006</v>
      </c>
      <c r="E37" s="121">
        <f>-'PT Recap costs'!C71/1000-('Recap costs'!I24+'Recap costs'!I26+'Recap costs'!I27+'Recap costs'!I32+'Recap costs'!I2)/1000</f>
        <v>-46.525000000000006</v>
      </c>
      <c r="F37" s="121">
        <f>-'PT Recap costs'!D71/1000-('Recap costs'!J24+'Recap costs'!J26+'Recap costs'!J27+'Recap costs'!J32+'Recap costs'!J2)/1000</f>
        <v>-39.525000000000006</v>
      </c>
      <c r="G37" s="121">
        <f>-'PT Recap costs'!E71/1000-('Recap costs'!K24+'Recap costs'!K26+'Recap costs'!K27+'Recap costs'!K32+'Recap costs'!K2)/1000</f>
        <v>-39.525000000000006</v>
      </c>
      <c r="H37" s="121">
        <f>-'PT Recap costs'!F71/1000-('Recap costs'!L24+'Recap costs'!L26+'Recap costs'!L27+'Recap costs'!L32+'Recap costs'!L2)/1000</f>
        <v>-39.525000000000006</v>
      </c>
      <c r="I37" s="121">
        <f>-'PT Recap costs'!G71/1000-('Recap costs'!M24+'Recap costs'!M26+'Recap costs'!M27+'Recap costs'!M32+'Recap costs'!M2)/1000</f>
        <v>-39.525000000000006</v>
      </c>
      <c r="J37" s="121">
        <f>-'PT Recap costs'!H71/1000-('Recap costs'!N24+'Recap costs'!N26+'Recap costs'!N27+'Recap costs'!N32+'Recap costs'!N2)/1000</f>
        <v>-39.525000000000006</v>
      </c>
      <c r="K37" s="121">
        <f>-'PT Recap costs'!I71/1000-('Recap costs'!O24+'Recap costs'!O26+'Recap costs'!O27+'Recap costs'!O32+'Recap costs'!O2)/1000</f>
        <v>-39.525000000000006</v>
      </c>
      <c r="L37" s="121">
        <f>-'PT Recap costs'!J71/1000-('Recap costs'!P24+'Recap costs'!P26+'Recap costs'!P27+'Recap costs'!P32+'Recap costs'!P2)/1000</f>
        <v>-39.525000000000006</v>
      </c>
      <c r="M37" s="121">
        <f>-'PT Recap costs'!K71/1000-('Recap costs'!Q24+'Recap costs'!Q26+'Recap costs'!Q27+'Recap costs'!Q32+'Recap costs'!Q2)/1000</f>
        <v>-39.525000000000006</v>
      </c>
      <c r="N37" s="121">
        <f>-'PT Recap costs'!L71/1000-('Recap costs'!R24+'Recap costs'!R26+'Recap costs'!R27+'Recap costs'!R32+'Recap costs'!R2)/1000</f>
        <v>-39.525000000000006</v>
      </c>
      <c r="O37" s="121">
        <f>-'PT Recap costs'!M71/1000-('Recap costs'!S24+'Recap costs'!S26+'Recap costs'!S27+'Recap costs'!S32+'Recap costs'!S2)/1000</f>
        <v>-39.525000000000006</v>
      </c>
      <c r="P37" s="122">
        <f t="shared" si="10"/>
        <v>-488.29999999999995</v>
      </c>
      <c r="Q37" s="124"/>
    </row>
    <row r="38" spans="1:17" x14ac:dyDescent="0.2">
      <c r="A38" s="110">
        <v>17</v>
      </c>
      <c r="B38" s="111" t="s">
        <v>100</v>
      </c>
      <c r="C38" s="109" t="s">
        <v>18</v>
      </c>
      <c r="D38" s="124">
        <f>-'Recap costs'!H54/1000</f>
        <v>-0.34537669998258569</v>
      </c>
      <c r="E38" s="124">
        <f>-'Recap costs'!I54/1000</f>
        <v>-0.61202250873148101</v>
      </c>
      <c r="F38" s="124">
        <f>-'Recap costs'!J54/1000</f>
        <v>-0.82912089885296025</v>
      </c>
      <c r="G38" s="124">
        <f>-'Recap costs'!K54/1000</f>
        <v>-3.5690789854988374</v>
      </c>
      <c r="H38" s="124">
        <f>-'Recap costs'!L54/1000</f>
        <v>-3.4134619350278048</v>
      </c>
      <c r="I38" s="124">
        <f>-'Recap costs'!M54/1000</f>
        <v>-4.3071385316839779</v>
      </c>
      <c r="J38" s="124">
        <f>-'Recap costs'!N54/1000</f>
        <v>-5.0151929593852396</v>
      </c>
      <c r="K38" s="124">
        <f>-'Recap costs'!O54/1000</f>
        <v>-5.7232473870865022</v>
      </c>
      <c r="L38" s="124">
        <f>-'Recap costs'!P54/1000</f>
        <v>-9.0463400234376525</v>
      </c>
      <c r="M38" s="124">
        <f>-'Recap costs'!Q54/1000</f>
        <v>-9.0463400234376525</v>
      </c>
      <c r="N38" s="124">
        <f>-'Recap costs'!R54/1000</f>
        <v>-9.0463400234376525</v>
      </c>
      <c r="O38" s="124">
        <f>-'Recap costs'!S54/1000</f>
        <v>-9.0463400234376525</v>
      </c>
      <c r="P38" s="124">
        <f t="shared" si="6"/>
        <v>-59.999999999999993</v>
      </c>
      <c r="Q38" s="124"/>
    </row>
    <row r="39" spans="1:17" x14ac:dyDescent="0.2">
      <c r="A39" s="110">
        <v>18</v>
      </c>
      <c r="B39" s="111" t="s">
        <v>40</v>
      </c>
      <c r="C39" s="109" t="s">
        <v>19</v>
      </c>
      <c r="D39" s="124">
        <f>-'Recap costs'!H62/1000</f>
        <v>-1.7268834999129286</v>
      </c>
      <c r="E39" s="124">
        <f>-'Recap costs'!I62/1000</f>
        <v>-3.060112543657405</v>
      </c>
      <c r="F39" s="124">
        <f>-'Recap costs'!J62/1000</f>
        <v>-4.1456044942648012</v>
      </c>
      <c r="G39" s="124">
        <f>-'Recap costs'!K62/1000</f>
        <v>-17.845394927494187</v>
      </c>
      <c r="H39" s="124">
        <f>-'Recap costs'!L62/1000</f>
        <v>-17.067309675139025</v>
      </c>
      <c r="I39" s="124">
        <f>-'Recap costs'!M62/1000</f>
        <v>-21.535692658419887</v>
      </c>
      <c r="J39" s="124">
        <f>-'Recap costs'!N62/1000</f>
        <v>-25.075964796926197</v>
      </c>
      <c r="K39" s="124">
        <f>-'Recap costs'!O62/1000</f>
        <v>-28.616236935432514</v>
      </c>
      <c r="L39" s="124">
        <f>-'Recap costs'!P62/1000</f>
        <v>-45.231700117188261</v>
      </c>
      <c r="M39" s="124">
        <f>-'Recap costs'!Q62/1000</f>
        <v>-45.231700117188261</v>
      </c>
      <c r="N39" s="124">
        <f>-'Recap costs'!R62/1000</f>
        <v>-45.231700117188261</v>
      </c>
      <c r="O39" s="124">
        <f>-'Recap costs'!S62/1000</f>
        <v>-45.231700117188261</v>
      </c>
      <c r="P39" s="124">
        <f t="shared" si="6"/>
        <v>-300</v>
      </c>
      <c r="Q39" s="124"/>
    </row>
    <row r="40" spans="1:17" x14ac:dyDescent="0.2">
      <c r="A40" s="110">
        <v>19</v>
      </c>
      <c r="B40" s="111" t="s">
        <v>100</v>
      </c>
      <c r="C40" s="109" t="s">
        <v>20</v>
      </c>
      <c r="D40" s="124">
        <f>-'Recap costs'!H55/1000</f>
        <v>-6.9075339996517146E-2</v>
      </c>
      <c r="E40" s="124">
        <f>-'Recap costs'!I55/1000</f>
        <v>-0.1224045017462962</v>
      </c>
      <c r="F40" s="124">
        <f>-'Recap costs'!J55/1000</f>
        <v>-0.16582417977059205</v>
      </c>
      <c r="G40" s="124">
        <f>-'Recap costs'!K55/1000</f>
        <v>-0.71381579709976761</v>
      </c>
      <c r="H40" s="124">
        <f>-'Recap costs'!L55/1000</f>
        <v>-0.6826923870055609</v>
      </c>
      <c r="I40" s="124">
        <f>-'Recap costs'!M55/1000</f>
        <v>-0.86142770633679544</v>
      </c>
      <c r="J40" s="124">
        <f>-'Recap costs'!N55/1000</f>
        <v>-1.0030385918770477</v>
      </c>
      <c r="K40" s="124">
        <f>-'Recap costs'!O55/1000</f>
        <v>-1.1446494774173006</v>
      </c>
      <c r="L40" s="124">
        <f>-'Recap costs'!P55/1000</f>
        <v>-1.8092680046875305</v>
      </c>
      <c r="M40" s="124">
        <f>-'Recap costs'!Q55/1000</f>
        <v>-1.8092680046875305</v>
      </c>
      <c r="N40" s="124">
        <f>-'Recap costs'!R55/1000</f>
        <v>-1.8092680046875305</v>
      </c>
      <c r="O40" s="124">
        <f>-'Recap costs'!S55/1000</f>
        <v>-1.8092680046875305</v>
      </c>
      <c r="P40" s="124">
        <f t="shared" si="6"/>
        <v>-11.999999999999998</v>
      </c>
      <c r="Q40" s="124"/>
    </row>
    <row r="41" spans="1:17" x14ac:dyDescent="0.2">
      <c r="A41" s="110">
        <v>20</v>
      </c>
      <c r="B41" s="111" t="s">
        <v>100</v>
      </c>
      <c r="C41" s="109" t="s">
        <v>21</v>
      </c>
      <c r="D41" s="124">
        <f>-'Recap costs'!H56/1000</f>
        <v>-0.12951626249346965</v>
      </c>
      <c r="E41" s="124">
        <f>-'Recap costs'!I56/1000</f>
        <v>-0.22950844077430538</v>
      </c>
      <c r="F41" s="124">
        <f>-'Recap costs'!J56/1000</f>
        <v>-0.31092033706986011</v>
      </c>
      <c r="G41" s="124">
        <f>-'Recap costs'!K56/1000</f>
        <v>-1.3384046195620642</v>
      </c>
      <c r="H41" s="124">
        <f>-'Recap costs'!L56/1000</f>
        <v>-1.2800482256354269</v>
      </c>
      <c r="I41" s="124">
        <f>-'Recap costs'!M56/1000</f>
        <v>-1.6151769493814916</v>
      </c>
      <c r="J41" s="124">
        <f>-'Recap costs'!N56/1000</f>
        <v>-1.8806973597694645</v>
      </c>
      <c r="K41" s="124">
        <f>-'Recap costs'!O56/1000</f>
        <v>-2.1462177701574388</v>
      </c>
      <c r="L41" s="124">
        <f>-'Recap costs'!P56/1000</f>
        <v>-3.3923775087891195</v>
      </c>
      <c r="M41" s="124">
        <f>-'Recap costs'!Q56/1000</f>
        <v>-3.3923775087891195</v>
      </c>
      <c r="N41" s="124">
        <f>-'Recap costs'!R56/1000</f>
        <v>-3.3923775087891195</v>
      </c>
      <c r="O41" s="124">
        <f>-'Recap costs'!S56/1000</f>
        <v>-3.3923775087891195</v>
      </c>
      <c r="P41" s="124">
        <f t="shared" si="6"/>
        <v>-22.5</v>
      </c>
      <c r="Q41" s="124"/>
    </row>
    <row r="42" spans="1:17" x14ac:dyDescent="0.2">
      <c r="A42" s="110">
        <v>21</v>
      </c>
      <c r="B42" s="111" t="s">
        <v>100</v>
      </c>
      <c r="C42" s="109" t="s">
        <v>22</v>
      </c>
      <c r="D42" s="124">
        <f>-'Recap costs'!H57/1000</f>
        <v>-0.86344174995646428</v>
      </c>
      <c r="E42" s="124">
        <f>-'Recap costs'!I57/1000</f>
        <v>-1.5300562718287025</v>
      </c>
      <c r="F42" s="124">
        <f>-'Recap costs'!J57/1000</f>
        <v>-2.0728022471324006</v>
      </c>
      <c r="G42" s="124">
        <f>-'Recap costs'!K57/1000</f>
        <v>-8.9226974637470935</v>
      </c>
      <c r="H42" s="124">
        <f>-'Recap costs'!L57/1000</f>
        <v>-8.5336548375695127</v>
      </c>
      <c r="I42" s="124">
        <f>-'Recap costs'!M57/1000</f>
        <v>-10.767846329209943</v>
      </c>
      <c r="J42" s="124">
        <f>-'Recap costs'!N57/1000</f>
        <v>-12.537982398463098</v>
      </c>
      <c r="K42" s="124">
        <f>-'Recap costs'!O57/1000</f>
        <v>-14.308118467716257</v>
      </c>
      <c r="L42" s="124">
        <f>-'Recap costs'!P57/1000</f>
        <v>-22.61585005859413</v>
      </c>
      <c r="M42" s="124">
        <f>-'Recap costs'!Q57/1000</f>
        <v>-22.61585005859413</v>
      </c>
      <c r="N42" s="124">
        <f>-'Recap costs'!R57/1000</f>
        <v>-22.61585005859413</v>
      </c>
      <c r="O42" s="124">
        <f>-'Recap costs'!S57/1000</f>
        <v>-22.61585005859413</v>
      </c>
      <c r="P42" s="124">
        <f t="shared" si="6"/>
        <v>-150</v>
      </c>
      <c r="Q42" s="124"/>
    </row>
    <row r="43" spans="1:17" x14ac:dyDescent="0.2">
      <c r="A43" s="110">
        <v>23</v>
      </c>
      <c r="B43" s="111" t="s">
        <v>23</v>
      </c>
      <c r="C43" s="109" t="s">
        <v>23</v>
      </c>
      <c r="D43" s="124">
        <f>-'Recap costs'!H25/1000</f>
        <v>-10.5</v>
      </c>
      <c r="E43" s="124">
        <f>-'Recap costs'!I25/1000</f>
        <v>-10.5</v>
      </c>
      <c r="F43" s="124">
        <f>-'Recap costs'!J25/1000</f>
        <v>-10.5</v>
      </c>
      <c r="G43" s="124">
        <f>-'Recap costs'!K25/1000</f>
        <v>-10.5</v>
      </c>
      <c r="H43" s="124">
        <f>-'Recap costs'!L25/1000</f>
        <v>-12.5</v>
      </c>
      <c r="I43" s="124">
        <f>-'Recap costs'!M25/1000</f>
        <v>-12.5</v>
      </c>
      <c r="J43" s="124">
        <f>-'Recap costs'!N25/1000</f>
        <v>-12.5</v>
      </c>
      <c r="K43" s="124">
        <f>-'Recap costs'!O25/1000</f>
        <v>-12.5</v>
      </c>
      <c r="L43" s="124">
        <f>-'Recap costs'!P25/1000</f>
        <v>-15</v>
      </c>
      <c r="M43" s="124">
        <f>-'Recap costs'!Q25/1000</f>
        <v>-15</v>
      </c>
      <c r="N43" s="124">
        <f>-'Recap costs'!R25/1000</f>
        <v>-15</v>
      </c>
      <c r="O43" s="124">
        <f>-'Recap costs'!S25/1000</f>
        <v>-15</v>
      </c>
      <c r="P43" s="124">
        <f t="shared" si="6"/>
        <v>-152</v>
      </c>
      <c r="Q43" s="124"/>
    </row>
    <row r="44" spans="1:17" x14ac:dyDescent="0.2">
      <c r="A44" s="110">
        <v>24</v>
      </c>
      <c r="B44" s="111" t="s">
        <v>63</v>
      </c>
      <c r="C44" s="109" t="s">
        <v>24</v>
      </c>
      <c r="D44" s="124">
        <f>-'Recap costs'!H36/1000</f>
        <v>-0.15254137582564201</v>
      </c>
      <c r="E44" s="124">
        <f>-'Recap costs'!I36/1000</f>
        <v>-0.27030994135640413</v>
      </c>
      <c r="F44" s="124">
        <f>-'Recap costs'!J36/1000</f>
        <v>-0.3661950636600575</v>
      </c>
      <c r="G44" s="124">
        <f>-'Recap costs'!K36/1000</f>
        <v>-1.5763432185953199</v>
      </c>
      <c r="H44" s="124">
        <f>-'Recap costs'!L36/1000</f>
        <v>-1.5076123546372806</v>
      </c>
      <c r="I44" s="124">
        <f>-'Recap costs'!M36/1000</f>
        <v>-1.9023195181604236</v>
      </c>
      <c r="J44" s="124">
        <f>-'Recap costs'!N36/1000</f>
        <v>-2.2150435570618137</v>
      </c>
      <c r="K44" s="124">
        <f>-'Recap costs'!O36/1000</f>
        <v>-2.5277675959632053</v>
      </c>
      <c r="L44" s="124">
        <f>-'Recap costs'!P36/1000</f>
        <v>-3.9954668436849627</v>
      </c>
      <c r="M44" s="124">
        <f>-'Recap costs'!Q36/1000</f>
        <v>-3.9954668436849627</v>
      </c>
      <c r="N44" s="124">
        <f>-'Recap costs'!R36/1000</f>
        <v>-3.9954668436849627</v>
      </c>
      <c r="O44" s="124">
        <f>-'Recap costs'!S36/1000</f>
        <v>-3.9954668436849627</v>
      </c>
      <c r="P44" s="124">
        <f t="shared" si="6"/>
        <v>-26.499999999999996</v>
      </c>
      <c r="Q44" s="124"/>
    </row>
    <row r="45" spans="1:17" ht="16" thickBot="1" x14ac:dyDescent="0.25">
      <c r="A45" s="110"/>
      <c r="B45" s="111"/>
      <c r="C45" s="109" t="s">
        <v>101</v>
      </c>
      <c r="D45" s="124">
        <v>138.50624999999999</v>
      </c>
      <c r="E45" s="124">
        <v>138.50624999999999</v>
      </c>
      <c r="F45" s="124">
        <v>138.50624999999999</v>
      </c>
      <c r="G45" s="124">
        <v>185.25624999999999</v>
      </c>
      <c r="H45" s="124">
        <v>311.50625000000002</v>
      </c>
      <c r="I45" s="124">
        <v>281.25625000000002</v>
      </c>
      <c r="J45" s="124">
        <v>218.00624999999999</v>
      </c>
      <c r="K45" s="124">
        <v>218.00624999999999</v>
      </c>
      <c r="L45" s="124">
        <v>218.00624999999999</v>
      </c>
      <c r="M45" s="124">
        <v>218.00624999999999</v>
      </c>
      <c r="N45" s="124">
        <v>218.00624999999999</v>
      </c>
      <c r="O45" s="124">
        <v>264.75625000000002</v>
      </c>
      <c r="P45" s="124">
        <f>SUM(D45:O45)</f>
        <v>2548.3249999999994</v>
      </c>
      <c r="Q45" s="124" t="s">
        <v>220</v>
      </c>
    </row>
    <row r="46" spans="1:17" ht="16" thickBot="1" x14ac:dyDescent="0.25">
      <c r="A46" s="97"/>
      <c r="B46" s="98"/>
      <c r="C46" s="112" t="s">
        <v>265</v>
      </c>
      <c r="D46" s="127">
        <f>SUM(D18:D19)+SUM(D27:D30)+SUM(D38:D45)</f>
        <v>-412.76300506150096</v>
      </c>
      <c r="E46" s="127">
        <f t="shared" ref="E46:P46" si="11">SUM(E18:E19)+SUM(E27:E30)+SUM(E38:E45)</f>
        <v>-634.17558434142791</v>
      </c>
      <c r="F46" s="127">
        <f t="shared" si="11"/>
        <v>-607.34163735408401</v>
      </c>
      <c r="G46" s="127">
        <f t="shared" si="11"/>
        <v>-781.51690514533084</v>
      </c>
      <c r="H46" s="127">
        <f t="shared" si="11"/>
        <v>-778.68594954834805</v>
      </c>
      <c r="I46" s="127">
        <f t="shared" si="11"/>
        <v>-747.19077182652586</v>
      </c>
      <c r="J46" s="127">
        <f t="shared" si="11"/>
        <v>-853.92908979681624</v>
      </c>
      <c r="K46" s="127">
        <f t="shared" si="11"/>
        <v>-938.41740776710674</v>
      </c>
      <c r="L46" s="127">
        <f t="shared" si="11"/>
        <v>-990.79217268971513</v>
      </c>
      <c r="M46" s="127">
        <f t="shared" si="11"/>
        <v>-1025.8921726897152</v>
      </c>
      <c r="N46" s="127">
        <f t="shared" si="11"/>
        <v>-1015.892172689715</v>
      </c>
      <c r="O46" s="127">
        <f t="shared" si="11"/>
        <v>-1025.8921726897149</v>
      </c>
      <c r="P46" s="127">
        <f t="shared" si="11"/>
        <v>-9812.4890415999998</v>
      </c>
      <c r="Q46" s="127"/>
    </row>
    <row r="47" spans="1:17" x14ac:dyDescent="0.2">
      <c r="A47" s="97"/>
      <c r="B47" s="98"/>
      <c r="C47" s="113" t="s">
        <v>102</v>
      </c>
      <c r="D47" s="128">
        <f t="shared" ref="D47:P47" si="12">D19</f>
        <v>-327.61808680000001</v>
      </c>
      <c r="E47" s="128">
        <f t="shared" si="12"/>
        <v>-514.49308680000001</v>
      </c>
      <c r="F47" s="128">
        <f t="shared" si="12"/>
        <v>-551.59308680000004</v>
      </c>
      <c r="G47" s="128">
        <f t="shared" si="12"/>
        <v>-706.44308680000017</v>
      </c>
      <c r="H47" s="128">
        <f t="shared" si="12"/>
        <v>-867.84308680000004</v>
      </c>
      <c r="I47" s="128">
        <f t="shared" si="12"/>
        <v>-837.59308680000004</v>
      </c>
      <c r="J47" s="128">
        <f t="shared" si="12"/>
        <v>-864.34308680000004</v>
      </c>
      <c r="K47" s="128">
        <f t="shared" si="12"/>
        <v>-922.09308680000004</v>
      </c>
      <c r="L47" s="128">
        <f t="shared" si="12"/>
        <v>-949.84308680000004</v>
      </c>
      <c r="M47" s="128">
        <f t="shared" si="12"/>
        <v>-994.94308679999995</v>
      </c>
      <c r="N47" s="128">
        <f t="shared" si="12"/>
        <v>-994.94308679999995</v>
      </c>
      <c r="O47" s="128">
        <f t="shared" si="12"/>
        <v>-1041.6930867999999</v>
      </c>
      <c r="P47" s="128">
        <f t="shared" si="12"/>
        <v>-9573.4420415999994</v>
      </c>
      <c r="Q47" s="128"/>
    </row>
    <row r="48" spans="1:17" x14ac:dyDescent="0.2">
      <c r="A48" s="97"/>
      <c r="B48" s="98"/>
      <c r="C48" s="113" t="s">
        <v>103</v>
      </c>
      <c r="D48" s="128">
        <f t="shared" ref="D48:P48" si="13">D18+SUM(D27:D30)+SUM(D38:D44)</f>
        <v>-223.65116826150097</v>
      </c>
      <c r="E48" s="128">
        <f t="shared" si="13"/>
        <v>-258.18874754142792</v>
      </c>
      <c r="F48" s="128">
        <f t="shared" si="13"/>
        <v>-194.25480055408403</v>
      </c>
      <c r="G48" s="128">
        <f t="shared" si="13"/>
        <v>-260.33006834533063</v>
      </c>
      <c r="H48" s="128">
        <f t="shared" si="13"/>
        <v>-222.34911274834795</v>
      </c>
      <c r="I48" s="128">
        <f t="shared" si="13"/>
        <v>-190.85393502652587</v>
      </c>
      <c r="J48" s="128">
        <f t="shared" si="13"/>
        <v>-207.5922529968162</v>
      </c>
      <c r="K48" s="128">
        <f t="shared" si="13"/>
        <v>-234.33057096710658</v>
      </c>
      <c r="L48" s="128">
        <f t="shared" si="13"/>
        <v>-258.955335889715</v>
      </c>
      <c r="M48" s="128">
        <f t="shared" si="13"/>
        <v>-248.955335889715</v>
      </c>
      <c r="N48" s="128">
        <f t="shared" si="13"/>
        <v>-238.955335889715</v>
      </c>
      <c r="O48" s="128">
        <f t="shared" si="13"/>
        <v>-248.955335889715</v>
      </c>
      <c r="P48" s="128">
        <f t="shared" si="13"/>
        <v>-2787.3720000000003</v>
      </c>
      <c r="Q48" s="128"/>
    </row>
    <row r="49" spans="1:17" ht="16" thickBot="1" x14ac:dyDescent="0.25">
      <c r="A49" s="97"/>
      <c r="B49" s="98"/>
      <c r="C49" s="100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30"/>
      <c r="Q49" s="130"/>
    </row>
    <row r="50" spans="1:17" ht="16" thickBot="1" x14ac:dyDescent="0.25">
      <c r="A50" s="97"/>
      <c r="B50" s="98"/>
      <c r="C50" s="107" t="s">
        <v>104</v>
      </c>
      <c r="D50" s="125">
        <f t="shared" ref="D50:P50" si="14">+D46+D16</f>
        <v>-331.38230843392097</v>
      </c>
      <c r="E50" s="125">
        <f t="shared" si="14"/>
        <v>-494.48940950438691</v>
      </c>
      <c r="F50" s="125">
        <f t="shared" si="14"/>
        <v>-420.36902509852251</v>
      </c>
      <c r="G50" s="125">
        <f t="shared" si="14"/>
        <v>-135.87076909181656</v>
      </c>
      <c r="H50" s="125">
        <f t="shared" si="14"/>
        <v>-135.54106432887284</v>
      </c>
      <c r="I50" s="125">
        <f t="shared" si="14"/>
        <v>109.05520670509941</v>
      </c>
      <c r="J50" s="125">
        <f t="shared" si="14"/>
        <v>170.41798204695874</v>
      </c>
      <c r="K50" s="125">
        <f t="shared" si="14"/>
        <v>254.03075738881864</v>
      </c>
      <c r="L50" s="125">
        <f t="shared" si="14"/>
        <v>863.41214786181843</v>
      </c>
      <c r="M50" s="125">
        <f t="shared" si="14"/>
        <v>828.3121478618184</v>
      </c>
      <c r="N50" s="125">
        <f t="shared" si="14"/>
        <v>838.31214786181852</v>
      </c>
      <c r="O50" s="125">
        <f t="shared" si="14"/>
        <v>828.31214786181863</v>
      </c>
      <c r="P50" s="125">
        <f t="shared" si="14"/>
        <v>2374.1999611306292</v>
      </c>
      <c r="Q50" s="125"/>
    </row>
    <row r="51" spans="1:17" ht="16" thickBot="1" x14ac:dyDescent="0.25">
      <c r="A51" s="97"/>
      <c r="B51" s="98"/>
      <c r="C51" s="188" t="s">
        <v>232</v>
      </c>
      <c r="D51" s="189">
        <f t="shared" ref="D51:P51" si="15">D50/D12</f>
        <v>-3.9577978896595427</v>
      </c>
      <c r="E51" s="189">
        <f t="shared" si="15"/>
        <v>-3.3327821701519333</v>
      </c>
      <c r="F51" s="189">
        <f t="shared" si="15"/>
        <v>-2.0913666325702716</v>
      </c>
      <c r="G51" s="189">
        <f t="shared" si="15"/>
        <v>-0.15703165350604231</v>
      </c>
      <c r="H51" s="189">
        <f t="shared" si="15"/>
        <v>-0.16379217750886585</v>
      </c>
      <c r="I51" s="189">
        <f t="shared" si="15"/>
        <v>0.10444193133234519</v>
      </c>
      <c r="J51" s="189">
        <f t="shared" si="15"/>
        <v>0.14016678127465551</v>
      </c>
      <c r="K51" s="189">
        <f t="shared" si="15"/>
        <v>0.18308851981157567</v>
      </c>
      <c r="L51" s="189">
        <f t="shared" si="15"/>
        <v>0.39369742698372545</v>
      </c>
      <c r="M51" s="189">
        <f t="shared" si="15"/>
        <v>0.37769257956369545</v>
      </c>
      <c r="N51" s="189">
        <f t="shared" si="15"/>
        <v>0.38225236515344763</v>
      </c>
      <c r="O51" s="189">
        <f t="shared" si="15"/>
        <v>0.37769257956369556</v>
      </c>
      <c r="P51" s="189">
        <f t="shared" si="15"/>
        <v>0.16322375789545596</v>
      </c>
      <c r="Q51" s="126"/>
    </row>
    <row r="52" spans="1:17" ht="16" thickBot="1" x14ac:dyDescent="0.25">
      <c r="A52" s="97"/>
      <c r="B52" s="98"/>
      <c r="C52" s="100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30"/>
    </row>
    <row r="53" spans="1:17" x14ac:dyDescent="0.2">
      <c r="A53" s="97"/>
      <c r="B53" s="98"/>
      <c r="C53" s="114" t="s">
        <v>105</v>
      </c>
      <c r="D53" s="131">
        <v>-115.65277921155656</v>
      </c>
      <c r="E53" s="131">
        <v>-122.2660976639375</v>
      </c>
      <c r="F53" s="131">
        <v>-128.87941611631845</v>
      </c>
      <c r="G53" s="131">
        <v>-137.16237742584227</v>
      </c>
      <c r="H53" s="131">
        <v>-144.05282357452381</v>
      </c>
      <c r="I53" s="131">
        <v>-155.76435631261904</v>
      </c>
      <c r="J53" s="131">
        <v>-165.21696047928575</v>
      </c>
      <c r="K53" s="131">
        <v>-174.66956464595239</v>
      </c>
      <c r="L53" s="131">
        <v>-169.28186579763991</v>
      </c>
      <c r="M53" s="131">
        <v>-178.73446996430656</v>
      </c>
      <c r="N53" s="131">
        <v>-188.18707413097326</v>
      </c>
      <c r="O53" s="131">
        <v>-199.30932115478279</v>
      </c>
      <c r="P53" s="131">
        <f>SUM(D53:O53)</f>
        <v>-1879.1771064777383</v>
      </c>
      <c r="Q53" s="138" t="s">
        <v>220</v>
      </c>
    </row>
    <row r="54" spans="1:17" x14ac:dyDescent="0.2">
      <c r="A54" s="97"/>
      <c r="B54" s="98"/>
      <c r="C54" s="115" t="s">
        <v>25</v>
      </c>
      <c r="D54" s="121">
        <f>-'Recap costs'!H28/1000</f>
        <v>-2</v>
      </c>
      <c r="E54" s="121">
        <f>-'Recap costs'!I28/1000</f>
        <v>-2</v>
      </c>
      <c r="F54" s="121">
        <f>-'Recap costs'!J28/1000</f>
        <v>-2</v>
      </c>
      <c r="G54" s="121">
        <f>-'Recap costs'!K28/1000</f>
        <v>-2</v>
      </c>
      <c r="H54" s="121">
        <f>-'Recap costs'!L28/1000</f>
        <v>-2</v>
      </c>
      <c r="I54" s="121">
        <f>-'Recap costs'!M28/1000</f>
        <v>-2</v>
      </c>
      <c r="J54" s="121">
        <f>-'Recap costs'!N28/1000</f>
        <v>-2</v>
      </c>
      <c r="K54" s="121">
        <f>-'Recap costs'!O28/1000</f>
        <v>-2</v>
      </c>
      <c r="L54" s="121">
        <f>-'Recap costs'!P28/1000</f>
        <v>-2</v>
      </c>
      <c r="M54" s="121">
        <f>-'Recap costs'!Q28/1000</f>
        <v>-2</v>
      </c>
      <c r="N54" s="121">
        <f>-'Recap costs'!R28/1000</f>
        <v>-2</v>
      </c>
      <c r="O54" s="121">
        <f>-'Recap costs'!S28/1000</f>
        <v>-2</v>
      </c>
      <c r="P54" s="121">
        <f>SUM(D54:O54)</f>
        <v>-24</v>
      </c>
      <c r="Q54" s="121"/>
    </row>
    <row r="55" spans="1:17" ht="16" thickBot="1" x14ac:dyDescent="0.25">
      <c r="A55" s="97"/>
      <c r="B55" s="98"/>
      <c r="C55" s="115" t="s">
        <v>106</v>
      </c>
      <c r="D55" s="121">
        <v>0</v>
      </c>
      <c r="E55" s="121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f>SUM(D55:O55)</f>
        <v>0</v>
      </c>
      <c r="Q55" s="121"/>
    </row>
    <row r="56" spans="1:17" hidden="1" x14ac:dyDescent="0.2">
      <c r="A56" s="97"/>
      <c r="B56" s="98"/>
      <c r="C56" s="115" t="s">
        <v>107</v>
      </c>
      <c r="D56" s="121">
        <v>0</v>
      </c>
      <c r="E56" s="121"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f>SUM(D56:O56)</f>
        <v>0</v>
      </c>
      <c r="Q56" s="121"/>
    </row>
    <row r="57" spans="1:17" ht="16" hidden="1" thickBot="1" x14ac:dyDescent="0.25">
      <c r="A57" s="97"/>
      <c r="B57" s="98"/>
      <c r="C57" s="116" t="s">
        <v>108</v>
      </c>
      <c r="D57" s="121">
        <v>0</v>
      </c>
      <c r="E57" s="121">
        <v>0</v>
      </c>
      <c r="F57" s="121">
        <v>0</v>
      </c>
      <c r="G57" s="121">
        <v>0</v>
      </c>
      <c r="H57" s="121">
        <v>0</v>
      </c>
      <c r="I57" s="121">
        <v>0</v>
      </c>
      <c r="J57" s="121">
        <v>0</v>
      </c>
      <c r="K57" s="121">
        <v>0</v>
      </c>
      <c r="L57" s="121">
        <v>0</v>
      </c>
      <c r="M57" s="121">
        <v>0</v>
      </c>
      <c r="N57" s="121">
        <v>0</v>
      </c>
      <c r="O57" s="121">
        <v>0</v>
      </c>
      <c r="P57" s="121">
        <f>SUM(D57:O57)</f>
        <v>0</v>
      </c>
      <c r="Q57" s="121"/>
    </row>
    <row r="58" spans="1:17" ht="16" thickBot="1" x14ac:dyDescent="0.25">
      <c r="A58" s="97"/>
      <c r="B58" s="98"/>
      <c r="C58" s="107" t="s">
        <v>109</v>
      </c>
      <c r="D58" s="125">
        <f>D50+SUM(D53:D55)</f>
        <v>-449.03508764547752</v>
      </c>
      <c r="E58" s="125">
        <f t="shared" ref="E58:P58" si="16">E50+SUM(E53:E55)</f>
        <v>-618.75550716832436</v>
      </c>
      <c r="F58" s="125">
        <f t="shared" si="16"/>
        <v>-551.24844121484102</v>
      </c>
      <c r="G58" s="125">
        <f t="shared" si="16"/>
        <v>-275.03314651765879</v>
      </c>
      <c r="H58" s="125">
        <f t="shared" si="16"/>
        <v>-281.59388790339665</v>
      </c>
      <c r="I58" s="125">
        <f t="shared" si="16"/>
        <v>-48.709149607519635</v>
      </c>
      <c r="J58" s="125">
        <f t="shared" si="16"/>
        <v>3.2010215676729956</v>
      </c>
      <c r="K58" s="125">
        <f t="shared" si="16"/>
        <v>77.361192742866251</v>
      </c>
      <c r="L58" s="125">
        <f t="shared" si="16"/>
        <v>692.13028206417857</v>
      </c>
      <c r="M58" s="125">
        <f t="shared" si="16"/>
        <v>647.57767789751188</v>
      </c>
      <c r="N58" s="125">
        <f t="shared" si="16"/>
        <v>648.12507373084532</v>
      </c>
      <c r="O58" s="125">
        <f t="shared" si="16"/>
        <v>627.00282670703587</v>
      </c>
      <c r="P58" s="125">
        <f t="shared" si="16"/>
        <v>471.02285465289083</v>
      </c>
      <c r="Q58" s="125"/>
    </row>
    <row r="59" spans="1:17" ht="16" thickBot="1" x14ac:dyDescent="0.25">
      <c r="A59" s="97"/>
      <c r="B59" s="98"/>
      <c r="C59" s="100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30"/>
      <c r="Q59" s="130"/>
    </row>
    <row r="60" spans="1:17" ht="16" thickBot="1" x14ac:dyDescent="0.25">
      <c r="A60" s="97"/>
      <c r="B60" s="98"/>
      <c r="C60" s="117" t="s">
        <v>110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3"/>
      <c r="Q60" s="133"/>
    </row>
    <row r="61" spans="1:17" ht="16" thickBot="1" x14ac:dyDescent="0.25">
      <c r="A61" s="97"/>
      <c r="B61" s="98"/>
      <c r="C61" s="100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0"/>
      <c r="Q61" s="130"/>
    </row>
    <row r="62" spans="1:17" ht="16" thickBot="1" x14ac:dyDescent="0.25">
      <c r="A62" s="97"/>
      <c r="B62" s="98"/>
      <c r="C62" s="107" t="s">
        <v>111</v>
      </c>
      <c r="D62" s="125">
        <f t="shared" ref="D62:O62" si="17">+D60+D58</f>
        <v>-449.03508764547752</v>
      </c>
      <c r="E62" s="125">
        <f t="shared" si="17"/>
        <v>-618.75550716832436</v>
      </c>
      <c r="F62" s="125">
        <f t="shared" si="17"/>
        <v>-551.24844121484102</v>
      </c>
      <c r="G62" s="125">
        <f t="shared" si="17"/>
        <v>-275.03314651765879</v>
      </c>
      <c r="H62" s="125">
        <f t="shared" si="17"/>
        <v>-281.59388790339665</v>
      </c>
      <c r="I62" s="125">
        <f t="shared" si="17"/>
        <v>-48.709149607519635</v>
      </c>
      <c r="J62" s="125">
        <f t="shared" si="17"/>
        <v>3.2010215676729956</v>
      </c>
      <c r="K62" s="125">
        <f t="shared" si="17"/>
        <v>77.361192742866251</v>
      </c>
      <c r="L62" s="125">
        <f t="shared" si="17"/>
        <v>692.13028206417857</v>
      </c>
      <c r="M62" s="125">
        <f t="shared" si="17"/>
        <v>647.57767789751188</v>
      </c>
      <c r="N62" s="125">
        <f t="shared" si="17"/>
        <v>648.12507373084532</v>
      </c>
      <c r="O62" s="125">
        <f t="shared" si="17"/>
        <v>627.00282670703587</v>
      </c>
      <c r="P62" s="125">
        <f t="shared" ref="P62" si="18">+P60+P58</f>
        <v>471.02285465289083</v>
      </c>
      <c r="Q62" s="125"/>
    </row>
    <row r="63" spans="1:17" x14ac:dyDescent="0.2">
      <c r="A63" s="97"/>
      <c r="B63" s="98"/>
      <c r="C63" s="100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30"/>
      <c r="Q63" s="130"/>
    </row>
    <row r="64" spans="1:17" ht="16" hidden="1" thickBot="1" x14ac:dyDescent="0.25">
      <c r="A64" s="97"/>
      <c r="B64" s="98"/>
      <c r="C64" s="107" t="s">
        <v>215</v>
      </c>
      <c r="D64" s="125">
        <f>D62-D53-D54-D55</f>
        <v>-331.38230843392097</v>
      </c>
      <c r="E64" s="125">
        <f t="shared" ref="E64:P64" si="19">E62-E53-E54-E55</f>
        <v>-494.48940950438686</v>
      </c>
      <c r="F64" s="125">
        <f t="shared" si="19"/>
        <v>-420.36902509852257</v>
      </c>
      <c r="G64" s="125">
        <f t="shared" si="19"/>
        <v>-135.87076909181653</v>
      </c>
      <c r="H64" s="125">
        <f t="shared" si="19"/>
        <v>-135.54106432887284</v>
      </c>
      <c r="I64" s="125">
        <f t="shared" si="19"/>
        <v>109.05520670509941</v>
      </c>
      <c r="J64" s="125">
        <f t="shared" si="19"/>
        <v>170.41798204695874</v>
      </c>
      <c r="K64" s="125">
        <f t="shared" si="19"/>
        <v>254.03075738881864</v>
      </c>
      <c r="L64" s="125">
        <f t="shared" si="19"/>
        <v>863.41214786181854</v>
      </c>
      <c r="M64" s="125">
        <f t="shared" si="19"/>
        <v>828.3121478618184</v>
      </c>
      <c r="N64" s="125">
        <f t="shared" si="19"/>
        <v>838.31214786181863</v>
      </c>
      <c r="O64" s="125">
        <f t="shared" si="19"/>
        <v>828.31214786181863</v>
      </c>
      <c r="P64" s="125">
        <f t="shared" si="19"/>
        <v>2374.1999611306292</v>
      </c>
      <c r="Q64" s="125"/>
    </row>
    <row r="65" spans="1:17" ht="16" hidden="1" thickBot="1" x14ac:dyDescent="0.25">
      <c r="A65" s="97"/>
      <c r="B65" s="98"/>
      <c r="C65" s="100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0"/>
      <c r="Q65" s="130"/>
    </row>
    <row r="66" spans="1:17" hidden="1" x14ac:dyDescent="0.2">
      <c r="C66" s="114" t="s">
        <v>212</v>
      </c>
      <c r="D66" s="131">
        <f>-400/12</f>
        <v>-33.333333333333336</v>
      </c>
      <c r="E66" s="131">
        <f t="shared" ref="E66:O66" si="20">-400/12</f>
        <v>-33.333333333333336</v>
      </c>
      <c r="F66" s="131">
        <f t="shared" si="20"/>
        <v>-33.333333333333336</v>
      </c>
      <c r="G66" s="131">
        <f t="shared" si="20"/>
        <v>-33.333333333333336</v>
      </c>
      <c r="H66" s="131">
        <f t="shared" si="20"/>
        <v>-33.333333333333336</v>
      </c>
      <c r="I66" s="131">
        <f t="shared" si="20"/>
        <v>-33.333333333333336</v>
      </c>
      <c r="J66" s="131">
        <f t="shared" si="20"/>
        <v>-33.333333333333336</v>
      </c>
      <c r="K66" s="131">
        <f t="shared" si="20"/>
        <v>-33.333333333333336</v>
      </c>
      <c r="L66" s="131">
        <f t="shared" si="20"/>
        <v>-33.333333333333336</v>
      </c>
      <c r="M66" s="131">
        <f t="shared" si="20"/>
        <v>-33.333333333333336</v>
      </c>
      <c r="N66" s="131">
        <f t="shared" si="20"/>
        <v>-33.333333333333336</v>
      </c>
      <c r="O66" s="131">
        <f t="shared" si="20"/>
        <v>-33.333333333333336</v>
      </c>
      <c r="P66" s="131">
        <f>SUM(D66:O66)</f>
        <v>-399.99999999999994</v>
      </c>
      <c r="Q66" s="138"/>
    </row>
    <row r="67" spans="1:17" ht="16" hidden="1" thickBot="1" x14ac:dyDescent="0.25">
      <c r="C67" s="167" t="s">
        <v>222</v>
      </c>
      <c r="D67" s="168">
        <f>-D45</f>
        <v>-138.50624999999999</v>
      </c>
      <c r="E67" s="168">
        <f t="shared" ref="E67:O67" si="21">-E45</f>
        <v>-138.50624999999999</v>
      </c>
      <c r="F67" s="168">
        <f t="shared" si="21"/>
        <v>-138.50624999999999</v>
      </c>
      <c r="G67" s="168">
        <f t="shared" si="21"/>
        <v>-185.25624999999999</v>
      </c>
      <c r="H67" s="168">
        <f t="shared" si="21"/>
        <v>-311.50625000000002</v>
      </c>
      <c r="I67" s="168">
        <f t="shared" si="21"/>
        <v>-281.25625000000002</v>
      </c>
      <c r="J67" s="168">
        <f t="shared" si="21"/>
        <v>-218.00624999999999</v>
      </c>
      <c r="K67" s="168">
        <f t="shared" si="21"/>
        <v>-218.00624999999999</v>
      </c>
      <c r="L67" s="168">
        <f t="shared" si="21"/>
        <v>-218.00624999999999</v>
      </c>
      <c r="M67" s="168">
        <f t="shared" si="21"/>
        <v>-218.00624999999999</v>
      </c>
      <c r="N67" s="168">
        <f t="shared" si="21"/>
        <v>-218.00624999999999</v>
      </c>
      <c r="O67" s="168">
        <f t="shared" si="21"/>
        <v>-264.75625000000002</v>
      </c>
      <c r="P67" s="168">
        <f>SUM(D67:O67)</f>
        <v>-2548.3249999999994</v>
      </c>
      <c r="Q67" s="169"/>
    </row>
    <row r="68" spans="1:17" ht="16" hidden="1" thickBot="1" x14ac:dyDescent="0.25">
      <c r="C68" s="107" t="s">
        <v>219</v>
      </c>
      <c r="D68" s="125">
        <f t="shared" ref="D68:P68" si="22">SUM(D66:D67)</f>
        <v>-171.83958333333334</v>
      </c>
      <c r="E68" s="125">
        <f t="shared" si="22"/>
        <v>-171.83958333333334</v>
      </c>
      <c r="F68" s="125">
        <f t="shared" si="22"/>
        <v>-171.83958333333334</v>
      </c>
      <c r="G68" s="125">
        <f t="shared" si="22"/>
        <v>-218.58958333333334</v>
      </c>
      <c r="H68" s="125">
        <f t="shared" si="22"/>
        <v>-344.83958333333334</v>
      </c>
      <c r="I68" s="125">
        <f t="shared" si="22"/>
        <v>-314.58958333333334</v>
      </c>
      <c r="J68" s="125">
        <f t="shared" si="22"/>
        <v>-251.33958333333334</v>
      </c>
      <c r="K68" s="125">
        <f t="shared" si="22"/>
        <v>-251.33958333333334</v>
      </c>
      <c r="L68" s="125">
        <f t="shared" si="22"/>
        <v>-251.33958333333334</v>
      </c>
      <c r="M68" s="125">
        <f t="shared" si="22"/>
        <v>-251.33958333333334</v>
      </c>
      <c r="N68" s="125">
        <f t="shared" si="22"/>
        <v>-251.33958333333334</v>
      </c>
      <c r="O68" s="125">
        <f t="shared" si="22"/>
        <v>-298.08958333333334</v>
      </c>
      <c r="P68" s="125">
        <f t="shared" si="22"/>
        <v>-2948.3249999999994</v>
      </c>
      <c r="Q68" s="125"/>
    </row>
    <row r="69" spans="1:17" ht="16" hidden="1" thickBot="1" x14ac:dyDescent="0.25">
      <c r="A69" s="97"/>
      <c r="B69" s="98"/>
      <c r="C69" s="100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30"/>
      <c r="Q69" s="130"/>
    </row>
    <row r="70" spans="1:17" hidden="1" x14ac:dyDescent="0.2">
      <c r="C70" s="114" t="s">
        <v>86</v>
      </c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>
        <f t="shared" ref="P70:P74" si="23">SUM(D70:O70)</f>
        <v>0</v>
      </c>
      <c r="Q70" s="138"/>
    </row>
    <row r="71" spans="1:17" hidden="1" x14ac:dyDescent="0.2">
      <c r="C71" s="115" t="s">
        <v>227</v>
      </c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>
        <f t="shared" si="23"/>
        <v>0</v>
      </c>
      <c r="Q71" s="121"/>
    </row>
    <row r="72" spans="1:17" hidden="1" x14ac:dyDescent="0.2">
      <c r="C72" s="115" t="s">
        <v>213</v>
      </c>
      <c r="D72" s="121">
        <v>0</v>
      </c>
      <c r="E72" s="121">
        <v>0</v>
      </c>
      <c r="F72" s="121">
        <v>0</v>
      </c>
      <c r="G72" s="121">
        <v>0</v>
      </c>
      <c r="H72" s="121">
        <v>0</v>
      </c>
      <c r="I72" s="121">
        <v>0</v>
      </c>
      <c r="J72" s="121">
        <v>0</v>
      </c>
      <c r="K72" s="121">
        <v>0</v>
      </c>
      <c r="L72" s="121">
        <v>0</v>
      </c>
      <c r="M72" s="121">
        <v>0</v>
      </c>
      <c r="N72" s="121">
        <v>0</v>
      </c>
      <c r="O72" s="121">
        <v>0</v>
      </c>
      <c r="P72" s="121">
        <f t="shared" si="23"/>
        <v>0</v>
      </c>
      <c r="Q72" s="121"/>
    </row>
    <row r="73" spans="1:17" hidden="1" x14ac:dyDescent="0.2">
      <c r="C73" s="115" t="s">
        <v>221</v>
      </c>
      <c r="D73" s="121">
        <f t="shared" ref="D73:O73" si="24">D54+D55</f>
        <v>-2</v>
      </c>
      <c r="E73" s="121">
        <f t="shared" si="24"/>
        <v>-2</v>
      </c>
      <c r="F73" s="121">
        <f t="shared" si="24"/>
        <v>-2</v>
      </c>
      <c r="G73" s="121">
        <f t="shared" si="24"/>
        <v>-2</v>
      </c>
      <c r="H73" s="121">
        <f t="shared" si="24"/>
        <v>-2</v>
      </c>
      <c r="I73" s="121">
        <f t="shared" si="24"/>
        <v>-2</v>
      </c>
      <c r="J73" s="121">
        <f t="shared" si="24"/>
        <v>-2</v>
      </c>
      <c r="K73" s="121">
        <f t="shared" si="24"/>
        <v>-2</v>
      </c>
      <c r="L73" s="121">
        <f t="shared" si="24"/>
        <v>-2</v>
      </c>
      <c r="M73" s="121">
        <f t="shared" si="24"/>
        <v>-2</v>
      </c>
      <c r="N73" s="121">
        <f t="shared" si="24"/>
        <v>-2</v>
      </c>
      <c r="O73" s="121">
        <f t="shared" si="24"/>
        <v>-2</v>
      </c>
      <c r="P73" s="121">
        <f t="shared" si="23"/>
        <v>-24</v>
      </c>
      <c r="Q73" s="121"/>
    </row>
    <row r="74" spans="1:17" ht="16" hidden="1" thickBot="1" x14ac:dyDescent="0.25">
      <c r="C74" s="115" t="s">
        <v>214</v>
      </c>
      <c r="D74" s="121">
        <v>0</v>
      </c>
      <c r="E74" s="121">
        <v>0</v>
      </c>
      <c r="F74" s="121">
        <v>0</v>
      </c>
      <c r="G74" s="121">
        <v>0</v>
      </c>
      <c r="H74" s="121">
        <v>0</v>
      </c>
      <c r="I74" s="121">
        <v>0</v>
      </c>
      <c r="J74" s="121">
        <v>0</v>
      </c>
      <c r="K74" s="121">
        <v>0</v>
      </c>
      <c r="L74" s="121">
        <v>0</v>
      </c>
      <c r="M74" s="121">
        <v>0</v>
      </c>
      <c r="N74" s="121">
        <v>0</v>
      </c>
      <c r="O74" s="121">
        <v>0</v>
      </c>
      <c r="P74" s="121">
        <f t="shared" si="23"/>
        <v>0</v>
      </c>
      <c r="Q74" s="121" t="s">
        <v>264</v>
      </c>
    </row>
    <row r="75" spans="1:17" ht="16" hidden="1" thickBot="1" x14ac:dyDescent="0.25">
      <c r="C75" s="107" t="s">
        <v>216</v>
      </c>
      <c r="D75" s="125">
        <f>SUM(D70:D74)</f>
        <v>-2</v>
      </c>
      <c r="E75" s="125">
        <f t="shared" ref="E75:P75" si="25">SUM(E70:E74)</f>
        <v>-2</v>
      </c>
      <c r="F75" s="125">
        <f t="shared" si="25"/>
        <v>-2</v>
      </c>
      <c r="G75" s="125">
        <f t="shared" si="25"/>
        <v>-2</v>
      </c>
      <c r="H75" s="125">
        <f t="shared" si="25"/>
        <v>-2</v>
      </c>
      <c r="I75" s="125">
        <f t="shared" si="25"/>
        <v>-2</v>
      </c>
      <c r="J75" s="125">
        <f t="shared" si="25"/>
        <v>-2</v>
      </c>
      <c r="K75" s="125">
        <f t="shared" si="25"/>
        <v>-2</v>
      </c>
      <c r="L75" s="125">
        <f t="shared" si="25"/>
        <v>-2</v>
      </c>
      <c r="M75" s="125">
        <f t="shared" si="25"/>
        <v>-2</v>
      </c>
      <c r="N75" s="125">
        <f t="shared" si="25"/>
        <v>-2</v>
      </c>
      <c r="O75" s="125">
        <f t="shared" si="25"/>
        <v>-2</v>
      </c>
      <c r="P75" s="125">
        <f t="shared" si="25"/>
        <v>-24</v>
      </c>
      <c r="Q75" s="125"/>
    </row>
    <row r="76" spans="1:17" ht="16" hidden="1" thickBot="1" x14ac:dyDescent="0.25">
      <c r="A76" s="97"/>
      <c r="B76" s="98"/>
      <c r="C76" s="100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30"/>
      <c r="Q76" s="130"/>
    </row>
    <row r="77" spans="1:17" ht="16" hidden="1" thickBot="1" x14ac:dyDescent="0.25">
      <c r="C77" s="107" t="s">
        <v>217</v>
      </c>
      <c r="D77" s="125">
        <f t="shared" ref="D77:P77" si="26">D64+D68+D75</f>
        <v>-505.22189176725431</v>
      </c>
      <c r="E77" s="125">
        <f t="shared" si="26"/>
        <v>-668.32899283772019</v>
      </c>
      <c r="F77" s="125">
        <f t="shared" si="26"/>
        <v>-594.20860843185596</v>
      </c>
      <c r="G77" s="125">
        <f t="shared" si="26"/>
        <v>-356.46035242514984</v>
      </c>
      <c r="H77" s="125">
        <f t="shared" si="26"/>
        <v>-482.38064766220617</v>
      </c>
      <c r="I77" s="125">
        <f t="shared" si="26"/>
        <v>-207.53437662823393</v>
      </c>
      <c r="J77" s="125">
        <f t="shared" si="26"/>
        <v>-82.921601286374596</v>
      </c>
      <c r="K77" s="125">
        <f t="shared" si="26"/>
        <v>0.69117405548530542</v>
      </c>
      <c r="L77" s="125">
        <f t="shared" si="26"/>
        <v>610.07256452848515</v>
      </c>
      <c r="M77" s="125">
        <f t="shared" si="26"/>
        <v>574.97256452848501</v>
      </c>
      <c r="N77" s="125">
        <f t="shared" si="26"/>
        <v>584.97256452848524</v>
      </c>
      <c r="O77" s="125">
        <f t="shared" si="26"/>
        <v>528.22256452848524</v>
      </c>
      <c r="P77" s="125">
        <f t="shared" si="26"/>
        <v>-598.1250388693702</v>
      </c>
      <c r="Q77" s="125"/>
    </row>
    <row r="78" spans="1:17" s="208" customFormat="1" ht="16" hidden="1" thickBot="1" x14ac:dyDescent="0.25">
      <c r="C78" s="165" t="s">
        <v>218</v>
      </c>
      <c r="D78" s="166">
        <f>D77</f>
        <v>-505.22189176725431</v>
      </c>
      <c r="E78" s="166">
        <f>D78+E77</f>
        <v>-1173.5508846049745</v>
      </c>
      <c r="F78" s="166">
        <f t="shared" ref="F78:O78" si="27">E78+F77</f>
        <v>-1767.7594930368305</v>
      </c>
      <c r="G78" s="166">
        <f t="shared" si="27"/>
        <v>-2124.2198454619802</v>
      </c>
      <c r="H78" s="166">
        <f t="shared" si="27"/>
        <v>-2606.6004931241864</v>
      </c>
      <c r="I78" s="166">
        <f t="shared" si="27"/>
        <v>-2814.1348697524204</v>
      </c>
      <c r="J78" s="166">
        <f t="shared" si="27"/>
        <v>-2897.0564710387948</v>
      </c>
      <c r="K78" s="166">
        <f t="shared" si="27"/>
        <v>-2896.3652969833097</v>
      </c>
      <c r="L78" s="166">
        <f t="shared" si="27"/>
        <v>-2286.2927324548245</v>
      </c>
      <c r="M78" s="166">
        <f t="shared" si="27"/>
        <v>-1711.3201679263395</v>
      </c>
      <c r="N78" s="166">
        <f t="shared" si="27"/>
        <v>-1126.3476033978543</v>
      </c>
      <c r="O78" s="166">
        <f t="shared" si="27"/>
        <v>-598.12503886936906</v>
      </c>
      <c r="P78" s="166"/>
      <c r="Q78" s="166"/>
    </row>
    <row r="79" spans="1:17" hidden="1" x14ac:dyDescent="0.2">
      <c r="A79" s="97"/>
      <c r="B79" s="98"/>
      <c r="C79" s="100"/>
      <c r="D79" s="209">
        <f>D77-D14-D66-'Tableau recap'!E105</f>
        <v>0</v>
      </c>
      <c r="E79" s="209">
        <f>E77-E14-E66-'Tableau recap'!F105</f>
        <v>0</v>
      </c>
      <c r="F79" s="209">
        <f>F77-F14-F66-'Tableau recap'!G105</f>
        <v>0</v>
      </c>
      <c r="G79" s="209">
        <f>G77-G14-G66-'Tableau recap'!H105</f>
        <v>0</v>
      </c>
      <c r="H79" s="209">
        <f>H77-H14-H66-'Tableau recap'!I105</f>
        <v>0</v>
      </c>
      <c r="I79" s="209">
        <f>I77-I14-I66-'Tableau recap'!J105</f>
        <v>0</v>
      </c>
      <c r="J79" s="209">
        <f>J77-J14-J66-'Tableau recap'!K105</f>
        <v>-3.1974423109204508E-13</v>
      </c>
      <c r="K79" s="209">
        <f>K77-K14-K66-'Tableau recap'!L105</f>
        <v>-2.0605739337042905E-13</v>
      </c>
      <c r="L79" s="209">
        <f>L77-L14-L66-'Tableau recap'!M105</f>
        <v>0</v>
      </c>
      <c r="M79" s="209">
        <f>M77-M14-M66-'Tableau recap'!N105</f>
        <v>0</v>
      </c>
      <c r="N79" s="209">
        <f>N77-N14-N66-'Tableau recap'!O105</f>
        <v>0</v>
      </c>
      <c r="O79" s="209">
        <f>O77-O14-O66-'Tableau recap'!P105</f>
        <v>0</v>
      </c>
      <c r="P79" s="209"/>
      <c r="Q79" s="130"/>
    </row>
    <row r="80" spans="1:17" x14ac:dyDescent="0.2">
      <c r="A80" s="97"/>
      <c r="B80" s="98"/>
      <c r="C80" s="100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30"/>
      <c r="Q80" s="130"/>
    </row>
    <row r="81" spans="1:17" x14ac:dyDescent="0.2">
      <c r="A81" s="97"/>
      <c r="B81" s="98"/>
      <c r="C81" s="100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30"/>
      <c r="Q81" s="130"/>
    </row>
    <row r="82" spans="1:17" x14ac:dyDescent="0.2">
      <c r="A82" s="97"/>
      <c r="B82" s="98"/>
      <c r="C82" s="100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30"/>
      <c r="Q82" s="130"/>
    </row>
    <row r="83" spans="1:17" x14ac:dyDescent="0.2">
      <c r="A83" s="97"/>
      <c r="B83" s="98"/>
      <c r="C83" s="100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30"/>
      <c r="Q83" s="130"/>
    </row>
    <row r="84" spans="1:17" x14ac:dyDescent="0.2">
      <c r="A84" s="97"/>
      <c r="B84" s="98"/>
      <c r="C84" s="100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30"/>
      <c r="Q84" s="130"/>
    </row>
    <row r="85" spans="1:17" x14ac:dyDescent="0.2">
      <c r="A85" s="97"/>
      <c r="B85" s="98"/>
      <c r="C85" s="100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30"/>
      <c r="Q85" s="130"/>
    </row>
    <row r="86" spans="1:17" x14ac:dyDescent="0.2">
      <c r="A86" s="97"/>
      <c r="B86" s="98"/>
      <c r="C86" s="100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30"/>
      <c r="Q86" s="130"/>
    </row>
    <row r="87" spans="1:17" x14ac:dyDescent="0.2">
      <c r="A87" s="97"/>
      <c r="B87" s="98"/>
      <c r="C87" s="100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30"/>
      <c r="Q87" s="130"/>
    </row>
    <row r="88" spans="1:17" x14ac:dyDescent="0.2">
      <c r="A88" s="97"/>
      <c r="B88" s="98"/>
      <c r="C88" s="100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30"/>
      <c r="Q88" s="130"/>
    </row>
    <row r="89" spans="1:17" x14ac:dyDescent="0.2">
      <c r="A89" s="97"/>
      <c r="B89" s="98"/>
      <c r="C89" s="100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30"/>
      <c r="Q89" s="130"/>
    </row>
    <row r="90" spans="1:17" x14ac:dyDescent="0.2">
      <c r="A90" s="97"/>
      <c r="B90" s="98"/>
      <c r="C90" s="100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30"/>
      <c r="Q90" s="130"/>
    </row>
    <row r="91" spans="1:17" x14ac:dyDescent="0.2">
      <c r="A91" s="97"/>
      <c r="B91" s="98"/>
      <c r="C91" s="100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30"/>
      <c r="Q91" s="130"/>
    </row>
    <row r="92" spans="1:17" x14ac:dyDescent="0.2">
      <c r="A92" s="97"/>
      <c r="B92" s="98"/>
      <c r="C92" s="100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30"/>
      <c r="Q92" s="130"/>
    </row>
    <row r="93" spans="1:17" x14ac:dyDescent="0.2">
      <c r="A93" s="97"/>
      <c r="B93" s="98"/>
      <c r="C93" s="100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30"/>
      <c r="Q93" s="130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FB9A-C557-456B-BE2F-B278F36EE5C6}">
  <dimension ref="A1:R22"/>
  <sheetViews>
    <sheetView workbookViewId="0">
      <selection activeCell="B24" sqref="B24"/>
    </sheetView>
  </sheetViews>
  <sheetFormatPr baseColWidth="10" defaultRowHeight="15" outlineLevelCol="1" x14ac:dyDescent="0.2"/>
  <cols>
    <col min="1" max="1" width="31" bestFit="1" customWidth="1"/>
    <col min="2" max="2" width="11.5" style="60"/>
    <col min="3" max="6" width="9" customWidth="1" outlineLevel="1"/>
    <col min="7" max="7" width="9.83203125" style="60" customWidth="1"/>
    <col min="8" max="11" width="9.83203125" customWidth="1" outlineLevel="1"/>
    <col min="12" max="12" width="9.83203125" customWidth="1"/>
    <col min="13" max="16" width="9.83203125" customWidth="1" outlineLevel="1"/>
    <col min="17" max="17" width="9.83203125" customWidth="1"/>
    <col min="18" max="18" width="11.5" customWidth="1"/>
  </cols>
  <sheetData>
    <row r="1" spans="1:18" x14ac:dyDescent="0.2">
      <c r="A1" s="170" t="s">
        <v>92</v>
      </c>
      <c r="B1" s="171" t="s">
        <v>305</v>
      </c>
      <c r="C1" s="181" t="s">
        <v>116</v>
      </c>
      <c r="D1" s="181" t="s">
        <v>117</v>
      </c>
      <c r="E1" s="181" t="s">
        <v>118</v>
      </c>
      <c r="F1" s="181" t="s">
        <v>119</v>
      </c>
      <c r="G1" s="181" t="s">
        <v>233</v>
      </c>
      <c r="H1" s="181" t="s">
        <v>120</v>
      </c>
      <c r="I1" s="181" t="s">
        <v>121</v>
      </c>
      <c r="J1" s="181" t="s">
        <v>123</v>
      </c>
      <c r="K1" s="181" t="s">
        <v>124</v>
      </c>
      <c r="L1" s="181" t="s">
        <v>234</v>
      </c>
      <c r="M1" s="181" t="s">
        <v>125</v>
      </c>
      <c r="N1" s="181" t="s">
        <v>126</v>
      </c>
      <c r="O1" s="181" t="s">
        <v>127</v>
      </c>
      <c r="P1" s="181" t="s">
        <v>128</v>
      </c>
      <c r="Q1" s="181" t="s">
        <v>235</v>
      </c>
      <c r="R1" s="198" t="s">
        <v>28</v>
      </c>
    </row>
    <row r="2" spans="1:18" x14ac:dyDescent="0.2">
      <c r="A2" s="176" t="s">
        <v>223</v>
      </c>
      <c r="B2" s="177">
        <f>'2 P&amp;L'!P50</f>
        <v>2374.1999611306292</v>
      </c>
      <c r="C2" s="182">
        <f>'2 P&amp;L'!D50</f>
        <v>-331.38230843392097</v>
      </c>
      <c r="D2" s="182">
        <f>'2 P&amp;L'!E50</f>
        <v>-494.48940950438691</v>
      </c>
      <c r="E2" s="182">
        <f>'2 P&amp;L'!F50</f>
        <v>-420.36902509852251</v>
      </c>
      <c r="F2" s="182">
        <f>'2 P&amp;L'!G50</f>
        <v>-135.87076909181656</v>
      </c>
      <c r="G2" s="182">
        <f>SUM(C2:F2)</f>
        <v>-1382.1115121286471</v>
      </c>
      <c r="H2" s="182">
        <f>'2 P&amp;L'!H50</f>
        <v>-135.54106432887284</v>
      </c>
      <c r="I2" s="182">
        <f>'2 P&amp;L'!I50</f>
        <v>109.05520670509941</v>
      </c>
      <c r="J2" s="182">
        <f>'2 P&amp;L'!J50</f>
        <v>170.41798204695874</v>
      </c>
      <c r="K2" s="182">
        <f>'2 P&amp;L'!K50</f>
        <v>254.03075738881864</v>
      </c>
      <c r="L2" s="182">
        <f>SUM(H2:K2)</f>
        <v>397.96288181200396</v>
      </c>
      <c r="M2" s="182">
        <f>'2 P&amp;L'!L50</f>
        <v>863.41214786181843</v>
      </c>
      <c r="N2" s="182">
        <f>'2 P&amp;L'!M50</f>
        <v>828.3121478618184</v>
      </c>
      <c r="O2" s="182">
        <f>'2 P&amp;L'!N50</f>
        <v>838.31214786181852</v>
      </c>
      <c r="P2" s="182">
        <f>'2 P&amp;L'!O50</f>
        <v>828.31214786181863</v>
      </c>
      <c r="Q2" s="182">
        <f>SUM(M2:P2)</f>
        <v>3358.348591447274</v>
      </c>
      <c r="R2" s="199">
        <f>G2+L2+Q2</f>
        <v>2374.199961130631</v>
      </c>
    </row>
    <row r="3" spans="1:18" x14ac:dyDescent="0.2">
      <c r="A3" s="178" t="s">
        <v>239</v>
      </c>
      <c r="B3" s="179">
        <f>-'2 P&amp;L'!O48/3</f>
        <v>82.985111963238339</v>
      </c>
      <c r="C3" s="183">
        <f>-'2 P&amp;L'!D48/3</f>
        <v>74.550389420500323</v>
      </c>
      <c r="D3" s="183">
        <f>'2 P&amp;L'!D48/3-'2 P&amp;L'!E48/3</f>
        <v>11.51252642664231</v>
      </c>
      <c r="E3" s="183">
        <f>'2 P&amp;L'!E48/3-'2 P&amp;L'!F48/3</f>
        <v>-21.311315662447953</v>
      </c>
      <c r="F3" s="183">
        <f>'2 P&amp;L'!F48/3-'2 P&amp;L'!G48/3</f>
        <v>22.025089263748868</v>
      </c>
      <c r="G3" s="183">
        <f t="shared" ref="G3:G5" si="0">SUM(C3:F3)</f>
        <v>86.776689448443548</v>
      </c>
      <c r="H3" s="183">
        <f>'2 P&amp;L'!G48/3-'2 P&amp;L'!H48/3</f>
        <v>-12.660318532327565</v>
      </c>
      <c r="I3" s="183">
        <f>'2 P&amp;L'!H48/3-'2 P&amp;L'!I48/3</f>
        <v>-10.498392573940691</v>
      </c>
      <c r="J3" s="183">
        <f>'2 P&amp;L'!I48/3-'2 P&amp;L'!J48/3</f>
        <v>5.5794393234301083</v>
      </c>
      <c r="K3" s="183">
        <f>'2 P&amp;L'!J48/3-'2 P&amp;L'!K48/3</f>
        <v>8.9127726567634653</v>
      </c>
      <c r="L3" s="183">
        <f t="shared" ref="L3:L5" si="1">SUM(H3:K3)</f>
        <v>-8.6664991260746831</v>
      </c>
      <c r="M3" s="183">
        <f>'2 P&amp;L'!K48/3-'2 P&amp;L'!L48/3</f>
        <v>8.2082549742028021</v>
      </c>
      <c r="N3" s="183">
        <f>'2 P&amp;L'!L48/3-'2 P&amp;L'!M48/3</f>
        <v>-3.3333333333333286</v>
      </c>
      <c r="O3" s="183">
        <f>'2 P&amp;L'!M48/3-'2 P&amp;L'!N48/3</f>
        <v>-3.3333333333333428</v>
      </c>
      <c r="P3" s="183">
        <f>'2 P&amp;L'!N48/3-'2 P&amp;L'!O48/3</f>
        <v>3.3333333333333428</v>
      </c>
      <c r="Q3" s="183">
        <f t="shared" ref="Q3:Q5" si="2">SUM(M3:P3)</f>
        <v>4.8749216408694735</v>
      </c>
      <c r="R3" s="28">
        <f t="shared" ref="R3:R17" si="3">G3+L3+Q3</f>
        <v>82.985111963238339</v>
      </c>
    </row>
    <row r="4" spans="1:18" x14ac:dyDescent="0.2">
      <c r="A4" s="178" t="s">
        <v>240</v>
      </c>
      <c r="B4" s="179">
        <f>-'2 P&amp;L'!O12*2/3</f>
        <v>-1462.0570497107667</v>
      </c>
      <c r="C4" s="183">
        <f>-'2 P&amp;L'!D12*2/3</f>
        <v>-55.819307886626667</v>
      </c>
      <c r="D4" s="183">
        <f>-C4-'2 P&amp;L'!E12/3*2</f>
        <v>-43.09492937996</v>
      </c>
      <c r="E4" s="183">
        <f>'2 P&amp;L'!E12/3*2-'2 P&amp;L'!F12/3*2</f>
        <v>-35.087143633293323</v>
      </c>
      <c r="F4" s="183">
        <f>'2 P&amp;L'!F12/3*2-'2 P&amp;L'!G12/3*2</f>
        <v>-442.82826271329327</v>
      </c>
      <c r="G4" s="183">
        <f t="shared" si="0"/>
        <v>-576.82964361317329</v>
      </c>
      <c r="H4" s="183">
        <f>'2 P&amp;L'!G12/3*2-'2 P&amp;L'!H12/3*2</f>
        <v>25.150613961767704</v>
      </c>
      <c r="I4" s="183">
        <f>'2 P&amp;L'!H12/3*2-'2 P&amp;L'!I12/3*2</f>
        <v>-144.43478411351668</v>
      </c>
      <c r="J4" s="183">
        <f>'2 P&amp;L'!I12/3*2-'2 P&amp;L'!J12/3*2</f>
        <v>-114.43478411351646</v>
      </c>
      <c r="K4" s="183">
        <f>'2 P&amp;L'!J12/3*2-'2 P&amp;L'!K12/3*2</f>
        <v>-114.4347841135168</v>
      </c>
      <c r="L4" s="183">
        <f t="shared" si="1"/>
        <v>-348.15373837878224</v>
      </c>
      <c r="M4" s="183">
        <f>'2 P&amp;L'!K12/3*2-'2 P&amp;L'!L12/3*2</f>
        <v>-537.07366771881118</v>
      </c>
      <c r="N4" s="183">
        <f>'2 P&amp;L'!L12/3*2-'2 P&amp;L'!M12/3*2</f>
        <v>0</v>
      </c>
      <c r="O4" s="183">
        <f>'2 P&amp;L'!M12/3*2-'2 P&amp;L'!N12/3*2</f>
        <v>0</v>
      </c>
      <c r="P4" s="183">
        <f>'2 P&amp;L'!N12/3*2-'2 P&amp;L'!O12/3*2</f>
        <v>0</v>
      </c>
      <c r="Q4" s="183">
        <f t="shared" si="2"/>
        <v>-537.07366771881118</v>
      </c>
      <c r="R4" s="28">
        <f t="shared" si="3"/>
        <v>-1462.0570497107667</v>
      </c>
    </row>
    <row r="5" spans="1:18" x14ac:dyDescent="0.2">
      <c r="A5" s="180" t="s">
        <v>241</v>
      </c>
      <c r="B5" s="161">
        <f>-'2 P&amp;L'!P14</f>
        <v>0</v>
      </c>
      <c r="C5" s="184">
        <f>-'2 P&amp;L'!D14</f>
        <v>0</v>
      </c>
      <c r="D5" s="184">
        <f>-'2 P&amp;L'!E14</f>
        <v>0</v>
      </c>
      <c r="E5" s="184">
        <f>-'2 P&amp;L'!F14</f>
        <v>0</v>
      </c>
      <c r="F5" s="184">
        <f>-'2 P&amp;L'!G14</f>
        <v>0</v>
      </c>
      <c r="G5" s="184">
        <f t="shared" si="0"/>
        <v>0</v>
      </c>
      <c r="H5" s="184">
        <f>-'2 P&amp;L'!H14</f>
        <v>0</v>
      </c>
      <c r="I5" s="184">
        <f>-'2 P&amp;L'!I14</f>
        <v>0</v>
      </c>
      <c r="J5" s="184">
        <f>-'2 P&amp;L'!J14</f>
        <v>0</v>
      </c>
      <c r="K5" s="184">
        <f>-'2 P&amp;L'!K14</f>
        <v>0</v>
      </c>
      <c r="L5" s="184">
        <f t="shared" si="1"/>
        <v>0</v>
      </c>
      <c r="M5" s="184">
        <f>-'2 P&amp;L'!L14</f>
        <v>0</v>
      </c>
      <c r="N5" s="184">
        <f>-'2 P&amp;L'!M14</f>
        <v>0</v>
      </c>
      <c r="O5" s="184">
        <f>-'2 P&amp;L'!N14</f>
        <v>0</v>
      </c>
      <c r="P5" s="184">
        <f>-'2 P&amp;L'!O14</f>
        <v>0</v>
      </c>
      <c r="Q5" s="184">
        <f t="shared" si="2"/>
        <v>0</v>
      </c>
      <c r="R5" s="28">
        <f t="shared" si="3"/>
        <v>0</v>
      </c>
    </row>
    <row r="6" spans="1:18" x14ac:dyDescent="0.2">
      <c r="A6" s="172" t="s">
        <v>224</v>
      </c>
      <c r="B6" s="173">
        <f>SUM(B2:B5)</f>
        <v>995.12802338310098</v>
      </c>
      <c r="C6" s="173">
        <f t="shared" ref="C6:Q6" si="4">SUM(C2:C5)</f>
        <v>-312.65122690004733</v>
      </c>
      <c r="D6" s="173">
        <f t="shared" si="4"/>
        <v>-526.0718124577046</v>
      </c>
      <c r="E6" s="173">
        <f t="shared" si="4"/>
        <v>-476.76748439426376</v>
      </c>
      <c r="F6" s="173">
        <f t="shared" si="4"/>
        <v>-556.67394254136093</v>
      </c>
      <c r="G6" s="185">
        <f t="shared" si="4"/>
        <v>-1872.1644662933768</v>
      </c>
      <c r="H6" s="185">
        <f t="shared" si="4"/>
        <v>-123.05076889943268</v>
      </c>
      <c r="I6" s="185">
        <f t="shared" si="4"/>
        <v>-45.877969982357968</v>
      </c>
      <c r="J6" s="185">
        <f t="shared" si="4"/>
        <v>61.562637256872392</v>
      </c>
      <c r="K6" s="185">
        <f t="shared" si="4"/>
        <v>148.50874593206532</v>
      </c>
      <c r="L6" s="185">
        <f t="shared" si="4"/>
        <v>41.142644307147066</v>
      </c>
      <c r="M6" s="185">
        <f t="shared" si="4"/>
        <v>334.54673511721001</v>
      </c>
      <c r="N6" s="185">
        <f t="shared" si="4"/>
        <v>824.97881452848503</v>
      </c>
      <c r="O6" s="185">
        <f t="shared" si="4"/>
        <v>834.97881452848515</v>
      </c>
      <c r="P6" s="185">
        <f t="shared" si="4"/>
        <v>831.645481195152</v>
      </c>
      <c r="Q6" s="185">
        <f t="shared" si="4"/>
        <v>2826.1498453693325</v>
      </c>
      <c r="R6" s="185">
        <f t="shared" si="3"/>
        <v>995.1280233831028</v>
      </c>
    </row>
    <row r="7" spans="1:18" x14ac:dyDescent="0.2">
      <c r="A7" s="175" t="s">
        <v>212</v>
      </c>
      <c r="B7" s="174">
        <f>'2 P&amp;L'!P66</f>
        <v>-399.99999999999994</v>
      </c>
      <c r="C7" s="186">
        <f>'2 P&amp;L'!D66</f>
        <v>-33.333333333333336</v>
      </c>
      <c r="D7" s="186">
        <f>'2 P&amp;L'!E66</f>
        <v>-33.333333333333336</v>
      </c>
      <c r="E7" s="186">
        <f>'2 P&amp;L'!F66</f>
        <v>-33.333333333333336</v>
      </c>
      <c r="F7" s="186">
        <f>'2 P&amp;L'!G66</f>
        <v>-33.333333333333336</v>
      </c>
      <c r="G7" s="186">
        <f>SUM(C7:F7)</f>
        <v>-133.33333333333334</v>
      </c>
      <c r="H7" s="186">
        <f>'2 P&amp;L'!H66</f>
        <v>-33.333333333333336</v>
      </c>
      <c r="I7" s="186">
        <f>'2 P&amp;L'!I66</f>
        <v>-33.333333333333336</v>
      </c>
      <c r="J7" s="186">
        <f>'2 P&amp;L'!J66</f>
        <v>-33.333333333333336</v>
      </c>
      <c r="K7" s="186">
        <f>'2 P&amp;L'!K66</f>
        <v>-33.333333333333336</v>
      </c>
      <c r="L7" s="186">
        <f>SUM(H7:K7)</f>
        <v>-133.33333333333334</v>
      </c>
      <c r="M7" s="186">
        <f>'2 P&amp;L'!L66</f>
        <v>-33.333333333333336</v>
      </c>
      <c r="N7" s="186">
        <f>'2 P&amp;L'!M66</f>
        <v>-33.333333333333336</v>
      </c>
      <c r="O7" s="186">
        <f>'2 P&amp;L'!N66</f>
        <v>-33.333333333333336</v>
      </c>
      <c r="P7" s="186">
        <f>'2 P&amp;L'!O66</f>
        <v>-33.333333333333336</v>
      </c>
      <c r="Q7" s="186">
        <f>SUM(M7:P7)</f>
        <v>-133.33333333333334</v>
      </c>
      <c r="R7" s="199">
        <f t="shared" si="3"/>
        <v>-400</v>
      </c>
    </row>
    <row r="8" spans="1:18" x14ac:dyDescent="0.2">
      <c r="A8" s="178" t="s">
        <v>225</v>
      </c>
      <c r="B8" s="179">
        <f>'2 P&amp;L'!P67</f>
        <v>-2548.3249999999994</v>
      </c>
      <c r="C8" s="183">
        <f>'2 P&amp;L'!D67</f>
        <v>-138.50624999999999</v>
      </c>
      <c r="D8" s="183">
        <f>'2 P&amp;L'!E67</f>
        <v>-138.50624999999999</v>
      </c>
      <c r="E8" s="183">
        <f>'2 P&amp;L'!F67</f>
        <v>-138.50624999999999</v>
      </c>
      <c r="F8" s="183">
        <f>'2 P&amp;L'!G67</f>
        <v>-185.25624999999999</v>
      </c>
      <c r="G8" s="183">
        <f t="shared" ref="G8" si="5">SUM(C8:F8)</f>
        <v>-600.77499999999998</v>
      </c>
      <c r="H8" s="183">
        <f>'2 P&amp;L'!H67</f>
        <v>-311.50625000000002</v>
      </c>
      <c r="I8" s="183">
        <f>'2 P&amp;L'!I67</f>
        <v>-281.25625000000002</v>
      </c>
      <c r="J8" s="183">
        <f>'2 P&amp;L'!J67</f>
        <v>-218.00624999999999</v>
      </c>
      <c r="K8" s="183">
        <f>'2 P&amp;L'!K67</f>
        <v>-218.00624999999999</v>
      </c>
      <c r="L8" s="183">
        <f t="shared" ref="L8" si="6">SUM(H8:K8)</f>
        <v>-1028.7750000000001</v>
      </c>
      <c r="M8" s="183">
        <f>'2 P&amp;L'!L67</f>
        <v>-218.00624999999999</v>
      </c>
      <c r="N8" s="183">
        <f>'2 P&amp;L'!M67</f>
        <v>-218.00624999999999</v>
      </c>
      <c r="O8" s="183">
        <f>'2 P&amp;L'!N67</f>
        <v>-218.00624999999999</v>
      </c>
      <c r="P8" s="183">
        <f>'2 P&amp;L'!O67</f>
        <v>-264.75625000000002</v>
      </c>
      <c r="Q8" s="183">
        <f t="shared" ref="Q8" si="7">SUM(M8:P8)</f>
        <v>-918.77499999999998</v>
      </c>
      <c r="R8" s="28">
        <f t="shared" si="3"/>
        <v>-2548.3250000000003</v>
      </c>
    </row>
    <row r="9" spans="1:18" x14ac:dyDescent="0.2">
      <c r="A9" s="172" t="s">
        <v>226</v>
      </c>
      <c r="B9" s="173">
        <f t="shared" ref="B9:Q9" si="8">SUM(B7:B8)</f>
        <v>-2948.3249999999994</v>
      </c>
      <c r="C9" s="185">
        <f t="shared" si="8"/>
        <v>-171.83958333333334</v>
      </c>
      <c r="D9" s="185">
        <f t="shared" si="8"/>
        <v>-171.83958333333334</v>
      </c>
      <c r="E9" s="185">
        <f t="shared" si="8"/>
        <v>-171.83958333333334</v>
      </c>
      <c r="F9" s="185">
        <f t="shared" si="8"/>
        <v>-218.58958333333334</v>
      </c>
      <c r="G9" s="185">
        <f t="shared" si="8"/>
        <v>-734.10833333333335</v>
      </c>
      <c r="H9" s="185">
        <f t="shared" si="8"/>
        <v>-344.83958333333334</v>
      </c>
      <c r="I9" s="185">
        <f t="shared" si="8"/>
        <v>-314.58958333333334</v>
      </c>
      <c r="J9" s="185">
        <f t="shared" si="8"/>
        <v>-251.33958333333334</v>
      </c>
      <c r="K9" s="185">
        <f t="shared" si="8"/>
        <v>-251.33958333333334</v>
      </c>
      <c r="L9" s="185">
        <f t="shared" si="8"/>
        <v>-1162.1083333333333</v>
      </c>
      <c r="M9" s="185">
        <f t="shared" si="8"/>
        <v>-251.33958333333334</v>
      </c>
      <c r="N9" s="185">
        <f t="shared" si="8"/>
        <v>-251.33958333333334</v>
      </c>
      <c r="O9" s="185">
        <f t="shared" si="8"/>
        <v>-251.33958333333334</v>
      </c>
      <c r="P9" s="185">
        <f t="shared" si="8"/>
        <v>-298.08958333333334</v>
      </c>
      <c r="Q9" s="185">
        <f t="shared" si="8"/>
        <v>-1052.1083333333333</v>
      </c>
      <c r="R9" s="185">
        <f t="shared" si="3"/>
        <v>-2948.3249999999998</v>
      </c>
    </row>
    <row r="10" spans="1:18" x14ac:dyDescent="0.2">
      <c r="A10" s="176" t="s">
        <v>86</v>
      </c>
      <c r="B10" s="177">
        <v>6000</v>
      </c>
      <c r="C10" s="182">
        <v>3000</v>
      </c>
      <c r="D10" s="182">
        <v>0</v>
      </c>
      <c r="E10" s="182">
        <v>0</v>
      </c>
      <c r="F10" s="182">
        <v>1000</v>
      </c>
      <c r="G10" s="182">
        <f>SUM(C10:F10)</f>
        <v>4000</v>
      </c>
      <c r="H10" s="182">
        <v>0</v>
      </c>
      <c r="I10" s="182">
        <v>2000</v>
      </c>
      <c r="J10" s="182">
        <v>0</v>
      </c>
      <c r="K10" s="182">
        <v>0</v>
      </c>
      <c r="L10" s="182">
        <f>SUM(H10:K10)</f>
        <v>2000</v>
      </c>
      <c r="M10" s="182">
        <v>0</v>
      </c>
      <c r="N10" s="182">
        <v>0</v>
      </c>
      <c r="O10" s="182">
        <v>0</v>
      </c>
      <c r="P10" s="182">
        <v>0</v>
      </c>
      <c r="Q10" s="182">
        <f>SUM(M10:P10)</f>
        <v>0</v>
      </c>
      <c r="R10" s="199">
        <f t="shared" si="3"/>
        <v>6000</v>
      </c>
    </row>
    <row r="11" spans="1:18" x14ac:dyDescent="0.2">
      <c r="A11" s="178" t="s">
        <v>227</v>
      </c>
      <c r="B11" s="179">
        <f>'2 P&amp;L'!P71</f>
        <v>0</v>
      </c>
      <c r="C11" s="183">
        <f>'2 P&amp;L'!D71</f>
        <v>0</v>
      </c>
      <c r="D11" s="183">
        <f>'2 P&amp;L'!E71</f>
        <v>0</v>
      </c>
      <c r="E11" s="183">
        <f>'2 P&amp;L'!F71</f>
        <v>0</v>
      </c>
      <c r="F11" s="183">
        <f>'2 P&amp;L'!G71</f>
        <v>0</v>
      </c>
      <c r="G11" s="183">
        <f t="shared" ref="G11:G14" si="9">SUM(C11:F11)</f>
        <v>0</v>
      </c>
      <c r="H11" s="183">
        <f>'2 P&amp;L'!H71</f>
        <v>0</v>
      </c>
      <c r="I11" s="183">
        <f>'2 P&amp;L'!I71</f>
        <v>0</v>
      </c>
      <c r="J11" s="183">
        <f>'2 P&amp;L'!J71</f>
        <v>0</v>
      </c>
      <c r="K11" s="183">
        <f>'2 P&amp;L'!K71</f>
        <v>0</v>
      </c>
      <c r="L11" s="183">
        <f t="shared" ref="L11:L14" si="10">SUM(H11:K11)</f>
        <v>0</v>
      </c>
      <c r="M11" s="183">
        <f>'2 P&amp;L'!L71</f>
        <v>0</v>
      </c>
      <c r="N11" s="183">
        <f>'2 P&amp;L'!M71</f>
        <v>0</v>
      </c>
      <c r="O11" s="183">
        <f>'2 P&amp;L'!N71</f>
        <v>0</v>
      </c>
      <c r="P11" s="183">
        <f>'2 P&amp;L'!O71</f>
        <v>0</v>
      </c>
      <c r="Q11" s="183">
        <f t="shared" ref="Q11:Q14" si="11">SUM(M11:P11)</f>
        <v>0</v>
      </c>
      <c r="R11" s="28">
        <f t="shared" si="3"/>
        <v>0</v>
      </c>
    </row>
    <row r="12" spans="1:18" x14ac:dyDescent="0.2">
      <c r="A12" s="178" t="s">
        <v>213</v>
      </c>
      <c r="B12" s="179">
        <f>'2 P&amp;L'!P72</f>
        <v>0</v>
      </c>
      <c r="C12" s="183">
        <f>'2 P&amp;L'!D72</f>
        <v>0</v>
      </c>
      <c r="D12" s="183">
        <f>'2 P&amp;L'!E72</f>
        <v>0</v>
      </c>
      <c r="E12" s="183">
        <f>'2 P&amp;L'!F72</f>
        <v>0</v>
      </c>
      <c r="F12" s="183">
        <f>'2 P&amp;L'!G72</f>
        <v>0</v>
      </c>
      <c r="G12" s="183">
        <f t="shared" si="9"/>
        <v>0</v>
      </c>
      <c r="H12" s="183">
        <f>'2 P&amp;L'!H72</f>
        <v>0</v>
      </c>
      <c r="I12" s="183">
        <f>'2 P&amp;L'!I72</f>
        <v>0</v>
      </c>
      <c r="J12" s="183">
        <f>'2 P&amp;L'!J72</f>
        <v>0</v>
      </c>
      <c r="K12" s="183">
        <f>'2 P&amp;L'!K72</f>
        <v>0</v>
      </c>
      <c r="L12" s="183">
        <f t="shared" si="10"/>
        <v>0</v>
      </c>
      <c r="M12" s="183">
        <f>'2 P&amp;L'!L72</f>
        <v>0</v>
      </c>
      <c r="N12" s="183">
        <f>'2 P&amp;L'!M72</f>
        <v>0</v>
      </c>
      <c r="O12" s="183">
        <f>'2 P&amp;L'!N72</f>
        <v>0</v>
      </c>
      <c r="P12" s="183">
        <f>'2 P&amp;L'!O72</f>
        <v>0</v>
      </c>
      <c r="Q12" s="183">
        <f t="shared" si="11"/>
        <v>0</v>
      </c>
      <c r="R12" s="28">
        <f t="shared" si="3"/>
        <v>0</v>
      </c>
    </row>
    <row r="13" spans="1:18" x14ac:dyDescent="0.2">
      <c r="A13" s="178" t="s">
        <v>221</v>
      </c>
      <c r="B13" s="179">
        <f>'2 P&amp;L'!P73</f>
        <v>-24</v>
      </c>
      <c r="C13" s="183">
        <f>'2 P&amp;L'!D73</f>
        <v>-2</v>
      </c>
      <c r="D13" s="183">
        <f>'2 P&amp;L'!E73</f>
        <v>-2</v>
      </c>
      <c r="E13" s="183">
        <f>'2 P&amp;L'!F73</f>
        <v>-2</v>
      </c>
      <c r="F13" s="183">
        <f>'2 P&amp;L'!G73</f>
        <v>-2</v>
      </c>
      <c r="G13" s="183">
        <f t="shared" si="9"/>
        <v>-8</v>
      </c>
      <c r="H13" s="183">
        <f>'2 P&amp;L'!H73</f>
        <v>-2</v>
      </c>
      <c r="I13" s="183">
        <f>'2 P&amp;L'!I73</f>
        <v>-2</v>
      </c>
      <c r="J13" s="183">
        <f>'2 P&amp;L'!J73</f>
        <v>-2</v>
      </c>
      <c r="K13" s="183">
        <f>'2 P&amp;L'!K73</f>
        <v>-2</v>
      </c>
      <c r="L13" s="183">
        <f t="shared" si="10"/>
        <v>-8</v>
      </c>
      <c r="M13" s="183">
        <f>'2 P&amp;L'!L73</f>
        <v>-2</v>
      </c>
      <c r="N13" s="183">
        <f>'2 P&amp;L'!M73</f>
        <v>-2</v>
      </c>
      <c r="O13" s="183">
        <f>'2 P&amp;L'!N73</f>
        <v>-2</v>
      </c>
      <c r="P13" s="183">
        <f>'2 P&amp;L'!O73</f>
        <v>-2</v>
      </c>
      <c r="Q13" s="183">
        <f t="shared" si="11"/>
        <v>-8</v>
      </c>
      <c r="R13" s="28">
        <f t="shared" si="3"/>
        <v>-24</v>
      </c>
    </row>
    <row r="14" spans="1:18" x14ac:dyDescent="0.2">
      <c r="A14" s="180" t="s">
        <v>214</v>
      </c>
      <c r="B14" s="161">
        <f>'2 P&amp;L'!P74</f>
        <v>0</v>
      </c>
      <c r="C14" s="184">
        <f>'2 P&amp;L'!D74</f>
        <v>0</v>
      </c>
      <c r="D14" s="184">
        <f>'2 P&amp;L'!E74</f>
        <v>0</v>
      </c>
      <c r="E14" s="184">
        <f>'2 P&amp;L'!F74</f>
        <v>0</v>
      </c>
      <c r="F14" s="184">
        <f>'2 P&amp;L'!G74</f>
        <v>0</v>
      </c>
      <c r="G14" s="184">
        <f t="shared" si="9"/>
        <v>0</v>
      </c>
      <c r="H14" s="184">
        <f>'2 P&amp;L'!H74</f>
        <v>0</v>
      </c>
      <c r="I14" s="184">
        <f>'2 P&amp;L'!I74</f>
        <v>0</v>
      </c>
      <c r="J14" s="184">
        <f>'2 P&amp;L'!J74</f>
        <v>0</v>
      </c>
      <c r="K14" s="184">
        <f>'2 P&amp;L'!K74</f>
        <v>0</v>
      </c>
      <c r="L14" s="184">
        <f t="shared" si="10"/>
        <v>0</v>
      </c>
      <c r="M14" s="184">
        <f>'2 P&amp;L'!L74</f>
        <v>0</v>
      </c>
      <c r="N14" s="184">
        <f>'2 P&amp;L'!M74</f>
        <v>0</v>
      </c>
      <c r="O14" s="184">
        <f>'2 P&amp;L'!N74</f>
        <v>0</v>
      </c>
      <c r="P14" s="184">
        <f>'2 P&amp;L'!O74</f>
        <v>0</v>
      </c>
      <c r="Q14" s="184">
        <f t="shared" si="11"/>
        <v>0</v>
      </c>
      <c r="R14" s="200">
        <f t="shared" si="3"/>
        <v>0</v>
      </c>
    </row>
    <row r="15" spans="1:18" x14ac:dyDescent="0.2">
      <c r="A15" s="172" t="s">
        <v>228</v>
      </c>
      <c r="B15" s="173">
        <f>SUM(B10:B14)</f>
        <v>5976</v>
      </c>
      <c r="C15" s="185">
        <f t="shared" ref="C15" si="12">SUM(C10:C14)</f>
        <v>2998</v>
      </c>
      <c r="D15" s="185">
        <f t="shared" ref="D15" si="13">SUM(D10:D14)</f>
        <v>-2</v>
      </c>
      <c r="E15" s="185">
        <f t="shared" ref="E15" si="14">SUM(E10:E14)</f>
        <v>-2</v>
      </c>
      <c r="F15" s="185">
        <f t="shared" ref="F15:G15" si="15">SUM(F10:F14)</f>
        <v>998</v>
      </c>
      <c r="G15" s="185">
        <f t="shared" si="15"/>
        <v>3992</v>
      </c>
      <c r="H15" s="185">
        <f t="shared" ref="H15" si="16">SUM(H10:H14)</f>
        <v>-2</v>
      </c>
      <c r="I15" s="185">
        <f t="shared" ref="I15" si="17">SUM(I10:I14)</f>
        <v>1998</v>
      </c>
      <c r="J15" s="185">
        <f t="shared" ref="J15" si="18">SUM(J10:J14)</f>
        <v>-2</v>
      </c>
      <c r="K15" s="185">
        <f t="shared" ref="K15:L15" si="19">SUM(K10:K14)</f>
        <v>-2</v>
      </c>
      <c r="L15" s="185">
        <f t="shared" si="19"/>
        <v>1992</v>
      </c>
      <c r="M15" s="185">
        <f t="shared" ref="M15" si="20">SUM(M10:M14)</f>
        <v>-2</v>
      </c>
      <c r="N15" s="185">
        <f t="shared" ref="N15" si="21">SUM(N10:N14)</f>
        <v>-2</v>
      </c>
      <c r="O15" s="185">
        <f t="shared" ref="O15" si="22">SUM(O10:O14)</f>
        <v>-2</v>
      </c>
      <c r="P15" s="185">
        <f t="shared" ref="P15:Q15" si="23">SUM(P10:P14)</f>
        <v>-2</v>
      </c>
      <c r="Q15" s="185">
        <f t="shared" si="23"/>
        <v>-8</v>
      </c>
      <c r="R15" s="185">
        <f t="shared" si="3"/>
        <v>5976</v>
      </c>
    </row>
    <row r="16" spans="1:18" x14ac:dyDescent="0.2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">
      <c r="A17" s="172" t="s">
        <v>229</v>
      </c>
      <c r="B17" s="173">
        <f t="shared" ref="B17:Q17" si="24">B6+B9+B15</f>
        <v>4022.8030233831014</v>
      </c>
      <c r="C17" s="185">
        <f t="shared" si="24"/>
        <v>2513.5091897666193</v>
      </c>
      <c r="D17" s="185">
        <f t="shared" si="24"/>
        <v>-699.91139579103788</v>
      </c>
      <c r="E17" s="185">
        <f t="shared" si="24"/>
        <v>-650.60706772759704</v>
      </c>
      <c r="F17" s="185">
        <f t="shared" si="24"/>
        <v>222.73647412530568</v>
      </c>
      <c r="G17" s="185">
        <f t="shared" si="24"/>
        <v>1385.7272003732896</v>
      </c>
      <c r="H17" s="185">
        <f t="shared" si="24"/>
        <v>-469.89035223276602</v>
      </c>
      <c r="I17" s="185">
        <f t="shared" si="24"/>
        <v>1637.5324466843088</v>
      </c>
      <c r="J17" s="185">
        <f t="shared" si="24"/>
        <v>-191.77694607646094</v>
      </c>
      <c r="K17" s="185">
        <f t="shared" si="24"/>
        <v>-104.83083740126801</v>
      </c>
      <c r="L17" s="185">
        <f t="shared" si="24"/>
        <v>871.03431097381372</v>
      </c>
      <c r="M17" s="185">
        <f t="shared" si="24"/>
        <v>81.207151783876668</v>
      </c>
      <c r="N17" s="185">
        <f t="shared" si="24"/>
        <v>571.63923119515175</v>
      </c>
      <c r="O17" s="185">
        <f t="shared" si="24"/>
        <v>581.63923119515175</v>
      </c>
      <c r="P17" s="185">
        <f t="shared" si="24"/>
        <v>531.55589786181872</v>
      </c>
      <c r="Q17" s="185">
        <f t="shared" si="24"/>
        <v>1766.0415120359992</v>
      </c>
      <c r="R17" s="185">
        <f t="shared" si="3"/>
        <v>4022.8030233831023</v>
      </c>
    </row>
    <row r="18" spans="1:18" x14ac:dyDescent="0.2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">
      <c r="A19" s="172" t="s">
        <v>230</v>
      </c>
      <c r="B19" s="173">
        <v>0</v>
      </c>
      <c r="C19" s="185">
        <f>B19</f>
        <v>0</v>
      </c>
      <c r="D19" s="185">
        <f>C20</f>
        <v>2513.5091897666193</v>
      </c>
      <c r="E19" s="185">
        <f>D20</f>
        <v>1813.5977939755815</v>
      </c>
      <c r="F19" s="185">
        <f>E20</f>
        <v>1162.9907262479844</v>
      </c>
      <c r="G19" s="185">
        <f>B19</f>
        <v>0</v>
      </c>
      <c r="H19" s="185">
        <f>F20</f>
        <v>1385.7272003732901</v>
      </c>
      <c r="I19" s="185">
        <f t="shared" ref="I19:P19" si="25">H20</f>
        <v>915.83684814052413</v>
      </c>
      <c r="J19" s="185">
        <f t="shared" si="25"/>
        <v>2553.3692948248327</v>
      </c>
      <c r="K19" s="185">
        <f t="shared" si="25"/>
        <v>2361.5923487483715</v>
      </c>
      <c r="L19" s="185">
        <f>G20</f>
        <v>1385.7272003732896</v>
      </c>
      <c r="M19" s="185">
        <f>K20</f>
        <v>2256.7615113471034</v>
      </c>
      <c r="N19" s="185">
        <f t="shared" si="25"/>
        <v>2337.9686631309801</v>
      </c>
      <c r="O19" s="185">
        <f t="shared" si="25"/>
        <v>2909.6078943261318</v>
      </c>
      <c r="P19" s="185">
        <f t="shared" si="25"/>
        <v>3491.2471255212836</v>
      </c>
      <c r="Q19" s="185">
        <f>L20</f>
        <v>2256.7615113471034</v>
      </c>
      <c r="R19" s="185">
        <v>0</v>
      </c>
    </row>
    <row r="20" spans="1:18" x14ac:dyDescent="0.2">
      <c r="A20" s="172" t="s">
        <v>231</v>
      </c>
      <c r="B20" s="173">
        <f>B17+B19</f>
        <v>4022.8030233831014</v>
      </c>
      <c r="C20" s="185">
        <f t="shared" ref="C20" si="26">C17+C19</f>
        <v>2513.5091897666193</v>
      </c>
      <c r="D20" s="185">
        <f t="shared" ref="D20" si="27">D17+D19</f>
        <v>1813.5977939755815</v>
      </c>
      <c r="E20" s="185">
        <f t="shared" ref="E20" si="28">E17+E19</f>
        <v>1162.9907262479844</v>
      </c>
      <c r="F20" s="185">
        <f t="shared" ref="F20:G20" si="29">F17+F19</f>
        <v>1385.7272003732901</v>
      </c>
      <c r="G20" s="185">
        <f t="shared" si="29"/>
        <v>1385.7272003732896</v>
      </c>
      <c r="H20" s="185">
        <f t="shared" ref="H20" si="30">H17+H19</f>
        <v>915.83684814052413</v>
      </c>
      <c r="I20" s="185">
        <f t="shared" ref="I20" si="31">I17+I19</f>
        <v>2553.3692948248327</v>
      </c>
      <c r="J20" s="185">
        <f t="shared" ref="J20" si="32">J17+J19</f>
        <v>2361.5923487483715</v>
      </c>
      <c r="K20" s="185">
        <f t="shared" ref="K20:L20" si="33">K17+K19</f>
        <v>2256.7615113471034</v>
      </c>
      <c r="L20" s="185">
        <f t="shared" si="33"/>
        <v>2256.7615113471034</v>
      </c>
      <c r="M20" s="185">
        <f t="shared" ref="M20" si="34">M17+M19</f>
        <v>2337.9686631309801</v>
      </c>
      <c r="N20" s="185">
        <f t="shared" ref="N20" si="35">N17+N19</f>
        <v>2909.6078943261318</v>
      </c>
      <c r="O20" s="185">
        <f t="shared" ref="O20" si="36">O17+O19</f>
        <v>3491.2471255212836</v>
      </c>
      <c r="P20" s="185">
        <f t="shared" ref="P20:Q20" si="37">P17+P19</f>
        <v>4022.8030233831023</v>
      </c>
      <c r="Q20" s="185">
        <f t="shared" si="37"/>
        <v>4022.8030233831023</v>
      </c>
      <c r="R20" s="185">
        <f>R17+R19</f>
        <v>4022.8030233831023</v>
      </c>
    </row>
    <row r="21" spans="1:18" x14ac:dyDescent="0.2">
      <c r="B21" s="76">
        <f>B20-B3-B4-B5-B10-'2 P&amp;L'!P77</f>
        <v>0</v>
      </c>
      <c r="G21" s="76"/>
    </row>
    <row r="22" spans="1:18" x14ac:dyDescent="0.2">
      <c r="B22" s="13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17"/>
  <sheetViews>
    <sheetView showGridLines="0" zoomScale="70" zoomScaleNormal="70" zoomScalePageLayoutView="70" workbookViewId="0">
      <pane ySplit="3" topLeftCell="A76" activePane="bottomLeft" state="frozen"/>
      <selection pane="bottomLeft" activeCell="E91" sqref="E91:H91"/>
    </sheetView>
  </sheetViews>
  <sheetFormatPr baseColWidth="10" defaultColWidth="8.6640625" defaultRowHeight="15" x14ac:dyDescent="0.2"/>
  <cols>
    <col min="2" max="2" width="6.6640625" bestFit="1" customWidth="1"/>
    <col min="3" max="3" width="22.33203125" style="24" customWidth="1"/>
    <col min="4" max="4" width="26.5" bestFit="1" customWidth="1"/>
    <col min="5" max="16" width="9.33203125" style="7" customWidth="1"/>
    <col min="17" max="17" width="10.1640625" style="52" bestFit="1" customWidth="1"/>
    <col min="18" max="18" width="61.6640625" bestFit="1" customWidth="1"/>
    <col min="19" max="19" width="18.33203125" customWidth="1"/>
    <col min="21" max="21" width="8.6640625" customWidth="1"/>
  </cols>
  <sheetData>
    <row r="1" spans="2:21" x14ac:dyDescent="0.2">
      <c r="E1"/>
      <c r="F1"/>
      <c r="G1"/>
      <c r="H1"/>
      <c r="I1"/>
      <c r="J1"/>
      <c r="K1"/>
      <c r="L1"/>
      <c r="M1"/>
      <c r="N1"/>
      <c r="O1"/>
      <c r="P1"/>
      <c r="Q1" s="2"/>
    </row>
    <row r="2" spans="2:21" ht="16" thickBot="1" x14ac:dyDescent="0.25">
      <c r="E2"/>
      <c r="F2"/>
      <c r="G2"/>
      <c r="H2"/>
      <c r="I2"/>
      <c r="J2"/>
      <c r="K2"/>
      <c r="L2"/>
      <c r="M2"/>
      <c r="N2"/>
      <c r="O2"/>
      <c r="P2"/>
      <c r="Q2" s="2"/>
    </row>
    <row r="3" spans="2:21" ht="52.75" customHeight="1" thickBot="1" x14ac:dyDescent="0.25">
      <c r="B3" s="3"/>
      <c r="C3" s="25"/>
      <c r="D3" s="3"/>
      <c r="E3" s="38" t="s">
        <v>116</v>
      </c>
      <c r="F3" s="38" t="s">
        <v>117</v>
      </c>
      <c r="G3" s="38" t="s">
        <v>118</v>
      </c>
      <c r="H3" s="38" t="s">
        <v>119</v>
      </c>
      <c r="I3" s="38" t="s">
        <v>120</v>
      </c>
      <c r="J3" s="38" t="s">
        <v>121</v>
      </c>
      <c r="K3" s="38" t="s">
        <v>123</v>
      </c>
      <c r="L3" s="38" t="s">
        <v>124</v>
      </c>
      <c r="M3" s="38" t="s">
        <v>125</v>
      </c>
      <c r="N3" s="38" t="s">
        <v>126</v>
      </c>
      <c r="O3" s="38" t="s">
        <v>127</v>
      </c>
      <c r="P3" s="38" t="s">
        <v>128</v>
      </c>
      <c r="Q3" s="156" t="s">
        <v>55</v>
      </c>
      <c r="R3" s="4"/>
    </row>
    <row r="4" spans="2:21" ht="16" thickBot="1" x14ac:dyDescent="0.25">
      <c r="B4" s="259" t="s">
        <v>2</v>
      </c>
      <c r="C4" s="252" t="s">
        <v>129</v>
      </c>
      <c r="D4" s="96" t="s">
        <v>27</v>
      </c>
      <c r="E4" s="190">
        <v>23.585794267699999</v>
      </c>
      <c r="F4" s="190">
        <v>47.171588535399998</v>
      </c>
      <c r="G4" s="190">
        <v>99.514920303099998</v>
      </c>
      <c r="H4" s="190">
        <v>373.10071457079994</v>
      </c>
      <c r="I4" s="190">
        <v>280.07968874777504</v>
      </c>
      <c r="J4" s="190">
        <v>402.23186491805001</v>
      </c>
      <c r="K4" s="190">
        <v>524.38404108832492</v>
      </c>
      <c r="L4" s="190">
        <v>646.5362172586</v>
      </c>
      <c r="M4" s="190">
        <v>1210.05637316615</v>
      </c>
      <c r="N4" s="190">
        <v>1210.05637316615</v>
      </c>
      <c r="O4" s="190">
        <v>1210.05637316615</v>
      </c>
      <c r="P4" s="190">
        <v>1210.05637316615</v>
      </c>
      <c r="Q4" s="157">
        <f t="shared" ref="Q4" si="0">SUM(E4:P4)</f>
        <v>7236.8303223543498</v>
      </c>
      <c r="R4" s="5"/>
    </row>
    <row r="5" spans="2:21" x14ac:dyDescent="0.2">
      <c r="B5" s="260"/>
      <c r="C5" s="253"/>
      <c r="D5" s="32" t="s">
        <v>66</v>
      </c>
      <c r="E5" s="191">
        <f>-SUM(E6:E11)</f>
        <v>-25.429759923888891</v>
      </c>
      <c r="F5" s="191">
        <f t="shared" ref="F5:Q5" si="1">-SUM(F6:F11)</f>
        <v>-95.429040758888888</v>
      </c>
      <c r="G5" s="191">
        <f t="shared" si="1"/>
        <v>-96.992509093888884</v>
      </c>
      <c r="H5" s="191">
        <f t="shared" si="1"/>
        <v>-120.1042899288889</v>
      </c>
      <c r="I5" s="191">
        <f t="shared" si="1"/>
        <v>-129.17574063451389</v>
      </c>
      <c r="J5" s="191">
        <f t="shared" si="1"/>
        <v>-132.72682349263889</v>
      </c>
      <c r="K5" s="191">
        <f t="shared" si="1"/>
        <v>-136.27790635076389</v>
      </c>
      <c r="L5" s="191">
        <f t="shared" si="1"/>
        <v>-139.82898920888888</v>
      </c>
      <c r="M5" s="191">
        <f t="shared" si="1"/>
        <v>-149.0269971092014</v>
      </c>
      <c r="N5" s="191">
        <f t="shared" si="1"/>
        <v>-160.30199710920138</v>
      </c>
      <c r="O5" s="191">
        <f t="shared" si="1"/>
        <v>-160.30199710920138</v>
      </c>
      <c r="P5" s="191">
        <f t="shared" si="1"/>
        <v>-160.30199710920138</v>
      </c>
      <c r="Q5" s="158">
        <f t="shared" si="1"/>
        <v>-1505.8980478291667</v>
      </c>
      <c r="R5" s="6"/>
    </row>
    <row r="6" spans="2:21" x14ac:dyDescent="0.2">
      <c r="B6" s="260"/>
      <c r="C6" s="253"/>
      <c r="D6" s="33" t="s">
        <v>6</v>
      </c>
      <c r="E6" s="29">
        <f>COGS!C8/1000</f>
        <v>0.56178083499999998</v>
      </c>
      <c r="F6" s="29">
        <f>COGS!D8/1000</f>
        <v>1.12356167</v>
      </c>
      <c r="G6" s="29">
        <f>COGS!E8/1000</f>
        <v>2.6870300049999996</v>
      </c>
      <c r="H6" s="29">
        <f>COGS!F8/1000</f>
        <v>3.24881084</v>
      </c>
      <c r="I6" s="29">
        <f>COGS!G8/1000</f>
        <v>8.7452615456250022</v>
      </c>
      <c r="J6" s="29">
        <f>COGS!H8/1000</f>
        <v>12.29634440375</v>
      </c>
      <c r="K6" s="29">
        <f>COGS!I8/1000</f>
        <v>15.847427261875001</v>
      </c>
      <c r="L6" s="29">
        <f>COGS!J8/1000</f>
        <v>19.398510120000001</v>
      </c>
      <c r="M6" s="29">
        <f>COGS!K8/1000</f>
        <v>28.596518020312502</v>
      </c>
      <c r="N6" s="29">
        <f>COGS!L8/1000</f>
        <v>28.596518020312502</v>
      </c>
      <c r="O6" s="29">
        <f>COGS!M8/1000</f>
        <v>28.596518020312502</v>
      </c>
      <c r="P6" s="29">
        <f>COGS!N8/1000</f>
        <v>28.596518020312502</v>
      </c>
      <c r="Q6" s="28">
        <f>SUM(E6:P6)</f>
        <v>178.29479876250002</v>
      </c>
      <c r="R6" s="6"/>
    </row>
    <row r="7" spans="2:21" x14ac:dyDescent="0.2">
      <c r="B7" s="260"/>
      <c r="C7" s="253"/>
      <c r="D7" s="33" t="s">
        <v>69</v>
      </c>
      <c r="E7" s="29">
        <f>'PT Recap costs'!B47/1000</f>
        <v>7.5060000000000002</v>
      </c>
      <c r="F7" s="29">
        <f>'PT Recap costs'!C47/1000</f>
        <v>7.5060000000000002</v>
      </c>
      <c r="G7" s="29">
        <f>'PT Recap costs'!D47/1000</f>
        <v>7.5060000000000002</v>
      </c>
      <c r="H7" s="29">
        <f>'PT Recap costs'!E47/1000</f>
        <v>7.5060000000000002</v>
      </c>
      <c r="I7" s="29">
        <f>'PT Recap costs'!F47/1000</f>
        <v>7.5060000000000002</v>
      </c>
      <c r="J7" s="29">
        <f>'PT Recap costs'!G47/1000</f>
        <v>7.5060000000000002</v>
      </c>
      <c r="K7" s="29">
        <f>'PT Recap costs'!H47/1000</f>
        <v>7.5060000000000002</v>
      </c>
      <c r="L7" s="29">
        <f>'PT Recap costs'!I47/1000</f>
        <v>7.5060000000000002</v>
      </c>
      <c r="M7" s="29">
        <f>'PT Recap costs'!J47/1000</f>
        <v>7.5060000000000002</v>
      </c>
      <c r="N7" s="29">
        <f>'PT Recap costs'!K47/1000</f>
        <v>7.5060000000000002</v>
      </c>
      <c r="O7" s="29">
        <f>'PT Recap costs'!L47/1000</f>
        <v>7.5060000000000002</v>
      </c>
      <c r="P7" s="29">
        <f>'PT Recap costs'!M47/1000</f>
        <v>7.5060000000000002</v>
      </c>
      <c r="Q7" s="28">
        <f>SUM(E7:P7)</f>
        <v>90.072000000000003</v>
      </c>
      <c r="R7" s="6"/>
    </row>
    <row r="8" spans="2:21" x14ac:dyDescent="0.2">
      <c r="B8" s="260"/>
      <c r="C8" s="253"/>
      <c r="D8" s="33" t="s">
        <v>7</v>
      </c>
      <c r="E8" s="29">
        <f>'PT Recap costs'!B48/1000</f>
        <v>0</v>
      </c>
      <c r="F8" s="29">
        <f>'PT Recap costs'!C48/1000</f>
        <v>0</v>
      </c>
      <c r="G8" s="29">
        <f>'PT Recap costs'!D48/1000</f>
        <v>0</v>
      </c>
      <c r="H8" s="29">
        <f>'PT Recap costs'!E48/1000</f>
        <v>0</v>
      </c>
      <c r="I8" s="29">
        <f>'PT Recap costs'!F48/1000</f>
        <v>0</v>
      </c>
      <c r="J8" s="29">
        <f>'PT Recap costs'!G48/1000</f>
        <v>0</v>
      </c>
      <c r="K8" s="29">
        <f>'PT Recap costs'!H48/1000</f>
        <v>0</v>
      </c>
      <c r="L8" s="29">
        <f>'PT Recap costs'!I48/1000</f>
        <v>0</v>
      </c>
      <c r="M8" s="29">
        <f>'PT Recap costs'!J48/1000</f>
        <v>0</v>
      </c>
      <c r="N8" s="29">
        <f>'PT Recap costs'!K48/1000</f>
        <v>0</v>
      </c>
      <c r="O8" s="29">
        <f>'PT Recap costs'!L48/1000</f>
        <v>0</v>
      </c>
      <c r="P8" s="29">
        <f>'PT Recap costs'!M48/1000</f>
        <v>0</v>
      </c>
      <c r="Q8" s="28">
        <f t="shared" ref="Q8:Q61" si="2">SUM(E8:P8)</f>
        <v>0</v>
      </c>
      <c r="R8" s="6"/>
    </row>
    <row r="9" spans="2:21" x14ac:dyDescent="0.2">
      <c r="B9" s="261"/>
      <c r="C9" s="254"/>
      <c r="D9" s="33" t="s">
        <v>62</v>
      </c>
      <c r="E9" s="29">
        <f>'PT Recap costs'!B49/1000</f>
        <v>13.4730902</v>
      </c>
      <c r="F9" s="29">
        <f>'PT Recap costs'!C49/1000</f>
        <v>82.910590200000001</v>
      </c>
      <c r="G9" s="29">
        <f>'PT Recap costs'!D49/1000</f>
        <v>82.910590200000001</v>
      </c>
      <c r="H9" s="29">
        <f>'PT Recap costs'!E49/1000</f>
        <v>105.46059020000001</v>
      </c>
      <c r="I9" s="29">
        <f>'PT Recap costs'!F49/1000</f>
        <v>109.0355902</v>
      </c>
      <c r="J9" s="29">
        <f>'PT Recap costs'!G49/1000</f>
        <v>109.0355902</v>
      </c>
      <c r="K9" s="29">
        <f>'PT Recap costs'!H49/1000</f>
        <v>109.0355902</v>
      </c>
      <c r="L9" s="29">
        <f>'PT Recap costs'!I49/1000</f>
        <v>109.0355902</v>
      </c>
      <c r="M9" s="29">
        <f>'PT Recap costs'!J49/1000</f>
        <v>109.0355902</v>
      </c>
      <c r="N9" s="29">
        <f>'PT Recap costs'!K49/1000</f>
        <v>120.31059020000001</v>
      </c>
      <c r="O9" s="29">
        <f>'PT Recap costs'!L49/1000</f>
        <v>120.31059020000001</v>
      </c>
      <c r="P9" s="29">
        <f>'PT Recap costs'!M49/1000</f>
        <v>120.31059020000001</v>
      </c>
      <c r="Q9" s="28">
        <f t="shared" si="2"/>
        <v>1190.8645824</v>
      </c>
      <c r="R9" s="37"/>
    </row>
    <row r="10" spans="2:21" x14ac:dyDescent="0.2">
      <c r="B10" s="261"/>
      <c r="C10" s="254"/>
      <c r="D10" s="33" t="s">
        <v>74</v>
      </c>
      <c r="E10" s="29">
        <f>'PT Recap costs'!B34/1000</f>
        <v>0.55555555555555558</v>
      </c>
      <c r="F10" s="29">
        <f>'PT Recap costs'!C34/1000</f>
        <v>0.55555555555555558</v>
      </c>
      <c r="G10" s="29">
        <f>'PT Recap costs'!D34/1000</f>
        <v>0.55555555555555558</v>
      </c>
      <c r="H10" s="29">
        <f>'PT Recap costs'!E34/1000</f>
        <v>0.55555555555555558</v>
      </c>
      <c r="I10" s="29">
        <f>'PT Recap costs'!F34/1000</f>
        <v>0.55555555555555558</v>
      </c>
      <c r="J10" s="29">
        <f>'PT Recap costs'!G34/1000</f>
        <v>0.55555555555555558</v>
      </c>
      <c r="K10" s="29">
        <f>'PT Recap costs'!H34/1000</f>
        <v>0.55555555555555558</v>
      </c>
      <c r="L10" s="29">
        <f>'PT Recap costs'!I34/1000</f>
        <v>0.55555555555555558</v>
      </c>
      <c r="M10" s="29">
        <f>'PT Recap costs'!J34/1000</f>
        <v>0.55555555555555558</v>
      </c>
      <c r="N10" s="29">
        <f>'PT Recap costs'!K34/1000</f>
        <v>0.55555555555555558</v>
      </c>
      <c r="O10" s="29">
        <f>'PT Recap costs'!L34/1000</f>
        <v>0.55555555555555558</v>
      </c>
      <c r="P10" s="29">
        <f>'PT Recap costs'!M34/1000</f>
        <v>0.55555555555555558</v>
      </c>
      <c r="Q10" s="28">
        <f t="shared" si="2"/>
        <v>6.6666666666666652</v>
      </c>
      <c r="R10" s="6"/>
    </row>
    <row r="11" spans="2:21" ht="16" thickBot="1" x14ac:dyDescent="0.25">
      <c r="B11" s="261"/>
      <c r="C11" s="254"/>
      <c r="D11" s="33" t="s">
        <v>56</v>
      </c>
      <c r="E11" s="29">
        <f>'PT Recap costs'!B35/1000</f>
        <v>3.3333333333333335</v>
      </c>
      <c r="F11" s="29">
        <f>'PT Recap costs'!C35/1000</f>
        <v>3.3333333333333335</v>
      </c>
      <c r="G11" s="29">
        <f>'PT Recap costs'!D35/1000</f>
        <v>3.3333333333333335</v>
      </c>
      <c r="H11" s="29">
        <f>'PT Recap costs'!E35/1000</f>
        <v>3.3333333333333335</v>
      </c>
      <c r="I11" s="29">
        <f>'PT Recap costs'!F35/1000</f>
        <v>3.3333333333333335</v>
      </c>
      <c r="J11" s="29">
        <f>'PT Recap costs'!G35/1000</f>
        <v>3.3333333333333335</v>
      </c>
      <c r="K11" s="29">
        <f>'PT Recap costs'!H35/1000</f>
        <v>3.3333333333333335</v>
      </c>
      <c r="L11" s="29">
        <f>'PT Recap costs'!I35/1000</f>
        <v>3.3333333333333335</v>
      </c>
      <c r="M11" s="29">
        <f>'PT Recap costs'!J35/1000</f>
        <v>3.3333333333333335</v>
      </c>
      <c r="N11" s="29">
        <f>'PT Recap costs'!K35/1000</f>
        <v>3.3333333333333335</v>
      </c>
      <c r="O11" s="29">
        <f>'PT Recap costs'!L35/1000</f>
        <v>3.3333333333333335</v>
      </c>
      <c r="P11" s="29">
        <f>'PT Recap costs'!M35/1000</f>
        <v>3.3333333333333335</v>
      </c>
      <c r="Q11" s="28">
        <f t="shared" si="2"/>
        <v>40</v>
      </c>
      <c r="R11" s="6"/>
    </row>
    <row r="12" spans="2:21" s="9" customFormat="1" ht="17" thickTop="1" thickBot="1" x14ac:dyDescent="0.25">
      <c r="B12" s="262"/>
      <c r="C12" s="255"/>
      <c r="D12" s="20" t="s">
        <v>8</v>
      </c>
      <c r="E12" s="163">
        <f t="shared" ref="E12:Q12" si="3">E4+E5</f>
        <v>-1.8439656561888924</v>
      </c>
      <c r="F12" s="163">
        <f t="shared" si="3"/>
        <v>-48.25745222348889</v>
      </c>
      <c r="G12" s="163">
        <f t="shared" si="3"/>
        <v>2.5224112092111142</v>
      </c>
      <c r="H12" s="163">
        <f t="shared" si="3"/>
        <v>252.99642464191103</v>
      </c>
      <c r="I12" s="163">
        <f t="shared" si="3"/>
        <v>150.90394811326115</v>
      </c>
      <c r="J12" s="163">
        <f t="shared" si="3"/>
        <v>269.50504142541115</v>
      </c>
      <c r="K12" s="163">
        <f t="shared" si="3"/>
        <v>388.10613473756104</v>
      </c>
      <c r="L12" s="163">
        <f t="shared" si="3"/>
        <v>506.70722804971115</v>
      </c>
      <c r="M12" s="163">
        <f t="shared" si="3"/>
        <v>1061.0293760569486</v>
      </c>
      <c r="N12" s="163">
        <f t="shared" si="3"/>
        <v>1049.7543760569486</v>
      </c>
      <c r="O12" s="163">
        <f t="shared" si="3"/>
        <v>1049.7543760569486</v>
      </c>
      <c r="P12" s="163">
        <f t="shared" si="3"/>
        <v>1049.7543760569486</v>
      </c>
      <c r="Q12" s="36">
        <f t="shared" si="3"/>
        <v>5730.9322745251829</v>
      </c>
      <c r="R12" s="21"/>
      <c r="T12"/>
      <c r="U12"/>
    </row>
    <row r="13" spans="2:21" ht="18.5" customHeight="1" thickBot="1" x14ac:dyDescent="0.25">
      <c r="B13" s="3"/>
      <c r="C13" s="25"/>
      <c r="D13" s="3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56"/>
      <c r="R13" s="4"/>
    </row>
    <row r="14" spans="2:21" ht="15" customHeight="1" thickBot="1" x14ac:dyDescent="0.25">
      <c r="B14" s="263" t="s">
        <v>3</v>
      </c>
      <c r="C14" s="256" t="s">
        <v>130</v>
      </c>
      <c r="D14" s="96" t="s">
        <v>27</v>
      </c>
      <c r="E14" s="190">
        <v>12.01816756224</v>
      </c>
      <c r="F14" s="190">
        <v>35.574767364480003</v>
      </c>
      <c r="G14" s="190">
        <v>53.362151046720001</v>
      </c>
      <c r="H14" s="190">
        <v>76.918750848960002</v>
      </c>
      <c r="I14" s="190">
        <v>238.18885572933331</v>
      </c>
      <c r="J14" s="190">
        <v>238.18885572933331</v>
      </c>
      <c r="K14" s="190">
        <v>238.18885572933331</v>
      </c>
      <c r="L14" s="190">
        <v>238.18885572933331</v>
      </c>
      <c r="M14" s="190">
        <v>485.30420140000001</v>
      </c>
      <c r="N14" s="190">
        <v>485.30420140000001</v>
      </c>
      <c r="O14" s="190">
        <v>485.30420140000001</v>
      </c>
      <c r="P14" s="190">
        <v>485.30420140000001</v>
      </c>
      <c r="Q14" s="157">
        <f t="shared" si="2"/>
        <v>3071.8460653397333</v>
      </c>
      <c r="R14" s="5"/>
    </row>
    <row r="15" spans="2:21" x14ac:dyDescent="0.2">
      <c r="B15" s="264"/>
      <c r="C15" s="257"/>
      <c r="D15" s="32" t="s">
        <v>66</v>
      </c>
      <c r="E15" s="191">
        <f>-SUM(E16:E21)</f>
        <v>-23.648463456248887</v>
      </c>
      <c r="F15" s="191">
        <f t="shared" ref="F15" si="4">-SUM(F16:F21)</f>
        <v>-98.861098481727893</v>
      </c>
      <c r="G15" s="191">
        <f t="shared" ref="G15" si="5">-SUM(G16:G21)</f>
        <v>-102.6419081781474</v>
      </c>
      <c r="H15" s="191">
        <f t="shared" ref="H15" si="6">-SUM(H16:H21)</f>
        <v>-130.19899761513463</v>
      </c>
      <c r="I15" s="191">
        <f t="shared" ref="I15" si="7">-SUM(I16:I21)</f>
        <v>-168.052876800897</v>
      </c>
      <c r="J15" s="191">
        <f t="shared" ref="J15" si="8">-SUM(J16:J21)</f>
        <v>-168.052876800897</v>
      </c>
      <c r="K15" s="191">
        <f t="shared" ref="K15" si="9">-SUM(K16:K21)</f>
        <v>-168.052876800897</v>
      </c>
      <c r="L15" s="191">
        <f t="shared" ref="L15" si="10">-SUM(L16:L21)</f>
        <v>-168.052876800897</v>
      </c>
      <c r="M15" s="191">
        <f t="shared" ref="M15" si="11">-SUM(M16:M21)</f>
        <v>-227.70921508319304</v>
      </c>
      <c r="N15" s="191">
        <f t="shared" ref="N15" si="12">-SUM(N16:N21)</f>
        <v>-238.98421508319305</v>
      </c>
      <c r="O15" s="191">
        <f t="shared" ref="O15" si="13">-SUM(O16:O21)</f>
        <v>-238.98421508319305</v>
      </c>
      <c r="P15" s="191">
        <f t="shared" ref="P15" si="14">-SUM(P16:P21)</f>
        <v>-238.98421508319305</v>
      </c>
      <c r="Q15" s="158">
        <f t="shared" ref="Q15" si="15">-SUM(Q16:Q21)</f>
        <v>-1972.2238352676188</v>
      </c>
      <c r="R15" s="6"/>
    </row>
    <row r="16" spans="2:21" x14ac:dyDescent="0.2">
      <c r="B16" s="264"/>
      <c r="C16" s="257"/>
      <c r="D16" s="33" t="s">
        <v>6</v>
      </c>
      <c r="E16" s="29">
        <f>COGS!C10/1000</f>
        <v>1.7864843673600002</v>
      </c>
      <c r="F16" s="29">
        <f>COGS!D10/1000</f>
        <v>7.5616193928390079</v>
      </c>
      <c r="G16" s="29">
        <f>COGS!E10/1000</f>
        <v>11.342429089258513</v>
      </c>
      <c r="H16" s="29">
        <f>COGS!F10/1000</f>
        <v>16.349518526245731</v>
      </c>
      <c r="I16" s="29">
        <f>COGS!G10/1000</f>
        <v>50.628397712008095</v>
      </c>
      <c r="J16" s="29">
        <f>COGS!H10/1000</f>
        <v>50.628397712008095</v>
      </c>
      <c r="K16" s="29">
        <f>COGS!I10/1000</f>
        <v>50.628397712008095</v>
      </c>
      <c r="L16" s="29">
        <f>COGS!J10/1000</f>
        <v>50.628397712008095</v>
      </c>
      <c r="M16" s="29">
        <f>COGS!K10/1000</f>
        <v>110.28473599430416</v>
      </c>
      <c r="N16" s="29">
        <f>COGS!L10/1000</f>
        <v>110.28473599430416</v>
      </c>
      <c r="O16" s="29">
        <f>COGS!M10/1000</f>
        <v>110.28473599430416</v>
      </c>
      <c r="P16" s="29">
        <f>COGS!N10/1000</f>
        <v>110.28473599430416</v>
      </c>
      <c r="Q16" s="28">
        <f t="shared" si="2"/>
        <v>680.69258620095218</v>
      </c>
      <c r="R16" s="6"/>
    </row>
    <row r="17" spans="2:18" x14ac:dyDescent="0.2">
      <c r="B17" s="264"/>
      <c r="C17" s="257"/>
      <c r="D17" s="33" t="s">
        <v>69</v>
      </c>
      <c r="E17" s="29">
        <f>'PT Recap costs'!B51/1000</f>
        <v>4.5</v>
      </c>
      <c r="F17" s="29">
        <f>'PT Recap costs'!C51/1000</f>
        <v>4.5</v>
      </c>
      <c r="G17" s="29">
        <f>'PT Recap costs'!D51/1000</f>
        <v>4.5</v>
      </c>
      <c r="H17" s="29">
        <f>'PT Recap costs'!E51/1000</f>
        <v>4.5</v>
      </c>
      <c r="I17" s="29">
        <f>'PT Recap costs'!F51/1000</f>
        <v>4.5</v>
      </c>
      <c r="J17" s="29">
        <f>'PT Recap costs'!G51/1000</f>
        <v>4.5</v>
      </c>
      <c r="K17" s="29">
        <f>'PT Recap costs'!H51/1000</f>
        <v>4.5</v>
      </c>
      <c r="L17" s="29">
        <f>'PT Recap costs'!I51/1000</f>
        <v>4.5</v>
      </c>
      <c r="M17" s="29">
        <f>'PT Recap costs'!J51/1000</f>
        <v>4.5</v>
      </c>
      <c r="N17" s="29">
        <f>'PT Recap costs'!K51/1000</f>
        <v>4.5</v>
      </c>
      <c r="O17" s="29">
        <f>'PT Recap costs'!L51/1000</f>
        <v>4.5</v>
      </c>
      <c r="P17" s="29">
        <f>'PT Recap costs'!M51/1000</f>
        <v>4.5</v>
      </c>
      <c r="Q17" s="28">
        <f t="shared" si="2"/>
        <v>54</v>
      </c>
      <c r="R17" s="6"/>
    </row>
    <row r="18" spans="2:18" x14ac:dyDescent="0.2">
      <c r="B18" s="264"/>
      <c r="C18" s="257"/>
      <c r="D18" s="33" t="s">
        <v>7</v>
      </c>
      <c r="E18" s="29">
        <f>'PT Recap costs'!B52/1000</f>
        <v>0</v>
      </c>
      <c r="F18" s="29">
        <f>'PT Recap costs'!C52/1000</f>
        <v>0</v>
      </c>
      <c r="G18" s="29">
        <f>'PT Recap costs'!D52/1000</f>
        <v>0</v>
      </c>
      <c r="H18" s="29">
        <f>'PT Recap costs'!E52/1000</f>
        <v>0</v>
      </c>
      <c r="I18" s="29">
        <f>'PT Recap costs'!F52/1000</f>
        <v>0</v>
      </c>
      <c r="J18" s="29">
        <f>'PT Recap costs'!G52/1000</f>
        <v>0</v>
      </c>
      <c r="K18" s="29">
        <f>'PT Recap costs'!H52/1000</f>
        <v>0</v>
      </c>
      <c r="L18" s="29">
        <f>'PT Recap costs'!I52/1000</f>
        <v>0</v>
      </c>
      <c r="M18" s="29">
        <f>'PT Recap costs'!J52/1000</f>
        <v>0</v>
      </c>
      <c r="N18" s="29">
        <f>'PT Recap costs'!K52/1000</f>
        <v>0</v>
      </c>
      <c r="O18" s="29">
        <f>'PT Recap costs'!L52/1000</f>
        <v>0</v>
      </c>
      <c r="P18" s="29">
        <f>'PT Recap costs'!M52/1000</f>
        <v>0</v>
      </c>
      <c r="Q18" s="28">
        <f t="shared" si="2"/>
        <v>0</v>
      </c>
      <c r="R18" s="6"/>
    </row>
    <row r="19" spans="2:18" x14ac:dyDescent="0.2">
      <c r="B19" s="264"/>
      <c r="C19" s="257"/>
      <c r="D19" s="33" t="s">
        <v>62</v>
      </c>
      <c r="E19" s="29">
        <f>'PT Recap costs'!B53/1000</f>
        <v>13.4730902</v>
      </c>
      <c r="F19" s="29">
        <f>'PT Recap costs'!C53/1000</f>
        <v>82.910590200000001</v>
      </c>
      <c r="G19" s="29">
        <f>'PT Recap costs'!D53/1000</f>
        <v>82.910590200000001</v>
      </c>
      <c r="H19" s="29">
        <f>'PT Recap costs'!E53/1000</f>
        <v>105.46059020000001</v>
      </c>
      <c r="I19" s="29">
        <f>'PT Recap costs'!F53/1000</f>
        <v>109.0355902</v>
      </c>
      <c r="J19" s="29">
        <f>'PT Recap costs'!G53/1000</f>
        <v>109.0355902</v>
      </c>
      <c r="K19" s="29">
        <f>'PT Recap costs'!H53/1000</f>
        <v>109.0355902</v>
      </c>
      <c r="L19" s="29">
        <f>'PT Recap costs'!I53/1000</f>
        <v>109.0355902</v>
      </c>
      <c r="M19" s="29">
        <f>'PT Recap costs'!J53/1000</f>
        <v>109.0355902</v>
      </c>
      <c r="N19" s="29">
        <f>'PT Recap costs'!K53/1000</f>
        <v>120.31059020000001</v>
      </c>
      <c r="O19" s="29">
        <f>'PT Recap costs'!L53/1000</f>
        <v>120.31059020000001</v>
      </c>
      <c r="P19" s="29">
        <f>'PT Recap costs'!M53/1000</f>
        <v>120.31059020000001</v>
      </c>
      <c r="Q19" s="28">
        <f t="shared" si="2"/>
        <v>1190.8645824</v>
      </c>
      <c r="R19" s="6"/>
    </row>
    <row r="20" spans="2:18" x14ac:dyDescent="0.2">
      <c r="B20" s="264"/>
      <c r="C20" s="257"/>
      <c r="D20" s="33" t="s">
        <v>74</v>
      </c>
      <c r="E20" s="29">
        <f>'PT Recap costs'!B37/1000</f>
        <v>0.55555555555555558</v>
      </c>
      <c r="F20" s="29">
        <f>'PT Recap costs'!C37/1000</f>
        <v>0.55555555555555558</v>
      </c>
      <c r="G20" s="29">
        <f>'PT Recap costs'!D37/1000</f>
        <v>0.55555555555555558</v>
      </c>
      <c r="H20" s="29">
        <f>'PT Recap costs'!E37/1000</f>
        <v>0.55555555555555558</v>
      </c>
      <c r="I20" s="29">
        <f>'PT Recap costs'!F37/1000</f>
        <v>0.55555555555555558</v>
      </c>
      <c r="J20" s="29">
        <f>'PT Recap costs'!G37/1000</f>
        <v>0.55555555555555558</v>
      </c>
      <c r="K20" s="29">
        <f>'PT Recap costs'!H37/1000</f>
        <v>0.55555555555555558</v>
      </c>
      <c r="L20" s="29">
        <f>'PT Recap costs'!I37/1000</f>
        <v>0.55555555555555558</v>
      </c>
      <c r="M20" s="29">
        <f>'PT Recap costs'!J37/1000</f>
        <v>0.55555555555555558</v>
      </c>
      <c r="N20" s="29">
        <f>'PT Recap costs'!K37/1000</f>
        <v>0.55555555555555558</v>
      </c>
      <c r="O20" s="29">
        <f>'PT Recap costs'!L37/1000</f>
        <v>0.55555555555555558</v>
      </c>
      <c r="P20" s="29">
        <f>'PT Recap costs'!M37/1000</f>
        <v>0.55555555555555558</v>
      </c>
      <c r="Q20" s="28">
        <f t="shared" si="2"/>
        <v>6.6666666666666652</v>
      </c>
      <c r="R20" s="6"/>
    </row>
    <row r="21" spans="2:18" ht="16" thickBot="1" x14ac:dyDescent="0.25">
      <c r="B21" s="264"/>
      <c r="C21" s="257"/>
      <c r="D21" s="33" t="s">
        <v>56</v>
      </c>
      <c r="E21" s="29">
        <f>'PT Recap costs'!B38/1000</f>
        <v>3.3333333333333335</v>
      </c>
      <c r="F21" s="29">
        <f>'PT Recap costs'!C38/1000</f>
        <v>3.3333333333333335</v>
      </c>
      <c r="G21" s="29">
        <f>'PT Recap costs'!D38/1000</f>
        <v>3.3333333333333335</v>
      </c>
      <c r="H21" s="29">
        <f>'PT Recap costs'!E38/1000</f>
        <v>3.3333333333333335</v>
      </c>
      <c r="I21" s="29">
        <f>'PT Recap costs'!F38/1000</f>
        <v>3.3333333333333335</v>
      </c>
      <c r="J21" s="29">
        <f>'PT Recap costs'!G38/1000</f>
        <v>3.3333333333333335</v>
      </c>
      <c r="K21" s="29">
        <f>'PT Recap costs'!H38/1000</f>
        <v>3.3333333333333335</v>
      </c>
      <c r="L21" s="29">
        <f>'PT Recap costs'!I38/1000</f>
        <v>3.3333333333333335</v>
      </c>
      <c r="M21" s="29">
        <f>'PT Recap costs'!J38/1000</f>
        <v>3.3333333333333335</v>
      </c>
      <c r="N21" s="29">
        <f>'PT Recap costs'!K38/1000</f>
        <v>3.3333333333333335</v>
      </c>
      <c r="O21" s="29">
        <f>'PT Recap costs'!L38/1000</f>
        <v>3.3333333333333335</v>
      </c>
      <c r="P21" s="29">
        <f>'PT Recap costs'!M38/1000</f>
        <v>3.3333333333333335</v>
      </c>
      <c r="Q21" s="28">
        <f t="shared" si="2"/>
        <v>40</v>
      </c>
      <c r="R21" s="6"/>
    </row>
    <row r="22" spans="2:18" s="9" customFormat="1" ht="17" thickTop="1" thickBot="1" x14ac:dyDescent="0.25">
      <c r="B22" s="265"/>
      <c r="C22" s="258"/>
      <c r="D22" s="20" t="s">
        <v>8</v>
      </c>
      <c r="E22" s="163">
        <f t="shared" ref="E22:Q22" si="16">E14+E15</f>
        <v>-11.630295894008887</v>
      </c>
      <c r="F22" s="163">
        <f t="shared" si="16"/>
        <v>-63.28633111724789</v>
      </c>
      <c r="G22" s="163">
        <f t="shared" si="16"/>
        <v>-49.279757131427402</v>
      </c>
      <c r="H22" s="163">
        <f t="shared" si="16"/>
        <v>-53.280246766174628</v>
      </c>
      <c r="I22" s="163">
        <f t="shared" si="16"/>
        <v>70.135978928436316</v>
      </c>
      <c r="J22" s="163">
        <f t="shared" si="16"/>
        <v>70.135978928436316</v>
      </c>
      <c r="K22" s="163">
        <f t="shared" si="16"/>
        <v>70.135978928436316</v>
      </c>
      <c r="L22" s="163">
        <f t="shared" si="16"/>
        <v>70.135978928436316</v>
      </c>
      <c r="M22" s="163">
        <f t="shared" si="16"/>
        <v>257.59498631680697</v>
      </c>
      <c r="N22" s="163">
        <f t="shared" si="16"/>
        <v>246.31998631680696</v>
      </c>
      <c r="O22" s="163">
        <f t="shared" si="16"/>
        <v>246.31998631680696</v>
      </c>
      <c r="P22" s="163">
        <f t="shared" si="16"/>
        <v>246.31998631680696</v>
      </c>
      <c r="Q22" s="36">
        <f t="shared" si="16"/>
        <v>1099.6222300721145</v>
      </c>
      <c r="R22" s="21"/>
    </row>
    <row r="23" spans="2:18" ht="18.5" customHeight="1" thickBot="1" x14ac:dyDescent="0.25">
      <c r="B23" s="3"/>
      <c r="C23" s="25"/>
      <c r="D23" s="3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56"/>
      <c r="R23" s="4"/>
    </row>
    <row r="24" spans="2:18" ht="16" thickBot="1" x14ac:dyDescent="0.25">
      <c r="B24" s="263" t="s">
        <v>4</v>
      </c>
      <c r="C24" s="256" t="s">
        <v>131</v>
      </c>
      <c r="D24" s="96" t="s">
        <v>27</v>
      </c>
      <c r="E24" s="190">
        <v>0</v>
      </c>
      <c r="F24" s="190">
        <v>0</v>
      </c>
      <c r="G24" s="190">
        <v>0</v>
      </c>
      <c r="H24" s="190">
        <v>0</v>
      </c>
      <c r="I24" s="190">
        <v>0</v>
      </c>
      <c r="J24" s="190">
        <v>0</v>
      </c>
      <c r="K24" s="190">
        <v>0</v>
      </c>
      <c r="L24" s="190">
        <v>0</v>
      </c>
      <c r="M24" s="190">
        <v>0</v>
      </c>
      <c r="N24" s="190">
        <v>0</v>
      </c>
      <c r="O24" s="190">
        <v>0</v>
      </c>
      <c r="P24" s="190">
        <v>0</v>
      </c>
      <c r="Q24" s="157">
        <f t="shared" si="2"/>
        <v>0</v>
      </c>
      <c r="R24" s="5"/>
    </row>
    <row r="25" spans="2:18" x14ac:dyDescent="0.2">
      <c r="B25" s="264"/>
      <c r="C25" s="257"/>
      <c r="D25" s="32" t="s">
        <v>66</v>
      </c>
      <c r="E25" s="191">
        <f>-SUM(E26:E31)</f>
        <v>-181.23446195555556</v>
      </c>
      <c r="F25" s="191">
        <f t="shared" ref="F25:P25" si="17">-SUM(F26:F31)</f>
        <v>-183.98446195555556</v>
      </c>
      <c r="G25" s="191">
        <f t="shared" si="17"/>
        <v>-179.27116690555553</v>
      </c>
      <c r="H25" s="191">
        <f t="shared" si="17"/>
        <v>-259.02116690555556</v>
      </c>
      <c r="I25" s="191">
        <f t="shared" si="17"/>
        <v>-248.98446195555556</v>
      </c>
      <c r="J25" s="191">
        <f t="shared" si="17"/>
        <v>-218.73446195555556</v>
      </c>
      <c r="K25" s="191">
        <f t="shared" si="17"/>
        <v>-141.73446195555556</v>
      </c>
      <c r="L25" s="191">
        <f t="shared" si="17"/>
        <v>-180.23446195555556</v>
      </c>
      <c r="M25" s="191">
        <f t="shared" si="17"/>
        <v>-224.23446195555556</v>
      </c>
      <c r="N25" s="191">
        <f t="shared" si="17"/>
        <v>-224.23446195555556</v>
      </c>
      <c r="O25" s="191">
        <f t="shared" si="17"/>
        <v>-224.23446195555556</v>
      </c>
      <c r="P25" s="191">
        <f t="shared" si="17"/>
        <v>-270.98446195555556</v>
      </c>
      <c r="Q25" s="158">
        <f>-SUM(Q26:Q31)</f>
        <v>-2536.8869533666661</v>
      </c>
      <c r="R25" s="6"/>
    </row>
    <row r="26" spans="2:18" x14ac:dyDescent="0.2">
      <c r="B26" s="264"/>
      <c r="C26" s="257"/>
      <c r="D26" s="33" t="s">
        <v>6</v>
      </c>
      <c r="E26" s="29">
        <f>COGS!C12/1000</f>
        <v>0</v>
      </c>
      <c r="F26" s="29">
        <f>COGS!D12/1000</f>
        <v>0</v>
      </c>
      <c r="G26" s="29">
        <f>COGS!E12/1000</f>
        <v>0</v>
      </c>
      <c r="H26" s="29">
        <f>COGS!F12/1000</f>
        <v>0</v>
      </c>
      <c r="I26" s="29">
        <f>COGS!G12/1000</f>
        <v>0</v>
      </c>
      <c r="J26" s="29">
        <f>COGS!H12/1000</f>
        <v>0</v>
      </c>
      <c r="K26" s="29">
        <f>COGS!I12/1000</f>
        <v>0</v>
      </c>
      <c r="L26" s="29">
        <f>COGS!J12/1000</f>
        <v>0</v>
      </c>
      <c r="M26" s="29">
        <f>COGS!K12/1000</f>
        <v>0</v>
      </c>
      <c r="N26" s="29">
        <f>COGS!L12/1000</f>
        <v>0</v>
      </c>
      <c r="O26" s="29">
        <f>COGS!M12/1000</f>
        <v>0</v>
      </c>
      <c r="P26" s="29">
        <f>COGS!N12/1000</f>
        <v>0</v>
      </c>
      <c r="Q26" s="28">
        <f t="shared" si="2"/>
        <v>0</v>
      </c>
      <c r="R26" s="6"/>
    </row>
    <row r="27" spans="2:18" x14ac:dyDescent="0.2">
      <c r="B27" s="264"/>
      <c r="C27" s="257"/>
      <c r="D27" s="33" t="s">
        <v>69</v>
      </c>
      <c r="E27" s="29">
        <f>'PT Recap costs'!B55/1000</f>
        <v>75</v>
      </c>
      <c r="F27" s="29">
        <f>'PT Recap costs'!C55/1000</f>
        <v>75</v>
      </c>
      <c r="G27" s="29">
        <f>'PT Recap costs'!D55/1000</f>
        <v>75</v>
      </c>
      <c r="H27" s="29">
        <f>'PT Recap costs'!E55/1000</f>
        <v>75</v>
      </c>
      <c r="I27" s="29">
        <f>'PT Recap costs'!F55/1000</f>
        <v>30</v>
      </c>
      <c r="J27" s="29">
        <f>'PT Recap costs'!G55/1000</f>
        <v>30</v>
      </c>
      <c r="K27" s="29">
        <f>'PT Recap costs'!H55/1000</f>
        <v>30</v>
      </c>
      <c r="L27" s="29">
        <f>'PT Recap costs'!I55/1000</f>
        <v>30</v>
      </c>
      <c r="M27" s="29">
        <f>'PT Recap costs'!J55/1000</f>
        <v>30</v>
      </c>
      <c r="N27" s="29">
        <f>'PT Recap costs'!K55/1000</f>
        <v>30</v>
      </c>
      <c r="O27" s="29">
        <f>'PT Recap costs'!L55/1000</f>
        <v>30</v>
      </c>
      <c r="P27" s="29">
        <f>'PT Recap costs'!M55/1000</f>
        <v>30</v>
      </c>
      <c r="Q27" s="28">
        <f t="shared" si="2"/>
        <v>540</v>
      </c>
      <c r="R27" s="6"/>
    </row>
    <row r="28" spans="2:18" x14ac:dyDescent="0.2">
      <c r="B28" s="264"/>
      <c r="C28" s="257"/>
      <c r="D28" s="33" t="s">
        <v>7</v>
      </c>
      <c r="E28" s="29">
        <f>'PT Recap costs'!B56/1000</f>
        <v>100.6789064</v>
      </c>
      <c r="F28" s="29">
        <f>'PT Recap costs'!C56/1000</f>
        <v>100.6789064</v>
      </c>
      <c r="G28" s="29">
        <f>'PT Recap costs'!D56/1000</f>
        <v>95.965611349999989</v>
      </c>
      <c r="H28" s="29">
        <f>'PT Recap costs'!E56/1000</f>
        <v>172.96561134999999</v>
      </c>
      <c r="I28" s="29">
        <f>'PT Recap costs'!F56/1000</f>
        <v>207.92890640000002</v>
      </c>
      <c r="J28" s="29">
        <f>'PT Recap costs'!G56/1000</f>
        <v>177.67890640000002</v>
      </c>
      <c r="K28" s="29">
        <f>'PT Recap costs'!H56/1000</f>
        <v>100.6789064</v>
      </c>
      <c r="L28" s="29">
        <f>'PT Recap costs'!I56/1000</f>
        <v>139.17890640000002</v>
      </c>
      <c r="M28" s="29">
        <f>'PT Recap costs'!J56/1000</f>
        <v>183.17890640000002</v>
      </c>
      <c r="N28" s="29">
        <f>'PT Recap costs'!K56/1000</f>
        <v>183.17890640000002</v>
      </c>
      <c r="O28" s="29">
        <f>'PT Recap costs'!L56/1000</f>
        <v>183.17890640000002</v>
      </c>
      <c r="P28" s="29">
        <f>'PT Recap costs'!M56/1000</f>
        <v>229.92890640000002</v>
      </c>
      <c r="Q28" s="28">
        <f t="shared" si="2"/>
        <v>1875.2202866999996</v>
      </c>
      <c r="R28" s="6"/>
    </row>
    <row r="29" spans="2:18" x14ac:dyDescent="0.2">
      <c r="B29" s="264"/>
      <c r="C29" s="257"/>
      <c r="D29" s="33" t="s">
        <v>62</v>
      </c>
      <c r="E29" s="29">
        <f>'PT Recap costs'!B57/1000</f>
        <v>0</v>
      </c>
      <c r="F29" s="29">
        <f>'PT Recap costs'!C57/1000</f>
        <v>2.75</v>
      </c>
      <c r="G29" s="29">
        <f>'PT Recap costs'!D57/1000</f>
        <v>2.75</v>
      </c>
      <c r="H29" s="29">
        <f>'PT Recap costs'!E57/1000</f>
        <v>5.5</v>
      </c>
      <c r="I29" s="29">
        <f>'PT Recap costs'!F57/1000</f>
        <v>5.5</v>
      </c>
      <c r="J29" s="29">
        <f>'PT Recap costs'!G57/1000</f>
        <v>5.5</v>
      </c>
      <c r="K29" s="29">
        <f>'PT Recap costs'!H57/1000</f>
        <v>5.5</v>
      </c>
      <c r="L29" s="29">
        <f>'PT Recap costs'!I57/1000</f>
        <v>5.5</v>
      </c>
      <c r="M29" s="29">
        <f>'PT Recap costs'!J57/1000</f>
        <v>5.5</v>
      </c>
      <c r="N29" s="29">
        <f>'PT Recap costs'!K57/1000</f>
        <v>5.5</v>
      </c>
      <c r="O29" s="29">
        <f>'PT Recap costs'!L57/1000</f>
        <v>5.5</v>
      </c>
      <c r="P29" s="29">
        <f>'PT Recap costs'!M57/1000</f>
        <v>5.5</v>
      </c>
      <c r="Q29" s="28">
        <f t="shared" si="2"/>
        <v>55</v>
      </c>
      <c r="R29" s="6"/>
    </row>
    <row r="30" spans="2:18" x14ac:dyDescent="0.2">
      <c r="B30" s="264"/>
      <c r="C30" s="257"/>
      <c r="D30" s="33" t="s">
        <v>74</v>
      </c>
      <c r="E30" s="29">
        <f>'PT Recap costs'!B29/1000</f>
        <v>0.55555555555555558</v>
      </c>
      <c r="F30" s="29">
        <f>'PT Recap costs'!C29/1000</f>
        <v>0.55555555555555558</v>
      </c>
      <c r="G30" s="29">
        <f>'PT Recap costs'!D29/1000</f>
        <v>0.55555555555555558</v>
      </c>
      <c r="H30" s="29">
        <f>'PT Recap costs'!E29/1000</f>
        <v>0.55555555555555558</v>
      </c>
      <c r="I30" s="29">
        <f>'PT Recap costs'!F29/1000</f>
        <v>0.55555555555555558</v>
      </c>
      <c r="J30" s="29">
        <f>'PT Recap costs'!G29/1000</f>
        <v>0.55555555555555558</v>
      </c>
      <c r="K30" s="29">
        <f>'PT Recap costs'!H29/1000</f>
        <v>0.55555555555555558</v>
      </c>
      <c r="L30" s="29">
        <f>'PT Recap costs'!I29/1000</f>
        <v>0.55555555555555558</v>
      </c>
      <c r="M30" s="29">
        <f>'PT Recap costs'!J29/1000</f>
        <v>0.55555555555555558</v>
      </c>
      <c r="N30" s="29">
        <f>'PT Recap costs'!K29/1000</f>
        <v>0.55555555555555558</v>
      </c>
      <c r="O30" s="29">
        <f>'PT Recap costs'!L29/1000</f>
        <v>0.55555555555555558</v>
      </c>
      <c r="P30" s="29">
        <f>'PT Recap costs'!M29/1000</f>
        <v>0.55555555555555558</v>
      </c>
      <c r="Q30" s="28">
        <f t="shared" si="2"/>
        <v>6.6666666666666652</v>
      </c>
      <c r="R30" s="6"/>
    </row>
    <row r="31" spans="2:18" ht="16" thickBot="1" x14ac:dyDescent="0.25">
      <c r="B31" s="264"/>
      <c r="C31" s="257"/>
      <c r="D31" s="33" t="s">
        <v>56</v>
      </c>
      <c r="E31" s="29">
        <f>'PT Recap costs'!B30/1000</f>
        <v>5</v>
      </c>
      <c r="F31" s="29">
        <f>'PT Recap costs'!C30/1000</f>
        <v>5</v>
      </c>
      <c r="G31" s="29">
        <f>'PT Recap costs'!D30/1000</f>
        <v>5</v>
      </c>
      <c r="H31" s="29">
        <f>'PT Recap costs'!E30/1000</f>
        <v>5</v>
      </c>
      <c r="I31" s="29">
        <f>'PT Recap costs'!F30/1000</f>
        <v>5</v>
      </c>
      <c r="J31" s="29">
        <f>'PT Recap costs'!G30/1000</f>
        <v>5</v>
      </c>
      <c r="K31" s="29">
        <f>'PT Recap costs'!H30/1000</f>
        <v>5</v>
      </c>
      <c r="L31" s="29">
        <f>'PT Recap costs'!I30/1000</f>
        <v>5</v>
      </c>
      <c r="M31" s="29">
        <f>'PT Recap costs'!J30/1000</f>
        <v>5</v>
      </c>
      <c r="N31" s="29">
        <f>'PT Recap costs'!K30/1000</f>
        <v>5</v>
      </c>
      <c r="O31" s="29">
        <f>'PT Recap costs'!L30/1000</f>
        <v>5</v>
      </c>
      <c r="P31" s="29">
        <f>'PT Recap costs'!M30/1000</f>
        <v>5</v>
      </c>
      <c r="Q31" s="28">
        <f t="shared" si="2"/>
        <v>60</v>
      </c>
      <c r="R31" s="6"/>
    </row>
    <row r="32" spans="2:18" ht="17" thickTop="1" thickBot="1" x14ac:dyDescent="0.25">
      <c r="B32" s="265"/>
      <c r="C32" s="258"/>
      <c r="D32" s="20" t="s">
        <v>8</v>
      </c>
      <c r="E32" s="163">
        <f t="shared" ref="E32:Q32" si="18">E24+E25</f>
        <v>-181.23446195555556</v>
      </c>
      <c r="F32" s="163">
        <f t="shared" si="18"/>
        <v>-183.98446195555556</v>
      </c>
      <c r="G32" s="163">
        <f t="shared" si="18"/>
        <v>-179.27116690555553</v>
      </c>
      <c r="H32" s="163">
        <f t="shared" si="18"/>
        <v>-259.02116690555556</v>
      </c>
      <c r="I32" s="163">
        <f t="shared" si="18"/>
        <v>-248.98446195555556</v>
      </c>
      <c r="J32" s="163">
        <f t="shared" si="18"/>
        <v>-218.73446195555556</v>
      </c>
      <c r="K32" s="163">
        <f t="shared" si="18"/>
        <v>-141.73446195555556</v>
      </c>
      <c r="L32" s="163">
        <f t="shared" si="18"/>
        <v>-180.23446195555556</v>
      </c>
      <c r="M32" s="163">
        <f t="shared" si="18"/>
        <v>-224.23446195555556</v>
      </c>
      <c r="N32" s="163">
        <f t="shared" si="18"/>
        <v>-224.23446195555556</v>
      </c>
      <c r="O32" s="163">
        <f t="shared" si="18"/>
        <v>-224.23446195555556</v>
      </c>
      <c r="P32" s="163">
        <f t="shared" si="18"/>
        <v>-270.98446195555556</v>
      </c>
      <c r="Q32" s="36">
        <f t="shared" si="18"/>
        <v>-2536.8869533666661</v>
      </c>
      <c r="R32" s="10"/>
    </row>
    <row r="33" spans="2:18" ht="18.5" customHeight="1" thickBot="1" x14ac:dyDescent="0.25">
      <c r="B33" s="3"/>
      <c r="C33" s="25"/>
      <c r="D33" s="3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56"/>
      <c r="R33" s="4"/>
    </row>
    <row r="34" spans="2:18" ht="15" customHeight="1" thickBot="1" x14ac:dyDescent="0.25">
      <c r="B34" s="263" t="s">
        <v>5</v>
      </c>
      <c r="C34" s="256" t="s">
        <v>132</v>
      </c>
      <c r="D34" s="96" t="s">
        <v>27</v>
      </c>
      <c r="E34" s="190">
        <v>0</v>
      </c>
      <c r="F34" s="190">
        <v>0</v>
      </c>
      <c r="G34" s="190">
        <v>0</v>
      </c>
      <c r="H34" s="190">
        <v>0</v>
      </c>
      <c r="I34" s="190">
        <v>0</v>
      </c>
      <c r="J34" s="190">
        <v>0</v>
      </c>
      <c r="K34" s="190">
        <v>0</v>
      </c>
      <c r="L34" s="190">
        <v>0</v>
      </c>
      <c r="M34" s="190">
        <v>0</v>
      </c>
      <c r="N34" s="190">
        <v>0</v>
      </c>
      <c r="O34" s="190">
        <v>0</v>
      </c>
      <c r="P34" s="190">
        <v>0</v>
      </c>
      <c r="Q34" s="157">
        <f t="shared" si="2"/>
        <v>0</v>
      </c>
      <c r="R34" s="5"/>
    </row>
    <row r="35" spans="2:18" x14ac:dyDescent="0.2">
      <c r="B35" s="264"/>
      <c r="C35" s="257"/>
      <c r="D35" s="32" t="s">
        <v>66</v>
      </c>
      <c r="E35" s="191">
        <f>-SUM(E36:E41)</f>
        <v>-11.805555555555555</v>
      </c>
      <c r="F35" s="191">
        <f t="shared" ref="F35:P35" si="19">-SUM(F36:F41)</f>
        <v>-42.055555555555557</v>
      </c>
      <c r="G35" s="191">
        <f t="shared" si="19"/>
        <v>-46.768850605555556</v>
      </c>
      <c r="H35" s="191">
        <f t="shared" si="19"/>
        <v>-76.768850605555556</v>
      </c>
      <c r="I35" s="191">
        <f t="shared" si="19"/>
        <v>-60.805555555555557</v>
      </c>
      <c r="J35" s="191">
        <f t="shared" si="19"/>
        <v>-60.805555555555557</v>
      </c>
      <c r="K35" s="191">
        <f t="shared" si="19"/>
        <v>-91.055555555555557</v>
      </c>
      <c r="L35" s="191">
        <f t="shared" si="19"/>
        <v>-110.30555555555556</v>
      </c>
      <c r="M35" s="191">
        <f t="shared" si="19"/>
        <v>-94.055555555555557</v>
      </c>
      <c r="N35" s="191">
        <f t="shared" si="19"/>
        <v>-94.055555555555557</v>
      </c>
      <c r="O35" s="191">
        <f t="shared" si="19"/>
        <v>-94.055555555555557</v>
      </c>
      <c r="P35" s="191">
        <f t="shared" si="19"/>
        <v>-94.055555555555557</v>
      </c>
      <c r="Q35" s="158">
        <f>-SUM(Q36:Q41)</f>
        <v>-876.59325676666663</v>
      </c>
      <c r="R35" s="6"/>
    </row>
    <row r="36" spans="2:18" x14ac:dyDescent="0.2">
      <c r="B36" s="264"/>
      <c r="C36" s="257"/>
      <c r="D36" s="33" t="s">
        <v>6</v>
      </c>
      <c r="E36" s="29">
        <f>COGS!C14/1000</f>
        <v>0</v>
      </c>
      <c r="F36" s="29">
        <f>COGS!D14/1000</f>
        <v>0</v>
      </c>
      <c r="G36" s="29">
        <f>COGS!E14/1000</f>
        <v>0</v>
      </c>
      <c r="H36" s="29">
        <f>COGS!F14/1000</f>
        <v>0</v>
      </c>
      <c r="I36" s="29">
        <f>COGS!G14/1000</f>
        <v>0</v>
      </c>
      <c r="J36" s="29">
        <f>COGS!H14/1000</f>
        <v>0</v>
      </c>
      <c r="K36" s="29">
        <f>COGS!I14/1000</f>
        <v>0</v>
      </c>
      <c r="L36" s="29">
        <f>COGS!J14/1000</f>
        <v>0</v>
      </c>
      <c r="M36" s="29">
        <f>COGS!K14/1000</f>
        <v>0</v>
      </c>
      <c r="N36" s="29">
        <f>COGS!L14/1000</f>
        <v>0</v>
      </c>
      <c r="O36" s="29">
        <f>COGS!M14/1000</f>
        <v>0</v>
      </c>
      <c r="P36" s="29">
        <f>COGS!N14/1000</f>
        <v>0</v>
      </c>
      <c r="Q36" s="28">
        <f t="shared" si="2"/>
        <v>0</v>
      </c>
      <c r="R36" s="6"/>
    </row>
    <row r="37" spans="2:18" x14ac:dyDescent="0.2">
      <c r="B37" s="264"/>
      <c r="C37" s="257"/>
      <c r="D37" s="33" t="s">
        <v>69</v>
      </c>
      <c r="E37" s="29">
        <f>'PT Recap costs'!B59/1000</f>
        <v>0</v>
      </c>
      <c r="F37" s="29">
        <f>'PT Recap costs'!C59/1000</f>
        <v>0</v>
      </c>
      <c r="G37" s="29">
        <f>'PT Recap costs'!D59/1000</f>
        <v>0</v>
      </c>
      <c r="H37" s="29">
        <f>'PT Recap costs'!E59/1000</f>
        <v>0</v>
      </c>
      <c r="I37" s="29">
        <f>'PT Recap costs'!F59/1000</f>
        <v>0</v>
      </c>
      <c r="J37" s="29">
        <f>'PT Recap costs'!G59/1000</f>
        <v>0</v>
      </c>
      <c r="K37" s="29">
        <f>'PT Recap costs'!H59/1000</f>
        <v>0</v>
      </c>
      <c r="L37" s="29">
        <f>'PT Recap costs'!I59/1000</f>
        <v>0</v>
      </c>
      <c r="M37" s="29">
        <f>'PT Recap costs'!J59/1000</f>
        <v>0</v>
      </c>
      <c r="N37" s="29">
        <f>'PT Recap costs'!K59/1000</f>
        <v>0</v>
      </c>
      <c r="O37" s="29">
        <f>'PT Recap costs'!L59/1000</f>
        <v>0</v>
      </c>
      <c r="P37" s="29">
        <f>'PT Recap costs'!M59/1000</f>
        <v>0</v>
      </c>
      <c r="Q37" s="28">
        <f t="shared" si="2"/>
        <v>0</v>
      </c>
      <c r="R37" s="6"/>
    </row>
    <row r="38" spans="2:18" x14ac:dyDescent="0.2">
      <c r="B38" s="264"/>
      <c r="C38" s="257"/>
      <c r="D38" s="33" t="s">
        <v>7</v>
      </c>
      <c r="E38" s="29">
        <f>'PT Recap costs'!B60/1000</f>
        <v>0</v>
      </c>
      <c r="F38" s="29">
        <f>'PT Recap costs'!C60/1000</f>
        <v>30.25</v>
      </c>
      <c r="G38" s="29">
        <f>'PT Recap costs'!D60/1000</f>
        <v>34.963295049999999</v>
      </c>
      <c r="H38" s="29">
        <f>'PT Recap costs'!E60/1000</f>
        <v>64.963295049999999</v>
      </c>
      <c r="I38" s="29">
        <f>'PT Recap costs'!F60/1000</f>
        <v>60.25</v>
      </c>
      <c r="J38" s="29">
        <f>'PT Recap costs'!G60/1000</f>
        <v>60.25</v>
      </c>
      <c r="K38" s="29">
        <f>'PT Recap costs'!H60/1000</f>
        <v>90.5</v>
      </c>
      <c r="L38" s="29">
        <f>'PT Recap costs'!I60/1000</f>
        <v>109.75</v>
      </c>
      <c r="M38" s="29">
        <f>'PT Recap costs'!J60/1000</f>
        <v>93.5</v>
      </c>
      <c r="N38" s="29">
        <f>'PT Recap costs'!K60/1000</f>
        <v>93.5</v>
      </c>
      <c r="O38" s="29">
        <f>'PT Recap costs'!L60/1000</f>
        <v>93.5</v>
      </c>
      <c r="P38" s="29">
        <f>'PT Recap costs'!M60/1000</f>
        <v>93.5</v>
      </c>
      <c r="Q38" s="28">
        <f t="shared" si="2"/>
        <v>824.9265901</v>
      </c>
      <c r="R38" s="6"/>
    </row>
    <row r="39" spans="2:18" x14ac:dyDescent="0.2">
      <c r="B39" s="264"/>
      <c r="C39" s="257"/>
      <c r="D39" s="33" t="s">
        <v>62</v>
      </c>
      <c r="E39" s="29">
        <f>'PT Recap costs'!B61/1000</f>
        <v>11.25</v>
      </c>
      <c r="F39" s="29">
        <f>'PT Recap costs'!C61/1000</f>
        <v>11.25</v>
      </c>
      <c r="G39" s="29">
        <f>'PT Recap costs'!D61/1000</f>
        <v>11.25</v>
      </c>
      <c r="H39" s="29">
        <f>'PT Recap costs'!E61/1000</f>
        <v>11.25</v>
      </c>
      <c r="I39" s="29">
        <f>'PT Recap costs'!F61/1000</f>
        <v>0</v>
      </c>
      <c r="J39" s="29">
        <f>'PT Recap costs'!G61/1000</f>
        <v>0</v>
      </c>
      <c r="K39" s="29">
        <f>'PT Recap costs'!H61/1000</f>
        <v>0</v>
      </c>
      <c r="L39" s="29">
        <f>'PT Recap costs'!I61/1000</f>
        <v>0</v>
      </c>
      <c r="M39" s="29">
        <f>'PT Recap costs'!J61/1000</f>
        <v>0</v>
      </c>
      <c r="N39" s="29">
        <f>'PT Recap costs'!K61/1000</f>
        <v>0</v>
      </c>
      <c r="O39" s="29">
        <f>'PT Recap costs'!L61/1000</f>
        <v>0</v>
      </c>
      <c r="P39" s="29">
        <f>'PT Recap costs'!M61/1000</f>
        <v>0</v>
      </c>
      <c r="Q39" s="28">
        <f t="shared" si="2"/>
        <v>45</v>
      </c>
      <c r="R39" s="6"/>
    </row>
    <row r="40" spans="2:18" x14ac:dyDescent="0.2">
      <c r="B40" s="264"/>
      <c r="C40" s="257"/>
      <c r="D40" s="33" t="s">
        <v>74</v>
      </c>
      <c r="E40" s="29">
        <f>'PT Recap costs'!B40/1000</f>
        <v>0.55555555555555558</v>
      </c>
      <c r="F40" s="29">
        <f>'PT Recap costs'!C40/1000</f>
        <v>0.55555555555555558</v>
      </c>
      <c r="G40" s="29">
        <f>'PT Recap costs'!D40/1000</f>
        <v>0.55555555555555558</v>
      </c>
      <c r="H40" s="29">
        <f>'PT Recap costs'!E40/1000</f>
        <v>0.55555555555555558</v>
      </c>
      <c r="I40" s="29">
        <f>'PT Recap costs'!F40/1000</f>
        <v>0.55555555555555558</v>
      </c>
      <c r="J40" s="29">
        <f>'PT Recap costs'!G40/1000</f>
        <v>0.55555555555555558</v>
      </c>
      <c r="K40" s="29">
        <f>'PT Recap costs'!H40/1000</f>
        <v>0.55555555555555558</v>
      </c>
      <c r="L40" s="29">
        <f>'PT Recap costs'!I40/1000</f>
        <v>0.55555555555555558</v>
      </c>
      <c r="M40" s="29">
        <f>'PT Recap costs'!J40/1000</f>
        <v>0.55555555555555558</v>
      </c>
      <c r="N40" s="29">
        <f>'PT Recap costs'!K40/1000</f>
        <v>0.55555555555555558</v>
      </c>
      <c r="O40" s="29">
        <f>'PT Recap costs'!L40/1000</f>
        <v>0.55555555555555558</v>
      </c>
      <c r="P40" s="29">
        <f>'PT Recap costs'!M40/1000</f>
        <v>0.55555555555555558</v>
      </c>
      <c r="Q40" s="28">
        <f t="shared" si="2"/>
        <v>6.6666666666666652</v>
      </c>
      <c r="R40" s="6"/>
    </row>
    <row r="41" spans="2:18" ht="16" thickBot="1" x14ac:dyDescent="0.25">
      <c r="B41" s="264"/>
      <c r="C41" s="257"/>
      <c r="D41" s="33" t="s">
        <v>56</v>
      </c>
      <c r="E41" s="29">
        <f>'PT Recap costs'!B41/1000</f>
        <v>0</v>
      </c>
      <c r="F41" s="29">
        <f>'PT Recap costs'!C41/1000</f>
        <v>0</v>
      </c>
      <c r="G41" s="29">
        <f>'PT Recap costs'!D41/1000</f>
        <v>0</v>
      </c>
      <c r="H41" s="29">
        <f>'PT Recap costs'!E41/1000</f>
        <v>0</v>
      </c>
      <c r="I41" s="29">
        <f>'PT Recap costs'!F41/1000</f>
        <v>0</v>
      </c>
      <c r="J41" s="29">
        <f>'PT Recap costs'!G41/1000</f>
        <v>0</v>
      </c>
      <c r="K41" s="29">
        <f>'PT Recap costs'!H41/1000</f>
        <v>0</v>
      </c>
      <c r="L41" s="29">
        <f>'PT Recap costs'!I41/1000</f>
        <v>0</v>
      </c>
      <c r="M41" s="29">
        <f>'PT Recap costs'!J41/1000</f>
        <v>0</v>
      </c>
      <c r="N41" s="29">
        <f>'PT Recap costs'!K41/1000</f>
        <v>0</v>
      </c>
      <c r="O41" s="29">
        <f>'PT Recap costs'!L41/1000</f>
        <v>0</v>
      </c>
      <c r="P41" s="29">
        <f>'PT Recap costs'!M41/1000</f>
        <v>0</v>
      </c>
      <c r="Q41" s="28">
        <f t="shared" si="2"/>
        <v>0</v>
      </c>
      <c r="R41" s="6"/>
    </row>
    <row r="42" spans="2:18" ht="17" thickTop="1" thickBot="1" x14ac:dyDescent="0.25">
      <c r="B42" s="265"/>
      <c r="C42" s="258"/>
      <c r="D42" s="20" t="s">
        <v>8</v>
      </c>
      <c r="E42" s="163">
        <f t="shared" ref="E42:Q42" si="20">E34+E35</f>
        <v>-11.805555555555555</v>
      </c>
      <c r="F42" s="163">
        <f t="shared" si="20"/>
        <v>-42.055555555555557</v>
      </c>
      <c r="G42" s="163">
        <f t="shared" si="20"/>
        <v>-46.768850605555556</v>
      </c>
      <c r="H42" s="163">
        <f t="shared" si="20"/>
        <v>-76.768850605555556</v>
      </c>
      <c r="I42" s="163">
        <f t="shared" si="20"/>
        <v>-60.805555555555557</v>
      </c>
      <c r="J42" s="163">
        <f t="shared" si="20"/>
        <v>-60.805555555555557</v>
      </c>
      <c r="K42" s="163">
        <f t="shared" si="20"/>
        <v>-91.055555555555557</v>
      </c>
      <c r="L42" s="163">
        <f t="shared" si="20"/>
        <v>-110.30555555555556</v>
      </c>
      <c r="M42" s="163">
        <f t="shared" si="20"/>
        <v>-94.055555555555557</v>
      </c>
      <c r="N42" s="163">
        <f t="shared" si="20"/>
        <v>-94.055555555555557</v>
      </c>
      <c r="O42" s="163">
        <f t="shared" si="20"/>
        <v>-94.055555555555557</v>
      </c>
      <c r="P42" s="163">
        <f t="shared" si="20"/>
        <v>-94.055555555555557</v>
      </c>
      <c r="Q42" s="36">
        <f t="shared" si="20"/>
        <v>-876.59325676666663</v>
      </c>
      <c r="R42" s="10"/>
    </row>
    <row r="43" spans="2:18" ht="18.5" customHeight="1" thickBot="1" x14ac:dyDescent="0.25">
      <c r="B43" s="3"/>
      <c r="C43" s="25"/>
      <c r="D43" s="3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56"/>
      <c r="R43" s="4"/>
    </row>
    <row r="44" spans="2:18" ht="16" thickBot="1" x14ac:dyDescent="0.25">
      <c r="B44" s="263" t="s">
        <v>9</v>
      </c>
      <c r="C44" s="256" t="s">
        <v>133</v>
      </c>
      <c r="D44" s="96" t="s">
        <v>27</v>
      </c>
      <c r="E44" s="190">
        <v>48.125</v>
      </c>
      <c r="F44" s="190">
        <v>20.625</v>
      </c>
      <c r="G44" s="190">
        <v>48.125</v>
      </c>
      <c r="H44" s="190">
        <v>20.625</v>
      </c>
      <c r="I44" s="190">
        <v>90.75</v>
      </c>
      <c r="J44" s="190">
        <v>140.25</v>
      </c>
      <c r="K44" s="190">
        <v>189.75</v>
      </c>
      <c r="L44" s="190">
        <v>239.25</v>
      </c>
      <c r="M44" s="190">
        <v>103.125</v>
      </c>
      <c r="N44" s="190">
        <v>103.125</v>
      </c>
      <c r="O44" s="190">
        <v>103.125</v>
      </c>
      <c r="P44" s="190">
        <v>103.125</v>
      </c>
      <c r="Q44" s="157">
        <f t="shared" si="2"/>
        <v>1210</v>
      </c>
      <c r="R44" s="5"/>
    </row>
    <row r="45" spans="2:18" x14ac:dyDescent="0.2">
      <c r="B45" s="264"/>
      <c r="C45" s="257"/>
      <c r="D45" s="32" t="s">
        <v>66</v>
      </c>
      <c r="E45" s="191">
        <f>-SUM(E46:E51)</f>
        <v>-36.055555555555557</v>
      </c>
      <c r="F45" s="191">
        <f t="shared" ref="F45:P45" si="21">-SUM(F46:F51)</f>
        <v>-36.055555555555557</v>
      </c>
      <c r="G45" s="191">
        <f t="shared" si="21"/>
        <v>-36.055555555555557</v>
      </c>
      <c r="H45" s="191">
        <f t="shared" si="21"/>
        <v>-36.055555555555557</v>
      </c>
      <c r="I45" s="191">
        <f t="shared" si="21"/>
        <v>-150.80555555555554</v>
      </c>
      <c r="J45" s="191">
        <f t="shared" si="21"/>
        <v>-150.80555555555554</v>
      </c>
      <c r="K45" s="191">
        <f t="shared" si="21"/>
        <v>-134.30555555555554</v>
      </c>
      <c r="L45" s="191">
        <f t="shared" si="21"/>
        <v>-134.30555555555554</v>
      </c>
      <c r="M45" s="191">
        <f t="shared" si="21"/>
        <v>-134.30555555555554</v>
      </c>
      <c r="N45" s="191">
        <f t="shared" si="21"/>
        <v>-145.58055555555555</v>
      </c>
      <c r="O45" s="191">
        <f t="shared" si="21"/>
        <v>-145.58055555555555</v>
      </c>
      <c r="P45" s="191">
        <f t="shared" si="21"/>
        <v>-145.58055555555555</v>
      </c>
      <c r="Q45" s="158">
        <f>-SUM(Q46:Q51)</f>
        <v>-1285.4916666666668</v>
      </c>
      <c r="R45" s="6"/>
    </row>
    <row r="46" spans="2:18" x14ac:dyDescent="0.2">
      <c r="B46" s="264"/>
      <c r="C46" s="257"/>
      <c r="D46" s="33" t="s">
        <v>6</v>
      </c>
      <c r="E46" s="29">
        <f>COGS!C16/1000</f>
        <v>0</v>
      </c>
      <c r="F46" s="29">
        <f>COGS!D16/1000</f>
        <v>0</v>
      </c>
      <c r="G46" s="29">
        <f>COGS!E16/1000</f>
        <v>0</v>
      </c>
      <c r="H46" s="29">
        <f>COGS!F16/1000</f>
        <v>0</v>
      </c>
      <c r="I46" s="29">
        <f>COGS!G16/1000</f>
        <v>0</v>
      </c>
      <c r="J46" s="29">
        <f>COGS!H16/1000</f>
        <v>0</v>
      </c>
      <c r="K46" s="29">
        <f>COGS!I16/1000</f>
        <v>0</v>
      </c>
      <c r="L46" s="29">
        <f>COGS!J16/1000</f>
        <v>0</v>
      </c>
      <c r="M46" s="29">
        <f>COGS!K16/1000</f>
        <v>0</v>
      </c>
      <c r="N46" s="29">
        <f>COGS!L16/1000</f>
        <v>0</v>
      </c>
      <c r="O46" s="29">
        <f>COGS!M16/1000</f>
        <v>0</v>
      </c>
      <c r="P46" s="29">
        <f>COGS!N16/1000</f>
        <v>0</v>
      </c>
      <c r="Q46" s="28">
        <f t="shared" si="2"/>
        <v>0</v>
      </c>
      <c r="R46" s="6"/>
    </row>
    <row r="47" spans="2:18" x14ac:dyDescent="0.2">
      <c r="B47" s="264"/>
      <c r="C47" s="257"/>
      <c r="D47" s="33" t="s">
        <v>69</v>
      </c>
      <c r="E47" s="29">
        <f>'PT Recap costs'!B63/1000</f>
        <v>1</v>
      </c>
      <c r="F47" s="29">
        <f>'PT Recap costs'!C63/1000</f>
        <v>1</v>
      </c>
      <c r="G47" s="29">
        <f>'PT Recap costs'!D63/1000</f>
        <v>1</v>
      </c>
      <c r="H47" s="29">
        <f>'PT Recap costs'!E63/1000</f>
        <v>1</v>
      </c>
      <c r="I47" s="29">
        <f>'PT Recap costs'!F63/1000</f>
        <v>1</v>
      </c>
      <c r="J47" s="29">
        <f>'PT Recap costs'!G63/1000</f>
        <v>1</v>
      </c>
      <c r="K47" s="29">
        <f>'PT Recap costs'!H63/1000</f>
        <v>1</v>
      </c>
      <c r="L47" s="29">
        <f>'PT Recap costs'!I63/1000</f>
        <v>1</v>
      </c>
      <c r="M47" s="29">
        <f>'PT Recap costs'!J63/1000</f>
        <v>1</v>
      </c>
      <c r="N47" s="29">
        <f>'PT Recap costs'!K63/1000</f>
        <v>1</v>
      </c>
      <c r="O47" s="29">
        <f>'PT Recap costs'!L63/1000</f>
        <v>1</v>
      </c>
      <c r="P47" s="29">
        <f>'PT Recap costs'!M63/1000</f>
        <v>1</v>
      </c>
      <c r="Q47" s="28">
        <f t="shared" si="2"/>
        <v>12</v>
      </c>
      <c r="R47" s="6"/>
    </row>
    <row r="48" spans="2:18" x14ac:dyDescent="0.2">
      <c r="B48" s="264"/>
      <c r="C48" s="257"/>
      <c r="D48" s="33" t="s">
        <v>7</v>
      </c>
      <c r="E48" s="29">
        <f>'PT Recap costs'!B64/1000</f>
        <v>27</v>
      </c>
      <c r="F48" s="29">
        <f>'PT Recap costs'!C64/1000</f>
        <v>27</v>
      </c>
      <c r="G48" s="29">
        <f>'PT Recap costs'!D64/1000</f>
        <v>27</v>
      </c>
      <c r="H48" s="29">
        <f>'PT Recap costs'!E64/1000</f>
        <v>27</v>
      </c>
      <c r="I48" s="29">
        <f>'PT Recap costs'!F64/1000</f>
        <v>134.25</v>
      </c>
      <c r="J48" s="29">
        <f>'PT Recap costs'!G64/1000</f>
        <v>134.25</v>
      </c>
      <c r="K48" s="29">
        <f>'PT Recap costs'!H64/1000</f>
        <v>87.5</v>
      </c>
      <c r="L48" s="29">
        <f>'PT Recap costs'!I64/1000</f>
        <v>87.5</v>
      </c>
      <c r="M48" s="29">
        <f>'PT Recap costs'!J64/1000</f>
        <v>87.5</v>
      </c>
      <c r="N48" s="29">
        <f>'PT Recap costs'!K64/1000</f>
        <v>87.5</v>
      </c>
      <c r="O48" s="29">
        <f>'PT Recap costs'!L64/1000</f>
        <v>87.5</v>
      </c>
      <c r="P48" s="29">
        <f>'PT Recap costs'!M64/1000</f>
        <v>87.5</v>
      </c>
      <c r="Q48" s="28">
        <f t="shared" si="2"/>
        <v>901.5</v>
      </c>
      <c r="R48" s="6"/>
    </row>
    <row r="49" spans="2:18" x14ac:dyDescent="0.2">
      <c r="B49" s="264"/>
      <c r="C49" s="257"/>
      <c r="D49" s="33" t="s">
        <v>62</v>
      </c>
      <c r="E49" s="29">
        <f>'PT Recap costs'!B65/1000</f>
        <v>0</v>
      </c>
      <c r="F49" s="29">
        <f>'PT Recap costs'!C65/1000</f>
        <v>0</v>
      </c>
      <c r="G49" s="29">
        <f>'PT Recap costs'!D65/1000</f>
        <v>0</v>
      </c>
      <c r="H49" s="29">
        <f>'PT Recap costs'!E65/1000</f>
        <v>0</v>
      </c>
      <c r="I49" s="29">
        <f>'PT Recap costs'!F65/1000</f>
        <v>0</v>
      </c>
      <c r="J49" s="29">
        <f>'PT Recap costs'!G65/1000</f>
        <v>0</v>
      </c>
      <c r="K49" s="29">
        <f>'PT Recap costs'!H65/1000</f>
        <v>30.25</v>
      </c>
      <c r="L49" s="29">
        <f>'PT Recap costs'!I65/1000</f>
        <v>30.25</v>
      </c>
      <c r="M49" s="29">
        <f>'PT Recap costs'!J65/1000</f>
        <v>30.25</v>
      </c>
      <c r="N49" s="29">
        <f>'PT Recap costs'!K65/1000</f>
        <v>41.524999999999999</v>
      </c>
      <c r="O49" s="29">
        <f>'PT Recap costs'!L65/1000</f>
        <v>41.524999999999999</v>
      </c>
      <c r="P49" s="29">
        <f>'PT Recap costs'!M65/1000</f>
        <v>41.524999999999999</v>
      </c>
      <c r="Q49" s="28">
        <f t="shared" si="2"/>
        <v>215.32500000000002</v>
      </c>
      <c r="R49" s="6"/>
    </row>
    <row r="50" spans="2:18" x14ac:dyDescent="0.2">
      <c r="B50" s="264"/>
      <c r="C50" s="257"/>
      <c r="D50" s="33" t="s">
        <v>74</v>
      </c>
      <c r="E50" s="29">
        <f>'PT Recap costs'!B13/1000</f>
        <v>0.55555555555555558</v>
      </c>
      <c r="F50" s="29">
        <f>'PT Recap costs'!C13/1000</f>
        <v>0.55555555555555558</v>
      </c>
      <c r="G50" s="29">
        <f>'PT Recap costs'!D13/1000</f>
        <v>0.55555555555555558</v>
      </c>
      <c r="H50" s="29">
        <f>'PT Recap costs'!E13/1000</f>
        <v>0.55555555555555558</v>
      </c>
      <c r="I50" s="29">
        <f>'PT Recap costs'!F13/1000</f>
        <v>0.55555555555555558</v>
      </c>
      <c r="J50" s="29">
        <f>'PT Recap costs'!G13/1000</f>
        <v>0.55555555555555558</v>
      </c>
      <c r="K50" s="29">
        <f>'PT Recap costs'!H13/1000</f>
        <v>0.55555555555555558</v>
      </c>
      <c r="L50" s="29">
        <f>'PT Recap costs'!I13/1000</f>
        <v>0.55555555555555558</v>
      </c>
      <c r="M50" s="29">
        <f>'PT Recap costs'!J13/1000</f>
        <v>0.55555555555555558</v>
      </c>
      <c r="N50" s="29">
        <f>'PT Recap costs'!K13/1000</f>
        <v>0.55555555555555558</v>
      </c>
      <c r="O50" s="29">
        <f>'PT Recap costs'!L13/1000</f>
        <v>0.55555555555555558</v>
      </c>
      <c r="P50" s="29">
        <f>'PT Recap costs'!M13/1000</f>
        <v>0.55555555555555558</v>
      </c>
      <c r="Q50" s="28">
        <f t="shared" si="2"/>
        <v>6.6666666666666652</v>
      </c>
      <c r="R50" s="6"/>
    </row>
    <row r="51" spans="2:18" ht="16" thickBot="1" x14ac:dyDescent="0.25">
      <c r="B51" s="264"/>
      <c r="C51" s="257"/>
      <c r="D51" s="33" t="s">
        <v>56</v>
      </c>
      <c r="E51" s="29">
        <f>'PT Recap costs'!B14/1000</f>
        <v>7.5</v>
      </c>
      <c r="F51" s="29">
        <f>'PT Recap costs'!C14/1000</f>
        <v>7.5</v>
      </c>
      <c r="G51" s="29">
        <f>'PT Recap costs'!D14/1000</f>
        <v>7.5</v>
      </c>
      <c r="H51" s="29">
        <f>'PT Recap costs'!E14/1000</f>
        <v>7.5</v>
      </c>
      <c r="I51" s="29">
        <f>'PT Recap costs'!F14/1000</f>
        <v>15</v>
      </c>
      <c r="J51" s="29">
        <f>'PT Recap costs'!G14/1000</f>
        <v>15</v>
      </c>
      <c r="K51" s="29">
        <f>'PT Recap costs'!H14/1000</f>
        <v>15</v>
      </c>
      <c r="L51" s="29">
        <f>'PT Recap costs'!I14/1000</f>
        <v>15</v>
      </c>
      <c r="M51" s="29">
        <f>'PT Recap costs'!J14/1000</f>
        <v>15</v>
      </c>
      <c r="N51" s="29">
        <f>'PT Recap costs'!K14/1000</f>
        <v>15</v>
      </c>
      <c r="O51" s="29">
        <f>'PT Recap costs'!L14/1000</f>
        <v>15</v>
      </c>
      <c r="P51" s="29">
        <f>'PT Recap costs'!M14/1000</f>
        <v>15</v>
      </c>
      <c r="Q51" s="28">
        <f t="shared" si="2"/>
        <v>150</v>
      </c>
      <c r="R51" s="6"/>
    </row>
    <row r="52" spans="2:18" ht="17" thickTop="1" thickBot="1" x14ac:dyDescent="0.25">
      <c r="B52" s="265"/>
      <c r="C52" s="258"/>
      <c r="D52" s="20" t="s">
        <v>8</v>
      </c>
      <c r="E52" s="163">
        <f t="shared" ref="E52:Q52" si="22">E44+E45</f>
        <v>12.069444444444443</v>
      </c>
      <c r="F52" s="163">
        <f t="shared" si="22"/>
        <v>-15.430555555555557</v>
      </c>
      <c r="G52" s="163">
        <f t="shared" si="22"/>
        <v>12.069444444444443</v>
      </c>
      <c r="H52" s="163">
        <f t="shared" si="22"/>
        <v>-15.430555555555557</v>
      </c>
      <c r="I52" s="163">
        <f t="shared" si="22"/>
        <v>-60.055555555555543</v>
      </c>
      <c r="J52" s="163">
        <f t="shared" si="22"/>
        <v>-10.555555555555543</v>
      </c>
      <c r="K52" s="163">
        <f t="shared" si="22"/>
        <v>55.444444444444457</v>
      </c>
      <c r="L52" s="163">
        <f t="shared" si="22"/>
        <v>104.94444444444446</v>
      </c>
      <c r="M52" s="163">
        <f t="shared" si="22"/>
        <v>-31.180555555555543</v>
      </c>
      <c r="N52" s="163">
        <f t="shared" si="22"/>
        <v>-42.455555555555549</v>
      </c>
      <c r="O52" s="163">
        <f t="shared" si="22"/>
        <v>-42.455555555555549</v>
      </c>
      <c r="P52" s="163">
        <f t="shared" si="22"/>
        <v>-42.455555555555549</v>
      </c>
      <c r="Q52" s="36">
        <f t="shared" si="22"/>
        <v>-75.491666666666788</v>
      </c>
      <c r="R52" s="35"/>
    </row>
    <row r="53" spans="2:18" ht="18.5" customHeight="1" thickBot="1" x14ac:dyDescent="0.25">
      <c r="B53" s="3"/>
      <c r="C53" s="25"/>
      <c r="D53" s="3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56"/>
      <c r="R53" s="4"/>
    </row>
    <row r="54" spans="2:18" ht="16" thickBot="1" x14ac:dyDescent="0.25">
      <c r="B54" s="266" t="s">
        <v>10</v>
      </c>
      <c r="C54" s="256" t="s">
        <v>134</v>
      </c>
      <c r="D54" s="143" t="s">
        <v>27</v>
      </c>
      <c r="E54" s="190">
        <v>0</v>
      </c>
      <c r="F54" s="190">
        <v>45</v>
      </c>
      <c r="G54" s="190">
        <v>0</v>
      </c>
      <c r="H54" s="190">
        <v>394.6</v>
      </c>
      <c r="I54" s="190">
        <v>218.5</v>
      </c>
      <c r="J54" s="190">
        <v>263.5</v>
      </c>
      <c r="K54" s="190">
        <v>263.5</v>
      </c>
      <c r="L54" s="190">
        <v>263.5</v>
      </c>
      <c r="M54" s="190">
        <v>394.6</v>
      </c>
      <c r="N54" s="190">
        <v>394.6</v>
      </c>
      <c r="O54" s="190">
        <v>394.6</v>
      </c>
      <c r="P54" s="190">
        <v>394.6</v>
      </c>
      <c r="Q54" s="159">
        <f t="shared" si="2"/>
        <v>3026.9999999999995</v>
      </c>
      <c r="R54" s="5"/>
    </row>
    <row r="55" spans="2:18" x14ac:dyDescent="0.2">
      <c r="B55" s="267"/>
      <c r="C55" s="257"/>
      <c r="D55" s="32" t="s">
        <v>66</v>
      </c>
      <c r="E55" s="191">
        <f>-SUM(E56:E61)</f>
        <v>-3.8888888888888893</v>
      </c>
      <c r="F55" s="191">
        <f t="shared" ref="F55:P55" si="23">-SUM(F56:F61)</f>
        <v>-18.888888888888889</v>
      </c>
      <c r="G55" s="191">
        <f t="shared" si="23"/>
        <v>-33.888888888888893</v>
      </c>
      <c r="H55" s="191">
        <f t="shared" si="23"/>
        <v>-233.88888888888889</v>
      </c>
      <c r="I55" s="191">
        <f t="shared" si="23"/>
        <v>-158.88888888888889</v>
      </c>
      <c r="J55" s="191">
        <f t="shared" si="23"/>
        <v>-158.88888888888889</v>
      </c>
      <c r="K55" s="191">
        <f t="shared" si="23"/>
        <v>-248.88888888888889</v>
      </c>
      <c r="L55" s="191">
        <f t="shared" si="23"/>
        <v>-248.88888888888889</v>
      </c>
      <c r="M55" s="191">
        <f t="shared" si="23"/>
        <v>-323.88888888888886</v>
      </c>
      <c r="N55" s="191">
        <f t="shared" si="23"/>
        <v>-335.16388888888883</v>
      </c>
      <c r="O55" s="191">
        <f t="shared" si="23"/>
        <v>-335.16388888888883</v>
      </c>
      <c r="P55" s="191">
        <f t="shared" si="23"/>
        <v>-335.16388888888883</v>
      </c>
      <c r="Q55" s="158">
        <f>-SUM(Q56:Q61)</f>
        <v>-2435.4916666666663</v>
      </c>
      <c r="R55" s="6"/>
    </row>
    <row r="56" spans="2:18" x14ac:dyDescent="0.2">
      <c r="B56" s="267"/>
      <c r="C56" s="257"/>
      <c r="D56" s="33" t="s">
        <v>6</v>
      </c>
      <c r="E56" s="29">
        <f>COGS!C18/1000</f>
        <v>0</v>
      </c>
      <c r="F56" s="29">
        <f>COGS!D18/1000</f>
        <v>0</v>
      </c>
      <c r="G56" s="29">
        <f>COGS!E18/1000</f>
        <v>0</v>
      </c>
      <c r="H56" s="29">
        <f>COGS!F18/1000</f>
        <v>200</v>
      </c>
      <c r="I56" s="29">
        <f>COGS!G18/1000</f>
        <v>125</v>
      </c>
      <c r="J56" s="29">
        <f>COGS!H18/1000</f>
        <v>125</v>
      </c>
      <c r="K56" s="29">
        <f>COGS!I18/1000</f>
        <v>125</v>
      </c>
      <c r="L56" s="29">
        <f>COGS!J18/1000</f>
        <v>125</v>
      </c>
      <c r="M56" s="29">
        <f>COGS!K18/1000</f>
        <v>200</v>
      </c>
      <c r="N56" s="29">
        <f>COGS!L18/1000</f>
        <v>200</v>
      </c>
      <c r="O56" s="29">
        <f>COGS!M18/1000</f>
        <v>200</v>
      </c>
      <c r="P56" s="29">
        <f>COGS!N18/1000</f>
        <v>200</v>
      </c>
      <c r="Q56" s="28">
        <f t="shared" si="2"/>
        <v>1500</v>
      </c>
      <c r="R56" s="6"/>
    </row>
    <row r="57" spans="2:18" x14ac:dyDescent="0.2">
      <c r="B57" s="267"/>
      <c r="C57" s="257"/>
      <c r="D57" s="33" t="s">
        <v>69</v>
      </c>
      <c r="E57" s="29">
        <f>'PT Recap costs'!B67/1000</f>
        <v>0</v>
      </c>
      <c r="F57" s="29">
        <f>'PT Recap costs'!C67/1000</f>
        <v>0</v>
      </c>
      <c r="G57" s="29">
        <f>'PT Recap costs'!D67/1000</f>
        <v>0</v>
      </c>
      <c r="H57" s="29">
        <f>'PT Recap costs'!E67/1000</f>
        <v>0</v>
      </c>
      <c r="I57" s="29">
        <f>'PT Recap costs'!F67/1000</f>
        <v>0</v>
      </c>
      <c r="J57" s="29">
        <f>'PT Recap costs'!G67/1000</f>
        <v>0</v>
      </c>
      <c r="K57" s="29">
        <f>'PT Recap costs'!H67/1000</f>
        <v>0</v>
      </c>
      <c r="L57" s="29">
        <f>'PT Recap costs'!I67/1000</f>
        <v>0</v>
      </c>
      <c r="M57" s="29">
        <f>'PT Recap costs'!J67/1000</f>
        <v>0</v>
      </c>
      <c r="N57" s="29">
        <f>'PT Recap costs'!K67/1000</f>
        <v>0</v>
      </c>
      <c r="O57" s="29">
        <f>'PT Recap costs'!L67/1000</f>
        <v>0</v>
      </c>
      <c r="P57" s="29">
        <f>'PT Recap costs'!M67/1000</f>
        <v>0</v>
      </c>
      <c r="Q57" s="28">
        <f t="shared" si="2"/>
        <v>0</v>
      </c>
      <c r="R57" s="6"/>
    </row>
    <row r="58" spans="2:18" x14ac:dyDescent="0.2">
      <c r="B58" s="267"/>
      <c r="C58" s="257"/>
      <c r="D58" s="33" t="s">
        <v>7</v>
      </c>
      <c r="E58" s="29">
        <f>'PT Recap costs'!B68/1000</f>
        <v>0</v>
      </c>
      <c r="F58" s="29">
        <f>'PT Recap costs'!C68/1000</f>
        <v>0</v>
      </c>
      <c r="G58" s="29">
        <f>'PT Recap costs'!D68/1000</f>
        <v>0</v>
      </c>
      <c r="H58" s="29">
        <f>'PT Recap costs'!E68/1000</f>
        <v>0</v>
      </c>
      <c r="I58" s="29">
        <f>'PT Recap costs'!F68/1000</f>
        <v>0</v>
      </c>
      <c r="J58" s="29">
        <f>'PT Recap costs'!G68/1000</f>
        <v>0</v>
      </c>
      <c r="K58" s="29">
        <f>'PT Recap costs'!H68/1000</f>
        <v>0</v>
      </c>
      <c r="L58" s="29">
        <f>'PT Recap costs'!I68/1000</f>
        <v>0</v>
      </c>
      <c r="M58" s="29">
        <f>'PT Recap costs'!J68/1000</f>
        <v>0</v>
      </c>
      <c r="N58" s="29">
        <f>'PT Recap costs'!K68/1000</f>
        <v>0</v>
      </c>
      <c r="O58" s="29">
        <f>'PT Recap costs'!L68/1000</f>
        <v>0</v>
      </c>
      <c r="P58" s="29">
        <f>'PT Recap costs'!M68/1000</f>
        <v>0</v>
      </c>
      <c r="Q58" s="28">
        <f t="shared" si="2"/>
        <v>0</v>
      </c>
      <c r="R58" s="6"/>
    </row>
    <row r="59" spans="2:18" x14ac:dyDescent="0.2">
      <c r="B59" s="267"/>
      <c r="C59" s="257"/>
      <c r="D59" s="33" t="s">
        <v>62</v>
      </c>
      <c r="E59" s="29">
        <f>'PT Recap costs'!B69/1000</f>
        <v>0</v>
      </c>
      <c r="F59" s="29">
        <f>'PT Recap costs'!C69/1000</f>
        <v>15</v>
      </c>
      <c r="G59" s="29">
        <f>'PT Recap costs'!D69/1000</f>
        <v>30</v>
      </c>
      <c r="H59" s="29">
        <f>'PT Recap costs'!E69/1000</f>
        <v>30</v>
      </c>
      <c r="I59" s="29">
        <f>'PT Recap costs'!F69/1000</f>
        <v>30</v>
      </c>
      <c r="J59" s="29">
        <f>'PT Recap costs'!G69/1000</f>
        <v>30</v>
      </c>
      <c r="K59" s="29">
        <f>'PT Recap costs'!H69/1000</f>
        <v>120</v>
      </c>
      <c r="L59" s="29">
        <f>'PT Recap costs'!I69/1000</f>
        <v>120</v>
      </c>
      <c r="M59" s="29">
        <f>'PT Recap costs'!J69/1000</f>
        <v>120</v>
      </c>
      <c r="N59" s="29">
        <f>'PT Recap costs'!K69/1000</f>
        <v>131.27500000000001</v>
      </c>
      <c r="O59" s="29">
        <f>'PT Recap costs'!L69/1000</f>
        <v>131.27500000000001</v>
      </c>
      <c r="P59" s="29">
        <f>'PT Recap costs'!M69/1000</f>
        <v>131.27500000000001</v>
      </c>
      <c r="Q59" s="28">
        <f t="shared" si="2"/>
        <v>888.82499999999993</v>
      </c>
      <c r="R59" s="6"/>
    </row>
    <row r="60" spans="2:18" x14ac:dyDescent="0.2">
      <c r="B60" s="267"/>
      <c r="C60" s="257"/>
      <c r="D60" s="33" t="s">
        <v>74</v>
      </c>
      <c r="E60" s="29">
        <f>'PT Recap costs'!B25/1000</f>
        <v>0.55555555555555558</v>
      </c>
      <c r="F60" s="29">
        <f>'PT Recap costs'!C25/1000</f>
        <v>0.55555555555555558</v>
      </c>
      <c r="G60" s="29">
        <f>'PT Recap costs'!D25/1000</f>
        <v>0.55555555555555558</v>
      </c>
      <c r="H60" s="29">
        <f>'PT Recap costs'!E25/1000</f>
        <v>0.55555555555555558</v>
      </c>
      <c r="I60" s="29">
        <f>'PT Recap costs'!F25/1000</f>
        <v>0.55555555555555558</v>
      </c>
      <c r="J60" s="29">
        <f>'PT Recap costs'!G25/1000</f>
        <v>0.55555555555555558</v>
      </c>
      <c r="K60" s="29">
        <f>'PT Recap costs'!H25/1000</f>
        <v>0.55555555555555558</v>
      </c>
      <c r="L60" s="29">
        <f>'PT Recap costs'!I25/1000</f>
        <v>0.55555555555555558</v>
      </c>
      <c r="M60" s="29">
        <f>'PT Recap costs'!J25/1000</f>
        <v>0.55555555555555558</v>
      </c>
      <c r="N60" s="29">
        <f>'PT Recap costs'!K25/1000</f>
        <v>0.55555555555555558</v>
      </c>
      <c r="O60" s="29">
        <f>'PT Recap costs'!L25/1000</f>
        <v>0.55555555555555558</v>
      </c>
      <c r="P60" s="29">
        <f>'PT Recap costs'!M25/1000</f>
        <v>0.55555555555555558</v>
      </c>
      <c r="Q60" s="28">
        <f t="shared" si="2"/>
        <v>6.6666666666666652</v>
      </c>
      <c r="R60" s="6"/>
    </row>
    <row r="61" spans="2:18" ht="16" thickBot="1" x14ac:dyDescent="0.25">
      <c r="B61" s="267"/>
      <c r="C61" s="257"/>
      <c r="D61" s="33" t="s">
        <v>56</v>
      </c>
      <c r="E61" s="29">
        <f>'PT Recap costs'!B26/1000</f>
        <v>3.3333333333333335</v>
      </c>
      <c r="F61" s="29">
        <f>'PT Recap costs'!C26/1000</f>
        <v>3.3333333333333335</v>
      </c>
      <c r="G61" s="29">
        <f>'PT Recap costs'!D26/1000</f>
        <v>3.3333333333333335</v>
      </c>
      <c r="H61" s="29">
        <f>'PT Recap costs'!E26/1000</f>
        <v>3.3333333333333335</v>
      </c>
      <c r="I61" s="29">
        <f>'PT Recap costs'!F26/1000</f>
        <v>3.3333333333333335</v>
      </c>
      <c r="J61" s="29">
        <f>'PT Recap costs'!G26/1000</f>
        <v>3.3333333333333335</v>
      </c>
      <c r="K61" s="29">
        <f>'PT Recap costs'!H26/1000</f>
        <v>3.3333333333333335</v>
      </c>
      <c r="L61" s="29">
        <f>'PT Recap costs'!I26/1000</f>
        <v>3.3333333333333335</v>
      </c>
      <c r="M61" s="29">
        <f>'PT Recap costs'!J26/1000</f>
        <v>3.3333333333333335</v>
      </c>
      <c r="N61" s="29">
        <f>'PT Recap costs'!K26/1000</f>
        <v>3.3333333333333335</v>
      </c>
      <c r="O61" s="29">
        <f>'PT Recap costs'!L26/1000</f>
        <v>3.3333333333333335</v>
      </c>
      <c r="P61" s="29">
        <f>'PT Recap costs'!M26/1000</f>
        <v>3.3333333333333335</v>
      </c>
      <c r="Q61" s="28">
        <f t="shared" si="2"/>
        <v>40</v>
      </c>
      <c r="R61" s="6"/>
    </row>
    <row r="62" spans="2:18" ht="17" thickTop="1" thickBot="1" x14ac:dyDescent="0.25">
      <c r="B62" s="268"/>
      <c r="C62" s="258"/>
      <c r="D62" s="20" t="s">
        <v>8</v>
      </c>
      <c r="E62" s="163">
        <f t="shared" ref="E62:Q62" si="24">E54+E55</f>
        <v>-3.8888888888888893</v>
      </c>
      <c r="F62" s="163">
        <f t="shared" si="24"/>
        <v>26.111111111111111</v>
      </c>
      <c r="G62" s="163">
        <f t="shared" si="24"/>
        <v>-33.888888888888893</v>
      </c>
      <c r="H62" s="163">
        <f t="shared" si="24"/>
        <v>160.71111111111114</v>
      </c>
      <c r="I62" s="163">
        <f t="shared" si="24"/>
        <v>59.611111111111114</v>
      </c>
      <c r="J62" s="163">
        <f t="shared" si="24"/>
        <v>104.61111111111111</v>
      </c>
      <c r="K62" s="163">
        <f t="shared" si="24"/>
        <v>14.611111111111114</v>
      </c>
      <c r="L62" s="163">
        <f t="shared" si="24"/>
        <v>14.611111111111114</v>
      </c>
      <c r="M62" s="163">
        <f t="shared" si="24"/>
        <v>70.711111111111165</v>
      </c>
      <c r="N62" s="163">
        <f t="shared" si="24"/>
        <v>59.436111111111188</v>
      </c>
      <c r="O62" s="163">
        <f t="shared" si="24"/>
        <v>59.436111111111188</v>
      </c>
      <c r="P62" s="163">
        <f t="shared" si="24"/>
        <v>59.436111111111188</v>
      </c>
      <c r="Q62" s="36">
        <f t="shared" si="24"/>
        <v>591.50833333333321</v>
      </c>
      <c r="R62" s="10"/>
    </row>
    <row r="63" spans="2:18" ht="18.5" customHeight="1" thickBot="1" x14ac:dyDescent="0.25">
      <c r="B63" s="3"/>
      <c r="C63" s="25"/>
      <c r="D63" s="3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56"/>
      <c r="R63" s="4"/>
    </row>
    <row r="64" spans="2:18" ht="18.5" customHeight="1" x14ac:dyDescent="0.2">
      <c r="B64" s="240" t="s">
        <v>11</v>
      </c>
      <c r="C64" s="241"/>
      <c r="D64" s="96" t="s">
        <v>27</v>
      </c>
      <c r="E64" s="190">
        <f t="shared" ref="E64:P64" si="25">E4+E14+E24+E34+E44+E54</f>
        <v>83.728961829940005</v>
      </c>
      <c r="F64" s="190">
        <f t="shared" si="25"/>
        <v>148.37135589988</v>
      </c>
      <c r="G64" s="190">
        <f t="shared" si="25"/>
        <v>201.00207134982</v>
      </c>
      <c r="H64" s="190">
        <f t="shared" si="25"/>
        <v>865.24446541975999</v>
      </c>
      <c r="I64" s="190">
        <f t="shared" si="25"/>
        <v>827.51854447710832</v>
      </c>
      <c r="J64" s="190">
        <f t="shared" si="25"/>
        <v>1044.1707206473834</v>
      </c>
      <c r="K64" s="190">
        <f t="shared" si="25"/>
        <v>1215.8228968176581</v>
      </c>
      <c r="L64" s="190">
        <f t="shared" si="25"/>
        <v>1387.4750729879333</v>
      </c>
      <c r="M64" s="190">
        <f t="shared" si="25"/>
        <v>2193.0855745661502</v>
      </c>
      <c r="N64" s="190">
        <f t="shared" si="25"/>
        <v>2193.0855745661502</v>
      </c>
      <c r="O64" s="190">
        <f t="shared" si="25"/>
        <v>2193.0855745661502</v>
      </c>
      <c r="P64" s="190">
        <f t="shared" si="25"/>
        <v>2193.0855745661502</v>
      </c>
      <c r="Q64" s="161">
        <f>SUM(E64:P64)</f>
        <v>14545.676387694084</v>
      </c>
      <c r="R64" s="27"/>
    </row>
    <row r="65" spans="2:19" ht="18.5" customHeight="1" x14ac:dyDescent="0.2">
      <c r="B65" s="242"/>
      <c r="C65" s="243"/>
      <c r="D65" s="32" t="s">
        <v>66</v>
      </c>
      <c r="E65" s="191">
        <f t="shared" ref="E65:P65" si="26">-SUM(E66:E71)</f>
        <v>-282.06268533569329</v>
      </c>
      <c r="F65" s="191">
        <f t="shared" si="26"/>
        <v>-475.27460119617234</v>
      </c>
      <c r="G65" s="191">
        <f t="shared" si="26"/>
        <v>-495.61887922759183</v>
      </c>
      <c r="H65" s="191">
        <f t="shared" si="26"/>
        <v>-856.03774949957915</v>
      </c>
      <c r="I65" s="191">
        <f t="shared" si="26"/>
        <v>-916.71307939096653</v>
      </c>
      <c r="J65" s="191">
        <f t="shared" si="26"/>
        <v>-890.01416224909144</v>
      </c>
      <c r="K65" s="191">
        <f t="shared" si="26"/>
        <v>-920.31524510721647</v>
      </c>
      <c r="L65" s="191">
        <f t="shared" si="26"/>
        <v>-981.6163279653415</v>
      </c>
      <c r="M65" s="191">
        <f t="shared" si="26"/>
        <v>-1153.2206741479499</v>
      </c>
      <c r="N65" s="191">
        <f t="shared" si="26"/>
        <v>-1198.3206741479501</v>
      </c>
      <c r="O65" s="191">
        <f t="shared" si="26"/>
        <v>-1198.3206741479501</v>
      </c>
      <c r="P65" s="191">
        <f t="shared" si="26"/>
        <v>-1245.0706741479501</v>
      </c>
      <c r="Q65" s="160">
        <f t="shared" ref="Q65:Q71" si="27">SUM(E65:P65)</f>
        <v>-10612.585426563452</v>
      </c>
      <c r="R65" s="27"/>
    </row>
    <row r="66" spans="2:19" ht="18.5" customHeight="1" x14ac:dyDescent="0.2">
      <c r="B66" s="242"/>
      <c r="C66" s="243"/>
      <c r="D66" s="33" t="s">
        <v>6</v>
      </c>
      <c r="E66" s="29">
        <f t="shared" ref="E66:P67" si="28">E6+E16+E26+E36+E46+E56</f>
        <v>2.3482652023600004</v>
      </c>
      <c r="F66" s="29">
        <f t="shared" si="28"/>
        <v>8.6851810628390069</v>
      </c>
      <c r="G66" s="29">
        <f t="shared" si="28"/>
        <v>14.029459094258513</v>
      </c>
      <c r="H66" s="29">
        <f t="shared" si="28"/>
        <v>219.59832936624574</v>
      </c>
      <c r="I66" s="29">
        <f t="shared" si="28"/>
        <v>184.37365925763311</v>
      </c>
      <c r="J66" s="29">
        <f t="shared" si="28"/>
        <v>187.92474211575808</v>
      </c>
      <c r="K66" s="29">
        <f t="shared" si="28"/>
        <v>191.47582497388311</v>
      </c>
      <c r="L66" s="29">
        <f t="shared" si="28"/>
        <v>195.02690783200808</v>
      </c>
      <c r="M66" s="29">
        <f t="shared" si="28"/>
        <v>338.88125401461667</v>
      </c>
      <c r="N66" s="29">
        <f t="shared" si="28"/>
        <v>338.88125401461667</v>
      </c>
      <c r="O66" s="29">
        <f t="shared" si="28"/>
        <v>338.88125401461667</v>
      </c>
      <c r="P66" s="29">
        <f t="shared" si="28"/>
        <v>338.88125401461667</v>
      </c>
      <c r="Q66" s="39">
        <f t="shared" si="27"/>
        <v>2358.9873849634523</v>
      </c>
      <c r="R66" s="27"/>
    </row>
    <row r="67" spans="2:19" ht="18.5" customHeight="1" x14ac:dyDescent="0.2">
      <c r="B67" s="242"/>
      <c r="C67" s="243"/>
      <c r="D67" s="33" t="s">
        <v>69</v>
      </c>
      <c r="E67" s="29">
        <f t="shared" si="28"/>
        <v>88.006</v>
      </c>
      <c r="F67" s="29">
        <f t="shared" si="28"/>
        <v>88.006</v>
      </c>
      <c r="G67" s="29">
        <f t="shared" si="28"/>
        <v>88.006</v>
      </c>
      <c r="H67" s="29">
        <f t="shared" si="28"/>
        <v>88.006</v>
      </c>
      <c r="I67" s="29">
        <f t="shared" si="28"/>
        <v>43.006</v>
      </c>
      <c r="J67" s="29">
        <f t="shared" si="28"/>
        <v>43.006</v>
      </c>
      <c r="K67" s="29">
        <f t="shared" si="28"/>
        <v>43.006</v>
      </c>
      <c r="L67" s="29">
        <f t="shared" si="28"/>
        <v>43.006</v>
      </c>
      <c r="M67" s="29">
        <f t="shared" si="28"/>
        <v>43.006</v>
      </c>
      <c r="N67" s="29">
        <f t="shared" si="28"/>
        <v>43.006</v>
      </c>
      <c r="O67" s="29">
        <f t="shared" si="28"/>
        <v>43.006</v>
      </c>
      <c r="P67" s="29">
        <f t="shared" si="28"/>
        <v>43.006</v>
      </c>
      <c r="Q67" s="39">
        <f t="shared" si="27"/>
        <v>696.07199999999978</v>
      </c>
      <c r="R67" s="27"/>
    </row>
    <row r="68" spans="2:19" ht="18.5" customHeight="1" x14ac:dyDescent="0.2">
      <c r="B68" s="242"/>
      <c r="C68" s="243"/>
      <c r="D68" s="33" t="s">
        <v>7</v>
      </c>
      <c r="E68" s="29">
        <f t="shared" ref="E68:P68" si="29">E8+E18+E28+E38+E48+E58</f>
        <v>127.6789064</v>
      </c>
      <c r="F68" s="29">
        <f t="shared" si="29"/>
        <v>157.92890640000002</v>
      </c>
      <c r="G68" s="29">
        <f t="shared" si="29"/>
        <v>157.92890639999999</v>
      </c>
      <c r="H68" s="29">
        <f t="shared" si="29"/>
        <v>264.92890639999996</v>
      </c>
      <c r="I68" s="29">
        <f t="shared" si="29"/>
        <v>402.42890640000002</v>
      </c>
      <c r="J68" s="29">
        <f t="shared" si="29"/>
        <v>372.17890640000002</v>
      </c>
      <c r="K68" s="29">
        <f t="shared" si="29"/>
        <v>278.67890640000002</v>
      </c>
      <c r="L68" s="29">
        <f t="shared" si="29"/>
        <v>336.42890640000002</v>
      </c>
      <c r="M68" s="29">
        <f t="shared" si="29"/>
        <v>364.17890640000002</v>
      </c>
      <c r="N68" s="29">
        <f t="shared" si="29"/>
        <v>364.17890640000002</v>
      </c>
      <c r="O68" s="29">
        <f t="shared" si="29"/>
        <v>364.17890640000002</v>
      </c>
      <c r="P68" s="29">
        <f t="shared" si="29"/>
        <v>410.92890640000002</v>
      </c>
      <c r="Q68" s="39">
        <f t="shared" si="27"/>
        <v>3601.6468768</v>
      </c>
      <c r="R68" s="27"/>
    </row>
    <row r="69" spans="2:19" ht="18.5" customHeight="1" x14ac:dyDescent="0.2">
      <c r="B69" s="242"/>
      <c r="C69" s="243"/>
      <c r="D69" s="33" t="s">
        <v>62</v>
      </c>
      <c r="E69" s="29">
        <f t="shared" ref="E69:P69" si="30">E9+E19+E29+E39+E49+E59</f>
        <v>38.196180400000003</v>
      </c>
      <c r="F69" s="29">
        <f t="shared" si="30"/>
        <v>194.8211804</v>
      </c>
      <c r="G69" s="29">
        <f t="shared" si="30"/>
        <v>209.8211804</v>
      </c>
      <c r="H69" s="29">
        <f t="shared" si="30"/>
        <v>257.67118040000003</v>
      </c>
      <c r="I69" s="29">
        <f t="shared" si="30"/>
        <v>253.5711804</v>
      </c>
      <c r="J69" s="29">
        <f t="shared" si="30"/>
        <v>253.5711804</v>
      </c>
      <c r="K69" s="29">
        <f t="shared" si="30"/>
        <v>373.8211804</v>
      </c>
      <c r="L69" s="29">
        <f t="shared" si="30"/>
        <v>373.8211804</v>
      </c>
      <c r="M69" s="29">
        <f t="shared" si="30"/>
        <v>373.8211804</v>
      </c>
      <c r="N69" s="29">
        <f t="shared" si="30"/>
        <v>418.92118040000003</v>
      </c>
      <c r="O69" s="29">
        <f t="shared" si="30"/>
        <v>418.92118040000003</v>
      </c>
      <c r="P69" s="29">
        <f t="shared" si="30"/>
        <v>418.92118040000003</v>
      </c>
      <c r="Q69" s="39">
        <f t="shared" si="27"/>
        <v>3585.8791648000001</v>
      </c>
      <c r="R69" s="27"/>
    </row>
    <row r="70" spans="2:19" ht="18.5" customHeight="1" x14ac:dyDescent="0.2">
      <c r="B70" s="242"/>
      <c r="C70" s="243"/>
      <c r="D70" s="33" t="s">
        <v>74</v>
      </c>
      <c r="E70" s="29">
        <f t="shared" ref="E70:P70" si="31">E10+E20+E30+E40+E50+E60</f>
        <v>3.333333333333333</v>
      </c>
      <c r="F70" s="29">
        <f t="shared" si="31"/>
        <v>3.333333333333333</v>
      </c>
      <c r="G70" s="29">
        <f t="shared" si="31"/>
        <v>3.333333333333333</v>
      </c>
      <c r="H70" s="29">
        <f t="shared" si="31"/>
        <v>3.333333333333333</v>
      </c>
      <c r="I70" s="29">
        <f t="shared" si="31"/>
        <v>3.333333333333333</v>
      </c>
      <c r="J70" s="29">
        <f t="shared" si="31"/>
        <v>3.333333333333333</v>
      </c>
      <c r="K70" s="29">
        <f t="shared" si="31"/>
        <v>3.333333333333333</v>
      </c>
      <c r="L70" s="29">
        <f t="shared" si="31"/>
        <v>3.333333333333333</v>
      </c>
      <c r="M70" s="29">
        <f t="shared" si="31"/>
        <v>3.333333333333333</v>
      </c>
      <c r="N70" s="29">
        <f t="shared" si="31"/>
        <v>3.333333333333333</v>
      </c>
      <c r="O70" s="29">
        <f t="shared" si="31"/>
        <v>3.333333333333333</v>
      </c>
      <c r="P70" s="29">
        <f t="shared" si="31"/>
        <v>3.333333333333333</v>
      </c>
      <c r="Q70" s="39">
        <f t="shared" si="27"/>
        <v>40</v>
      </c>
      <c r="R70" s="27"/>
    </row>
    <row r="71" spans="2:19" ht="18.5" customHeight="1" thickBot="1" x14ac:dyDescent="0.25">
      <c r="B71" s="242"/>
      <c r="C71" s="243"/>
      <c r="D71" s="33" t="s">
        <v>56</v>
      </c>
      <c r="E71" s="29">
        <f t="shared" ref="E71:P71" si="32">E11+E21+E31+E41+E51+E61</f>
        <v>22.5</v>
      </c>
      <c r="F71" s="29">
        <f t="shared" si="32"/>
        <v>22.5</v>
      </c>
      <c r="G71" s="29">
        <f t="shared" si="32"/>
        <v>22.5</v>
      </c>
      <c r="H71" s="29">
        <f t="shared" si="32"/>
        <v>22.5</v>
      </c>
      <c r="I71" s="29">
        <f t="shared" si="32"/>
        <v>30</v>
      </c>
      <c r="J71" s="29">
        <f t="shared" si="32"/>
        <v>30</v>
      </c>
      <c r="K71" s="29">
        <f t="shared" si="32"/>
        <v>30</v>
      </c>
      <c r="L71" s="29">
        <f t="shared" si="32"/>
        <v>30</v>
      </c>
      <c r="M71" s="29">
        <f t="shared" si="32"/>
        <v>30</v>
      </c>
      <c r="N71" s="29">
        <f t="shared" si="32"/>
        <v>30</v>
      </c>
      <c r="O71" s="29">
        <f t="shared" si="32"/>
        <v>30</v>
      </c>
      <c r="P71" s="29">
        <f t="shared" si="32"/>
        <v>30</v>
      </c>
      <c r="Q71" s="39">
        <f t="shared" si="27"/>
        <v>330</v>
      </c>
      <c r="R71" s="27"/>
    </row>
    <row r="72" spans="2:19" ht="15.5" customHeight="1" thickTop="1" thickBot="1" x14ac:dyDescent="0.25">
      <c r="B72" s="244"/>
      <c r="C72" s="245"/>
      <c r="D72" s="20" t="s">
        <v>8</v>
      </c>
      <c r="E72" s="163">
        <f t="shared" ref="E72:Q72" si="33">E64+E65</f>
        <v>-198.33372350575328</v>
      </c>
      <c r="F72" s="163">
        <f t="shared" si="33"/>
        <v>-326.90324529629231</v>
      </c>
      <c r="G72" s="163">
        <f t="shared" si="33"/>
        <v>-294.61680787777186</v>
      </c>
      <c r="H72" s="163">
        <f t="shared" si="33"/>
        <v>9.2067159201808408</v>
      </c>
      <c r="I72" s="163">
        <f t="shared" si="33"/>
        <v>-89.194534913858206</v>
      </c>
      <c r="J72" s="163">
        <f t="shared" si="33"/>
        <v>154.15655839829196</v>
      </c>
      <c r="K72" s="163">
        <f t="shared" si="33"/>
        <v>295.50765171044168</v>
      </c>
      <c r="L72" s="163">
        <f t="shared" si="33"/>
        <v>405.85874502259185</v>
      </c>
      <c r="M72" s="163">
        <f t="shared" si="33"/>
        <v>1039.8649004182002</v>
      </c>
      <c r="N72" s="163">
        <f t="shared" si="33"/>
        <v>994.76490041820011</v>
      </c>
      <c r="O72" s="163">
        <f t="shared" si="33"/>
        <v>994.76490041820011</v>
      </c>
      <c r="P72" s="163">
        <f t="shared" si="33"/>
        <v>948.01490041820011</v>
      </c>
      <c r="Q72" s="36">
        <f t="shared" si="33"/>
        <v>3933.0909611306324</v>
      </c>
      <c r="R72" s="10"/>
    </row>
    <row r="73" spans="2:19" ht="15.5" customHeight="1" thickBot="1" x14ac:dyDescent="0.25">
      <c r="B73" s="238"/>
      <c r="C73" s="239"/>
      <c r="D73" s="3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56"/>
      <c r="R73" s="4"/>
    </row>
    <row r="74" spans="2:19" x14ac:dyDescent="0.2">
      <c r="B74" s="240" t="s">
        <v>65</v>
      </c>
      <c r="C74" s="241"/>
      <c r="D74" s="32" t="s">
        <v>67</v>
      </c>
      <c r="E74" s="193">
        <f t="shared" ref="E74:Q74" si="34">-SUM(E75:E80)</f>
        <v>-170.34563349991291</v>
      </c>
      <c r="F74" s="193">
        <f t="shared" si="34"/>
        <v>-171.67886254365737</v>
      </c>
      <c r="G74" s="193">
        <f t="shared" si="34"/>
        <v>-194.8643544942648</v>
      </c>
      <c r="H74" s="193">
        <f t="shared" si="34"/>
        <v>-208.56414492749417</v>
      </c>
      <c r="I74" s="193">
        <f t="shared" si="34"/>
        <v>-235.78605967513903</v>
      </c>
      <c r="J74" s="193">
        <f t="shared" si="34"/>
        <v>-240.25444265841989</v>
      </c>
      <c r="K74" s="193">
        <f t="shared" si="34"/>
        <v>-243.7947147969262</v>
      </c>
      <c r="L74" s="193">
        <f t="shared" si="34"/>
        <v>-247.33498693543251</v>
      </c>
      <c r="M74" s="193">
        <f t="shared" si="34"/>
        <v>-263.95045011718827</v>
      </c>
      <c r="N74" s="193">
        <f t="shared" si="34"/>
        <v>-263.95045011718827</v>
      </c>
      <c r="O74" s="193">
        <f t="shared" si="34"/>
        <v>-263.95045011718827</v>
      </c>
      <c r="P74" s="193">
        <f t="shared" si="34"/>
        <v>-263.95045011718827</v>
      </c>
      <c r="Q74" s="158">
        <f t="shared" si="34"/>
        <v>-2768.4249999999997</v>
      </c>
      <c r="R74" s="22"/>
    </row>
    <row r="75" spans="2:19" x14ac:dyDescent="0.2">
      <c r="B75" s="242"/>
      <c r="C75" s="243"/>
      <c r="D75" s="33" t="s">
        <v>69</v>
      </c>
      <c r="E75" s="29">
        <f>'PT Recap costs'!B71/1000</f>
        <v>22.2</v>
      </c>
      <c r="F75" s="29">
        <f>'PT Recap costs'!C71/1000</f>
        <v>22.2</v>
      </c>
      <c r="G75" s="29">
        <f>'PT Recap costs'!D71/1000</f>
        <v>22.2</v>
      </c>
      <c r="H75" s="29">
        <f>'PT Recap costs'!E71/1000</f>
        <v>22.2</v>
      </c>
      <c r="I75" s="29">
        <f>'PT Recap costs'!F71/1000</f>
        <v>22.2</v>
      </c>
      <c r="J75" s="29">
        <f>'PT Recap costs'!G71/1000</f>
        <v>22.2</v>
      </c>
      <c r="K75" s="29">
        <f>'PT Recap costs'!H71/1000</f>
        <v>22.2</v>
      </c>
      <c r="L75" s="29">
        <f>'PT Recap costs'!I71/1000</f>
        <v>22.2</v>
      </c>
      <c r="M75" s="29">
        <f>'PT Recap costs'!J71/1000</f>
        <v>22.2</v>
      </c>
      <c r="N75" s="29">
        <f>'PT Recap costs'!K71/1000</f>
        <v>22.2</v>
      </c>
      <c r="O75" s="29">
        <f>'PT Recap costs'!L71/1000</f>
        <v>22.2</v>
      </c>
      <c r="P75" s="29">
        <f>'PT Recap costs'!M71/1000</f>
        <v>22.2</v>
      </c>
      <c r="Q75" s="40">
        <f t="shared" ref="Q75:Q103" si="35">SUM(E75:P75)</f>
        <v>266.39999999999992</v>
      </c>
      <c r="R75" s="22"/>
    </row>
    <row r="76" spans="2:19" x14ac:dyDescent="0.2">
      <c r="B76" s="242"/>
      <c r="C76" s="243"/>
      <c r="D76" s="33" t="s">
        <v>7</v>
      </c>
      <c r="E76" s="29">
        <f>'PT Recap costs'!B72/1000</f>
        <v>0</v>
      </c>
      <c r="F76" s="29">
        <f>'PT Recap costs'!C72/1000</f>
        <v>0</v>
      </c>
      <c r="G76" s="29">
        <f>'PT Recap costs'!D72/1000</f>
        <v>0</v>
      </c>
      <c r="H76" s="29">
        <f>'PT Recap costs'!E72/1000</f>
        <v>0</v>
      </c>
      <c r="I76" s="29">
        <f>'PT Recap costs'!F72/1000</f>
        <v>0</v>
      </c>
      <c r="J76" s="29">
        <f>'PT Recap costs'!G72/1000</f>
        <v>0</v>
      </c>
      <c r="K76" s="29">
        <f>'PT Recap costs'!H72/1000</f>
        <v>0</v>
      </c>
      <c r="L76" s="29">
        <f>'PT Recap costs'!I72/1000</f>
        <v>0</v>
      </c>
      <c r="M76" s="29">
        <f>'PT Recap costs'!J72/1000</f>
        <v>0</v>
      </c>
      <c r="N76" s="29">
        <f>'PT Recap costs'!K72/1000</f>
        <v>0</v>
      </c>
      <c r="O76" s="29">
        <f>'PT Recap costs'!L72/1000</f>
        <v>0</v>
      </c>
      <c r="P76" s="29">
        <f>'PT Recap costs'!M72/1000</f>
        <v>0</v>
      </c>
      <c r="Q76" s="34">
        <f t="shared" si="35"/>
        <v>0</v>
      </c>
      <c r="R76" s="6"/>
    </row>
    <row r="77" spans="2:19" x14ac:dyDescent="0.2">
      <c r="B77" s="242"/>
      <c r="C77" s="243"/>
      <c r="D77" s="33" t="s">
        <v>62</v>
      </c>
      <c r="E77" s="29">
        <f>'PT Recap costs'!B73/1000</f>
        <v>135.41874999999999</v>
      </c>
      <c r="F77" s="29">
        <f>'PT Recap costs'!C73/1000</f>
        <v>135.41874999999999</v>
      </c>
      <c r="G77" s="29">
        <f>'PT Recap costs'!D73/1000</f>
        <v>146.51875000000001</v>
      </c>
      <c r="H77" s="29">
        <f>'PT Recap costs'!E73/1000</f>
        <v>146.51875000000001</v>
      </c>
      <c r="I77" s="29">
        <f>'PT Recap costs'!F73/1000</f>
        <v>152.51875000000001</v>
      </c>
      <c r="J77" s="29">
        <f>'PT Recap costs'!G73/1000</f>
        <v>152.51875000000001</v>
      </c>
      <c r="K77" s="29">
        <f>'PT Recap costs'!H73/1000</f>
        <v>152.51875000000001</v>
      </c>
      <c r="L77" s="29">
        <f>'PT Recap costs'!I73/1000</f>
        <v>152.51875000000001</v>
      </c>
      <c r="M77" s="29">
        <f>'PT Recap costs'!J73/1000</f>
        <v>152.51875000000001</v>
      </c>
      <c r="N77" s="29">
        <f>'PT Recap costs'!K73/1000</f>
        <v>152.51875000000001</v>
      </c>
      <c r="O77" s="29">
        <f>'PT Recap costs'!L73/1000</f>
        <v>152.51875000000001</v>
      </c>
      <c r="P77" s="29">
        <f>'PT Recap costs'!M73/1000</f>
        <v>152.51875000000001</v>
      </c>
      <c r="Q77" s="34">
        <f t="shared" si="35"/>
        <v>1784.0249999999996</v>
      </c>
      <c r="R77" s="6"/>
    </row>
    <row r="78" spans="2:19" x14ac:dyDescent="0.2">
      <c r="B78" s="242"/>
      <c r="C78" s="243"/>
      <c r="D78" s="33" t="s">
        <v>74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34">
        <f t="shared" si="35"/>
        <v>0</v>
      </c>
      <c r="R78" s="6"/>
    </row>
    <row r="79" spans="2:19" x14ac:dyDescent="0.2">
      <c r="B79" s="242"/>
      <c r="C79" s="243"/>
      <c r="D79" s="33" t="s">
        <v>56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34">
        <f t="shared" si="35"/>
        <v>0</v>
      </c>
      <c r="R79" s="23"/>
      <c r="S79" s="7"/>
    </row>
    <row r="80" spans="2:19" ht="16" thickBot="1" x14ac:dyDescent="0.25">
      <c r="B80" s="242"/>
      <c r="C80" s="243"/>
      <c r="D80" s="33" t="s">
        <v>59</v>
      </c>
      <c r="E80" s="29">
        <f>'PT Recap costs'!B5/1000</f>
        <v>12.726883499912928</v>
      </c>
      <c r="F80" s="29">
        <f>'PT Recap costs'!C5/1000</f>
        <v>14.060112543657405</v>
      </c>
      <c r="G80" s="29">
        <f>'PT Recap costs'!D5/1000</f>
        <v>26.145604494264802</v>
      </c>
      <c r="H80" s="29">
        <f>'PT Recap costs'!E5/1000</f>
        <v>39.845394927494183</v>
      </c>
      <c r="I80" s="29">
        <f>'PT Recap costs'!F5/1000</f>
        <v>61.067309675139029</v>
      </c>
      <c r="J80" s="29">
        <f>'PT Recap costs'!G5/1000</f>
        <v>65.53569265841989</v>
      </c>
      <c r="K80" s="29">
        <f>'PT Recap costs'!H5/1000</f>
        <v>69.075964796926201</v>
      </c>
      <c r="L80" s="29">
        <f>'PT Recap costs'!I5/1000</f>
        <v>72.616236935432511</v>
      </c>
      <c r="M80" s="29">
        <f>'PT Recap costs'!J5/1000</f>
        <v>89.231700117188254</v>
      </c>
      <c r="N80" s="29">
        <f>'PT Recap costs'!K5/1000</f>
        <v>89.231700117188254</v>
      </c>
      <c r="O80" s="29">
        <f>'PT Recap costs'!L5/1000</f>
        <v>89.231700117188254</v>
      </c>
      <c r="P80" s="29">
        <f>'PT Recap costs'!M5/1000</f>
        <v>89.231700117188254</v>
      </c>
      <c r="Q80" s="34">
        <f t="shared" si="35"/>
        <v>717.99999999999989</v>
      </c>
      <c r="R80" s="23"/>
    </row>
    <row r="81" spans="2:18" ht="17" thickTop="1" thickBot="1" x14ac:dyDescent="0.25">
      <c r="B81" s="244"/>
      <c r="C81" s="245"/>
      <c r="D81" s="20" t="s">
        <v>8</v>
      </c>
      <c r="E81" s="163">
        <f t="shared" ref="E81:Q81" si="36">E74</f>
        <v>-170.34563349991291</v>
      </c>
      <c r="F81" s="163">
        <f t="shared" si="36"/>
        <v>-171.67886254365737</v>
      </c>
      <c r="G81" s="163">
        <f t="shared" si="36"/>
        <v>-194.8643544942648</v>
      </c>
      <c r="H81" s="163">
        <f t="shared" si="36"/>
        <v>-208.56414492749417</v>
      </c>
      <c r="I81" s="163">
        <f t="shared" si="36"/>
        <v>-235.78605967513903</v>
      </c>
      <c r="J81" s="163">
        <f t="shared" si="36"/>
        <v>-240.25444265841989</v>
      </c>
      <c r="K81" s="163">
        <f t="shared" si="36"/>
        <v>-243.7947147969262</v>
      </c>
      <c r="L81" s="163">
        <f t="shared" si="36"/>
        <v>-247.33498693543251</v>
      </c>
      <c r="M81" s="163">
        <f t="shared" si="36"/>
        <v>-263.95045011718827</v>
      </c>
      <c r="N81" s="163">
        <f t="shared" si="36"/>
        <v>-263.95045011718827</v>
      </c>
      <c r="O81" s="163">
        <f t="shared" si="36"/>
        <v>-263.95045011718827</v>
      </c>
      <c r="P81" s="163">
        <f t="shared" si="36"/>
        <v>-263.95045011718827</v>
      </c>
      <c r="Q81" s="36">
        <f t="shared" si="36"/>
        <v>-2768.4249999999997</v>
      </c>
      <c r="R81" s="10"/>
    </row>
    <row r="82" spans="2:18" ht="17" thickBot="1" x14ac:dyDescent="0.25">
      <c r="B82" s="238"/>
      <c r="C82" s="239"/>
      <c r="D82" s="3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56"/>
      <c r="R82" s="4"/>
    </row>
    <row r="83" spans="2:18" x14ac:dyDescent="0.2">
      <c r="B83" s="240" t="s">
        <v>0</v>
      </c>
      <c r="C83" s="241"/>
      <c r="D83" s="32" t="s">
        <v>67</v>
      </c>
      <c r="E83" s="193">
        <f>-SUM(E84:E88)</f>
        <v>-103.20920142825472</v>
      </c>
      <c r="F83" s="193">
        <f t="shared" ref="F83:P83" si="37">-SUM(F84:F88)</f>
        <v>-136.41355166443722</v>
      </c>
      <c r="G83" s="193">
        <f t="shared" si="37"/>
        <v>-71.394112726485901</v>
      </c>
      <c r="H83" s="193">
        <f t="shared" si="37"/>
        <v>-123.76959008450309</v>
      </c>
      <c r="I83" s="193">
        <f t="shared" si="37"/>
        <v>-124.06671973987562</v>
      </c>
      <c r="J83" s="193">
        <f t="shared" si="37"/>
        <v>-88.103159034772659</v>
      </c>
      <c r="K83" s="193">
        <f t="shared" si="37"/>
        <v>-101.30120486655669</v>
      </c>
      <c r="L83" s="193">
        <f t="shared" si="37"/>
        <v>-124.49925069834072</v>
      </c>
      <c r="M83" s="193">
        <f t="shared" si="37"/>
        <v>-132.50855243919341</v>
      </c>
      <c r="N83" s="193">
        <f t="shared" si="37"/>
        <v>-122.50855243919342</v>
      </c>
      <c r="O83" s="193">
        <f t="shared" si="37"/>
        <v>-112.50855243919342</v>
      </c>
      <c r="P83" s="193">
        <f t="shared" si="37"/>
        <v>-122.50855243919342</v>
      </c>
      <c r="Q83" s="158">
        <f t="shared" si="35"/>
        <v>-1362.7910000000004</v>
      </c>
      <c r="R83" s="22"/>
    </row>
    <row r="84" spans="2:18" x14ac:dyDescent="0.2">
      <c r="B84" s="242"/>
      <c r="C84" s="243"/>
      <c r="D84" s="33" t="s">
        <v>23</v>
      </c>
      <c r="E84" s="29">
        <f>'PT Recap costs'!B7/1000</f>
        <v>11.85</v>
      </c>
      <c r="F84" s="29">
        <f>'PT Recap costs'!C7/1000</f>
        <v>11.85</v>
      </c>
      <c r="G84" s="29">
        <f>'PT Recap costs'!D7/1000</f>
        <v>11.85</v>
      </c>
      <c r="H84" s="29">
        <f>'PT Recap costs'!E7/1000</f>
        <v>11.85</v>
      </c>
      <c r="I84" s="29">
        <f>'PT Recap costs'!F7/1000</f>
        <v>13.85</v>
      </c>
      <c r="J84" s="29">
        <f>'PT Recap costs'!G7/1000</f>
        <v>13.85</v>
      </c>
      <c r="K84" s="29">
        <f>'PT Recap costs'!H7/1000</f>
        <v>13.85</v>
      </c>
      <c r="L84" s="29">
        <f>'PT Recap costs'!I7/1000</f>
        <v>13.85</v>
      </c>
      <c r="M84" s="29">
        <f>'PT Recap costs'!J7/1000</f>
        <v>16.350000000000001</v>
      </c>
      <c r="N84" s="29">
        <f>'PT Recap costs'!K7/1000</f>
        <v>16.350000000000001</v>
      </c>
      <c r="O84" s="29">
        <f>'PT Recap costs'!L7/1000</f>
        <v>16.350000000000001</v>
      </c>
      <c r="P84" s="29">
        <f>'PT Recap costs'!M7/1000</f>
        <v>16.350000000000001</v>
      </c>
      <c r="Q84" s="31">
        <f t="shared" si="35"/>
        <v>168.19999999999996</v>
      </c>
      <c r="R84" s="22"/>
    </row>
    <row r="85" spans="2:18" x14ac:dyDescent="0.2">
      <c r="B85" s="242"/>
      <c r="C85" s="243"/>
      <c r="D85" s="33" t="s">
        <v>64</v>
      </c>
      <c r="E85" s="29">
        <f>'PT Recap costs'!B8/1000</f>
        <v>16.000000000000011</v>
      </c>
      <c r="F85" s="29">
        <f>'PT Recap costs'!C8/1000</f>
        <v>16.000000000000011</v>
      </c>
      <c r="G85" s="29">
        <f>'PT Recap costs'!D8/1000</f>
        <v>16.000000000000011</v>
      </c>
      <c r="H85" s="29">
        <f>'PT Recap costs'!E8/1000</f>
        <v>16.000000000000011</v>
      </c>
      <c r="I85" s="29">
        <f>'PT Recap costs'!F8/1000</f>
        <v>16.000000000000011</v>
      </c>
      <c r="J85" s="29">
        <f>'PT Recap costs'!G8/1000</f>
        <v>16.000000000000011</v>
      </c>
      <c r="K85" s="29">
        <f>'PT Recap costs'!H8/1000</f>
        <v>16.000000000000011</v>
      </c>
      <c r="L85" s="29">
        <f>'PT Recap costs'!I8/1000</f>
        <v>16.000000000000011</v>
      </c>
      <c r="M85" s="29">
        <f>'PT Recap costs'!J8/1000</f>
        <v>16.000000000000011</v>
      </c>
      <c r="N85" s="29">
        <f>'PT Recap costs'!K8/1000</f>
        <v>16.000000000000011</v>
      </c>
      <c r="O85" s="29">
        <f>'PT Recap costs'!L8/1000</f>
        <v>16.000000000000011</v>
      </c>
      <c r="P85" s="29">
        <f>'PT Recap costs'!M8/1000</f>
        <v>16.000000000000011</v>
      </c>
      <c r="Q85" s="31">
        <f t="shared" si="35"/>
        <v>192.00000000000009</v>
      </c>
      <c r="R85" s="22"/>
    </row>
    <row r="86" spans="2:18" x14ac:dyDescent="0.2">
      <c r="B86" s="242"/>
      <c r="C86" s="243"/>
      <c r="D86" s="33" t="s">
        <v>63</v>
      </c>
      <c r="E86" s="29">
        <f>'PT Recap costs'!B9/1000</f>
        <v>66.951791375825664</v>
      </c>
      <c r="F86" s="29">
        <f>'PT Recap costs'!C9/1000</f>
        <v>99.069559941356417</v>
      </c>
      <c r="G86" s="29">
        <f>'PT Recap costs'!D9/1000</f>
        <v>40.165445063660073</v>
      </c>
      <c r="H86" s="29">
        <f>'PT Recap costs'!E9/1000</f>
        <v>81.375593218595327</v>
      </c>
      <c r="I86" s="29">
        <f>'PT Recap costs'!F9/1000</f>
        <v>80.306862354637303</v>
      </c>
      <c r="J86" s="29">
        <f>'PT Recap costs'!G9/1000</f>
        <v>40.70156951816044</v>
      </c>
      <c r="K86" s="29">
        <f>'PT Recap costs'!H9/1000</f>
        <v>51.014293557061826</v>
      </c>
      <c r="L86" s="29">
        <f>'PT Recap costs'!I9/1000</f>
        <v>71.327017595963213</v>
      </c>
      <c r="M86" s="29">
        <f>'PT Recap costs'!J9/1000</f>
        <v>63.294716843684974</v>
      </c>
      <c r="N86" s="29">
        <f>'PT Recap costs'!K9/1000</f>
        <v>53.294716843684974</v>
      </c>
      <c r="O86" s="29">
        <f>'PT Recap costs'!L9/1000</f>
        <v>43.294716843684974</v>
      </c>
      <c r="P86" s="29">
        <f>'PT Recap costs'!M9/1000</f>
        <v>53.294716843684974</v>
      </c>
      <c r="Q86" s="31">
        <f t="shared" si="35"/>
        <v>744.09100000000035</v>
      </c>
      <c r="R86" s="22"/>
    </row>
    <row r="87" spans="2:18" x14ac:dyDescent="0.2">
      <c r="B87" s="242"/>
      <c r="C87" s="243"/>
      <c r="D87" s="33" t="s">
        <v>57</v>
      </c>
      <c r="E87" s="29">
        <f>'PT Recap costs'!B10/1000</f>
        <v>1.4074100524290367</v>
      </c>
      <c r="F87" s="29">
        <f>'PT Recap costs'!C10/1000</f>
        <v>2.4939917230807849</v>
      </c>
      <c r="G87" s="29">
        <f>'PT Recap costs'!D10/1000</f>
        <v>3.3786676628258134</v>
      </c>
      <c r="H87" s="29">
        <f>'PT Recap costs'!E10/1000</f>
        <v>14.543996865907763</v>
      </c>
      <c r="I87" s="29">
        <f>'PT Recap costs'!F10/1000</f>
        <v>13.909857385238306</v>
      </c>
      <c r="J87" s="29">
        <f>'PT Recap costs'!G10/1000</f>
        <v>17.551589516612211</v>
      </c>
      <c r="K87" s="29">
        <f>'PT Recap costs'!H10/1000</f>
        <v>20.43691130949485</v>
      </c>
      <c r="L87" s="29">
        <f>'PT Recap costs'!I10/1000</f>
        <v>23.322233102377496</v>
      </c>
      <c r="M87" s="29">
        <f>'PT Recap costs'!J10/1000</f>
        <v>36.863835595508434</v>
      </c>
      <c r="N87" s="29">
        <f>'PT Recap costs'!K10/1000</f>
        <v>36.863835595508434</v>
      </c>
      <c r="O87" s="29">
        <f>'PT Recap costs'!L10/1000</f>
        <v>36.863835595508434</v>
      </c>
      <c r="P87" s="29">
        <f>'PT Recap costs'!M10/1000</f>
        <v>36.863835595508434</v>
      </c>
      <c r="Q87" s="31">
        <f t="shared" si="35"/>
        <v>244.49999999999994</v>
      </c>
      <c r="R87" s="22"/>
    </row>
    <row r="88" spans="2:18" ht="16" thickBot="1" x14ac:dyDescent="0.25">
      <c r="B88" s="242"/>
      <c r="C88" s="243"/>
      <c r="D88" s="33" t="s">
        <v>86</v>
      </c>
      <c r="E88" s="29">
        <f>'PT Recap costs'!B11/1000</f>
        <v>7</v>
      </c>
      <c r="F88" s="29">
        <f>'PT Recap costs'!C11/1000</f>
        <v>7</v>
      </c>
      <c r="G88" s="29">
        <f>'PT Recap costs'!D11/1000</f>
        <v>0</v>
      </c>
      <c r="H88" s="29">
        <f>'PT Recap costs'!E11/1000</f>
        <v>0</v>
      </c>
      <c r="I88" s="29">
        <f>'PT Recap costs'!F11/1000</f>
        <v>0</v>
      </c>
      <c r="J88" s="29">
        <f>'PT Recap costs'!G11/1000</f>
        <v>0</v>
      </c>
      <c r="K88" s="29">
        <f>'PT Recap costs'!H11/1000</f>
        <v>0</v>
      </c>
      <c r="L88" s="29">
        <f>'PT Recap costs'!I11/1000</f>
        <v>0</v>
      </c>
      <c r="M88" s="29">
        <f>'PT Recap costs'!J11/1000</f>
        <v>0</v>
      </c>
      <c r="N88" s="29">
        <f>'PT Recap costs'!K11/1000</f>
        <v>0</v>
      </c>
      <c r="O88" s="29">
        <f>'PT Recap costs'!L11/1000</f>
        <v>0</v>
      </c>
      <c r="P88" s="29">
        <f>'PT Recap costs'!M11/1000</f>
        <v>0</v>
      </c>
      <c r="Q88" s="31">
        <f t="shared" ref="Q88" si="38">SUM(E88:P88)</f>
        <v>14</v>
      </c>
      <c r="R88" s="22"/>
    </row>
    <row r="89" spans="2:18" ht="17" thickTop="1" thickBot="1" x14ac:dyDescent="0.25">
      <c r="B89" s="244"/>
      <c r="C89" s="245"/>
      <c r="D89" s="20" t="s">
        <v>8</v>
      </c>
      <c r="E89" s="163">
        <f t="shared" ref="E89:Q89" si="39">E83</f>
        <v>-103.20920142825472</v>
      </c>
      <c r="F89" s="163">
        <f t="shared" si="39"/>
        <v>-136.41355166443722</v>
      </c>
      <c r="G89" s="163">
        <f t="shared" si="39"/>
        <v>-71.394112726485901</v>
      </c>
      <c r="H89" s="163">
        <f t="shared" si="39"/>
        <v>-123.76959008450309</v>
      </c>
      <c r="I89" s="163">
        <f t="shared" si="39"/>
        <v>-124.06671973987562</v>
      </c>
      <c r="J89" s="163">
        <f t="shared" si="39"/>
        <v>-88.103159034772659</v>
      </c>
      <c r="K89" s="163">
        <f t="shared" si="39"/>
        <v>-101.30120486655669</v>
      </c>
      <c r="L89" s="163">
        <f t="shared" si="39"/>
        <v>-124.49925069834072</v>
      </c>
      <c r="M89" s="163">
        <f t="shared" si="39"/>
        <v>-132.50855243919341</v>
      </c>
      <c r="N89" s="163">
        <f t="shared" si="39"/>
        <v>-122.50855243919342</v>
      </c>
      <c r="O89" s="163">
        <f t="shared" si="39"/>
        <v>-112.50855243919342</v>
      </c>
      <c r="P89" s="163">
        <f t="shared" si="39"/>
        <v>-122.50855243919342</v>
      </c>
      <c r="Q89" s="36">
        <f t="shared" si="39"/>
        <v>-1362.7910000000004</v>
      </c>
      <c r="R89" s="22"/>
    </row>
    <row r="90" spans="2:18" ht="17" thickBot="1" x14ac:dyDescent="0.25">
      <c r="B90" s="238"/>
      <c r="C90" s="239"/>
      <c r="D90" s="3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56"/>
      <c r="R90" s="4"/>
    </row>
    <row r="91" spans="2:18" x14ac:dyDescent="0.2">
      <c r="B91" s="246" t="s">
        <v>1</v>
      </c>
      <c r="C91" s="247"/>
      <c r="D91" s="96" t="s">
        <v>27</v>
      </c>
      <c r="E91" s="190">
        <f>E64</f>
        <v>83.728961829940005</v>
      </c>
      <c r="F91" s="190">
        <f t="shared" ref="F91:P91" si="40">F64</f>
        <v>148.37135589988</v>
      </c>
      <c r="G91" s="190">
        <f t="shared" si="40"/>
        <v>201.00207134982</v>
      </c>
      <c r="H91" s="190">
        <f t="shared" si="40"/>
        <v>865.24446541975999</v>
      </c>
      <c r="I91" s="190">
        <f t="shared" si="40"/>
        <v>827.51854447710832</v>
      </c>
      <c r="J91" s="190">
        <f t="shared" si="40"/>
        <v>1044.1707206473834</v>
      </c>
      <c r="K91" s="190">
        <f t="shared" si="40"/>
        <v>1215.8228968176581</v>
      </c>
      <c r="L91" s="190">
        <f t="shared" si="40"/>
        <v>1387.4750729879333</v>
      </c>
      <c r="M91" s="190">
        <f t="shared" si="40"/>
        <v>2193.0855745661502</v>
      </c>
      <c r="N91" s="190">
        <f t="shared" si="40"/>
        <v>2193.0855745661502</v>
      </c>
      <c r="O91" s="190">
        <f t="shared" si="40"/>
        <v>2193.0855745661502</v>
      </c>
      <c r="P91" s="190">
        <f t="shared" si="40"/>
        <v>2193.0855745661502</v>
      </c>
      <c r="Q91" s="157">
        <f t="shared" si="35"/>
        <v>14545.676387694084</v>
      </c>
      <c r="R91" s="5"/>
    </row>
    <row r="92" spans="2:18" x14ac:dyDescent="0.2">
      <c r="B92" s="248"/>
      <c r="C92" s="249"/>
      <c r="D92" s="32" t="s">
        <v>67</v>
      </c>
      <c r="E92" s="195">
        <f>-SUM(E93:E104)</f>
        <v>-555.61752026386091</v>
      </c>
      <c r="F92" s="195">
        <f t="shared" ref="F92:P92" si="41">-SUM(F93:F104)</f>
        <v>-783.36701540426691</v>
      </c>
      <c r="G92" s="195">
        <f t="shared" si="41"/>
        <v>-761.87734644834268</v>
      </c>
      <c r="H92" s="195">
        <f t="shared" si="41"/>
        <v>-1188.3714845115762</v>
      </c>
      <c r="I92" s="195">
        <f t="shared" si="41"/>
        <v>-1276.5658588059812</v>
      </c>
      <c r="J92" s="195">
        <f t="shared" si="41"/>
        <v>-1218.3717639422839</v>
      </c>
      <c r="K92" s="195">
        <f t="shared" si="41"/>
        <v>-1265.4111647706991</v>
      </c>
      <c r="L92" s="195">
        <f t="shared" si="41"/>
        <v>-1353.4505655991145</v>
      </c>
      <c r="M92" s="195">
        <f t="shared" si="41"/>
        <v>-1549.6796767043313</v>
      </c>
      <c r="N92" s="195">
        <f t="shared" si="41"/>
        <v>-1584.7796767043315</v>
      </c>
      <c r="O92" s="195">
        <f t="shared" si="41"/>
        <v>-1574.7796767043315</v>
      </c>
      <c r="P92" s="195">
        <f t="shared" si="41"/>
        <v>-1631.5296767043315</v>
      </c>
      <c r="Q92" s="162">
        <f t="shared" si="35"/>
        <v>-14743.801426563448</v>
      </c>
      <c r="R92" s="6"/>
    </row>
    <row r="93" spans="2:18" x14ac:dyDescent="0.2">
      <c r="B93" s="248"/>
      <c r="C93" s="249"/>
      <c r="D93" s="33" t="s">
        <v>6</v>
      </c>
      <c r="E93" s="41">
        <f>E66</f>
        <v>2.3482652023600004</v>
      </c>
      <c r="F93" s="41">
        <f t="shared" ref="F93:P93" si="42">F66</f>
        <v>8.6851810628390069</v>
      </c>
      <c r="G93" s="41">
        <f t="shared" si="42"/>
        <v>14.029459094258513</v>
      </c>
      <c r="H93" s="41">
        <f t="shared" si="42"/>
        <v>219.59832936624574</v>
      </c>
      <c r="I93" s="41">
        <f t="shared" si="42"/>
        <v>184.37365925763311</v>
      </c>
      <c r="J93" s="41">
        <f t="shared" si="42"/>
        <v>187.92474211575808</v>
      </c>
      <c r="K93" s="41">
        <f t="shared" si="42"/>
        <v>191.47582497388311</v>
      </c>
      <c r="L93" s="41">
        <f t="shared" si="42"/>
        <v>195.02690783200808</v>
      </c>
      <c r="M93" s="41">
        <f t="shared" si="42"/>
        <v>338.88125401461667</v>
      </c>
      <c r="N93" s="41">
        <f t="shared" si="42"/>
        <v>338.88125401461667</v>
      </c>
      <c r="O93" s="41">
        <f t="shared" si="42"/>
        <v>338.88125401461667</v>
      </c>
      <c r="P93" s="41">
        <f t="shared" si="42"/>
        <v>338.88125401461667</v>
      </c>
      <c r="Q93" s="28">
        <f t="shared" si="35"/>
        <v>2358.9873849634523</v>
      </c>
      <c r="R93" s="6"/>
    </row>
    <row r="94" spans="2:18" x14ac:dyDescent="0.2">
      <c r="B94" s="248"/>
      <c r="C94" s="249"/>
      <c r="D94" s="33" t="s">
        <v>69</v>
      </c>
      <c r="E94" s="29">
        <f t="shared" ref="E94:P94" si="43">E67+E75</f>
        <v>110.206</v>
      </c>
      <c r="F94" s="29">
        <f t="shared" si="43"/>
        <v>110.206</v>
      </c>
      <c r="G94" s="29">
        <f t="shared" si="43"/>
        <v>110.206</v>
      </c>
      <c r="H94" s="29">
        <f t="shared" si="43"/>
        <v>110.206</v>
      </c>
      <c r="I94" s="29">
        <f t="shared" si="43"/>
        <v>65.206000000000003</v>
      </c>
      <c r="J94" s="29">
        <f t="shared" si="43"/>
        <v>65.206000000000003</v>
      </c>
      <c r="K94" s="29">
        <f t="shared" si="43"/>
        <v>65.206000000000003</v>
      </c>
      <c r="L94" s="29">
        <f t="shared" si="43"/>
        <v>65.206000000000003</v>
      </c>
      <c r="M94" s="29">
        <f t="shared" si="43"/>
        <v>65.206000000000003</v>
      </c>
      <c r="N94" s="29">
        <f t="shared" si="43"/>
        <v>65.206000000000003</v>
      </c>
      <c r="O94" s="29">
        <f t="shared" si="43"/>
        <v>65.206000000000003</v>
      </c>
      <c r="P94" s="29">
        <f t="shared" si="43"/>
        <v>65.206000000000003</v>
      </c>
      <c r="Q94" s="28">
        <f t="shared" si="35"/>
        <v>962.47200000000009</v>
      </c>
      <c r="R94" s="6"/>
    </row>
    <row r="95" spans="2:18" x14ac:dyDescent="0.2">
      <c r="B95" s="248"/>
      <c r="C95" s="249"/>
      <c r="D95" s="33" t="s">
        <v>7</v>
      </c>
      <c r="E95" s="29">
        <f t="shared" ref="E95:P95" si="44">E68+E76</f>
        <v>127.6789064</v>
      </c>
      <c r="F95" s="29">
        <f t="shared" si="44"/>
        <v>157.92890640000002</v>
      </c>
      <c r="G95" s="29">
        <f t="shared" si="44"/>
        <v>157.92890639999999</v>
      </c>
      <c r="H95" s="29">
        <f t="shared" si="44"/>
        <v>264.92890639999996</v>
      </c>
      <c r="I95" s="29">
        <f t="shared" si="44"/>
        <v>402.42890640000002</v>
      </c>
      <c r="J95" s="29">
        <f t="shared" si="44"/>
        <v>372.17890640000002</v>
      </c>
      <c r="K95" s="29">
        <f t="shared" si="44"/>
        <v>278.67890640000002</v>
      </c>
      <c r="L95" s="29">
        <f t="shared" si="44"/>
        <v>336.42890640000002</v>
      </c>
      <c r="M95" s="29">
        <f t="shared" si="44"/>
        <v>364.17890640000002</v>
      </c>
      <c r="N95" s="29">
        <f t="shared" si="44"/>
        <v>364.17890640000002</v>
      </c>
      <c r="O95" s="29">
        <f t="shared" si="44"/>
        <v>364.17890640000002</v>
      </c>
      <c r="P95" s="29">
        <f t="shared" si="44"/>
        <v>410.92890640000002</v>
      </c>
      <c r="Q95" s="28">
        <f t="shared" si="35"/>
        <v>3601.6468768</v>
      </c>
      <c r="R95" s="6"/>
    </row>
    <row r="96" spans="2:18" x14ac:dyDescent="0.2">
      <c r="B96" s="248"/>
      <c r="C96" s="249"/>
      <c r="D96" s="33" t="s">
        <v>62</v>
      </c>
      <c r="E96" s="29">
        <f t="shared" ref="E96:P96" si="45">E69+E77</f>
        <v>173.61493039999999</v>
      </c>
      <c r="F96" s="29">
        <f t="shared" si="45"/>
        <v>330.23993039999999</v>
      </c>
      <c r="G96" s="29">
        <f t="shared" si="45"/>
        <v>356.33993040000001</v>
      </c>
      <c r="H96" s="29">
        <f t="shared" si="45"/>
        <v>404.18993040000004</v>
      </c>
      <c r="I96" s="29">
        <f t="shared" si="45"/>
        <v>406.08993040000001</v>
      </c>
      <c r="J96" s="29">
        <f t="shared" si="45"/>
        <v>406.08993040000001</v>
      </c>
      <c r="K96" s="29">
        <f t="shared" si="45"/>
        <v>526.33993039999996</v>
      </c>
      <c r="L96" s="29">
        <f t="shared" si="45"/>
        <v>526.33993039999996</v>
      </c>
      <c r="M96" s="29">
        <f t="shared" si="45"/>
        <v>526.33993039999996</v>
      </c>
      <c r="N96" s="29">
        <f t="shared" si="45"/>
        <v>571.43993040000009</v>
      </c>
      <c r="O96" s="29">
        <f t="shared" si="45"/>
        <v>571.43993040000009</v>
      </c>
      <c r="P96" s="29">
        <f t="shared" si="45"/>
        <v>571.43993040000009</v>
      </c>
      <c r="Q96" s="28">
        <f t="shared" si="35"/>
        <v>5369.9041648000002</v>
      </c>
      <c r="R96" s="6"/>
    </row>
    <row r="97" spans="2:19" x14ac:dyDescent="0.2">
      <c r="B97" s="248"/>
      <c r="C97" s="249"/>
      <c r="D97" s="33" t="s">
        <v>74</v>
      </c>
      <c r="E97" s="29">
        <f t="shared" ref="E97:P97" si="46">E70+E78</f>
        <v>3.333333333333333</v>
      </c>
      <c r="F97" s="29">
        <f t="shared" si="46"/>
        <v>3.333333333333333</v>
      </c>
      <c r="G97" s="29">
        <f t="shared" si="46"/>
        <v>3.333333333333333</v>
      </c>
      <c r="H97" s="29">
        <f t="shared" si="46"/>
        <v>3.333333333333333</v>
      </c>
      <c r="I97" s="29">
        <f t="shared" si="46"/>
        <v>3.333333333333333</v>
      </c>
      <c r="J97" s="29">
        <f t="shared" si="46"/>
        <v>3.333333333333333</v>
      </c>
      <c r="K97" s="29">
        <f t="shared" si="46"/>
        <v>3.333333333333333</v>
      </c>
      <c r="L97" s="29">
        <f t="shared" si="46"/>
        <v>3.333333333333333</v>
      </c>
      <c r="M97" s="29">
        <f t="shared" si="46"/>
        <v>3.333333333333333</v>
      </c>
      <c r="N97" s="29">
        <f t="shared" si="46"/>
        <v>3.333333333333333</v>
      </c>
      <c r="O97" s="29">
        <f t="shared" si="46"/>
        <v>3.333333333333333</v>
      </c>
      <c r="P97" s="29">
        <f t="shared" si="46"/>
        <v>3.333333333333333</v>
      </c>
      <c r="Q97" s="28">
        <f t="shared" si="35"/>
        <v>40</v>
      </c>
      <c r="R97" s="6"/>
    </row>
    <row r="98" spans="2:19" x14ac:dyDescent="0.2">
      <c r="B98" s="248"/>
      <c r="C98" s="249"/>
      <c r="D98" s="33" t="s">
        <v>56</v>
      </c>
      <c r="E98" s="29">
        <f t="shared" ref="E98:P98" si="47">E71+E79</f>
        <v>22.5</v>
      </c>
      <c r="F98" s="29">
        <f t="shared" si="47"/>
        <v>22.5</v>
      </c>
      <c r="G98" s="29">
        <f t="shared" si="47"/>
        <v>22.5</v>
      </c>
      <c r="H98" s="29">
        <f t="shared" si="47"/>
        <v>22.5</v>
      </c>
      <c r="I98" s="29">
        <f t="shared" si="47"/>
        <v>30</v>
      </c>
      <c r="J98" s="29">
        <f t="shared" si="47"/>
        <v>30</v>
      </c>
      <c r="K98" s="29">
        <f t="shared" si="47"/>
        <v>30</v>
      </c>
      <c r="L98" s="29">
        <f t="shared" si="47"/>
        <v>30</v>
      </c>
      <c r="M98" s="29">
        <f t="shared" si="47"/>
        <v>30</v>
      </c>
      <c r="N98" s="29">
        <f t="shared" si="47"/>
        <v>30</v>
      </c>
      <c r="O98" s="29">
        <f t="shared" si="47"/>
        <v>30</v>
      </c>
      <c r="P98" s="29">
        <f t="shared" si="47"/>
        <v>30</v>
      </c>
      <c r="Q98" s="28">
        <f t="shared" si="35"/>
        <v>330</v>
      </c>
      <c r="R98" s="6"/>
    </row>
    <row r="99" spans="2:19" x14ac:dyDescent="0.2">
      <c r="B99" s="248"/>
      <c r="C99" s="249"/>
      <c r="D99" s="33" t="s">
        <v>59</v>
      </c>
      <c r="E99" s="29">
        <f>+E80</f>
        <v>12.726883499912928</v>
      </c>
      <c r="F99" s="29">
        <f t="shared" ref="F99:P99" si="48">+F80</f>
        <v>14.060112543657405</v>
      </c>
      <c r="G99" s="29">
        <f t="shared" si="48"/>
        <v>26.145604494264802</v>
      </c>
      <c r="H99" s="29">
        <f t="shared" si="48"/>
        <v>39.845394927494183</v>
      </c>
      <c r="I99" s="29">
        <f t="shared" si="48"/>
        <v>61.067309675139029</v>
      </c>
      <c r="J99" s="29">
        <f t="shared" si="48"/>
        <v>65.53569265841989</v>
      </c>
      <c r="K99" s="29">
        <f t="shared" si="48"/>
        <v>69.075964796926201</v>
      </c>
      <c r="L99" s="29">
        <f t="shared" si="48"/>
        <v>72.616236935432511</v>
      </c>
      <c r="M99" s="29">
        <f t="shared" si="48"/>
        <v>89.231700117188254</v>
      </c>
      <c r="N99" s="29">
        <f t="shared" si="48"/>
        <v>89.231700117188254</v>
      </c>
      <c r="O99" s="29">
        <f t="shared" si="48"/>
        <v>89.231700117188254</v>
      </c>
      <c r="P99" s="29">
        <f t="shared" si="48"/>
        <v>89.231700117188254</v>
      </c>
      <c r="Q99" s="28">
        <f t="shared" si="35"/>
        <v>717.99999999999989</v>
      </c>
      <c r="R99" s="6"/>
    </row>
    <row r="100" spans="2:19" x14ac:dyDescent="0.2">
      <c r="B100" s="248"/>
      <c r="C100" s="249"/>
      <c r="D100" s="33" t="s">
        <v>23</v>
      </c>
      <c r="E100" s="29">
        <f t="shared" ref="E100:P100" si="49">E84</f>
        <v>11.85</v>
      </c>
      <c r="F100" s="29">
        <f t="shared" si="49"/>
        <v>11.85</v>
      </c>
      <c r="G100" s="29">
        <f t="shared" si="49"/>
        <v>11.85</v>
      </c>
      <c r="H100" s="29">
        <f t="shared" si="49"/>
        <v>11.85</v>
      </c>
      <c r="I100" s="29">
        <f t="shared" si="49"/>
        <v>13.85</v>
      </c>
      <c r="J100" s="29">
        <f t="shared" si="49"/>
        <v>13.85</v>
      </c>
      <c r="K100" s="29">
        <f t="shared" si="49"/>
        <v>13.85</v>
      </c>
      <c r="L100" s="29">
        <f t="shared" si="49"/>
        <v>13.85</v>
      </c>
      <c r="M100" s="29">
        <f t="shared" si="49"/>
        <v>16.350000000000001</v>
      </c>
      <c r="N100" s="29">
        <f t="shared" si="49"/>
        <v>16.350000000000001</v>
      </c>
      <c r="O100" s="29">
        <f t="shared" si="49"/>
        <v>16.350000000000001</v>
      </c>
      <c r="P100" s="29">
        <f t="shared" si="49"/>
        <v>16.350000000000001</v>
      </c>
      <c r="Q100" s="28">
        <f t="shared" si="35"/>
        <v>168.19999999999996</v>
      </c>
      <c r="R100" s="6"/>
    </row>
    <row r="101" spans="2:19" x14ac:dyDescent="0.2">
      <c r="B101" s="248"/>
      <c r="C101" s="249"/>
      <c r="D101" s="33" t="s">
        <v>64</v>
      </c>
      <c r="E101" s="29">
        <f t="shared" ref="E101:P101" si="50">E85</f>
        <v>16.000000000000011</v>
      </c>
      <c r="F101" s="29">
        <f t="shared" si="50"/>
        <v>16.000000000000011</v>
      </c>
      <c r="G101" s="29">
        <f t="shared" si="50"/>
        <v>16.000000000000011</v>
      </c>
      <c r="H101" s="29">
        <f t="shared" si="50"/>
        <v>16.000000000000011</v>
      </c>
      <c r="I101" s="29">
        <f t="shared" si="50"/>
        <v>16.000000000000011</v>
      </c>
      <c r="J101" s="29">
        <f t="shared" si="50"/>
        <v>16.000000000000011</v>
      </c>
      <c r="K101" s="29">
        <f t="shared" si="50"/>
        <v>16.000000000000011</v>
      </c>
      <c r="L101" s="29">
        <f t="shared" si="50"/>
        <v>16.000000000000011</v>
      </c>
      <c r="M101" s="29">
        <f t="shared" si="50"/>
        <v>16.000000000000011</v>
      </c>
      <c r="N101" s="29">
        <f t="shared" si="50"/>
        <v>16.000000000000011</v>
      </c>
      <c r="O101" s="29">
        <f t="shared" si="50"/>
        <v>16.000000000000011</v>
      </c>
      <c r="P101" s="29">
        <f t="shared" si="50"/>
        <v>16.000000000000011</v>
      </c>
      <c r="Q101" s="28">
        <f t="shared" si="35"/>
        <v>192.00000000000009</v>
      </c>
      <c r="R101" s="6"/>
    </row>
    <row r="102" spans="2:19" x14ac:dyDescent="0.2">
      <c r="B102" s="248"/>
      <c r="C102" s="249"/>
      <c r="D102" s="33" t="s">
        <v>63</v>
      </c>
      <c r="E102" s="29">
        <f t="shared" ref="E102:P102" si="51">E86</f>
        <v>66.951791375825664</v>
      </c>
      <c r="F102" s="29">
        <f t="shared" si="51"/>
        <v>99.069559941356417</v>
      </c>
      <c r="G102" s="29">
        <f t="shared" si="51"/>
        <v>40.165445063660073</v>
      </c>
      <c r="H102" s="29">
        <f t="shared" si="51"/>
        <v>81.375593218595327</v>
      </c>
      <c r="I102" s="29">
        <f t="shared" si="51"/>
        <v>80.306862354637303</v>
      </c>
      <c r="J102" s="29">
        <f t="shared" si="51"/>
        <v>40.70156951816044</v>
      </c>
      <c r="K102" s="29">
        <f t="shared" si="51"/>
        <v>51.014293557061826</v>
      </c>
      <c r="L102" s="29">
        <f t="shared" si="51"/>
        <v>71.327017595963213</v>
      </c>
      <c r="M102" s="29">
        <f t="shared" si="51"/>
        <v>63.294716843684974</v>
      </c>
      <c r="N102" s="29">
        <f t="shared" si="51"/>
        <v>53.294716843684974</v>
      </c>
      <c r="O102" s="29">
        <f t="shared" si="51"/>
        <v>43.294716843684974</v>
      </c>
      <c r="P102" s="29">
        <f t="shared" si="51"/>
        <v>53.294716843684974</v>
      </c>
      <c r="Q102" s="28">
        <f t="shared" si="35"/>
        <v>744.09100000000035</v>
      </c>
      <c r="R102" s="6"/>
    </row>
    <row r="103" spans="2:19" x14ac:dyDescent="0.2">
      <c r="B103" s="248"/>
      <c r="C103" s="249"/>
      <c r="D103" s="33" t="s">
        <v>57</v>
      </c>
      <c r="E103" s="29">
        <f t="shared" ref="E103:P103" si="52">E87</f>
        <v>1.4074100524290367</v>
      </c>
      <c r="F103" s="29">
        <f t="shared" si="52"/>
        <v>2.4939917230807849</v>
      </c>
      <c r="G103" s="29">
        <f t="shared" si="52"/>
        <v>3.3786676628258134</v>
      </c>
      <c r="H103" s="29">
        <f t="shared" si="52"/>
        <v>14.543996865907763</v>
      </c>
      <c r="I103" s="29">
        <f t="shared" si="52"/>
        <v>13.909857385238306</v>
      </c>
      <c r="J103" s="29">
        <f t="shared" si="52"/>
        <v>17.551589516612211</v>
      </c>
      <c r="K103" s="29">
        <f t="shared" si="52"/>
        <v>20.43691130949485</v>
      </c>
      <c r="L103" s="29">
        <f t="shared" si="52"/>
        <v>23.322233102377496</v>
      </c>
      <c r="M103" s="29">
        <f t="shared" si="52"/>
        <v>36.863835595508434</v>
      </c>
      <c r="N103" s="29">
        <f t="shared" si="52"/>
        <v>36.863835595508434</v>
      </c>
      <c r="O103" s="29">
        <f t="shared" si="52"/>
        <v>36.863835595508434</v>
      </c>
      <c r="P103" s="29">
        <f t="shared" si="52"/>
        <v>36.863835595508434</v>
      </c>
      <c r="Q103" s="28">
        <f t="shared" si="35"/>
        <v>244.49999999999994</v>
      </c>
      <c r="R103" s="6"/>
    </row>
    <row r="104" spans="2:19" ht="16" thickBot="1" x14ac:dyDescent="0.25">
      <c r="B104" s="248"/>
      <c r="C104" s="249"/>
      <c r="D104" s="33" t="s">
        <v>86</v>
      </c>
      <c r="E104" s="29">
        <f t="shared" ref="E104:P104" si="53">E88</f>
        <v>7</v>
      </c>
      <c r="F104" s="29">
        <f t="shared" si="53"/>
        <v>7</v>
      </c>
      <c r="G104" s="29">
        <f t="shared" si="53"/>
        <v>0</v>
      </c>
      <c r="H104" s="29">
        <f t="shared" si="53"/>
        <v>0</v>
      </c>
      <c r="I104" s="29">
        <f t="shared" si="53"/>
        <v>0</v>
      </c>
      <c r="J104" s="29">
        <f t="shared" si="53"/>
        <v>0</v>
      </c>
      <c r="K104" s="29">
        <f t="shared" si="53"/>
        <v>0</v>
      </c>
      <c r="L104" s="29">
        <f t="shared" si="53"/>
        <v>0</v>
      </c>
      <c r="M104" s="29">
        <f t="shared" si="53"/>
        <v>0</v>
      </c>
      <c r="N104" s="29">
        <f t="shared" si="53"/>
        <v>0</v>
      </c>
      <c r="O104" s="29">
        <f t="shared" si="53"/>
        <v>0</v>
      </c>
      <c r="P104" s="29">
        <f t="shared" si="53"/>
        <v>0</v>
      </c>
      <c r="Q104" s="28">
        <f t="shared" ref="Q104" si="54">SUM(E104:P104)</f>
        <v>14</v>
      </c>
      <c r="R104" s="6"/>
    </row>
    <row r="105" spans="2:19" ht="17" thickTop="1" thickBot="1" x14ac:dyDescent="0.25">
      <c r="B105" s="248"/>
      <c r="C105" s="249"/>
      <c r="D105" s="20" t="s">
        <v>8</v>
      </c>
      <c r="E105" s="163">
        <f t="shared" ref="E105:Q105" si="55">E91+E92</f>
        <v>-471.88855843392093</v>
      </c>
      <c r="F105" s="163">
        <f t="shared" si="55"/>
        <v>-634.99565950438694</v>
      </c>
      <c r="G105" s="163">
        <f t="shared" si="55"/>
        <v>-560.87527509852271</v>
      </c>
      <c r="H105" s="163">
        <f t="shared" si="55"/>
        <v>-323.12701909181624</v>
      </c>
      <c r="I105" s="163">
        <f t="shared" si="55"/>
        <v>-449.04731432887286</v>
      </c>
      <c r="J105" s="163">
        <f t="shared" si="55"/>
        <v>-174.2010432949005</v>
      </c>
      <c r="K105" s="163">
        <f t="shared" si="55"/>
        <v>-49.58826795304094</v>
      </c>
      <c r="L105" s="163">
        <f t="shared" si="55"/>
        <v>34.024507388818847</v>
      </c>
      <c r="M105" s="163">
        <f t="shared" si="55"/>
        <v>643.40589786181886</v>
      </c>
      <c r="N105" s="163">
        <f t="shared" si="55"/>
        <v>608.30589786181872</v>
      </c>
      <c r="O105" s="163">
        <f t="shared" si="55"/>
        <v>618.30589786181872</v>
      </c>
      <c r="P105" s="163">
        <f t="shared" si="55"/>
        <v>561.55589786181872</v>
      </c>
      <c r="Q105" s="36">
        <f t="shared" si="55"/>
        <v>-198.12503886936429</v>
      </c>
      <c r="R105" s="10"/>
    </row>
    <row r="106" spans="2:19" ht="17" thickTop="1" thickBot="1" x14ac:dyDescent="0.25">
      <c r="B106" s="250"/>
      <c r="C106" s="251"/>
      <c r="D106" s="20" t="s">
        <v>26</v>
      </c>
      <c r="E106" s="163">
        <f>E105</f>
        <v>-471.88855843392093</v>
      </c>
      <c r="F106" s="163">
        <f>E106+F105</f>
        <v>-1106.8842179383078</v>
      </c>
      <c r="G106" s="163">
        <f>F106+G105</f>
        <v>-1667.7594930368305</v>
      </c>
      <c r="H106" s="163">
        <f t="shared" ref="H106:P106" si="56">G106+H105</f>
        <v>-1990.8865121286467</v>
      </c>
      <c r="I106" s="163">
        <f t="shared" si="56"/>
        <v>-2439.9338264575194</v>
      </c>
      <c r="J106" s="163">
        <f t="shared" si="56"/>
        <v>-2614.1348697524199</v>
      </c>
      <c r="K106" s="163">
        <f t="shared" si="56"/>
        <v>-2663.7231377054609</v>
      </c>
      <c r="L106" s="163">
        <f t="shared" si="56"/>
        <v>-2629.6986303166423</v>
      </c>
      <c r="M106" s="163">
        <f t="shared" si="56"/>
        <v>-1986.2927324548234</v>
      </c>
      <c r="N106" s="163">
        <f t="shared" si="56"/>
        <v>-1377.9868345930047</v>
      </c>
      <c r="O106" s="163">
        <f t="shared" si="56"/>
        <v>-759.68093673118597</v>
      </c>
      <c r="P106" s="163">
        <f t="shared" si="56"/>
        <v>-198.12503886936724</v>
      </c>
      <c r="Q106" s="36"/>
      <c r="R106" s="10"/>
    </row>
    <row r="107" spans="2:19" x14ac:dyDescent="0.2"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2:19" x14ac:dyDescent="0.2">
      <c r="B108" s="1"/>
      <c r="C108" s="2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1"/>
      <c r="S108" s="8"/>
    </row>
    <row r="109" spans="2:19" x14ac:dyDescent="0.2">
      <c r="B109" s="1"/>
      <c r="C109" s="26"/>
      <c r="D109" s="11"/>
      <c r="E109"/>
      <c r="F109"/>
      <c r="G109"/>
      <c r="H109"/>
      <c r="I109"/>
      <c r="J109"/>
      <c r="K109"/>
      <c r="L109"/>
      <c r="M109"/>
      <c r="N109"/>
      <c r="O109"/>
      <c r="P109"/>
      <c r="Q109" s="2"/>
      <c r="S109" s="7"/>
    </row>
    <row r="110" spans="2:19" x14ac:dyDescent="0.2">
      <c r="D110" s="1"/>
      <c r="E110" s="164">
        <f>E91/$Q$91</f>
        <v>5.7562783330430949E-3</v>
      </c>
      <c r="F110" s="164">
        <f t="shared" ref="F110:P110" si="57">F91/$Q$91</f>
        <v>1.0200375145524684E-2</v>
      </c>
      <c r="G110" s="164">
        <f t="shared" si="57"/>
        <v>1.3818681647549338E-2</v>
      </c>
      <c r="H110" s="164">
        <f t="shared" si="57"/>
        <v>5.9484649758313961E-2</v>
      </c>
      <c r="I110" s="164">
        <f t="shared" si="57"/>
        <v>5.6891032250463415E-2</v>
      </c>
      <c r="J110" s="164">
        <f t="shared" si="57"/>
        <v>7.1785642194732963E-2</v>
      </c>
      <c r="K110" s="164">
        <f t="shared" si="57"/>
        <v>8.3586549323087317E-2</v>
      </c>
      <c r="L110" s="164">
        <f t="shared" si="57"/>
        <v>9.5387456451441713E-2</v>
      </c>
      <c r="M110" s="164">
        <f t="shared" si="57"/>
        <v>0.15077233372396087</v>
      </c>
      <c r="N110" s="164">
        <f t="shared" si="57"/>
        <v>0.15077233372396087</v>
      </c>
      <c r="O110" s="164">
        <f t="shared" si="57"/>
        <v>0.15077233372396087</v>
      </c>
      <c r="P110" s="164">
        <f t="shared" si="57"/>
        <v>0.15077233372396087</v>
      </c>
      <c r="Q110" s="2"/>
      <c r="S110" s="7"/>
    </row>
    <row r="111" spans="2:19" x14ac:dyDescent="0.2">
      <c r="E111"/>
      <c r="F111"/>
      <c r="G111"/>
      <c r="H111"/>
      <c r="I111"/>
      <c r="J111"/>
      <c r="K111"/>
      <c r="L111"/>
      <c r="M111"/>
      <c r="N111"/>
      <c r="O111"/>
      <c r="P111"/>
      <c r="Q111" s="2"/>
      <c r="R111" s="18"/>
      <c r="S111" s="7"/>
    </row>
    <row r="112" spans="2:19" x14ac:dyDescent="0.2">
      <c r="E112"/>
      <c r="F112"/>
      <c r="G112"/>
      <c r="H112"/>
      <c r="I112"/>
      <c r="J112"/>
      <c r="K112"/>
      <c r="L112"/>
      <c r="M112"/>
      <c r="N112"/>
      <c r="O112"/>
      <c r="P112"/>
      <c r="Q112" s="2"/>
      <c r="S112" s="7"/>
    </row>
    <row r="113" spans="4:19" x14ac:dyDescent="0.2">
      <c r="E113"/>
      <c r="F113"/>
      <c r="G113"/>
      <c r="H113"/>
      <c r="I113"/>
      <c r="J113"/>
      <c r="K113"/>
      <c r="L113"/>
      <c r="M113"/>
      <c r="N113"/>
      <c r="O113"/>
      <c r="P113"/>
      <c r="Q113" s="2"/>
      <c r="S113" s="7"/>
    </row>
    <row r="114" spans="4:19" x14ac:dyDescent="0.2">
      <c r="D114" s="12"/>
      <c r="E114"/>
      <c r="F114"/>
      <c r="G114"/>
      <c r="H114"/>
      <c r="I114"/>
      <c r="J114"/>
      <c r="K114"/>
      <c r="L114"/>
      <c r="M114"/>
      <c r="N114"/>
      <c r="O114"/>
      <c r="P114"/>
      <c r="Q114" s="2"/>
      <c r="S114" s="7"/>
    </row>
    <row r="115" spans="4:19" x14ac:dyDescent="0.2">
      <c r="E115"/>
      <c r="F115"/>
      <c r="G115"/>
      <c r="H115"/>
      <c r="I115"/>
      <c r="J115"/>
      <c r="K115"/>
      <c r="L115"/>
      <c r="M115"/>
      <c r="N115"/>
      <c r="O115"/>
      <c r="P115"/>
      <c r="Q115" s="2"/>
      <c r="S115" s="7"/>
    </row>
    <row r="116" spans="4:19" x14ac:dyDescent="0.2">
      <c r="E116"/>
      <c r="F116"/>
      <c r="G116"/>
      <c r="H116"/>
      <c r="I116"/>
      <c r="J116"/>
      <c r="K116"/>
      <c r="L116"/>
      <c r="M116"/>
      <c r="N116"/>
      <c r="O116"/>
      <c r="P116"/>
      <c r="Q116" s="2"/>
      <c r="R116" s="7"/>
    </row>
    <row r="117" spans="4:19" x14ac:dyDescent="0.2">
      <c r="D117" s="12"/>
      <c r="E117"/>
      <c r="F117"/>
      <c r="G117"/>
      <c r="H117"/>
      <c r="I117"/>
      <c r="J117"/>
      <c r="K117"/>
      <c r="L117"/>
      <c r="M117"/>
      <c r="N117"/>
      <c r="O117"/>
      <c r="P117"/>
      <c r="Q117" s="2"/>
      <c r="R117" s="7"/>
    </row>
  </sheetData>
  <mergeCells count="19">
    <mergeCell ref="C54:C62"/>
    <mergeCell ref="B54:B62"/>
    <mergeCell ref="B90:C90"/>
    <mergeCell ref="B82:C82"/>
    <mergeCell ref="B44:B52"/>
    <mergeCell ref="C4:C12"/>
    <mergeCell ref="C24:C32"/>
    <mergeCell ref="C34:C42"/>
    <mergeCell ref="C44:C52"/>
    <mergeCell ref="B4:B12"/>
    <mergeCell ref="B24:B32"/>
    <mergeCell ref="B14:B22"/>
    <mergeCell ref="C14:C22"/>
    <mergeCell ref="B34:B42"/>
    <mergeCell ref="B73:C73"/>
    <mergeCell ref="B83:C89"/>
    <mergeCell ref="B74:C81"/>
    <mergeCell ref="B91:C106"/>
    <mergeCell ref="B64:C72"/>
  </mergeCells>
  <pageMargins left="0.7" right="0.7" top="0.75" bottom="0.75" header="0.3" footer="0.3"/>
  <pageSetup paperSize="9" scale="7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O202"/>
  <sheetViews>
    <sheetView zoomScale="80" zoomScaleNormal="80" zoomScalePageLayoutView="80" workbookViewId="0">
      <selection activeCell="E61" sqref="E61"/>
    </sheetView>
  </sheetViews>
  <sheetFormatPr baseColWidth="10" defaultColWidth="10.6640625" defaultRowHeight="15" x14ac:dyDescent="0.2"/>
  <cols>
    <col min="1" max="1" width="21" bestFit="1" customWidth="1"/>
    <col min="2" max="2" width="17.1640625" style="2" bestFit="1" customWidth="1"/>
    <col min="3" max="8" width="17.1640625" bestFit="1" customWidth="1"/>
    <col min="9" max="9" width="16.5" bestFit="1" customWidth="1"/>
    <col min="10" max="13" width="17.1640625" bestFit="1" customWidth="1"/>
    <col min="14" max="14" width="16" bestFit="1" customWidth="1"/>
  </cols>
  <sheetData>
    <row r="3" spans="1:14" ht="16" x14ac:dyDescent="0.2">
      <c r="A3" s="19" t="s">
        <v>60</v>
      </c>
      <c r="B3" s="154" t="s">
        <v>138</v>
      </c>
      <c r="C3" s="154" t="s">
        <v>139</v>
      </c>
      <c r="D3" s="154" t="s">
        <v>140</v>
      </c>
      <c r="E3" s="154" t="s">
        <v>153</v>
      </c>
      <c r="F3" s="154" t="s">
        <v>154</v>
      </c>
      <c r="G3" s="154" t="s">
        <v>155</v>
      </c>
      <c r="H3" s="154" t="s">
        <v>156</v>
      </c>
      <c r="I3" s="154" t="s">
        <v>157</v>
      </c>
      <c r="J3" s="154" t="s">
        <v>158</v>
      </c>
      <c r="K3" s="154" t="s">
        <v>159</v>
      </c>
      <c r="L3" s="154" t="s">
        <v>160</v>
      </c>
      <c r="M3" s="154" t="s">
        <v>161</v>
      </c>
      <c r="N3" s="155" t="s">
        <v>28</v>
      </c>
    </row>
    <row r="4" spans="1:14" x14ac:dyDescent="0.2">
      <c r="A4" s="7" t="s">
        <v>73</v>
      </c>
      <c r="B4" s="2">
        <v>12726.883499912929</v>
      </c>
      <c r="C4" s="2">
        <v>14060.112543657406</v>
      </c>
      <c r="D4" s="2">
        <v>26145.6044942648</v>
      </c>
      <c r="E4" s="2">
        <v>39845.394927494184</v>
      </c>
      <c r="F4" s="2">
        <v>61067.309675139026</v>
      </c>
      <c r="G4" s="2">
        <v>65535.692658419888</v>
      </c>
      <c r="H4" s="2">
        <v>69075.964796926201</v>
      </c>
      <c r="I4" s="2">
        <v>72616.236935432506</v>
      </c>
      <c r="J4" s="2">
        <v>89231.700117188258</v>
      </c>
      <c r="K4" s="2">
        <v>89231.700117188258</v>
      </c>
      <c r="L4" s="2">
        <v>89231.700117188258</v>
      </c>
      <c r="M4" s="2">
        <v>89231.700117188258</v>
      </c>
      <c r="N4" s="88">
        <f t="shared" ref="N4:N42" si="0">SUM(B4:M4)</f>
        <v>718000</v>
      </c>
    </row>
    <row r="5" spans="1:14" x14ac:dyDescent="0.2">
      <c r="A5" s="49" t="s">
        <v>51</v>
      </c>
      <c r="B5" s="2">
        <v>12726.883499912929</v>
      </c>
      <c r="C5" s="2">
        <v>14060.112543657406</v>
      </c>
      <c r="D5" s="2">
        <v>26145.6044942648</v>
      </c>
      <c r="E5" s="2">
        <v>39845.394927494184</v>
      </c>
      <c r="F5" s="2">
        <v>61067.309675139026</v>
      </c>
      <c r="G5" s="2">
        <v>65535.692658419888</v>
      </c>
      <c r="H5" s="2">
        <v>69075.964796926201</v>
      </c>
      <c r="I5" s="2">
        <v>72616.236935432506</v>
      </c>
      <c r="J5" s="2">
        <v>89231.700117188258</v>
      </c>
      <c r="K5" s="2">
        <v>89231.700117188258</v>
      </c>
      <c r="L5" s="2">
        <v>89231.700117188258</v>
      </c>
      <c r="M5" s="2">
        <v>89231.700117188258</v>
      </c>
      <c r="N5" s="2">
        <f t="shared" si="0"/>
        <v>718000</v>
      </c>
    </row>
    <row r="6" spans="1:14" x14ac:dyDescent="0.2">
      <c r="A6" s="7" t="s">
        <v>0</v>
      </c>
      <c r="B6" s="2">
        <v>103209.20142825472</v>
      </c>
      <c r="C6" s="2">
        <v>136413.55166443723</v>
      </c>
      <c r="D6" s="2">
        <v>71394.112726485895</v>
      </c>
      <c r="E6" s="2">
        <v>123769.59008450311</v>
      </c>
      <c r="F6" s="2">
        <v>124066.71973987561</v>
      </c>
      <c r="G6" s="2">
        <v>88103.15903477266</v>
      </c>
      <c r="H6" s="2">
        <v>101301.20486655668</v>
      </c>
      <c r="I6" s="2">
        <v>124499.25069834074</v>
      </c>
      <c r="J6" s="2">
        <v>132508.55243919342</v>
      </c>
      <c r="K6" s="2">
        <v>122508.55243919342</v>
      </c>
      <c r="L6" s="2">
        <v>112508.55243919342</v>
      </c>
      <c r="M6" s="2">
        <v>122508.55243919342</v>
      </c>
      <c r="N6" s="88">
        <f t="shared" si="0"/>
        <v>1362791.0000000005</v>
      </c>
    </row>
    <row r="7" spans="1:14" x14ac:dyDescent="0.2">
      <c r="A7" s="49" t="s">
        <v>23</v>
      </c>
      <c r="B7" s="2">
        <v>11850</v>
      </c>
      <c r="C7" s="2">
        <v>11850</v>
      </c>
      <c r="D7" s="2">
        <v>11850</v>
      </c>
      <c r="E7" s="2">
        <v>11850</v>
      </c>
      <c r="F7" s="2">
        <v>13850</v>
      </c>
      <c r="G7" s="2">
        <v>13850</v>
      </c>
      <c r="H7" s="2">
        <v>13850</v>
      </c>
      <c r="I7" s="2">
        <v>13850</v>
      </c>
      <c r="J7" s="2">
        <v>16350</v>
      </c>
      <c r="K7" s="2">
        <v>16350</v>
      </c>
      <c r="L7" s="2">
        <v>16350</v>
      </c>
      <c r="M7" s="2">
        <v>16350</v>
      </c>
      <c r="N7" s="2">
        <f t="shared" si="0"/>
        <v>168200</v>
      </c>
    </row>
    <row r="8" spans="1:14" x14ac:dyDescent="0.2">
      <c r="A8" s="49" t="s">
        <v>64</v>
      </c>
      <c r="B8" s="2">
        <v>16000.000000000011</v>
      </c>
      <c r="C8" s="2">
        <v>16000.000000000011</v>
      </c>
      <c r="D8" s="2">
        <v>16000.000000000011</v>
      </c>
      <c r="E8" s="2">
        <v>16000.000000000011</v>
      </c>
      <c r="F8" s="2">
        <v>16000.000000000011</v>
      </c>
      <c r="G8" s="2">
        <v>16000.000000000011</v>
      </c>
      <c r="H8" s="2">
        <v>16000.000000000011</v>
      </c>
      <c r="I8" s="2">
        <v>16000.000000000011</v>
      </c>
      <c r="J8" s="2">
        <v>16000.000000000011</v>
      </c>
      <c r="K8" s="2">
        <v>16000.000000000011</v>
      </c>
      <c r="L8" s="2">
        <v>16000.000000000011</v>
      </c>
      <c r="M8" s="2">
        <v>16000.000000000011</v>
      </c>
      <c r="N8" s="2">
        <f t="shared" si="0"/>
        <v>192000.00000000012</v>
      </c>
    </row>
    <row r="9" spans="1:14" x14ac:dyDescent="0.2">
      <c r="A9" s="49" t="s">
        <v>63</v>
      </c>
      <c r="B9" s="2">
        <v>66951.791375825662</v>
      </c>
      <c r="C9" s="2">
        <v>99069.55994135642</v>
      </c>
      <c r="D9" s="2">
        <v>40165.445063660074</v>
      </c>
      <c r="E9" s="2">
        <v>81375.593218595328</v>
      </c>
      <c r="F9" s="2">
        <v>80306.862354637298</v>
      </c>
      <c r="G9" s="2">
        <v>40701.569518160439</v>
      </c>
      <c r="H9" s="2">
        <v>51014.293557061828</v>
      </c>
      <c r="I9" s="2">
        <v>71327.017595963218</v>
      </c>
      <c r="J9" s="2">
        <v>63294.716843684975</v>
      </c>
      <c r="K9" s="2">
        <v>53294.716843684975</v>
      </c>
      <c r="L9" s="2">
        <v>43294.716843684975</v>
      </c>
      <c r="M9" s="2">
        <v>53294.716843684975</v>
      </c>
      <c r="N9" s="2">
        <f t="shared" si="0"/>
        <v>744091.00000000035</v>
      </c>
    </row>
    <row r="10" spans="1:14" x14ac:dyDescent="0.2">
      <c r="A10" s="49" t="s">
        <v>57</v>
      </c>
      <c r="B10" s="2">
        <v>1407.4100524290368</v>
      </c>
      <c r="C10" s="2">
        <v>2493.9917230807851</v>
      </c>
      <c r="D10" s="2">
        <v>3378.6676628258133</v>
      </c>
      <c r="E10" s="2">
        <v>14543.996865907764</v>
      </c>
      <c r="F10" s="2">
        <v>13909.857385238305</v>
      </c>
      <c r="G10" s="2">
        <v>17551.58951661221</v>
      </c>
      <c r="H10" s="2">
        <v>20436.911309494848</v>
      </c>
      <c r="I10" s="2">
        <v>23322.233102377497</v>
      </c>
      <c r="J10" s="2">
        <v>36863.835595508433</v>
      </c>
      <c r="K10" s="2">
        <v>36863.835595508433</v>
      </c>
      <c r="L10" s="2">
        <v>36863.835595508433</v>
      </c>
      <c r="M10" s="2">
        <v>36863.835595508433</v>
      </c>
      <c r="N10" s="2">
        <f t="shared" si="0"/>
        <v>244499.99999999997</v>
      </c>
    </row>
    <row r="11" spans="1:14" x14ac:dyDescent="0.2">
      <c r="A11" s="49" t="s">
        <v>85</v>
      </c>
      <c r="B11" s="2">
        <v>7000</v>
      </c>
      <c r="C11" s="2">
        <v>7000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f t="shared" si="0"/>
        <v>14000</v>
      </c>
    </row>
    <row r="12" spans="1:14" x14ac:dyDescent="0.2">
      <c r="A12" s="7" t="s">
        <v>9</v>
      </c>
      <c r="B12" s="2">
        <v>8055.5555555555557</v>
      </c>
      <c r="C12" s="2">
        <v>8055.5555555555557</v>
      </c>
      <c r="D12" s="2">
        <v>8055.5555555555557</v>
      </c>
      <c r="E12" s="2">
        <v>8055.5555555555557</v>
      </c>
      <c r="F12" s="2">
        <v>15555.555555555555</v>
      </c>
      <c r="G12" s="2">
        <v>15555.555555555555</v>
      </c>
      <c r="H12" s="2">
        <v>15555.555555555555</v>
      </c>
      <c r="I12" s="2">
        <v>15555.555555555555</v>
      </c>
      <c r="J12" s="2">
        <v>15555.555555555555</v>
      </c>
      <c r="K12" s="2">
        <v>15555.555555555555</v>
      </c>
      <c r="L12" s="2">
        <v>15555.555555555555</v>
      </c>
      <c r="M12" s="2">
        <v>15555.555555555555</v>
      </c>
      <c r="N12" s="88">
        <f t="shared" si="0"/>
        <v>156666.66666666669</v>
      </c>
    </row>
    <row r="13" spans="1:14" x14ac:dyDescent="0.2">
      <c r="A13" s="49" t="s">
        <v>58</v>
      </c>
      <c r="B13" s="2">
        <v>555.55555555555554</v>
      </c>
      <c r="C13" s="2">
        <v>555.55555555555554</v>
      </c>
      <c r="D13" s="2">
        <v>555.55555555555554</v>
      </c>
      <c r="E13" s="2">
        <v>555.55555555555554</v>
      </c>
      <c r="F13" s="2">
        <v>555.55555555555554</v>
      </c>
      <c r="G13" s="2">
        <v>555.55555555555554</v>
      </c>
      <c r="H13" s="2">
        <v>555.55555555555554</v>
      </c>
      <c r="I13" s="2">
        <v>555.55555555555554</v>
      </c>
      <c r="J13" s="2">
        <v>555.55555555555554</v>
      </c>
      <c r="K13" s="2">
        <v>555.55555555555554</v>
      </c>
      <c r="L13" s="2">
        <v>555.55555555555554</v>
      </c>
      <c r="M13" s="2">
        <v>555.55555555555554</v>
      </c>
      <c r="N13" s="2">
        <f t="shared" si="0"/>
        <v>6666.666666666667</v>
      </c>
    </row>
    <row r="14" spans="1:14" x14ac:dyDescent="0.2">
      <c r="A14" s="49" t="s">
        <v>56</v>
      </c>
      <c r="B14" s="2">
        <v>7500</v>
      </c>
      <c r="C14" s="2">
        <v>7500</v>
      </c>
      <c r="D14" s="2">
        <v>7500</v>
      </c>
      <c r="E14" s="2">
        <v>7500</v>
      </c>
      <c r="F14" s="2">
        <v>15000</v>
      </c>
      <c r="G14" s="2">
        <v>15000</v>
      </c>
      <c r="H14" s="2">
        <v>15000</v>
      </c>
      <c r="I14" s="2">
        <v>15000</v>
      </c>
      <c r="J14" s="2">
        <v>15000</v>
      </c>
      <c r="K14" s="2">
        <v>15000</v>
      </c>
      <c r="L14" s="2">
        <v>15000</v>
      </c>
      <c r="M14" s="2">
        <v>15000</v>
      </c>
      <c r="N14" s="2">
        <f t="shared" si="0"/>
        <v>150000</v>
      </c>
    </row>
    <row r="15" spans="1:14" x14ac:dyDescent="0.2">
      <c r="A15" s="56" t="s">
        <v>75</v>
      </c>
      <c r="B15" s="81">
        <v>411499.83680000005</v>
      </c>
      <c r="C15" s="81">
        <v>598374.83680000005</v>
      </c>
      <c r="D15" s="81">
        <v>624474.83680000005</v>
      </c>
      <c r="E15" s="81">
        <v>779324.83680000005</v>
      </c>
      <c r="F15" s="81">
        <v>873724.83679999993</v>
      </c>
      <c r="G15" s="81">
        <v>843474.83679999993</v>
      </c>
      <c r="H15" s="81">
        <v>870224.83679999993</v>
      </c>
      <c r="I15" s="81">
        <v>927974.83679999993</v>
      </c>
      <c r="J15" s="81">
        <v>955724.83679999993</v>
      </c>
      <c r="K15" s="81">
        <v>1000824.8367999999</v>
      </c>
      <c r="L15" s="81">
        <v>1000824.8367999999</v>
      </c>
      <c r="M15" s="81">
        <v>1047574.8367999999</v>
      </c>
      <c r="N15" s="89">
        <f t="shared" si="0"/>
        <v>9934023.0415999983</v>
      </c>
    </row>
    <row r="16" spans="1:14" x14ac:dyDescent="0.2">
      <c r="A16" s="49" t="s">
        <v>13</v>
      </c>
      <c r="B16" s="2">
        <v>24449.75</v>
      </c>
      <c r="C16" s="2">
        <v>24449.75</v>
      </c>
      <c r="D16" s="2">
        <v>24449.75</v>
      </c>
      <c r="E16" s="2">
        <v>24449.75</v>
      </c>
      <c r="F16" s="2">
        <v>24449.75</v>
      </c>
      <c r="G16" s="2">
        <v>24449.75</v>
      </c>
      <c r="H16" s="2">
        <v>24449.75</v>
      </c>
      <c r="I16" s="2">
        <v>24449.75</v>
      </c>
      <c r="J16" s="2">
        <v>24449.75</v>
      </c>
      <c r="K16" s="2">
        <v>24449.75</v>
      </c>
      <c r="L16" s="2">
        <v>24449.75</v>
      </c>
      <c r="M16" s="2">
        <v>24449.75</v>
      </c>
      <c r="N16" s="2">
        <f t="shared" si="0"/>
        <v>293397</v>
      </c>
    </row>
    <row r="17" spans="1:14" x14ac:dyDescent="0.2">
      <c r="A17" s="49" t="s">
        <v>31</v>
      </c>
      <c r="B17" s="2">
        <v>17250</v>
      </c>
      <c r="C17" s="2">
        <v>17250</v>
      </c>
      <c r="D17" s="2">
        <v>17250</v>
      </c>
      <c r="E17" s="2">
        <v>17250</v>
      </c>
      <c r="F17" s="2">
        <v>12000</v>
      </c>
      <c r="G17" s="2">
        <v>12000</v>
      </c>
      <c r="H17" s="2">
        <v>12000</v>
      </c>
      <c r="I17" s="2">
        <v>12000</v>
      </c>
      <c r="J17" s="2">
        <v>12000</v>
      </c>
      <c r="K17" s="2">
        <v>12000</v>
      </c>
      <c r="L17" s="2">
        <v>12000</v>
      </c>
      <c r="M17" s="2">
        <v>12000</v>
      </c>
      <c r="N17" s="2">
        <f t="shared" si="0"/>
        <v>165000</v>
      </c>
    </row>
    <row r="18" spans="1:14" x14ac:dyDescent="0.2">
      <c r="A18" s="49" t="s">
        <v>68</v>
      </c>
      <c r="B18" s="2">
        <v>13300</v>
      </c>
      <c r="C18" s="2">
        <v>13300</v>
      </c>
      <c r="D18" s="2">
        <v>24400</v>
      </c>
      <c r="E18" s="2">
        <v>24400</v>
      </c>
      <c r="F18" s="2">
        <v>24400</v>
      </c>
      <c r="G18" s="2">
        <v>24400</v>
      </c>
      <c r="H18" s="2">
        <v>24400</v>
      </c>
      <c r="I18" s="2">
        <v>24400</v>
      </c>
      <c r="J18" s="2">
        <v>24400</v>
      </c>
      <c r="K18" s="2">
        <v>24400</v>
      </c>
      <c r="L18" s="2">
        <v>24400</v>
      </c>
      <c r="M18" s="2">
        <v>24400</v>
      </c>
      <c r="N18" s="2">
        <f t="shared" si="0"/>
        <v>270600</v>
      </c>
    </row>
    <row r="19" spans="1:14" x14ac:dyDescent="0.2">
      <c r="A19" s="49" t="s">
        <v>51</v>
      </c>
      <c r="B19" s="2">
        <v>35946.180399999997</v>
      </c>
      <c r="C19" s="2">
        <v>189821.18040000001</v>
      </c>
      <c r="D19" s="2">
        <v>204821.18040000001</v>
      </c>
      <c r="E19" s="2">
        <v>249921.18040000001</v>
      </c>
      <c r="F19" s="2">
        <v>257071.18040000001</v>
      </c>
      <c r="G19" s="2">
        <v>257071.18040000001</v>
      </c>
      <c r="H19" s="2">
        <v>347071.18040000001</v>
      </c>
      <c r="I19" s="2">
        <v>347071.18040000001</v>
      </c>
      <c r="J19" s="2">
        <v>347071.18040000001</v>
      </c>
      <c r="K19" s="2">
        <v>392171.18040000001</v>
      </c>
      <c r="L19" s="2">
        <v>392171.18040000001</v>
      </c>
      <c r="M19" s="2">
        <v>392171.18040000001</v>
      </c>
      <c r="N19" s="2">
        <f t="shared" si="0"/>
        <v>3412379.1647999999</v>
      </c>
    </row>
    <row r="20" spans="1:14" x14ac:dyDescent="0.2">
      <c r="A20" s="49" t="s">
        <v>162</v>
      </c>
      <c r="B20" s="2">
        <v>116875</v>
      </c>
      <c r="C20" s="2">
        <v>116875</v>
      </c>
      <c r="D20" s="2">
        <v>116875</v>
      </c>
      <c r="E20" s="2">
        <v>116875</v>
      </c>
      <c r="F20" s="2">
        <v>116875</v>
      </c>
      <c r="G20" s="2">
        <v>116875</v>
      </c>
      <c r="H20" s="2">
        <v>116875</v>
      </c>
      <c r="I20" s="2">
        <v>116875</v>
      </c>
      <c r="J20" s="2">
        <v>116875</v>
      </c>
      <c r="K20" s="2">
        <v>116875</v>
      </c>
      <c r="L20" s="2">
        <v>116875</v>
      </c>
      <c r="M20" s="2">
        <v>116875</v>
      </c>
      <c r="N20" s="2">
        <f t="shared" si="0"/>
        <v>1402500</v>
      </c>
    </row>
    <row r="21" spans="1:14" x14ac:dyDescent="0.2">
      <c r="A21" s="49" t="s">
        <v>163</v>
      </c>
      <c r="B21" s="2">
        <v>28000</v>
      </c>
      <c r="C21" s="2">
        <v>58250</v>
      </c>
      <c r="D21" s="2">
        <v>58250</v>
      </c>
      <c r="E21" s="2">
        <v>88500</v>
      </c>
      <c r="F21" s="2">
        <v>88500</v>
      </c>
      <c r="G21" s="2">
        <v>88500</v>
      </c>
      <c r="H21" s="2">
        <v>88500</v>
      </c>
      <c r="I21" s="2">
        <v>146250</v>
      </c>
      <c r="J21" s="2">
        <v>204000</v>
      </c>
      <c r="K21" s="2">
        <v>204000</v>
      </c>
      <c r="L21" s="2">
        <v>204000</v>
      </c>
      <c r="M21" s="2">
        <v>204000</v>
      </c>
      <c r="N21" s="2">
        <f t="shared" si="0"/>
        <v>1460750</v>
      </c>
    </row>
    <row r="22" spans="1:14" x14ac:dyDescent="0.2">
      <c r="A22" s="49" t="s">
        <v>180</v>
      </c>
      <c r="B22" s="2">
        <v>175678.90640000001</v>
      </c>
      <c r="C22" s="2">
        <v>175678.90640000001</v>
      </c>
      <c r="D22" s="2">
        <v>175678.90640000001</v>
      </c>
      <c r="E22" s="2">
        <v>252428.90640000001</v>
      </c>
      <c r="F22" s="2">
        <v>344928.90639999998</v>
      </c>
      <c r="G22" s="2">
        <v>314678.90639999998</v>
      </c>
      <c r="H22" s="2">
        <v>251428.90640000001</v>
      </c>
      <c r="I22" s="2">
        <v>251428.90640000001</v>
      </c>
      <c r="J22" s="2">
        <v>221428.90640000001</v>
      </c>
      <c r="K22" s="2">
        <v>221428.90640000001</v>
      </c>
      <c r="L22" s="2">
        <v>221428.90640000001</v>
      </c>
      <c r="M22" s="2">
        <v>268178.90639999998</v>
      </c>
      <c r="N22" s="2">
        <f t="shared" si="0"/>
        <v>2874396.8768000007</v>
      </c>
    </row>
    <row r="23" spans="1:14" x14ac:dyDescent="0.2">
      <c r="A23" s="49" t="s">
        <v>196</v>
      </c>
      <c r="B23" s="2">
        <v>0</v>
      </c>
      <c r="C23" s="2">
        <v>2750</v>
      </c>
      <c r="D23" s="2">
        <v>2750</v>
      </c>
      <c r="E23" s="2">
        <v>5500</v>
      </c>
      <c r="F23" s="2">
        <v>5500</v>
      </c>
      <c r="G23" s="2">
        <v>5500</v>
      </c>
      <c r="H23" s="2">
        <v>5500</v>
      </c>
      <c r="I23" s="2">
        <v>5500</v>
      </c>
      <c r="J23" s="2">
        <v>5500</v>
      </c>
      <c r="K23" s="2">
        <v>5500</v>
      </c>
      <c r="L23" s="2">
        <v>5500</v>
      </c>
      <c r="M23" s="2">
        <v>5500</v>
      </c>
      <c r="N23" s="2">
        <f t="shared" si="0"/>
        <v>55000</v>
      </c>
    </row>
    <row r="24" spans="1:14" x14ac:dyDescent="0.2">
      <c r="A24" s="7" t="s">
        <v>10</v>
      </c>
      <c r="B24" s="2">
        <v>3888.8888888888891</v>
      </c>
      <c r="C24" s="2">
        <v>3888.8888888888891</v>
      </c>
      <c r="D24" s="2">
        <v>3888.8888888888891</v>
      </c>
      <c r="E24" s="2">
        <v>3888.8888888888891</v>
      </c>
      <c r="F24" s="2">
        <v>3888.8888888888891</v>
      </c>
      <c r="G24" s="2">
        <v>3888.8888888888891</v>
      </c>
      <c r="H24" s="2">
        <v>3888.8888888888891</v>
      </c>
      <c r="I24" s="2">
        <v>3888.8888888888891</v>
      </c>
      <c r="J24" s="2">
        <v>3888.8888888888891</v>
      </c>
      <c r="K24" s="2">
        <v>3888.8888888888891</v>
      </c>
      <c r="L24" s="2">
        <v>3888.8888888888891</v>
      </c>
      <c r="M24" s="2">
        <v>3888.8888888888891</v>
      </c>
      <c r="N24" s="88">
        <f t="shared" si="0"/>
        <v>46666.666666666679</v>
      </c>
    </row>
    <row r="25" spans="1:14" x14ac:dyDescent="0.2">
      <c r="A25" s="49" t="s">
        <v>58</v>
      </c>
      <c r="B25" s="2">
        <v>555.55555555555554</v>
      </c>
      <c r="C25" s="2">
        <v>555.55555555555554</v>
      </c>
      <c r="D25" s="2">
        <v>555.55555555555554</v>
      </c>
      <c r="E25" s="2">
        <v>555.55555555555554</v>
      </c>
      <c r="F25" s="2">
        <v>555.55555555555554</v>
      </c>
      <c r="G25" s="2">
        <v>555.55555555555554</v>
      </c>
      <c r="H25" s="2">
        <v>555.55555555555554</v>
      </c>
      <c r="I25" s="2">
        <v>555.55555555555554</v>
      </c>
      <c r="J25" s="2">
        <v>555.55555555555554</v>
      </c>
      <c r="K25" s="2">
        <v>555.55555555555554</v>
      </c>
      <c r="L25" s="2">
        <v>555.55555555555554</v>
      </c>
      <c r="M25" s="2">
        <v>555.55555555555554</v>
      </c>
      <c r="N25" s="2">
        <f t="shared" si="0"/>
        <v>6666.666666666667</v>
      </c>
    </row>
    <row r="26" spans="1:14" x14ac:dyDescent="0.2">
      <c r="A26" s="49" t="s">
        <v>56</v>
      </c>
      <c r="B26" s="2">
        <v>3333.3333333333335</v>
      </c>
      <c r="C26" s="2">
        <v>3333.3333333333335</v>
      </c>
      <c r="D26" s="2">
        <v>3333.3333333333335</v>
      </c>
      <c r="E26" s="2">
        <v>3333.3333333333335</v>
      </c>
      <c r="F26" s="2">
        <v>3333.3333333333335</v>
      </c>
      <c r="G26" s="2">
        <v>3333.3333333333335</v>
      </c>
      <c r="H26" s="2">
        <v>3333.3333333333335</v>
      </c>
      <c r="I26" s="2">
        <v>3333.3333333333335</v>
      </c>
      <c r="J26" s="2">
        <v>3333.3333333333335</v>
      </c>
      <c r="K26" s="2">
        <v>3333.3333333333335</v>
      </c>
      <c r="L26" s="2">
        <v>3333.3333333333335</v>
      </c>
      <c r="M26" s="2">
        <v>3333.3333333333335</v>
      </c>
      <c r="N26" s="2">
        <f t="shared" si="0"/>
        <v>40000</v>
      </c>
    </row>
    <row r="27" spans="1:14" x14ac:dyDescent="0.2">
      <c r="A27" s="7" t="s">
        <v>4</v>
      </c>
      <c r="B27" s="2">
        <v>7903.820757915556</v>
      </c>
      <c r="C27" s="2">
        <v>14240.736618394563</v>
      </c>
      <c r="D27" s="2">
        <v>19585.014649814068</v>
      </c>
      <c r="E27" s="2">
        <v>225153.88492180131</v>
      </c>
      <c r="F27" s="2">
        <v>189929.21481318865</v>
      </c>
      <c r="G27" s="2">
        <v>193480.29767131366</v>
      </c>
      <c r="H27" s="2">
        <v>197031.38052943867</v>
      </c>
      <c r="I27" s="2">
        <v>200582.46338756365</v>
      </c>
      <c r="J27" s="2">
        <v>344436.80957017222</v>
      </c>
      <c r="K27" s="2">
        <v>344436.80957017222</v>
      </c>
      <c r="L27" s="2">
        <v>344436.80957017222</v>
      </c>
      <c r="M27" s="2">
        <v>344436.80957017222</v>
      </c>
      <c r="N27" s="88">
        <f t="shared" si="0"/>
        <v>2425654.0516301193</v>
      </c>
    </row>
    <row r="28" spans="1:14" x14ac:dyDescent="0.2">
      <c r="A28" s="49" t="s">
        <v>6</v>
      </c>
      <c r="B28" s="2">
        <v>2348.2652023600003</v>
      </c>
      <c r="C28" s="2">
        <v>8685.1810628390085</v>
      </c>
      <c r="D28" s="2">
        <v>14029.459094258513</v>
      </c>
      <c r="E28" s="2">
        <v>219598.32936624574</v>
      </c>
      <c r="F28" s="2">
        <v>184373.65925763309</v>
      </c>
      <c r="G28" s="2">
        <v>187924.7421157581</v>
      </c>
      <c r="H28" s="2">
        <v>191475.82497388311</v>
      </c>
      <c r="I28" s="2">
        <v>195026.90783200809</v>
      </c>
      <c r="J28" s="2">
        <v>338881.25401461666</v>
      </c>
      <c r="K28" s="2">
        <v>338881.25401461666</v>
      </c>
      <c r="L28" s="2">
        <v>338881.25401461666</v>
      </c>
      <c r="M28" s="2">
        <v>338881.25401461666</v>
      </c>
      <c r="N28" s="2">
        <f t="shared" si="0"/>
        <v>2358987.3849634524</v>
      </c>
    </row>
    <row r="29" spans="1:14" x14ac:dyDescent="0.2">
      <c r="A29" s="49" t="s">
        <v>58</v>
      </c>
      <c r="B29" s="2">
        <v>555.55555555555554</v>
      </c>
      <c r="C29" s="2">
        <v>555.55555555555554</v>
      </c>
      <c r="D29" s="2">
        <v>555.55555555555554</v>
      </c>
      <c r="E29" s="2">
        <v>555.55555555555554</v>
      </c>
      <c r="F29" s="2">
        <v>555.55555555555554</v>
      </c>
      <c r="G29" s="2">
        <v>555.55555555555554</v>
      </c>
      <c r="H29" s="2">
        <v>555.55555555555554</v>
      </c>
      <c r="I29" s="2">
        <v>555.55555555555554</v>
      </c>
      <c r="J29" s="2">
        <v>555.55555555555554</v>
      </c>
      <c r="K29" s="2">
        <v>555.55555555555554</v>
      </c>
      <c r="L29" s="2">
        <v>555.55555555555554</v>
      </c>
      <c r="M29" s="2">
        <v>555.55555555555554</v>
      </c>
      <c r="N29" s="2">
        <f t="shared" si="0"/>
        <v>6666.666666666667</v>
      </c>
    </row>
    <row r="30" spans="1:14" x14ac:dyDescent="0.2">
      <c r="A30" s="49" t="s">
        <v>56</v>
      </c>
      <c r="B30" s="2">
        <v>5000</v>
      </c>
      <c r="C30" s="2">
        <v>5000</v>
      </c>
      <c r="D30" s="2">
        <v>5000</v>
      </c>
      <c r="E30" s="2">
        <v>5000</v>
      </c>
      <c r="F30" s="2">
        <v>5000</v>
      </c>
      <c r="G30" s="2">
        <v>5000</v>
      </c>
      <c r="H30" s="2">
        <v>5000</v>
      </c>
      <c r="I30" s="2">
        <v>5000</v>
      </c>
      <c r="J30" s="2">
        <v>5000</v>
      </c>
      <c r="K30" s="2">
        <v>5000</v>
      </c>
      <c r="L30" s="2">
        <v>5000</v>
      </c>
      <c r="M30" s="2">
        <v>5000</v>
      </c>
      <c r="N30" s="2">
        <f t="shared" si="0"/>
        <v>60000</v>
      </c>
    </row>
    <row r="31" spans="1:14" x14ac:dyDescent="0.2">
      <c r="A31" s="7" t="s">
        <v>179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88">
        <f t="shared" si="0"/>
        <v>0</v>
      </c>
    </row>
    <row r="32" spans="1:14" x14ac:dyDescent="0.2">
      <c r="A32" s="49" t="s">
        <v>179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f t="shared" si="0"/>
        <v>0</v>
      </c>
    </row>
    <row r="33" spans="1:14" x14ac:dyDescent="0.2">
      <c r="A33" s="7" t="s">
        <v>2</v>
      </c>
      <c r="B33" s="2">
        <v>3888.8888888888891</v>
      </c>
      <c r="C33" s="2">
        <v>3888.8888888888891</v>
      </c>
      <c r="D33" s="2">
        <v>3888.8888888888891</v>
      </c>
      <c r="E33" s="2">
        <v>3888.8888888888891</v>
      </c>
      <c r="F33" s="2">
        <v>3888.8888888888891</v>
      </c>
      <c r="G33" s="2">
        <v>3888.8888888888891</v>
      </c>
      <c r="H33" s="2">
        <v>3888.8888888888891</v>
      </c>
      <c r="I33" s="2">
        <v>3888.8888888888891</v>
      </c>
      <c r="J33" s="2">
        <v>3888.8888888888891</v>
      </c>
      <c r="K33" s="2">
        <v>3888.8888888888891</v>
      </c>
      <c r="L33" s="2">
        <v>3888.8888888888891</v>
      </c>
      <c r="M33" s="2">
        <v>3888.8888888888891</v>
      </c>
      <c r="N33" s="88">
        <f t="shared" si="0"/>
        <v>46666.666666666679</v>
      </c>
    </row>
    <row r="34" spans="1:14" x14ac:dyDescent="0.2">
      <c r="A34" s="49" t="s">
        <v>58</v>
      </c>
      <c r="B34" s="2">
        <v>555.55555555555554</v>
      </c>
      <c r="C34" s="2">
        <v>555.55555555555554</v>
      </c>
      <c r="D34" s="2">
        <v>555.55555555555554</v>
      </c>
      <c r="E34" s="2">
        <v>555.55555555555554</v>
      </c>
      <c r="F34" s="2">
        <v>555.55555555555554</v>
      </c>
      <c r="G34" s="2">
        <v>555.55555555555554</v>
      </c>
      <c r="H34" s="2">
        <v>555.55555555555554</v>
      </c>
      <c r="I34" s="2">
        <v>555.55555555555554</v>
      </c>
      <c r="J34" s="2">
        <v>555.55555555555554</v>
      </c>
      <c r="K34" s="2">
        <v>555.55555555555554</v>
      </c>
      <c r="L34" s="2">
        <v>555.55555555555554</v>
      </c>
      <c r="M34" s="2">
        <v>555.55555555555554</v>
      </c>
      <c r="N34" s="2">
        <f t="shared" si="0"/>
        <v>6666.666666666667</v>
      </c>
    </row>
    <row r="35" spans="1:14" x14ac:dyDescent="0.2">
      <c r="A35" s="49" t="s">
        <v>56</v>
      </c>
      <c r="B35" s="2">
        <v>3333.3333333333335</v>
      </c>
      <c r="C35" s="2">
        <v>3333.3333333333335</v>
      </c>
      <c r="D35" s="2">
        <v>3333.3333333333335</v>
      </c>
      <c r="E35" s="2">
        <v>3333.3333333333335</v>
      </c>
      <c r="F35" s="2">
        <v>3333.3333333333335</v>
      </c>
      <c r="G35" s="2">
        <v>3333.3333333333335</v>
      </c>
      <c r="H35" s="2">
        <v>3333.3333333333335</v>
      </c>
      <c r="I35" s="2">
        <v>3333.3333333333335</v>
      </c>
      <c r="J35" s="2">
        <v>3333.3333333333335</v>
      </c>
      <c r="K35" s="2">
        <v>3333.3333333333335</v>
      </c>
      <c r="L35" s="2">
        <v>3333.3333333333335</v>
      </c>
      <c r="M35" s="2">
        <v>3333.3333333333335</v>
      </c>
      <c r="N35" s="2">
        <f t="shared" si="0"/>
        <v>40000</v>
      </c>
    </row>
    <row r="36" spans="1:14" x14ac:dyDescent="0.2">
      <c r="A36" s="7" t="s">
        <v>3</v>
      </c>
      <c r="B36" s="2">
        <v>3888.8888888888891</v>
      </c>
      <c r="C36" s="2">
        <v>3888.8888888888891</v>
      </c>
      <c r="D36" s="2">
        <v>3888.8888888888891</v>
      </c>
      <c r="E36" s="2">
        <v>3888.8888888888891</v>
      </c>
      <c r="F36" s="2">
        <v>3888.8888888888891</v>
      </c>
      <c r="G36" s="2">
        <v>3888.8888888888891</v>
      </c>
      <c r="H36" s="2">
        <v>3888.8888888888891</v>
      </c>
      <c r="I36" s="2">
        <v>3888.8888888888891</v>
      </c>
      <c r="J36" s="2">
        <v>3888.8888888888891</v>
      </c>
      <c r="K36" s="2">
        <v>3888.8888888888891</v>
      </c>
      <c r="L36" s="2">
        <v>3888.8888888888891</v>
      </c>
      <c r="M36" s="2">
        <v>3888.8888888888891</v>
      </c>
      <c r="N36" s="88">
        <f t="shared" si="0"/>
        <v>46666.666666666679</v>
      </c>
    </row>
    <row r="37" spans="1:14" x14ac:dyDescent="0.2">
      <c r="A37" s="49" t="s">
        <v>58</v>
      </c>
      <c r="B37" s="2">
        <v>555.55555555555554</v>
      </c>
      <c r="C37" s="2">
        <v>555.55555555555554</v>
      </c>
      <c r="D37" s="2">
        <v>555.55555555555554</v>
      </c>
      <c r="E37" s="2">
        <v>555.55555555555554</v>
      </c>
      <c r="F37" s="2">
        <v>555.55555555555554</v>
      </c>
      <c r="G37" s="2">
        <v>555.55555555555554</v>
      </c>
      <c r="H37" s="2">
        <v>555.55555555555554</v>
      </c>
      <c r="I37" s="2">
        <v>555.55555555555554</v>
      </c>
      <c r="J37" s="2">
        <v>555.55555555555554</v>
      </c>
      <c r="K37" s="2">
        <v>555.55555555555554</v>
      </c>
      <c r="L37" s="2">
        <v>555.55555555555554</v>
      </c>
      <c r="M37" s="2">
        <v>555.55555555555554</v>
      </c>
      <c r="N37" s="2">
        <f t="shared" si="0"/>
        <v>6666.666666666667</v>
      </c>
    </row>
    <row r="38" spans="1:14" x14ac:dyDescent="0.2">
      <c r="A38" s="49" t="s">
        <v>56</v>
      </c>
      <c r="B38" s="2">
        <v>3333.3333333333335</v>
      </c>
      <c r="C38" s="2">
        <v>3333.3333333333335</v>
      </c>
      <c r="D38" s="2">
        <v>3333.3333333333335</v>
      </c>
      <c r="E38" s="2">
        <v>3333.3333333333335</v>
      </c>
      <c r="F38" s="2">
        <v>3333.3333333333335</v>
      </c>
      <c r="G38" s="2">
        <v>3333.3333333333335</v>
      </c>
      <c r="H38" s="2">
        <v>3333.3333333333335</v>
      </c>
      <c r="I38" s="2">
        <v>3333.3333333333335</v>
      </c>
      <c r="J38" s="2">
        <v>3333.3333333333335</v>
      </c>
      <c r="K38" s="2">
        <v>3333.3333333333335</v>
      </c>
      <c r="L38" s="2">
        <v>3333.3333333333335</v>
      </c>
      <c r="M38" s="2">
        <v>3333.3333333333335</v>
      </c>
      <c r="N38" s="2">
        <f t="shared" si="0"/>
        <v>40000</v>
      </c>
    </row>
    <row r="39" spans="1:14" x14ac:dyDescent="0.2">
      <c r="A39" s="7" t="s">
        <v>5</v>
      </c>
      <c r="B39" s="2">
        <v>555.55555555555554</v>
      </c>
      <c r="C39" s="2">
        <v>555.55555555555554</v>
      </c>
      <c r="D39" s="2">
        <v>555.55555555555554</v>
      </c>
      <c r="E39" s="2">
        <v>555.55555555555554</v>
      </c>
      <c r="F39" s="2">
        <v>555.55555555555554</v>
      </c>
      <c r="G39" s="2">
        <v>555.55555555555554</v>
      </c>
      <c r="H39" s="2">
        <v>555.55555555555554</v>
      </c>
      <c r="I39" s="2">
        <v>555.55555555555554</v>
      </c>
      <c r="J39" s="2">
        <v>555.55555555555554</v>
      </c>
      <c r="K39" s="2">
        <v>555.55555555555554</v>
      </c>
      <c r="L39" s="2">
        <v>555.55555555555554</v>
      </c>
      <c r="M39" s="2">
        <v>555.55555555555554</v>
      </c>
      <c r="N39" s="88">
        <f t="shared" si="0"/>
        <v>6666.666666666667</v>
      </c>
    </row>
    <row r="40" spans="1:14" x14ac:dyDescent="0.2">
      <c r="A40" s="49" t="s">
        <v>58</v>
      </c>
      <c r="B40" s="2">
        <v>555.55555555555554</v>
      </c>
      <c r="C40" s="2">
        <v>555.55555555555554</v>
      </c>
      <c r="D40" s="2">
        <v>555.55555555555554</v>
      </c>
      <c r="E40" s="2">
        <v>555.55555555555554</v>
      </c>
      <c r="F40" s="2">
        <v>555.55555555555554</v>
      </c>
      <c r="G40" s="2">
        <v>555.55555555555554</v>
      </c>
      <c r="H40" s="2">
        <v>555.55555555555554</v>
      </c>
      <c r="I40" s="2">
        <v>555.55555555555554</v>
      </c>
      <c r="J40" s="2">
        <v>555.55555555555554</v>
      </c>
      <c r="K40" s="2">
        <v>555.55555555555554</v>
      </c>
      <c r="L40" s="2">
        <v>555.55555555555554</v>
      </c>
      <c r="M40" s="2">
        <v>555.55555555555554</v>
      </c>
      <c r="N40" s="2">
        <f t="shared" si="0"/>
        <v>6666.666666666667</v>
      </c>
    </row>
    <row r="41" spans="1:14" x14ac:dyDescent="0.2">
      <c r="A41" s="49" t="s">
        <v>56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f t="shared" si="0"/>
        <v>0</v>
      </c>
    </row>
    <row r="42" spans="1:14" x14ac:dyDescent="0.2">
      <c r="A42" s="7" t="s">
        <v>61</v>
      </c>
      <c r="B42" s="2">
        <v>555617.52026386082</v>
      </c>
      <c r="C42" s="2">
        <v>783367.01540426677</v>
      </c>
      <c r="D42" s="2">
        <v>761877.34644834243</v>
      </c>
      <c r="E42" s="2">
        <v>1188371.4845115759</v>
      </c>
      <c r="F42" s="2">
        <v>1276565.8588059808</v>
      </c>
      <c r="G42" s="2">
        <v>1218371.7639422836</v>
      </c>
      <c r="H42" s="2">
        <v>1265411.1647706989</v>
      </c>
      <c r="I42" s="2">
        <v>1353450.5655991142</v>
      </c>
      <c r="J42" s="2">
        <v>1549679.6767043311</v>
      </c>
      <c r="K42" s="2">
        <v>1584779.6767043311</v>
      </c>
      <c r="L42" s="2">
        <v>1574779.6767043311</v>
      </c>
      <c r="M42" s="2">
        <v>1631529.6767043311</v>
      </c>
      <c r="N42" s="87">
        <f t="shared" si="0"/>
        <v>14743801.426563445</v>
      </c>
    </row>
    <row r="43" spans="1:14" x14ac:dyDescent="0.2">
      <c r="A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x14ac:dyDescent="0.2">
      <c r="A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 x14ac:dyDescent="0.2">
      <c r="A45" s="19" t="s">
        <v>60</v>
      </c>
      <c r="B45" t="s">
        <v>141</v>
      </c>
      <c r="C45" t="s">
        <v>142</v>
      </c>
      <c r="D45" t="s">
        <v>143</v>
      </c>
      <c r="E45" t="s">
        <v>144</v>
      </c>
      <c r="F45" t="s">
        <v>145</v>
      </c>
      <c r="G45" t="s">
        <v>146</v>
      </c>
      <c r="H45" t="s">
        <v>147</v>
      </c>
      <c r="I45" t="s">
        <v>148</v>
      </c>
      <c r="J45" t="s">
        <v>149</v>
      </c>
      <c r="K45" t="s">
        <v>150</v>
      </c>
      <c r="L45" t="s">
        <v>151</v>
      </c>
      <c r="M45" t="s">
        <v>152</v>
      </c>
      <c r="N45" s="83" t="s">
        <v>28</v>
      </c>
    </row>
    <row r="46" spans="1:14" x14ac:dyDescent="0.2">
      <c r="A46" s="7" t="s">
        <v>2</v>
      </c>
      <c r="B46" s="13">
        <v>20979.090199999999</v>
      </c>
      <c r="C46" s="13">
        <v>90416.590200000006</v>
      </c>
      <c r="D46" s="13">
        <v>90416.590200000006</v>
      </c>
      <c r="E46" s="13">
        <v>112966.59020000001</v>
      </c>
      <c r="F46" s="13">
        <v>116541.59020000001</v>
      </c>
      <c r="G46" s="13">
        <v>116541.59020000001</v>
      </c>
      <c r="H46" s="13">
        <v>116541.59020000001</v>
      </c>
      <c r="I46" s="13">
        <v>116541.59020000001</v>
      </c>
      <c r="J46" s="13">
        <v>116541.59020000001</v>
      </c>
      <c r="K46" s="13">
        <v>127816.59020000001</v>
      </c>
      <c r="L46" s="13">
        <v>127816.59020000001</v>
      </c>
      <c r="M46" s="13">
        <v>127816.59020000001</v>
      </c>
      <c r="N46" s="79">
        <f t="shared" ref="N46:N81" si="1">SUM(B46:M46)</f>
        <v>1280936.5824</v>
      </c>
    </row>
    <row r="47" spans="1:14" x14ac:dyDescent="0.2">
      <c r="A47" s="49" t="s">
        <v>69</v>
      </c>
      <c r="B47" s="13">
        <v>7506</v>
      </c>
      <c r="C47" s="13">
        <v>7506</v>
      </c>
      <c r="D47" s="13">
        <v>7506</v>
      </c>
      <c r="E47" s="13">
        <v>7506</v>
      </c>
      <c r="F47" s="13">
        <v>7506</v>
      </c>
      <c r="G47" s="13">
        <v>7506</v>
      </c>
      <c r="H47" s="13">
        <v>7506</v>
      </c>
      <c r="I47" s="13">
        <v>7506</v>
      </c>
      <c r="J47" s="13">
        <v>7506</v>
      </c>
      <c r="K47" s="13">
        <v>7506</v>
      </c>
      <c r="L47" s="13">
        <v>7506</v>
      </c>
      <c r="M47" s="13">
        <v>7506</v>
      </c>
      <c r="N47" s="82">
        <f t="shared" si="1"/>
        <v>90072</v>
      </c>
    </row>
    <row r="48" spans="1:14" x14ac:dyDescent="0.2">
      <c r="A48" s="49" t="s">
        <v>76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82">
        <f t="shared" si="1"/>
        <v>0</v>
      </c>
    </row>
    <row r="49" spans="1:15" x14ac:dyDescent="0.2">
      <c r="A49" s="49" t="s">
        <v>198</v>
      </c>
      <c r="B49" s="13">
        <v>13473.090200000001</v>
      </c>
      <c r="C49" s="13">
        <v>82910.590200000006</v>
      </c>
      <c r="D49" s="13">
        <v>82910.590200000006</v>
      </c>
      <c r="E49" s="13">
        <v>105460.59020000001</v>
      </c>
      <c r="F49" s="13">
        <v>109035.59020000001</v>
      </c>
      <c r="G49" s="13">
        <v>109035.59020000001</v>
      </c>
      <c r="H49" s="13">
        <v>109035.59020000001</v>
      </c>
      <c r="I49" s="13">
        <v>109035.59020000001</v>
      </c>
      <c r="J49" s="13">
        <v>109035.59020000001</v>
      </c>
      <c r="K49" s="13">
        <v>120310.59020000001</v>
      </c>
      <c r="L49" s="13">
        <v>120310.59020000001</v>
      </c>
      <c r="M49" s="13">
        <v>120310.59020000001</v>
      </c>
      <c r="N49" s="82">
        <f t="shared" si="1"/>
        <v>1190864.5824</v>
      </c>
    </row>
    <row r="50" spans="1:15" x14ac:dyDescent="0.2">
      <c r="A50" s="7" t="s">
        <v>3</v>
      </c>
      <c r="B50" s="13">
        <v>17973.090199999999</v>
      </c>
      <c r="C50" s="13">
        <v>87410.590200000006</v>
      </c>
      <c r="D50" s="13">
        <v>87410.590200000006</v>
      </c>
      <c r="E50" s="13">
        <v>109960.59020000001</v>
      </c>
      <c r="F50" s="13">
        <v>113535.59020000001</v>
      </c>
      <c r="G50" s="13">
        <v>113535.59020000001</v>
      </c>
      <c r="H50" s="13">
        <v>113535.59020000001</v>
      </c>
      <c r="I50" s="13">
        <v>113535.59020000001</v>
      </c>
      <c r="J50" s="13">
        <v>113535.59020000001</v>
      </c>
      <c r="K50" s="13">
        <v>124810.59020000001</v>
      </c>
      <c r="L50" s="13">
        <v>124810.59020000001</v>
      </c>
      <c r="M50" s="13">
        <v>124810.59020000001</v>
      </c>
      <c r="N50" s="79">
        <f t="shared" si="1"/>
        <v>1244864.5824</v>
      </c>
    </row>
    <row r="51" spans="1:15" x14ac:dyDescent="0.2">
      <c r="A51" s="49" t="s">
        <v>69</v>
      </c>
      <c r="B51" s="13">
        <v>4500</v>
      </c>
      <c r="C51" s="13">
        <v>4500</v>
      </c>
      <c r="D51" s="13">
        <v>4500</v>
      </c>
      <c r="E51" s="13">
        <v>4500</v>
      </c>
      <c r="F51" s="13">
        <v>4500</v>
      </c>
      <c r="G51" s="13">
        <v>4500</v>
      </c>
      <c r="H51" s="13">
        <v>4500</v>
      </c>
      <c r="I51" s="13">
        <v>4500</v>
      </c>
      <c r="J51" s="13">
        <v>4500</v>
      </c>
      <c r="K51" s="13">
        <v>4500</v>
      </c>
      <c r="L51" s="13">
        <v>4500</v>
      </c>
      <c r="M51" s="13">
        <v>4500</v>
      </c>
      <c r="N51" s="82">
        <f t="shared" si="1"/>
        <v>54000</v>
      </c>
    </row>
    <row r="52" spans="1:15" x14ac:dyDescent="0.2">
      <c r="A52" s="49" t="s">
        <v>76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82">
        <f t="shared" si="1"/>
        <v>0</v>
      </c>
    </row>
    <row r="53" spans="1:15" x14ac:dyDescent="0.2">
      <c r="A53" s="49" t="s">
        <v>198</v>
      </c>
      <c r="B53" s="13">
        <v>13473.090200000001</v>
      </c>
      <c r="C53" s="13">
        <v>82910.590200000006</v>
      </c>
      <c r="D53" s="13">
        <v>82910.590200000006</v>
      </c>
      <c r="E53" s="13">
        <v>105460.59020000001</v>
      </c>
      <c r="F53" s="13">
        <v>109035.59020000001</v>
      </c>
      <c r="G53" s="13">
        <v>109035.59020000001</v>
      </c>
      <c r="H53" s="13">
        <v>109035.59020000001</v>
      </c>
      <c r="I53" s="13">
        <v>109035.59020000001</v>
      </c>
      <c r="J53" s="13">
        <v>109035.59020000001</v>
      </c>
      <c r="K53" s="13">
        <v>120310.59020000001</v>
      </c>
      <c r="L53" s="13">
        <v>120310.59020000001</v>
      </c>
      <c r="M53" s="13">
        <v>120310.59020000001</v>
      </c>
      <c r="N53" s="82">
        <f t="shared" si="1"/>
        <v>1190864.5824</v>
      </c>
    </row>
    <row r="54" spans="1:15" x14ac:dyDescent="0.2">
      <c r="A54" s="7" t="s">
        <v>4</v>
      </c>
      <c r="B54" s="13">
        <v>175678.90640000001</v>
      </c>
      <c r="C54" s="13">
        <v>178428.90640000001</v>
      </c>
      <c r="D54" s="13">
        <v>173715.61134999999</v>
      </c>
      <c r="E54" s="13">
        <v>253465.61134999999</v>
      </c>
      <c r="F54" s="13">
        <v>243428.90640000001</v>
      </c>
      <c r="G54" s="13">
        <v>213178.90640000001</v>
      </c>
      <c r="H54" s="13">
        <v>136178.90640000001</v>
      </c>
      <c r="I54" s="13">
        <v>174678.90640000001</v>
      </c>
      <c r="J54" s="13">
        <v>218678.90640000001</v>
      </c>
      <c r="K54" s="13">
        <v>218678.90640000001</v>
      </c>
      <c r="L54" s="13">
        <v>218678.90640000001</v>
      </c>
      <c r="M54" s="13">
        <v>265428.90639999998</v>
      </c>
      <c r="N54" s="79">
        <f t="shared" si="1"/>
        <v>2470220.2867000001</v>
      </c>
      <c r="O54" s="2"/>
    </row>
    <row r="55" spans="1:15" x14ac:dyDescent="0.2">
      <c r="A55" s="49" t="s">
        <v>69</v>
      </c>
      <c r="B55" s="13">
        <v>75000</v>
      </c>
      <c r="C55" s="13">
        <v>75000</v>
      </c>
      <c r="D55" s="13">
        <v>75000</v>
      </c>
      <c r="E55" s="13">
        <v>75000</v>
      </c>
      <c r="F55" s="13">
        <v>30000</v>
      </c>
      <c r="G55" s="13">
        <v>30000</v>
      </c>
      <c r="H55" s="13">
        <v>30000</v>
      </c>
      <c r="I55" s="13">
        <v>30000</v>
      </c>
      <c r="J55" s="13">
        <v>30000</v>
      </c>
      <c r="K55" s="13">
        <v>30000</v>
      </c>
      <c r="L55" s="13">
        <v>30000</v>
      </c>
      <c r="M55" s="13">
        <v>30000</v>
      </c>
      <c r="N55" s="82">
        <f t="shared" si="1"/>
        <v>540000</v>
      </c>
    </row>
    <row r="56" spans="1:15" x14ac:dyDescent="0.2">
      <c r="A56" s="49" t="s">
        <v>76</v>
      </c>
      <c r="B56" s="13">
        <v>100678.90640000001</v>
      </c>
      <c r="C56" s="13">
        <v>100678.90640000001</v>
      </c>
      <c r="D56" s="13">
        <v>95965.611349999992</v>
      </c>
      <c r="E56" s="13">
        <v>172965.61134999999</v>
      </c>
      <c r="F56" s="13">
        <v>207928.90640000001</v>
      </c>
      <c r="G56" s="13">
        <v>177678.90640000001</v>
      </c>
      <c r="H56" s="13">
        <v>100678.90640000001</v>
      </c>
      <c r="I56" s="13">
        <v>139178.90640000001</v>
      </c>
      <c r="J56" s="13">
        <v>183178.90640000001</v>
      </c>
      <c r="K56" s="13">
        <v>183178.90640000001</v>
      </c>
      <c r="L56" s="13">
        <v>183178.90640000001</v>
      </c>
      <c r="M56" s="13">
        <v>229928.90640000001</v>
      </c>
      <c r="N56" s="82">
        <f t="shared" si="1"/>
        <v>1875220.2866999998</v>
      </c>
    </row>
    <row r="57" spans="1:15" x14ac:dyDescent="0.2">
      <c r="A57" s="49" t="s">
        <v>198</v>
      </c>
      <c r="B57" s="13">
        <v>0</v>
      </c>
      <c r="C57" s="13">
        <v>2750</v>
      </c>
      <c r="D57" s="13">
        <v>2750</v>
      </c>
      <c r="E57" s="13">
        <v>5500</v>
      </c>
      <c r="F57" s="13">
        <v>5500</v>
      </c>
      <c r="G57" s="13">
        <v>5500</v>
      </c>
      <c r="H57" s="13">
        <v>5500</v>
      </c>
      <c r="I57" s="13">
        <v>5500</v>
      </c>
      <c r="J57" s="13">
        <v>5500</v>
      </c>
      <c r="K57" s="13">
        <v>5500</v>
      </c>
      <c r="L57" s="13">
        <v>5500</v>
      </c>
      <c r="M57" s="13">
        <v>5500</v>
      </c>
      <c r="N57" s="82">
        <f t="shared" si="1"/>
        <v>55000</v>
      </c>
    </row>
    <row r="58" spans="1:15" x14ac:dyDescent="0.2">
      <c r="A58" s="7" t="s">
        <v>5</v>
      </c>
      <c r="B58" s="13">
        <v>11250</v>
      </c>
      <c r="C58" s="13">
        <v>41500</v>
      </c>
      <c r="D58" s="13">
        <v>46213.295050000001</v>
      </c>
      <c r="E58" s="13">
        <v>76213.295050000001</v>
      </c>
      <c r="F58" s="13">
        <v>60250</v>
      </c>
      <c r="G58" s="13">
        <v>60250</v>
      </c>
      <c r="H58" s="13">
        <v>90500</v>
      </c>
      <c r="I58" s="13">
        <v>109750</v>
      </c>
      <c r="J58" s="13">
        <v>93500</v>
      </c>
      <c r="K58" s="13">
        <v>93500</v>
      </c>
      <c r="L58" s="13">
        <v>93500</v>
      </c>
      <c r="M58" s="13">
        <v>93500</v>
      </c>
      <c r="N58" s="79">
        <f t="shared" si="1"/>
        <v>869926.59010000003</v>
      </c>
    </row>
    <row r="59" spans="1:15" x14ac:dyDescent="0.2">
      <c r="A59" s="49" t="s">
        <v>69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82">
        <f t="shared" si="1"/>
        <v>0</v>
      </c>
    </row>
    <row r="60" spans="1:15" x14ac:dyDescent="0.2">
      <c r="A60" s="49" t="s">
        <v>76</v>
      </c>
      <c r="B60" s="13">
        <v>0</v>
      </c>
      <c r="C60" s="13">
        <v>30250</v>
      </c>
      <c r="D60" s="13">
        <v>34963.295050000001</v>
      </c>
      <c r="E60" s="13">
        <v>64963.295050000001</v>
      </c>
      <c r="F60" s="13">
        <v>60250</v>
      </c>
      <c r="G60" s="13">
        <v>60250</v>
      </c>
      <c r="H60" s="13">
        <v>90500</v>
      </c>
      <c r="I60" s="13">
        <v>109750</v>
      </c>
      <c r="J60" s="13">
        <v>93500</v>
      </c>
      <c r="K60" s="13">
        <v>93500</v>
      </c>
      <c r="L60" s="13">
        <v>93500</v>
      </c>
      <c r="M60" s="13">
        <v>93500</v>
      </c>
      <c r="N60" s="82">
        <f t="shared" si="1"/>
        <v>824926.59010000003</v>
      </c>
    </row>
    <row r="61" spans="1:15" x14ac:dyDescent="0.2">
      <c r="A61" s="49" t="s">
        <v>198</v>
      </c>
      <c r="B61" s="13">
        <v>11250</v>
      </c>
      <c r="C61" s="13">
        <v>11250</v>
      </c>
      <c r="D61" s="13">
        <v>11250</v>
      </c>
      <c r="E61" s="13">
        <v>11250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82">
        <f t="shared" si="1"/>
        <v>45000</v>
      </c>
    </row>
    <row r="62" spans="1:15" x14ac:dyDescent="0.2">
      <c r="A62" s="7" t="s">
        <v>9</v>
      </c>
      <c r="B62" s="13">
        <v>28000</v>
      </c>
      <c r="C62" s="13">
        <v>28000</v>
      </c>
      <c r="D62" s="13">
        <v>28000</v>
      </c>
      <c r="E62" s="13">
        <v>28000</v>
      </c>
      <c r="F62" s="13">
        <v>135250</v>
      </c>
      <c r="G62" s="13">
        <v>135250</v>
      </c>
      <c r="H62" s="13">
        <v>118750</v>
      </c>
      <c r="I62" s="13">
        <v>118750</v>
      </c>
      <c r="J62" s="13">
        <v>118750</v>
      </c>
      <c r="K62" s="13">
        <v>130025</v>
      </c>
      <c r="L62" s="13">
        <v>130025</v>
      </c>
      <c r="M62" s="13">
        <v>130025</v>
      </c>
      <c r="N62" s="79">
        <f t="shared" si="1"/>
        <v>1128825</v>
      </c>
      <c r="O62" s="2"/>
    </row>
    <row r="63" spans="1:15" x14ac:dyDescent="0.2">
      <c r="A63" s="49" t="s">
        <v>69</v>
      </c>
      <c r="B63" s="13">
        <v>1000</v>
      </c>
      <c r="C63" s="13">
        <v>1000</v>
      </c>
      <c r="D63" s="13">
        <v>1000</v>
      </c>
      <c r="E63" s="13">
        <v>1000</v>
      </c>
      <c r="F63" s="13">
        <v>1000</v>
      </c>
      <c r="G63" s="13">
        <v>1000</v>
      </c>
      <c r="H63" s="13">
        <v>1000</v>
      </c>
      <c r="I63" s="13">
        <v>1000</v>
      </c>
      <c r="J63" s="13">
        <v>1000</v>
      </c>
      <c r="K63" s="13">
        <v>1000</v>
      </c>
      <c r="L63" s="13">
        <v>1000</v>
      </c>
      <c r="M63" s="13">
        <v>1000</v>
      </c>
      <c r="N63" s="82">
        <f t="shared" si="1"/>
        <v>12000</v>
      </c>
    </row>
    <row r="64" spans="1:15" x14ac:dyDescent="0.2">
      <c r="A64" s="49" t="s">
        <v>76</v>
      </c>
      <c r="B64" s="13">
        <v>27000</v>
      </c>
      <c r="C64" s="13">
        <v>27000</v>
      </c>
      <c r="D64" s="13">
        <v>27000</v>
      </c>
      <c r="E64" s="13">
        <v>27000</v>
      </c>
      <c r="F64" s="13">
        <v>134250</v>
      </c>
      <c r="G64" s="13">
        <v>134250</v>
      </c>
      <c r="H64" s="13">
        <v>87500</v>
      </c>
      <c r="I64" s="13">
        <v>87500</v>
      </c>
      <c r="J64" s="13">
        <v>87500</v>
      </c>
      <c r="K64" s="13">
        <v>87500</v>
      </c>
      <c r="L64" s="13">
        <v>87500</v>
      </c>
      <c r="M64" s="13">
        <v>87500</v>
      </c>
      <c r="N64" s="82">
        <f t="shared" si="1"/>
        <v>901500</v>
      </c>
    </row>
    <row r="65" spans="1:14" x14ac:dyDescent="0.2">
      <c r="A65" s="49" t="s">
        <v>198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30250</v>
      </c>
      <c r="I65" s="13">
        <v>30250</v>
      </c>
      <c r="J65" s="13">
        <v>30250</v>
      </c>
      <c r="K65" s="13">
        <v>41525</v>
      </c>
      <c r="L65" s="13">
        <v>41525</v>
      </c>
      <c r="M65" s="13">
        <v>41525</v>
      </c>
      <c r="N65" s="82">
        <f t="shared" si="1"/>
        <v>215325</v>
      </c>
    </row>
    <row r="66" spans="1:14" x14ac:dyDescent="0.2">
      <c r="A66" s="7" t="s">
        <v>10</v>
      </c>
      <c r="B66" s="13">
        <v>0</v>
      </c>
      <c r="C66" s="13">
        <v>15000</v>
      </c>
      <c r="D66" s="13">
        <v>30000</v>
      </c>
      <c r="E66" s="13">
        <v>30000</v>
      </c>
      <c r="F66" s="13">
        <v>30000</v>
      </c>
      <c r="G66" s="13">
        <v>30000</v>
      </c>
      <c r="H66" s="13">
        <v>120000</v>
      </c>
      <c r="I66" s="13">
        <v>120000</v>
      </c>
      <c r="J66" s="13">
        <v>120000</v>
      </c>
      <c r="K66" s="13">
        <v>131275</v>
      </c>
      <c r="L66" s="13">
        <v>131275</v>
      </c>
      <c r="M66" s="13">
        <v>131275</v>
      </c>
      <c r="N66" s="79">
        <f t="shared" si="1"/>
        <v>888825</v>
      </c>
    </row>
    <row r="67" spans="1:14" x14ac:dyDescent="0.2">
      <c r="A67" s="49" t="s">
        <v>69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82">
        <f t="shared" si="1"/>
        <v>0</v>
      </c>
    </row>
    <row r="68" spans="1:14" x14ac:dyDescent="0.2">
      <c r="A68" s="49" t="s">
        <v>76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82">
        <f t="shared" si="1"/>
        <v>0</v>
      </c>
    </row>
    <row r="69" spans="1:14" x14ac:dyDescent="0.2">
      <c r="A69" s="49" t="s">
        <v>198</v>
      </c>
      <c r="B69" s="13">
        <v>0</v>
      </c>
      <c r="C69" s="13">
        <v>15000</v>
      </c>
      <c r="D69" s="13">
        <v>30000</v>
      </c>
      <c r="E69" s="13">
        <v>30000</v>
      </c>
      <c r="F69" s="13">
        <v>30000</v>
      </c>
      <c r="G69" s="13">
        <v>30000</v>
      </c>
      <c r="H69" s="13">
        <v>120000</v>
      </c>
      <c r="I69" s="13">
        <v>120000</v>
      </c>
      <c r="J69" s="13">
        <v>120000</v>
      </c>
      <c r="K69" s="13">
        <v>131275</v>
      </c>
      <c r="L69" s="13">
        <v>131275</v>
      </c>
      <c r="M69" s="13">
        <v>131275</v>
      </c>
      <c r="N69" s="82">
        <f t="shared" si="1"/>
        <v>888825</v>
      </c>
    </row>
    <row r="70" spans="1:14" x14ac:dyDescent="0.2">
      <c r="A70" s="7" t="s">
        <v>177</v>
      </c>
      <c r="B70" s="13">
        <v>157618.75</v>
      </c>
      <c r="C70" s="13">
        <v>157618.75</v>
      </c>
      <c r="D70" s="13">
        <v>168718.75</v>
      </c>
      <c r="E70" s="13">
        <v>168718.75</v>
      </c>
      <c r="F70" s="13">
        <v>174718.75</v>
      </c>
      <c r="G70" s="13">
        <v>174718.75</v>
      </c>
      <c r="H70" s="13">
        <v>174718.75</v>
      </c>
      <c r="I70" s="13">
        <v>174718.75</v>
      </c>
      <c r="J70" s="13">
        <v>174718.75</v>
      </c>
      <c r="K70" s="13">
        <v>174718.75</v>
      </c>
      <c r="L70" s="13">
        <v>174718.75</v>
      </c>
      <c r="M70" s="13">
        <v>174718.75</v>
      </c>
      <c r="N70" s="79">
        <f t="shared" si="1"/>
        <v>2050425</v>
      </c>
    </row>
    <row r="71" spans="1:14" x14ac:dyDescent="0.2">
      <c r="A71" s="49" t="s">
        <v>69</v>
      </c>
      <c r="B71" s="13">
        <v>22200</v>
      </c>
      <c r="C71" s="13">
        <v>22200</v>
      </c>
      <c r="D71" s="13">
        <v>22200</v>
      </c>
      <c r="E71" s="13">
        <v>22200</v>
      </c>
      <c r="F71" s="13">
        <v>22200</v>
      </c>
      <c r="G71" s="13">
        <v>22200</v>
      </c>
      <c r="H71" s="13">
        <v>22200</v>
      </c>
      <c r="I71" s="13">
        <v>22200</v>
      </c>
      <c r="J71" s="13">
        <v>22200</v>
      </c>
      <c r="K71" s="13">
        <v>22200</v>
      </c>
      <c r="L71" s="13">
        <v>22200</v>
      </c>
      <c r="M71" s="13">
        <v>22200</v>
      </c>
      <c r="N71" s="82">
        <f t="shared" si="1"/>
        <v>266400</v>
      </c>
    </row>
    <row r="72" spans="1:14" x14ac:dyDescent="0.2">
      <c r="A72" s="49" t="s">
        <v>76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82">
        <f t="shared" si="1"/>
        <v>0</v>
      </c>
    </row>
    <row r="73" spans="1:14" x14ac:dyDescent="0.2">
      <c r="A73" s="49" t="s">
        <v>198</v>
      </c>
      <c r="B73" s="13">
        <v>135418.75</v>
      </c>
      <c r="C73" s="13">
        <v>135418.75</v>
      </c>
      <c r="D73" s="13">
        <v>146518.75</v>
      </c>
      <c r="E73" s="13">
        <v>146518.75</v>
      </c>
      <c r="F73" s="13">
        <v>152518.75</v>
      </c>
      <c r="G73" s="13">
        <v>152518.75</v>
      </c>
      <c r="H73" s="13">
        <v>152518.75</v>
      </c>
      <c r="I73" s="13">
        <v>152518.75</v>
      </c>
      <c r="J73" s="13">
        <v>152518.75</v>
      </c>
      <c r="K73" s="13">
        <v>152518.75</v>
      </c>
      <c r="L73" s="13">
        <v>152518.75</v>
      </c>
      <c r="M73" s="13">
        <v>152518.75</v>
      </c>
      <c r="N73" s="82">
        <f t="shared" si="1"/>
        <v>1784025</v>
      </c>
    </row>
    <row r="74" spans="1:14" x14ac:dyDescent="0.2">
      <c r="A74" s="7" t="s">
        <v>61</v>
      </c>
      <c r="B74" s="13">
        <v>411499.83679999999</v>
      </c>
      <c r="C74" s="13">
        <v>598374.83680000005</v>
      </c>
      <c r="D74" s="13">
        <v>624474.83679999993</v>
      </c>
      <c r="E74" s="13">
        <v>779324.83679999993</v>
      </c>
      <c r="F74" s="13">
        <v>873724.83680000005</v>
      </c>
      <c r="G74" s="13">
        <v>843474.83680000005</v>
      </c>
      <c r="H74" s="13">
        <v>870224.83680000005</v>
      </c>
      <c r="I74" s="13">
        <v>927974.83680000005</v>
      </c>
      <c r="J74" s="13">
        <v>955724.83680000005</v>
      </c>
      <c r="K74" s="13">
        <v>1000824.8368</v>
      </c>
      <c r="L74" s="13">
        <v>1000824.8368</v>
      </c>
      <c r="M74" s="13">
        <v>1047574.8368</v>
      </c>
      <c r="N74" s="80">
        <f t="shared" si="1"/>
        <v>9934023.0415999983</v>
      </c>
    </row>
    <row r="75" spans="1:14" x14ac:dyDescent="0.2">
      <c r="B75"/>
      <c r="N75" s="82">
        <f t="shared" si="1"/>
        <v>0</v>
      </c>
    </row>
    <row r="76" spans="1:14" x14ac:dyDescent="0.2">
      <c r="B76"/>
      <c r="N76" s="79">
        <f t="shared" si="1"/>
        <v>0</v>
      </c>
    </row>
    <row r="77" spans="1:14" x14ac:dyDescent="0.2">
      <c r="B77"/>
      <c r="N77" s="82">
        <f t="shared" si="1"/>
        <v>0</v>
      </c>
    </row>
    <row r="78" spans="1:14" x14ac:dyDescent="0.2">
      <c r="B78"/>
      <c r="N78" s="82">
        <f t="shared" si="1"/>
        <v>0</v>
      </c>
    </row>
    <row r="79" spans="1:14" x14ac:dyDescent="0.2">
      <c r="B79"/>
      <c r="N79" s="82">
        <f t="shared" si="1"/>
        <v>0</v>
      </c>
    </row>
    <row r="80" spans="1:14" x14ac:dyDescent="0.2">
      <c r="B80"/>
      <c r="N80" s="82">
        <f t="shared" si="1"/>
        <v>0</v>
      </c>
    </row>
    <row r="81" spans="2:14" x14ac:dyDescent="0.2">
      <c r="B81"/>
      <c r="N81" s="80">
        <f t="shared" si="1"/>
        <v>0</v>
      </c>
    </row>
    <row r="82" spans="2:14" x14ac:dyDescent="0.2">
      <c r="B82"/>
      <c r="N82" s="13"/>
    </row>
    <row r="83" spans="2:14" x14ac:dyDescent="0.2">
      <c r="B83"/>
      <c r="N83" s="13"/>
    </row>
    <row r="84" spans="2:14" x14ac:dyDescent="0.2">
      <c r="B84"/>
      <c r="N84" s="13"/>
    </row>
    <row r="85" spans="2:14" x14ac:dyDescent="0.2">
      <c r="B85"/>
      <c r="N85" s="13"/>
    </row>
    <row r="86" spans="2:14" x14ac:dyDescent="0.2">
      <c r="B86"/>
      <c r="N86" s="13"/>
    </row>
    <row r="87" spans="2:14" x14ac:dyDescent="0.2">
      <c r="B87"/>
      <c r="N87" s="13"/>
    </row>
    <row r="88" spans="2:14" x14ac:dyDescent="0.2">
      <c r="B88"/>
      <c r="N88" s="13"/>
    </row>
    <row r="89" spans="2:14" x14ac:dyDescent="0.2">
      <c r="B89"/>
      <c r="N89" s="13"/>
    </row>
    <row r="90" spans="2:14" x14ac:dyDescent="0.2">
      <c r="B90"/>
      <c r="N90" s="13"/>
    </row>
    <row r="91" spans="2:14" x14ac:dyDescent="0.2">
      <c r="B91"/>
      <c r="N91" s="13"/>
    </row>
    <row r="92" spans="2:14" x14ac:dyDescent="0.2">
      <c r="B92"/>
      <c r="N92" s="13"/>
    </row>
    <row r="93" spans="2:14" x14ac:dyDescent="0.2">
      <c r="B93"/>
      <c r="N93" s="13"/>
    </row>
    <row r="94" spans="2:14" x14ac:dyDescent="0.2">
      <c r="B94"/>
      <c r="N94" s="13"/>
    </row>
    <row r="95" spans="2:14" x14ac:dyDescent="0.2">
      <c r="B95"/>
      <c r="N95" s="13"/>
    </row>
    <row r="96" spans="2:14" x14ac:dyDescent="0.2">
      <c r="B96"/>
      <c r="N96" s="13"/>
    </row>
    <row r="97" spans="2:14" x14ac:dyDescent="0.2">
      <c r="B97"/>
      <c r="N97" s="13"/>
    </row>
    <row r="98" spans="2:14" x14ac:dyDescent="0.2">
      <c r="B98"/>
      <c r="N98" s="13"/>
    </row>
    <row r="99" spans="2:14" x14ac:dyDescent="0.2">
      <c r="B99"/>
      <c r="N99" s="13"/>
    </row>
    <row r="100" spans="2:14" x14ac:dyDescent="0.2">
      <c r="B100"/>
      <c r="N100" s="13"/>
    </row>
    <row r="101" spans="2:14" x14ac:dyDescent="0.2">
      <c r="B101"/>
    </row>
    <row r="102" spans="2:14" x14ac:dyDescent="0.2">
      <c r="B102"/>
    </row>
    <row r="103" spans="2:14" x14ac:dyDescent="0.2">
      <c r="B103"/>
    </row>
    <row r="104" spans="2:14" x14ac:dyDescent="0.2">
      <c r="B104"/>
    </row>
    <row r="105" spans="2:14" x14ac:dyDescent="0.2">
      <c r="B105"/>
    </row>
    <row r="106" spans="2:14" x14ac:dyDescent="0.2">
      <c r="B106"/>
    </row>
    <row r="107" spans="2:14" x14ac:dyDescent="0.2">
      <c r="B107"/>
    </row>
    <row r="108" spans="2:14" x14ac:dyDescent="0.2">
      <c r="B108"/>
    </row>
    <row r="109" spans="2:14" x14ac:dyDescent="0.2">
      <c r="B109"/>
    </row>
    <row r="110" spans="2:14" x14ac:dyDescent="0.2">
      <c r="B110"/>
    </row>
    <row r="111" spans="2:14" x14ac:dyDescent="0.2">
      <c r="B111"/>
    </row>
    <row r="112" spans="2:14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8"/>
  <sheetViews>
    <sheetView zoomScale="90" zoomScaleNormal="90" zoomScalePageLayoutView="80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H8" sqref="H8:S8"/>
    </sheetView>
  </sheetViews>
  <sheetFormatPr baseColWidth="10" defaultColWidth="10.6640625" defaultRowHeight="15" x14ac:dyDescent="0.2"/>
  <cols>
    <col min="1" max="1" width="22.6640625" bestFit="1" customWidth="1"/>
    <col min="2" max="2" width="25.6640625" style="7" bestFit="1" customWidth="1"/>
    <col min="3" max="3" width="24.5" customWidth="1"/>
    <col min="4" max="4" width="20.6640625" bestFit="1" customWidth="1"/>
    <col min="5" max="5" width="18.1640625" style="7" customWidth="1"/>
    <col min="6" max="6" width="15" style="63" customWidth="1"/>
    <col min="7" max="7" width="12.6640625" style="2" bestFit="1" customWidth="1"/>
    <col min="8" max="11" width="11.1640625" bestFit="1" customWidth="1"/>
    <col min="13" max="13" width="11.1640625" bestFit="1" customWidth="1"/>
    <col min="20" max="20" width="14.1640625" customWidth="1"/>
  </cols>
  <sheetData>
    <row r="1" spans="1:21" ht="16" x14ac:dyDescent="0.2">
      <c r="A1" s="42" t="s">
        <v>43</v>
      </c>
      <c r="B1" s="57" t="s">
        <v>72</v>
      </c>
      <c r="C1" s="47" t="s">
        <v>42</v>
      </c>
      <c r="D1" s="42" t="s">
        <v>54</v>
      </c>
      <c r="E1" s="77" t="s">
        <v>70</v>
      </c>
      <c r="F1" s="72" t="s">
        <v>174</v>
      </c>
      <c r="G1" s="85" t="s">
        <v>55</v>
      </c>
      <c r="H1" s="144" t="s">
        <v>116</v>
      </c>
      <c r="I1" s="144" t="s">
        <v>117</v>
      </c>
      <c r="J1" s="144" t="s">
        <v>118</v>
      </c>
      <c r="K1" s="144" t="s">
        <v>119</v>
      </c>
      <c r="L1" s="144" t="s">
        <v>120</v>
      </c>
      <c r="M1" s="144" t="s">
        <v>121</v>
      </c>
      <c r="N1" s="144" t="s">
        <v>123</v>
      </c>
      <c r="O1" s="144" t="s">
        <v>124</v>
      </c>
      <c r="P1" s="144" t="s">
        <v>125</v>
      </c>
      <c r="Q1" s="144" t="s">
        <v>126</v>
      </c>
      <c r="R1" s="144" t="s">
        <v>122</v>
      </c>
      <c r="S1" s="144" t="s">
        <v>135</v>
      </c>
      <c r="T1" s="15" t="s">
        <v>55</v>
      </c>
    </row>
    <row r="2" spans="1:21" s="17" customFormat="1" x14ac:dyDescent="0.2">
      <c r="A2" s="43" t="s">
        <v>85</v>
      </c>
      <c r="B2" s="50" t="s">
        <v>0</v>
      </c>
      <c r="C2" s="45"/>
      <c r="D2" s="45"/>
      <c r="E2" s="45" t="s">
        <v>69</v>
      </c>
      <c r="F2" s="64"/>
      <c r="G2" s="84">
        <f t="shared" ref="G2:G35" si="0">SUM(H2:S2)</f>
        <v>14000</v>
      </c>
      <c r="H2" s="43">
        <f>14000/2</f>
        <v>7000</v>
      </c>
      <c r="I2" s="43">
        <f>14000/2</f>
        <v>7000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f t="shared" ref="T2:T35" si="1">SUM(H2:S2)</f>
        <v>14000</v>
      </c>
    </row>
    <row r="3" spans="1:21" s="17" customFormat="1" x14ac:dyDescent="0.2">
      <c r="A3" s="43" t="s">
        <v>13</v>
      </c>
      <c r="B3" s="51" t="s">
        <v>75</v>
      </c>
      <c r="C3" s="45" t="s">
        <v>30</v>
      </c>
      <c r="D3" s="45" t="s">
        <v>30</v>
      </c>
      <c r="E3" s="45" t="s">
        <v>69</v>
      </c>
      <c r="F3" s="140"/>
      <c r="G3" s="84">
        <f t="shared" si="0"/>
        <v>240000</v>
      </c>
      <c r="H3" s="43">
        <f>VLOOKUP(C3,'Target allocation'!$B$2:$AF$51,19,FALSE)</f>
        <v>20000</v>
      </c>
      <c r="I3" s="43">
        <f>VLOOKUP(C3,'Target allocation'!$B$2:$AF$51,20,FALSE)</f>
        <v>20000</v>
      </c>
      <c r="J3" s="43">
        <f>VLOOKUP(C3,'Target allocation'!$B$2:$AF$51,21,FALSE)</f>
        <v>20000</v>
      </c>
      <c r="K3" s="43">
        <f>VLOOKUP(C3,'Target allocation'!$B$2:$AF$51,22,FALSE)</f>
        <v>20000</v>
      </c>
      <c r="L3" s="43">
        <f>VLOOKUP(C3,'Target allocation'!$B$2:$AF$51,23,FALSE)</f>
        <v>20000</v>
      </c>
      <c r="M3" s="43">
        <f>VLOOKUP(C3,'Target allocation'!$B$2:$AF$51,24,FALSE)</f>
        <v>20000</v>
      </c>
      <c r="N3" s="43">
        <f>VLOOKUP(C3,'Target allocation'!$B$2:$AF$51,25,FALSE)</f>
        <v>20000</v>
      </c>
      <c r="O3" s="43">
        <f>VLOOKUP(C3,'Target allocation'!$B$2:$AF$51,26,FALSE)</f>
        <v>20000</v>
      </c>
      <c r="P3" s="43">
        <f>VLOOKUP(C3,'Target allocation'!$B$2:$AF$51,27,FALSE)</f>
        <v>20000</v>
      </c>
      <c r="Q3" s="43">
        <f>VLOOKUP(C3,'Target allocation'!$B$2:$AF$51,28,FALSE)</f>
        <v>20000</v>
      </c>
      <c r="R3" s="43">
        <f>VLOOKUP(C3,'Target allocation'!$B$2:$AF$51,29,FALSE)</f>
        <v>20000</v>
      </c>
      <c r="S3" s="43">
        <f>VLOOKUP(C3,'Target allocation'!$B$2:$AF$51,30,FALSE)</f>
        <v>20000</v>
      </c>
      <c r="T3" s="43">
        <f t="shared" si="1"/>
        <v>240000</v>
      </c>
    </row>
    <row r="4" spans="1:21" s="17" customFormat="1" x14ac:dyDescent="0.2">
      <c r="A4" s="43" t="s">
        <v>13</v>
      </c>
      <c r="B4" s="51" t="s">
        <v>75</v>
      </c>
      <c r="C4" s="45" t="s">
        <v>44</v>
      </c>
      <c r="D4" s="45" t="s">
        <v>45</v>
      </c>
      <c r="E4" s="45" t="s">
        <v>69</v>
      </c>
      <c r="F4" s="140"/>
      <c r="G4" s="84">
        <f t="shared" si="0"/>
        <v>36072</v>
      </c>
      <c r="H4" s="43">
        <f>VLOOKUP(C4,'Target allocation'!$B$2:$AF$51,19,FALSE)</f>
        <v>3006</v>
      </c>
      <c r="I4" s="43">
        <f>VLOOKUP(C4,'Target allocation'!$B$2:$AF$51,20,FALSE)</f>
        <v>3006</v>
      </c>
      <c r="J4" s="43">
        <f>VLOOKUP(C4,'Target allocation'!$B$2:$AF$51,21,FALSE)</f>
        <v>3006</v>
      </c>
      <c r="K4" s="43">
        <f>VLOOKUP(C4,'Target allocation'!$B$2:$AF$51,22,FALSE)</f>
        <v>3006</v>
      </c>
      <c r="L4" s="43">
        <f>VLOOKUP(C4,'Target allocation'!$B$2:$AF$51,23,FALSE)</f>
        <v>3006</v>
      </c>
      <c r="M4" s="43">
        <f>VLOOKUP(C4,'Target allocation'!$B$2:$AF$51,24,FALSE)</f>
        <v>3006</v>
      </c>
      <c r="N4" s="43">
        <f>VLOOKUP(C4,'Target allocation'!$B$2:$AF$51,25,FALSE)</f>
        <v>3006</v>
      </c>
      <c r="O4" s="43">
        <f>VLOOKUP(C4,'Target allocation'!$B$2:$AF$51,26,FALSE)</f>
        <v>3006</v>
      </c>
      <c r="P4" s="43">
        <f>VLOOKUP(C4,'Target allocation'!$B$2:$AF$51,27,FALSE)</f>
        <v>3006</v>
      </c>
      <c r="Q4" s="43">
        <f>VLOOKUP(C4,'Target allocation'!$B$2:$AF$51,28,FALSE)</f>
        <v>3006</v>
      </c>
      <c r="R4" s="43">
        <f>VLOOKUP(C4,'Target allocation'!$B$2:$AF$51,29,FALSE)</f>
        <v>3006</v>
      </c>
      <c r="S4" s="43">
        <f>VLOOKUP(C4,'Target allocation'!$B$2:$AF$51,30,FALSE)</f>
        <v>3006</v>
      </c>
      <c r="T4" s="43">
        <f t="shared" si="1"/>
        <v>36072</v>
      </c>
    </row>
    <row r="5" spans="1:21" s="17" customFormat="1" x14ac:dyDescent="0.2">
      <c r="A5" s="43" t="s">
        <v>13</v>
      </c>
      <c r="B5" s="51" t="s">
        <v>75</v>
      </c>
      <c r="C5" s="46" t="s">
        <v>88</v>
      </c>
      <c r="D5" s="45" t="s">
        <v>41</v>
      </c>
      <c r="E5" s="50" t="s">
        <v>62</v>
      </c>
      <c r="F5" s="140">
        <f>VLOOKUP(C5,'Target allocation'!$B$2:$G$51,6,FALSE)</f>
        <v>4.9999999999999996E-2</v>
      </c>
      <c r="G5" s="84">
        <f t="shared" si="0"/>
        <v>17325</v>
      </c>
      <c r="H5" s="43">
        <f>VLOOKUP(C5,'Target allocation'!$B$2:$AF$51,19,FALSE)</f>
        <v>1443.75</v>
      </c>
      <c r="I5" s="43">
        <f>VLOOKUP(C5,'Target allocation'!$B$2:$AF$51,20,FALSE)</f>
        <v>1443.75</v>
      </c>
      <c r="J5" s="43">
        <f>VLOOKUP(C5,'Target allocation'!$B$2:$AF$51,21,FALSE)</f>
        <v>1443.75</v>
      </c>
      <c r="K5" s="43">
        <f>VLOOKUP(C5,'Target allocation'!$B$2:$AF$51,22,FALSE)</f>
        <v>1443.75</v>
      </c>
      <c r="L5" s="43">
        <f>VLOOKUP(C5,'Target allocation'!$B$2:$AF$51,23,FALSE)</f>
        <v>1443.75</v>
      </c>
      <c r="M5" s="43">
        <f>VLOOKUP(C5,'Target allocation'!$B$2:$AF$51,24,FALSE)</f>
        <v>1443.75</v>
      </c>
      <c r="N5" s="43">
        <f>VLOOKUP(C5,'Target allocation'!$B$2:$AF$51,25,FALSE)</f>
        <v>1443.75</v>
      </c>
      <c r="O5" s="43">
        <f>VLOOKUP(C5,'Target allocation'!$B$2:$AF$51,26,FALSE)</f>
        <v>1443.75</v>
      </c>
      <c r="P5" s="43">
        <f>VLOOKUP(C5,'Target allocation'!$B$2:$AF$51,27,FALSE)</f>
        <v>1443.75</v>
      </c>
      <c r="Q5" s="43">
        <f>VLOOKUP(C5,'Target allocation'!$B$2:$AF$51,28,FALSE)</f>
        <v>1443.75</v>
      </c>
      <c r="R5" s="43">
        <f>VLOOKUP(C5,'Target allocation'!$B$2:$AF$51,29,FALSE)</f>
        <v>1443.75</v>
      </c>
      <c r="S5" s="43">
        <f>VLOOKUP(C5,'Target allocation'!$B$2:$AF$51,30,FALSE)</f>
        <v>1443.75</v>
      </c>
      <c r="T5" s="43">
        <f t="shared" si="1"/>
        <v>17325</v>
      </c>
    </row>
    <row r="6" spans="1:21" s="17" customFormat="1" x14ac:dyDescent="0.2">
      <c r="A6" s="43" t="s">
        <v>31</v>
      </c>
      <c r="B6" s="51" t="s">
        <v>75</v>
      </c>
      <c r="C6" s="46" t="s">
        <v>195</v>
      </c>
      <c r="D6" s="45" t="s">
        <v>168</v>
      </c>
      <c r="E6" s="50" t="s">
        <v>62</v>
      </c>
      <c r="F6" s="140">
        <f>VLOOKUP(C6,'Target allocation'!$B$2:$G$51,6,FALSE)</f>
        <v>8.3333333333333329E-2</v>
      </c>
      <c r="G6" s="84">
        <f t="shared" si="0"/>
        <v>45000</v>
      </c>
      <c r="H6" s="43">
        <f>VLOOKUP(C6,'Target allocation'!$B$2:$AF$51,19,FALSE)</f>
        <v>11250</v>
      </c>
      <c r="I6" s="43">
        <f>VLOOKUP(C6,'Target allocation'!$B$2:$AF$51,20,FALSE)</f>
        <v>11250</v>
      </c>
      <c r="J6" s="43">
        <f>VLOOKUP(C6,'Target allocation'!$B$2:$AF$51,21,FALSE)</f>
        <v>11250</v>
      </c>
      <c r="K6" s="43">
        <f>VLOOKUP(C6,'Target allocation'!$B$2:$AF$51,22,FALSE)</f>
        <v>11250</v>
      </c>
      <c r="L6" s="43">
        <f>VLOOKUP(C6,'Target allocation'!$B$2:$AF$51,23,FALSE)</f>
        <v>0</v>
      </c>
      <c r="M6" s="43">
        <f>VLOOKUP(C6,'Target allocation'!$B$2:$AF$51,24,FALSE)</f>
        <v>0</v>
      </c>
      <c r="N6" s="43">
        <f>VLOOKUP(C6,'Target allocation'!$B$2:$AF$51,25,FALSE)</f>
        <v>0</v>
      </c>
      <c r="O6" s="43">
        <f>VLOOKUP(C6,'Target allocation'!$B$2:$AF$51,26,FALSE)</f>
        <v>0</v>
      </c>
      <c r="P6" s="43">
        <f>VLOOKUP(C6,'Target allocation'!$B$2:$AF$51,27,FALSE)</f>
        <v>0</v>
      </c>
      <c r="Q6" s="43">
        <f>VLOOKUP(C6,'Target allocation'!$B$2:$AF$51,28,FALSE)</f>
        <v>0</v>
      </c>
      <c r="R6" s="43">
        <f>VLOOKUP(C6,'Target allocation'!$B$2:$AF$51,29,FALSE)</f>
        <v>0</v>
      </c>
      <c r="S6" s="43">
        <f>VLOOKUP(C6,'Target allocation'!$B$2:$AF$51,30,FALSE)</f>
        <v>0</v>
      </c>
      <c r="T6" s="43">
        <f t="shared" si="1"/>
        <v>45000</v>
      </c>
    </row>
    <row r="7" spans="1:21" s="17" customFormat="1" x14ac:dyDescent="0.2">
      <c r="A7" s="43" t="s">
        <v>31</v>
      </c>
      <c r="B7" s="51" t="s">
        <v>75</v>
      </c>
      <c r="C7" s="46" t="s">
        <v>210</v>
      </c>
      <c r="D7" s="45" t="s">
        <v>168</v>
      </c>
      <c r="E7" s="50" t="s">
        <v>62</v>
      </c>
      <c r="F7" s="140">
        <f>VLOOKUP(C7,'Target allocation'!$B$2:$G$51,6,FALSE)</f>
        <v>0.16666666666666666</v>
      </c>
      <c r="G7" s="84">
        <f t="shared" si="0"/>
        <v>120000</v>
      </c>
      <c r="H7" s="43">
        <f>VLOOKUP(C7,'Target allocation'!$B$2:$AF$51,19,FALSE)</f>
        <v>6000</v>
      </c>
      <c r="I7" s="43">
        <f>VLOOKUP(C7,'Target allocation'!$B$2:$AF$51,20,FALSE)</f>
        <v>6000</v>
      </c>
      <c r="J7" s="43">
        <f>VLOOKUP(C7,'Target allocation'!$B$2:$AF$51,21,FALSE)</f>
        <v>6000</v>
      </c>
      <c r="K7" s="43">
        <f>VLOOKUP(C7,'Target allocation'!$B$2:$AF$51,22,FALSE)</f>
        <v>6000</v>
      </c>
      <c r="L7" s="43">
        <f>VLOOKUP(C7,'Target allocation'!$B$2:$AF$51,23,FALSE)</f>
        <v>12000</v>
      </c>
      <c r="M7" s="43">
        <f>VLOOKUP(C7,'Target allocation'!$B$2:$AF$51,24,FALSE)</f>
        <v>12000</v>
      </c>
      <c r="N7" s="43">
        <f>VLOOKUP(C7,'Target allocation'!$B$2:$AF$51,25,FALSE)</f>
        <v>12000</v>
      </c>
      <c r="O7" s="43">
        <f>VLOOKUP(C7,'Target allocation'!$B$2:$AF$51,26,FALSE)</f>
        <v>12000</v>
      </c>
      <c r="P7" s="43">
        <f>VLOOKUP(C7,'Target allocation'!$B$2:$AF$51,27,FALSE)</f>
        <v>12000</v>
      </c>
      <c r="Q7" s="43">
        <f>VLOOKUP(C7,'Target allocation'!$B$2:$AF$51,28,FALSE)</f>
        <v>12000</v>
      </c>
      <c r="R7" s="43">
        <f>VLOOKUP(C7,'Target allocation'!$B$2:$AF$51,29,FALSE)</f>
        <v>12000</v>
      </c>
      <c r="S7" s="43">
        <f>VLOOKUP(C7,'Target allocation'!$B$2:$AF$51,30,FALSE)</f>
        <v>12000</v>
      </c>
      <c r="T7" s="43">
        <f t="shared" si="1"/>
        <v>120000</v>
      </c>
    </row>
    <row r="8" spans="1:21" s="17" customFormat="1" x14ac:dyDescent="0.2">
      <c r="A8" s="43" t="s">
        <v>6</v>
      </c>
      <c r="B8" s="50" t="s">
        <v>4</v>
      </c>
      <c r="C8" s="45"/>
      <c r="D8" s="45" t="s">
        <v>193</v>
      </c>
      <c r="E8" s="45"/>
      <c r="F8" s="140"/>
      <c r="G8" s="84">
        <f t="shared" si="0"/>
        <v>2358987.3849634524</v>
      </c>
      <c r="H8" s="43">
        <f>COGS!C20</f>
        <v>2348.2652023600003</v>
      </c>
      <c r="I8" s="43">
        <f>COGS!D20</f>
        <v>8685.1810628390085</v>
      </c>
      <c r="J8" s="43">
        <f>COGS!E20</f>
        <v>14029.459094258513</v>
      </c>
      <c r="K8" s="43">
        <f>COGS!F20</f>
        <v>219598.32936624574</v>
      </c>
      <c r="L8" s="43">
        <f>COGS!G20</f>
        <v>184373.65925763309</v>
      </c>
      <c r="M8" s="43">
        <f>COGS!H20</f>
        <v>187924.7421157581</v>
      </c>
      <c r="N8" s="43">
        <f>COGS!I20</f>
        <v>191475.82497388311</v>
      </c>
      <c r="O8" s="43">
        <f>COGS!J20</f>
        <v>195026.90783200809</v>
      </c>
      <c r="P8" s="43">
        <f>COGS!K20</f>
        <v>338881.25401461666</v>
      </c>
      <c r="Q8" s="43">
        <f>COGS!L20</f>
        <v>338881.25401461666</v>
      </c>
      <c r="R8" s="43">
        <f>COGS!M20</f>
        <v>338881.25401461666</v>
      </c>
      <c r="S8" s="43">
        <f>COGS!N20</f>
        <v>338881.25401461666</v>
      </c>
      <c r="T8" s="43">
        <f t="shared" si="1"/>
        <v>2358987.3849634524</v>
      </c>
    </row>
    <row r="9" spans="1:21" s="17" customFormat="1" x14ac:dyDescent="0.2">
      <c r="A9" s="43" t="s">
        <v>180</v>
      </c>
      <c r="B9" s="51" t="s">
        <v>75</v>
      </c>
      <c r="C9" s="45" t="s">
        <v>183</v>
      </c>
      <c r="D9" s="45" t="s">
        <v>77</v>
      </c>
      <c r="E9" s="50" t="s">
        <v>62</v>
      </c>
      <c r="F9" s="140">
        <f>VLOOKUP(C9,'Target allocation'!$B$2:$G$51,6,FALSE)</f>
        <v>1</v>
      </c>
      <c r="G9" s="84">
        <f t="shared" si="0"/>
        <v>396000</v>
      </c>
      <c r="H9" s="43">
        <f>VLOOKUP(C9,'Target allocation'!$B$2:$AF$51,19,FALSE)</f>
        <v>33000</v>
      </c>
      <c r="I9" s="43">
        <f>VLOOKUP(C9,'Target allocation'!$B$2:$AF$51,20,FALSE)</f>
        <v>33000</v>
      </c>
      <c r="J9" s="43">
        <f>VLOOKUP(C9,'Target allocation'!$B$2:$AF$51,21,FALSE)</f>
        <v>33000</v>
      </c>
      <c r="K9" s="43">
        <f>VLOOKUP(C9,'Target allocation'!$B$2:$AF$51,22,FALSE)</f>
        <v>33000</v>
      </c>
      <c r="L9" s="43">
        <f>VLOOKUP(C9,'Target allocation'!$B$2:$AF$51,23,FALSE)</f>
        <v>33000</v>
      </c>
      <c r="M9" s="43">
        <f>VLOOKUP(C9,'Target allocation'!$B$2:$AF$51,24,FALSE)</f>
        <v>33000</v>
      </c>
      <c r="N9" s="43">
        <f>VLOOKUP(C9,'Target allocation'!$B$2:$AF$51,25,FALSE)</f>
        <v>33000</v>
      </c>
      <c r="O9" s="43">
        <f>VLOOKUP(C9,'Target allocation'!$B$2:$AF$51,26,FALSE)</f>
        <v>33000</v>
      </c>
      <c r="P9" s="43">
        <f>VLOOKUP(C9,'Target allocation'!$B$2:$AF$51,27,FALSE)</f>
        <v>33000</v>
      </c>
      <c r="Q9" s="43">
        <f>VLOOKUP(C9,'Target allocation'!$B$2:$AF$51,28,FALSE)</f>
        <v>33000</v>
      </c>
      <c r="R9" s="43">
        <f>VLOOKUP(C9,'Target allocation'!$B$2:$AF$51,29,FALSE)</f>
        <v>33000</v>
      </c>
      <c r="S9" s="43">
        <f>VLOOKUP(C9,'Target allocation'!$B$2:$AF$51,30,FALSE)</f>
        <v>33000</v>
      </c>
      <c r="T9" s="43">
        <f t="shared" si="1"/>
        <v>396000</v>
      </c>
    </row>
    <row r="10" spans="1:21" s="17" customFormat="1" x14ac:dyDescent="0.2">
      <c r="A10" s="43" t="s">
        <v>180</v>
      </c>
      <c r="B10" s="51" t="s">
        <v>75</v>
      </c>
      <c r="C10" s="45" t="s">
        <v>185</v>
      </c>
      <c r="D10" s="45" t="s">
        <v>78</v>
      </c>
      <c r="E10" s="50" t="s">
        <v>62</v>
      </c>
      <c r="F10" s="140">
        <f>VLOOKUP(C10,'Target allocation'!$B$2:$G$51,6,FALSE)</f>
        <v>1</v>
      </c>
      <c r="G10" s="84">
        <f t="shared" si="0"/>
        <v>231000</v>
      </c>
      <c r="H10" s="43">
        <f>VLOOKUP(C10,'Target allocation'!$B$2:$AF$51,19,FALSE)</f>
        <v>19250</v>
      </c>
      <c r="I10" s="43">
        <f>VLOOKUP(C10,'Target allocation'!$B$2:$AF$51,20,FALSE)</f>
        <v>19250</v>
      </c>
      <c r="J10" s="43">
        <f>VLOOKUP(C10,'Target allocation'!$B$2:$AF$51,21,FALSE)</f>
        <v>19250</v>
      </c>
      <c r="K10" s="43">
        <f>VLOOKUP(C10,'Target allocation'!$B$2:$AF$51,22,FALSE)</f>
        <v>19250</v>
      </c>
      <c r="L10" s="43">
        <f>VLOOKUP(C10,'Target allocation'!$B$2:$AF$51,23,FALSE)</f>
        <v>19250</v>
      </c>
      <c r="M10" s="43">
        <f>VLOOKUP(C10,'Target allocation'!$B$2:$AF$51,24,FALSE)</f>
        <v>19250</v>
      </c>
      <c r="N10" s="43">
        <f>VLOOKUP(C10,'Target allocation'!$B$2:$AF$51,25,FALSE)</f>
        <v>19250</v>
      </c>
      <c r="O10" s="43">
        <f>VLOOKUP(C10,'Target allocation'!$B$2:$AF$51,26,FALSE)</f>
        <v>19250</v>
      </c>
      <c r="P10" s="43">
        <f>VLOOKUP(C10,'Target allocation'!$B$2:$AF$51,27,FALSE)</f>
        <v>19250</v>
      </c>
      <c r="Q10" s="43">
        <f>VLOOKUP(C10,'Target allocation'!$B$2:$AF$51,28,FALSE)</f>
        <v>19250</v>
      </c>
      <c r="R10" s="43">
        <f>VLOOKUP(C10,'Target allocation'!$B$2:$AF$51,29,FALSE)</f>
        <v>19250</v>
      </c>
      <c r="S10" s="43">
        <f>VLOOKUP(C10,'Target allocation'!$B$2:$AF$51,30,FALSE)</f>
        <v>19250</v>
      </c>
      <c r="T10" s="43">
        <f t="shared" si="1"/>
        <v>231000</v>
      </c>
    </row>
    <row r="11" spans="1:21" s="17" customFormat="1" x14ac:dyDescent="0.2">
      <c r="A11" s="43" t="s">
        <v>180</v>
      </c>
      <c r="B11" s="51" t="s">
        <v>75</v>
      </c>
      <c r="C11" s="45" t="s">
        <v>186</v>
      </c>
      <c r="D11" s="45" t="s">
        <v>79</v>
      </c>
      <c r="E11" s="50" t="s">
        <v>62</v>
      </c>
      <c r="F11" s="140">
        <f>VLOOKUP(C11,'Target allocation'!$B$2:$G$51,6,FALSE)</f>
        <v>1</v>
      </c>
      <c r="G11" s="84">
        <f t="shared" si="0"/>
        <v>165391.28640000001</v>
      </c>
      <c r="H11" s="43">
        <f>VLOOKUP(C11,'Target allocation'!$B$2:$AF$51,19,FALSE)</f>
        <v>13782.6072</v>
      </c>
      <c r="I11" s="43">
        <f>VLOOKUP(C11,'Target allocation'!$B$2:$AF$51,20,FALSE)</f>
        <v>13782.6072</v>
      </c>
      <c r="J11" s="43">
        <f>VLOOKUP(C11,'Target allocation'!$B$2:$AF$51,21,FALSE)</f>
        <v>13782.6072</v>
      </c>
      <c r="K11" s="43">
        <f>VLOOKUP(C11,'Target allocation'!$B$2:$AF$51,22,FALSE)</f>
        <v>13782.6072</v>
      </c>
      <c r="L11" s="43">
        <f>VLOOKUP(C11,'Target allocation'!$B$2:$AF$51,23,FALSE)</f>
        <v>13782.6072</v>
      </c>
      <c r="M11" s="43">
        <f>VLOOKUP(C11,'Target allocation'!$B$2:$AF$51,24,FALSE)</f>
        <v>13782.6072</v>
      </c>
      <c r="N11" s="43">
        <f>VLOOKUP(C11,'Target allocation'!$B$2:$AF$51,25,FALSE)</f>
        <v>13782.6072</v>
      </c>
      <c r="O11" s="43">
        <f>VLOOKUP(C11,'Target allocation'!$B$2:$AF$51,26,FALSE)</f>
        <v>13782.6072</v>
      </c>
      <c r="P11" s="43">
        <f>VLOOKUP(C11,'Target allocation'!$B$2:$AF$51,27,FALSE)</f>
        <v>13782.6072</v>
      </c>
      <c r="Q11" s="43">
        <f>VLOOKUP(C11,'Target allocation'!$B$2:$AF$51,28,FALSE)</f>
        <v>13782.6072</v>
      </c>
      <c r="R11" s="43">
        <f>VLOOKUP(C11,'Target allocation'!$B$2:$AF$51,29,FALSE)</f>
        <v>13782.6072</v>
      </c>
      <c r="S11" s="43">
        <f>VLOOKUP(C11,'Target allocation'!$B$2:$AF$51,30,FALSE)</f>
        <v>13782.6072</v>
      </c>
      <c r="T11" s="43">
        <f t="shared" si="1"/>
        <v>165391.28640000001</v>
      </c>
    </row>
    <row r="12" spans="1:21" s="17" customFormat="1" x14ac:dyDescent="0.2">
      <c r="A12" s="43" t="s">
        <v>180</v>
      </c>
      <c r="B12" s="51" t="s">
        <v>75</v>
      </c>
      <c r="C12" s="45" t="s">
        <v>181</v>
      </c>
      <c r="D12" s="45" t="s">
        <v>80</v>
      </c>
      <c r="E12" s="50" t="s">
        <v>62</v>
      </c>
      <c r="F12" s="140">
        <f>VLOOKUP(C12,'Target allocation'!$B$2:$G$51,6,FALSE)</f>
        <v>1</v>
      </c>
      <c r="G12" s="84">
        <f t="shared" si="0"/>
        <v>226238.1624</v>
      </c>
      <c r="H12" s="43">
        <f>VLOOKUP(C12,'Target allocation'!$B$2:$AF$51,19,FALSE)</f>
        <v>18853.180199999999</v>
      </c>
      <c r="I12" s="43">
        <f>VLOOKUP(C12,'Target allocation'!$B$2:$AF$51,20,FALSE)</f>
        <v>18853.180199999999</v>
      </c>
      <c r="J12" s="43">
        <f>VLOOKUP(C12,'Target allocation'!$B$2:$AF$51,21,FALSE)</f>
        <v>18853.180199999999</v>
      </c>
      <c r="K12" s="43">
        <f>VLOOKUP(C12,'Target allocation'!$B$2:$AF$51,22,FALSE)</f>
        <v>18853.180199999999</v>
      </c>
      <c r="L12" s="43">
        <f>VLOOKUP(C12,'Target allocation'!$B$2:$AF$51,23,FALSE)</f>
        <v>18853.180199999999</v>
      </c>
      <c r="M12" s="43">
        <f>VLOOKUP(C12,'Target allocation'!$B$2:$AF$51,24,FALSE)</f>
        <v>18853.180199999999</v>
      </c>
      <c r="N12" s="43">
        <f>VLOOKUP(C12,'Target allocation'!$B$2:$AF$51,25,FALSE)</f>
        <v>18853.180199999999</v>
      </c>
      <c r="O12" s="43">
        <f>VLOOKUP(C12,'Target allocation'!$B$2:$AF$51,26,FALSE)</f>
        <v>18853.180199999999</v>
      </c>
      <c r="P12" s="43">
        <f>VLOOKUP(C12,'Target allocation'!$B$2:$AF$51,27,FALSE)</f>
        <v>18853.180199999999</v>
      </c>
      <c r="Q12" s="43">
        <f>VLOOKUP(C12,'Target allocation'!$B$2:$AF$51,28,FALSE)</f>
        <v>18853.180199999999</v>
      </c>
      <c r="R12" s="43">
        <f>VLOOKUP(C12,'Target allocation'!$B$2:$AF$51,29,FALSE)</f>
        <v>18853.180199999999</v>
      </c>
      <c r="S12" s="43">
        <f>VLOOKUP(C12,'Target allocation'!$B$2:$AF$51,30,FALSE)</f>
        <v>18853.180199999999</v>
      </c>
      <c r="T12" s="43">
        <f t="shared" si="1"/>
        <v>226238.1624</v>
      </c>
    </row>
    <row r="13" spans="1:21" s="17" customFormat="1" x14ac:dyDescent="0.2">
      <c r="A13" s="43" t="s">
        <v>180</v>
      </c>
      <c r="B13" s="51" t="s">
        <v>75</v>
      </c>
      <c r="C13" s="45" t="s">
        <v>187</v>
      </c>
      <c r="D13" s="45" t="s">
        <v>168</v>
      </c>
      <c r="E13" s="50" t="s">
        <v>62</v>
      </c>
      <c r="F13" s="140">
        <f>VLOOKUP(C13,'Target allocation'!$B$2:$G$51,6,FALSE)</f>
        <v>0.41666666666666669</v>
      </c>
      <c r="G13" s="84">
        <f t="shared" si="0"/>
        <v>150000</v>
      </c>
      <c r="H13" s="43">
        <f>VLOOKUP(C13,'Target allocation'!$B$2:$AF$51,19,FALSE)</f>
        <v>0</v>
      </c>
      <c r="I13" s="43">
        <f>VLOOKUP(C13,'Target allocation'!$B$2:$AF$51,20,FALSE)</f>
        <v>0</v>
      </c>
      <c r="J13" s="43">
        <f>VLOOKUP(C13,'Target allocation'!$B$2:$AF$51,21,FALSE)</f>
        <v>0</v>
      </c>
      <c r="K13" s="43">
        <f>VLOOKUP(C13,'Target allocation'!$B$2:$AF$51,22,FALSE)</f>
        <v>30000</v>
      </c>
      <c r="L13" s="43">
        <f>VLOOKUP(C13,'Target allocation'!$B$2:$AF$51,23,FALSE)</f>
        <v>30000</v>
      </c>
      <c r="M13" s="43">
        <f>VLOOKUP(C13,'Target allocation'!$B$2:$AF$51,24,FALSE)</f>
        <v>30000</v>
      </c>
      <c r="N13" s="43">
        <f>VLOOKUP(C13,'Target allocation'!$B$2:$AF$51,25,FALSE)</f>
        <v>30000</v>
      </c>
      <c r="O13" s="43">
        <f>VLOOKUP(C13,'Target allocation'!$B$2:$AF$51,26,FALSE)</f>
        <v>30000</v>
      </c>
      <c r="P13" s="43">
        <f>VLOOKUP(C13,'Target allocation'!$B$2:$AF$51,27,FALSE)</f>
        <v>0</v>
      </c>
      <c r="Q13" s="43">
        <f>VLOOKUP(C13,'Target allocation'!$B$2:$AF$51,28,FALSE)</f>
        <v>0</v>
      </c>
      <c r="R13" s="43">
        <f>VLOOKUP(C13,'Target allocation'!$B$2:$AF$51,29,FALSE)</f>
        <v>0</v>
      </c>
      <c r="S13" s="43">
        <f>VLOOKUP(C13,'Target allocation'!$B$2:$AF$51,30,FALSE)</f>
        <v>0</v>
      </c>
      <c r="T13" s="43">
        <f t="shared" si="1"/>
        <v>150000</v>
      </c>
    </row>
    <row r="14" spans="1:21" s="17" customFormat="1" x14ac:dyDescent="0.2">
      <c r="A14" s="43" t="s">
        <v>180</v>
      </c>
      <c r="B14" s="51" t="s">
        <v>75</v>
      </c>
      <c r="C14" s="45" t="s">
        <v>182</v>
      </c>
      <c r="D14" s="45" t="s">
        <v>90</v>
      </c>
      <c r="E14" s="50" t="s">
        <v>62</v>
      </c>
      <c r="F14" s="140">
        <f>VLOOKUP(C14,'Target allocation'!$B$2:$G$51,6,FALSE)</f>
        <v>1</v>
      </c>
      <c r="G14" s="84">
        <f t="shared" si="0"/>
        <v>189517.42800000004</v>
      </c>
      <c r="H14" s="43">
        <f>VLOOKUP(C14,'Target allocation'!$B$2:$AF$51,19,FALSE)</f>
        <v>15793.118999999999</v>
      </c>
      <c r="I14" s="43">
        <f>VLOOKUP(C14,'Target allocation'!$B$2:$AF$51,20,FALSE)</f>
        <v>15793.118999999999</v>
      </c>
      <c r="J14" s="43">
        <f>VLOOKUP(C14,'Target allocation'!$B$2:$AF$51,21,FALSE)</f>
        <v>15793.118999999999</v>
      </c>
      <c r="K14" s="43">
        <f>VLOOKUP(C14,'Target allocation'!$B$2:$AF$51,22,FALSE)</f>
        <v>15793.118999999999</v>
      </c>
      <c r="L14" s="43">
        <f>VLOOKUP(C14,'Target allocation'!$B$2:$AF$51,23,FALSE)</f>
        <v>15793.118999999999</v>
      </c>
      <c r="M14" s="43">
        <f>VLOOKUP(C14,'Target allocation'!$B$2:$AF$51,24,FALSE)</f>
        <v>15793.118999999999</v>
      </c>
      <c r="N14" s="43">
        <f>VLOOKUP(C14,'Target allocation'!$B$2:$AF$51,25,FALSE)</f>
        <v>15793.118999999999</v>
      </c>
      <c r="O14" s="43">
        <f>VLOOKUP(C14,'Target allocation'!$B$2:$AF$51,26,FALSE)</f>
        <v>15793.118999999999</v>
      </c>
      <c r="P14" s="43">
        <f>VLOOKUP(C14,'Target allocation'!$B$2:$AF$51,27,FALSE)</f>
        <v>15793.118999999999</v>
      </c>
      <c r="Q14" s="43">
        <f>VLOOKUP(C14,'Target allocation'!$B$2:$AF$51,28,FALSE)</f>
        <v>15793.118999999999</v>
      </c>
      <c r="R14" s="43">
        <f>VLOOKUP(C14,'Target allocation'!$B$2:$AF$51,29,FALSE)</f>
        <v>15793.118999999999</v>
      </c>
      <c r="S14" s="43">
        <f>VLOOKUP(C14,'Target allocation'!$B$2:$AF$51,30,FALSE)</f>
        <v>15793.118999999999</v>
      </c>
      <c r="T14" s="43">
        <f t="shared" si="1"/>
        <v>189517.42800000004</v>
      </c>
    </row>
    <row r="15" spans="1:21" s="17" customFormat="1" x14ac:dyDescent="0.2">
      <c r="A15" s="43" t="s">
        <v>180</v>
      </c>
      <c r="B15" s="51" t="s">
        <v>75</v>
      </c>
      <c r="C15" s="45" t="s">
        <v>184</v>
      </c>
      <c r="D15" s="45" t="s">
        <v>165</v>
      </c>
      <c r="E15" s="50" t="s">
        <v>62</v>
      </c>
      <c r="F15" s="140">
        <f>VLOOKUP(C15,'Target allocation'!$B$2:$G$51,6,FALSE)</f>
        <v>0.33333333333333331</v>
      </c>
      <c r="G15" s="84">
        <f t="shared" si="0"/>
        <v>121000</v>
      </c>
      <c r="H15" s="43">
        <f>VLOOKUP(C15,'Target allocation'!$B$2:$AF$51,19,FALSE)</f>
        <v>0</v>
      </c>
      <c r="I15" s="43">
        <f>VLOOKUP(C15,'Target allocation'!$B$2:$AF$51,20,FALSE)</f>
        <v>0</v>
      </c>
      <c r="J15" s="43">
        <f>VLOOKUP(C15,'Target allocation'!$B$2:$AF$51,21,FALSE)</f>
        <v>0</v>
      </c>
      <c r="K15" s="43">
        <f>VLOOKUP(C15,'Target allocation'!$B$2:$AF$51,22,FALSE)</f>
        <v>30250</v>
      </c>
      <c r="L15" s="43">
        <f>VLOOKUP(C15,'Target allocation'!$B$2:$AF$51,23,FALSE)</f>
        <v>30250</v>
      </c>
      <c r="M15" s="43">
        <f>VLOOKUP(C15,'Target allocation'!$B$2:$AF$51,24,FALSE)</f>
        <v>30250</v>
      </c>
      <c r="N15" s="43">
        <f>VLOOKUP(C15,'Target allocation'!$B$2:$AF$51,25,FALSE)</f>
        <v>0</v>
      </c>
      <c r="O15" s="43">
        <f>VLOOKUP(C15,'Target allocation'!$B$2:$AF$51,26,FALSE)</f>
        <v>0</v>
      </c>
      <c r="P15" s="43">
        <f>VLOOKUP(C15,'Target allocation'!$B$2:$AF$51,27,FALSE)</f>
        <v>0</v>
      </c>
      <c r="Q15" s="43">
        <f>VLOOKUP(C15,'Target allocation'!$B$2:$AF$51,28,FALSE)</f>
        <v>0</v>
      </c>
      <c r="R15" s="43">
        <f>VLOOKUP(C15,'Target allocation'!$B$2:$AF$51,29,FALSE)</f>
        <v>0</v>
      </c>
      <c r="S15" s="43">
        <f>VLOOKUP(C15,'Target allocation'!$B$2:$AF$51,30,FALSE)</f>
        <v>30250</v>
      </c>
      <c r="T15" s="43">
        <f t="shared" si="1"/>
        <v>121000</v>
      </c>
      <c r="U15" s="17" t="s">
        <v>113</v>
      </c>
    </row>
    <row r="16" spans="1:21" s="17" customFormat="1" x14ac:dyDescent="0.2">
      <c r="A16" s="43" t="s">
        <v>180</v>
      </c>
      <c r="B16" s="51" t="s">
        <v>75</v>
      </c>
      <c r="C16" s="45" t="s">
        <v>188</v>
      </c>
      <c r="D16" s="45" t="s">
        <v>168</v>
      </c>
      <c r="E16" s="50" t="s">
        <v>62</v>
      </c>
      <c r="F16" s="140">
        <f>VLOOKUP(C16,'Target allocation'!$B$2:$G$51,6,FALSE)</f>
        <v>0.75</v>
      </c>
      <c r="G16" s="84">
        <f t="shared" si="0"/>
        <v>272250</v>
      </c>
      <c r="H16" s="43">
        <f>VLOOKUP(C16,'Target allocation'!$B$2:$AF$51,19,FALSE)</f>
        <v>0</v>
      </c>
      <c r="I16" s="43">
        <f>VLOOKUP(C16,'Target allocation'!$B$2:$AF$51,20,FALSE)</f>
        <v>0</v>
      </c>
      <c r="J16" s="43">
        <f>VLOOKUP(C16,'Target allocation'!$B$2:$AF$51,21,FALSE)</f>
        <v>0</v>
      </c>
      <c r="K16" s="43">
        <f>VLOOKUP(C16,'Target allocation'!$B$2:$AF$51,22,FALSE)</f>
        <v>0</v>
      </c>
      <c r="L16" s="43">
        <f>VLOOKUP(C16,'Target allocation'!$B$2:$AF$51,23,FALSE)</f>
        <v>60500</v>
      </c>
      <c r="M16" s="43">
        <f>VLOOKUP(C16,'Target allocation'!$B$2:$AF$51,24,FALSE)</f>
        <v>30250</v>
      </c>
      <c r="N16" s="43">
        <f>VLOOKUP(C16,'Target allocation'!$B$2:$AF$51,25,FALSE)</f>
        <v>30250</v>
      </c>
      <c r="O16" s="43">
        <f>VLOOKUP(C16,'Target allocation'!$B$2:$AF$51,26,FALSE)</f>
        <v>30250</v>
      </c>
      <c r="P16" s="43">
        <f>VLOOKUP(C16,'Target allocation'!$B$2:$AF$51,27,FALSE)</f>
        <v>30250</v>
      </c>
      <c r="Q16" s="43">
        <f>VLOOKUP(C16,'Target allocation'!$B$2:$AF$51,28,FALSE)</f>
        <v>30250</v>
      </c>
      <c r="R16" s="43">
        <f>VLOOKUP(C16,'Target allocation'!$B$2:$AF$51,29,FALSE)</f>
        <v>30250</v>
      </c>
      <c r="S16" s="43">
        <f>VLOOKUP(C16,'Target allocation'!$B$2:$AF$51,30,FALSE)</f>
        <v>30250</v>
      </c>
      <c r="T16" s="43">
        <f t="shared" si="1"/>
        <v>272250</v>
      </c>
    </row>
    <row r="17" spans="1:20" s="17" customFormat="1" x14ac:dyDescent="0.2">
      <c r="A17" s="43" t="s">
        <v>180</v>
      </c>
      <c r="B17" s="51" t="s">
        <v>75</v>
      </c>
      <c r="C17" s="45" t="s">
        <v>189</v>
      </c>
      <c r="D17" s="45" t="s">
        <v>168</v>
      </c>
      <c r="E17" s="50" t="s">
        <v>62</v>
      </c>
      <c r="F17" s="140">
        <f>VLOOKUP(C17,'Target allocation'!$B$2:$G$51,6,FALSE)</f>
        <v>0.16666666666666666</v>
      </c>
      <c r="G17" s="84">
        <f t="shared" si="0"/>
        <v>60500</v>
      </c>
      <c r="H17" s="43">
        <f>VLOOKUP(C17,'Target allocation'!$B$2:$AF$51,19,FALSE)</f>
        <v>0</v>
      </c>
      <c r="I17" s="43">
        <f>VLOOKUP(C17,'Target allocation'!$B$2:$AF$51,20,FALSE)</f>
        <v>0</v>
      </c>
      <c r="J17" s="43">
        <f>VLOOKUP(C17,'Target allocation'!$B$2:$AF$51,21,FALSE)</f>
        <v>0</v>
      </c>
      <c r="K17" s="43">
        <f>VLOOKUP(C17,'Target allocation'!$B$2:$AF$51,22,FALSE)</f>
        <v>0</v>
      </c>
      <c r="L17" s="43">
        <f>VLOOKUP(C17,'Target allocation'!$B$2:$AF$51,23,FALSE)</f>
        <v>30250</v>
      </c>
      <c r="M17" s="43">
        <f>VLOOKUP(C17,'Target allocation'!$B$2:$AF$51,24,FALSE)</f>
        <v>30250</v>
      </c>
      <c r="N17" s="43">
        <f>VLOOKUP(C17,'Target allocation'!$B$2:$AF$51,25,FALSE)</f>
        <v>0</v>
      </c>
      <c r="O17" s="43">
        <f>VLOOKUP(C17,'Target allocation'!$B$2:$AF$51,26,FALSE)</f>
        <v>0</v>
      </c>
      <c r="P17" s="43">
        <f>VLOOKUP(C17,'Target allocation'!$B$2:$AF$51,27,FALSE)</f>
        <v>0</v>
      </c>
      <c r="Q17" s="43">
        <f>VLOOKUP(C17,'Target allocation'!$B$2:$AF$51,28,FALSE)</f>
        <v>0</v>
      </c>
      <c r="R17" s="43">
        <f>VLOOKUP(C17,'Target allocation'!$B$2:$AF$51,29,FALSE)</f>
        <v>0</v>
      </c>
      <c r="S17" s="43">
        <f>VLOOKUP(C17,'Target allocation'!$B$2:$AF$51,30,FALSE)</f>
        <v>0</v>
      </c>
      <c r="T17" s="43">
        <f t="shared" si="1"/>
        <v>60500</v>
      </c>
    </row>
    <row r="18" spans="1:20" s="17" customFormat="1" x14ac:dyDescent="0.2">
      <c r="A18" s="43" t="s">
        <v>180</v>
      </c>
      <c r="B18" s="51" t="s">
        <v>75</v>
      </c>
      <c r="C18" s="45" t="s">
        <v>190</v>
      </c>
      <c r="D18" s="45" t="s">
        <v>168</v>
      </c>
      <c r="E18" s="50" t="s">
        <v>62</v>
      </c>
      <c r="F18" s="140">
        <f>VLOOKUP(C18,'Target allocation'!$B$2:$G$51,6,FALSE)</f>
        <v>0.33333333333333331</v>
      </c>
      <c r="G18" s="84">
        <f t="shared" si="0"/>
        <v>66000</v>
      </c>
      <c r="H18" s="43">
        <f>VLOOKUP(C18,'Target allocation'!$B$2:$AF$51,19,FALSE)</f>
        <v>0</v>
      </c>
      <c r="I18" s="43">
        <f>VLOOKUP(C18,'Target allocation'!$B$2:$AF$51,20,FALSE)</f>
        <v>0</v>
      </c>
      <c r="J18" s="43">
        <f>VLOOKUP(C18,'Target allocation'!$B$2:$AF$51,21,FALSE)</f>
        <v>0</v>
      </c>
      <c r="K18" s="43">
        <f>VLOOKUP(C18,'Target allocation'!$B$2:$AF$51,22,FALSE)</f>
        <v>16500</v>
      </c>
      <c r="L18" s="43">
        <f>VLOOKUP(C18,'Target allocation'!$B$2:$AF$51,23,FALSE)</f>
        <v>16500</v>
      </c>
      <c r="M18" s="43">
        <f>VLOOKUP(C18,'Target allocation'!$B$2:$AF$51,24,FALSE)</f>
        <v>16500</v>
      </c>
      <c r="N18" s="43">
        <f>VLOOKUP(C18,'Target allocation'!$B$2:$AF$51,25,FALSE)</f>
        <v>0</v>
      </c>
      <c r="O18" s="43">
        <f>VLOOKUP(C18,'Target allocation'!$B$2:$AF$51,26,FALSE)</f>
        <v>0</v>
      </c>
      <c r="P18" s="43">
        <f>VLOOKUP(C18,'Target allocation'!$B$2:$AF$51,27,FALSE)</f>
        <v>0</v>
      </c>
      <c r="Q18" s="43">
        <f>VLOOKUP(C18,'Target allocation'!$B$2:$AF$51,28,FALSE)</f>
        <v>0</v>
      </c>
      <c r="R18" s="43">
        <f>VLOOKUP(C18,'Target allocation'!$B$2:$AF$51,29,FALSE)</f>
        <v>0</v>
      </c>
      <c r="S18" s="43">
        <f>VLOOKUP(C18,'Target allocation'!$B$2:$AF$51,30,FALSE)</f>
        <v>16500</v>
      </c>
      <c r="T18" s="43">
        <f t="shared" si="1"/>
        <v>66000</v>
      </c>
    </row>
    <row r="19" spans="1:20" s="17" customFormat="1" x14ac:dyDescent="0.2">
      <c r="A19" s="43" t="s">
        <v>180</v>
      </c>
      <c r="B19" s="51" t="s">
        <v>75</v>
      </c>
      <c r="C19" s="45" t="s">
        <v>191</v>
      </c>
      <c r="D19" s="45" t="s">
        <v>168</v>
      </c>
      <c r="E19" s="50" t="s">
        <v>62</v>
      </c>
      <c r="F19" s="140">
        <f>VLOOKUP(C19,'Target allocation'!$B$2:$G$51,6,FALSE)</f>
        <v>0.16666666666666666</v>
      </c>
      <c r="G19" s="84">
        <f t="shared" si="0"/>
        <v>33000</v>
      </c>
      <c r="H19" s="43">
        <f>VLOOKUP(C19,'Target allocation'!$B$2:$AF$51,19,FALSE)</f>
        <v>0</v>
      </c>
      <c r="I19" s="43">
        <f>VLOOKUP(C19,'Target allocation'!$B$2:$AF$51,20,FALSE)</f>
        <v>0</v>
      </c>
      <c r="J19" s="43">
        <f>VLOOKUP(C19,'Target allocation'!$B$2:$AF$51,21,FALSE)</f>
        <v>0</v>
      </c>
      <c r="K19" s="43">
        <f>VLOOKUP(C19,'Target allocation'!$B$2:$AF$51,22,FALSE)</f>
        <v>0</v>
      </c>
      <c r="L19" s="43">
        <f>VLOOKUP(C19,'Target allocation'!$B$2:$AF$51,23,FALSE)</f>
        <v>16500</v>
      </c>
      <c r="M19" s="43">
        <f>VLOOKUP(C19,'Target allocation'!$B$2:$AF$51,24,FALSE)</f>
        <v>16500</v>
      </c>
      <c r="N19" s="43">
        <f>VLOOKUP(C19,'Target allocation'!$B$2:$AF$51,25,FALSE)</f>
        <v>0</v>
      </c>
      <c r="O19" s="43">
        <f>VLOOKUP(C19,'Target allocation'!$B$2:$AF$51,26,FALSE)</f>
        <v>0</v>
      </c>
      <c r="P19" s="43">
        <f>VLOOKUP(C19,'Target allocation'!$B$2:$AF$51,27,FALSE)</f>
        <v>0</v>
      </c>
      <c r="Q19" s="43">
        <f>VLOOKUP(C19,'Target allocation'!$B$2:$AF$51,28,FALSE)</f>
        <v>0</v>
      </c>
      <c r="R19" s="43">
        <f>VLOOKUP(C19,'Target allocation'!$B$2:$AF$51,29,FALSE)</f>
        <v>0</v>
      </c>
      <c r="S19" s="43">
        <f>VLOOKUP(C19,'Target allocation'!$B$2:$AF$51,30,FALSE)</f>
        <v>0</v>
      </c>
      <c r="T19" s="43">
        <f t="shared" si="1"/>
        <v>33000</v>
      </c>
    </row>
    <row r="20" spans="1:20" s="17" customFormat="1" x14ac:dyDescent="0.2">
      <c r="A20" s="43" t="s">
        <v>180</v>
      </c>
      <c r="B20" s="51" t="s">
        <v>75</v>
      </c>
      <c r="C20" s="45" t="s">
        <v>192</v>
      </c>
      <c r="D20" s="45" t="s">
        <v>168</v>
      </c>
      <c r="E20" s="50" t="s">
        <v>62</v>
      </c>
      <c r="F20" s="140">
        <f>VLOOKUP(C20,'Target allocation'!$B$2:$G$51,6,FALSE)</f>
        <v>0</v>
      </c>
      <c r="G20" s="84">
        <f t="shared" si="0"/>
        <v>0</v>
      </c>
      <c r="H20" s="43">
        <f>VLOOKUP(C20,'Target allocation'!$B$2:$AF$51,19,FALSE)</f>
        <v>0</v>
      </c>
      <c r="I20" s="43">
        <f>VLOOKUP(C20,'Target allocation'!$B$2:$AF$51,20,FALSE)</f>
        <v>0</v>
      </c>
      <c r="J20" s="43">
        <f>VLOOKUP(C20,'Target allocation'!$B$2:$AF$51,21,FALSE)</f>
        <v>0</v>
      </c>
      <c r="K20" s="43">
        <f>VLOOKUP(C20,'Target allocation'!$B$2:$AF$51,22,FALSE)</f>
        <v>0</v>
      </c>
      <c r="L20" s="43">
        <f>VLOOKUP(C20,'Target allocation'!$B$2:$AF$51,23,FALSE)</f>
        <v>0</v>
      </c>
      <c r="M20" s="43">
        <f>VLOOKUP(C20,'Target allocation'!$B$2:$AF$51,24,FALSE)</f>
        <v>0</v>
      </c>
      <c r="N20" s="43">
        <f>VLOOKUP(C20,'Target allocation'!$B$2:$AF$51,25,FALSE)</f>
        <v>0</v>
      </c>
      <c r="O20" s="43">
        <f>VLOOKUP(C20,'Target allocation'!$B$2:$AF$51,26,FALSE)</f>
        <v>0</v>
      </c>
      <c r="P20" s="43">
        <f>VLOOKUP(C20,'Target allocation'!$B$2:$AF$51,27,FALSE)</f>
        <v>0</v>
      </c>
      <c r="Q20" s="43">
        <f>VLOOKUP(C20,'Target allocation'!$B$2:$AF$51,28,FALSE)</f>
        <v>0</v>
      </c>
      <c r="R20" s="43">
        <f>VLOOKUP(C20,'Target allocation'!$B$2:$AF$51,29,FALSE)</f>
        <v>0</v>
      </c>
      <c r="S20" s="43">
        <f>VLOOKUP(C20,'Target allocation'!$B$2:$AF$51,30,FALSE)</f>
        <v>0</v>
      </c>
      <c r="T20" s="43">
        <f t="shared" si="1"/>
        <v>0</v>
      </c>
    </row>
    <row r="21" spans="1:20" s="17" customFormat="1" x14ac:dyDescent="0.2">
      <c r="A21" s="43" t="s">
        <v>180</v>
      </c>
      <c r="B21" s="51" t="s">
        <v>75</v>
      </c>
      <c r="C21" s="92" t="s">
        <v>259</v>
      </c>
      <c r="D21" s="45" t="s">
        <v>168</v>
      </c>
      <c r="E21" s="50" t="s">
        <v>62</v>
      </c>
      <c r="F21" s="140">
        <f>VLOOKUP(C21,'Target allocation'!$B$2:$G$51,6,FALSE)</f>
        <v>0.66666666666666663</v>
      </c>
      <c r="G21" s="84">
        <f t="shared" si="0"/>
        <v>242000</v>
      </c>
      <c r="H21" s="43">
        <f>VLOOKUP(C21,'Target allocation'!$B$2:$AF$51,19,FALSE)</f>
        <v>0</v>
      </c>
      <c r="I21" s="43">
        <f>VLOOKUP(C21,'Target allocation'!$B$2:$AF$51,20,FALSE)</f>
        <v>0</v>
      </c>
      <c r="J21" s="43">
        <f>VLOOKUP(C21,'Target allocation'!$B$2:$AF$51,21,FALSE)</f>
        <v>0</v>
      </c>
      <c r="K21" s="43">
        <f>VLOOKUP(C21,'Target allocation'!$B$2:$AF$51,22,FALSE)</f>
        <v>0</v>
      </c>
      <c r="L21" s="43">
        <f>VLOOKUP(C21,'Target allocation'!$B$2:$AF$51,23,FALSE)</f>
        <v>30250</v>
      </c>
      <c r="M21" s="43">
        <f>VLOOKUP(C21,'Target allocation'!$B$2:$AF$51,24,FALSE)</f>
        <v>30250</v>
      </c>
      <c r="N21" s="43">
        <f>VLOOKUP(C21,'Target allocation'!$B$2:$AF$51,25,FALSE)</f>
        <v>30250</v>
      </c>
      <c r="O21" s="43">
        <f>VLOOKUP(C21,'Target allocation'!$B$2:$AF$51,26,FALSE)</f>
        <v>30250</v>
      </c>
      <c r="P21" s="43">
        <f>VLOOKUP(C21,'Target allocation'!$B$2:$AF$51,27,FALSE)</f>
        <v>30250</v>
      </c>
      <c r="Q21" s="43">
        <f>VLOOKUP(C21,'Target allocation'!$B$2:$AF$51,28,FALSE)</f>
        <v>30250</v>
      </c>
      <c r="R21" s="43">
        <f>VLOOKUP(C21,'Target allocation'!$B$2:$AF$51,29,FALSE)</f>
        <v>30250</v>
      </c>
      <c r="S21" s="43">
        <f>VLOOKUP(C21,'Target allocation'!$B$2:$AF$51,30,FALSE)</f>
        <v>30250</v>
      </c>
      <c r="T21" s="43">
        <f t="shared" si="1"/>
        <v>242000</v>
      </c>
    </row>
    <row r="22" spans="1:20" s="17" customFormat="1" x14ac:dyDescent="0.2">
      <c r="A22" s="43" t="s">
        <v>180</v>
      </c>
      <c r="B22" s="51" t="s">
        <v>75</v>
      </c>
      <c r="C22" s="92" t="s">
        <v>260</v>
      </c>
      <c r="D22" s="45" t="s">
        <v>168</v>
      </c>
      <c r="E22" s="50" t="s">
        <v>62</v>
      </c>
      <c r="F22" s="140">
        <f>VLOOKUP(C22,'Target allocation'!$B$2:$G$51,6,FALSE)</f>
        <v>0.5</v>
      </c>
      <c r="G22" s="84">
        <f t="shared" ref="G22" si="2">SUM(H22:S22)</f>
        <v>181500</v>
      </c>
      <c r="H22" s="43">
        <f>VLOOKUP(C22,'Target allocation'!$B$2:$AF$51,19,FALSE)</f>
        <v>0</v>
      </c>
      <c r="I22" s="43">
        <f>VLOOKUP(C22,'Target allocation'!$B$2:$AF$51,20,FALSE)</f>
        <v>0</v>
      </c>
      <c r="J22" s="43">
        <f>VLOOKUP(C22,'Target allocation'!$B$2:$AF$51,21,FALSE)</f>
        <v>0</v>
      </c>
      <c r="K22" s="43">
        <f>VLOOKUP(C22,'Target allocation'!$B$2:$AF$51,22,FALSE)</f>
        <v>0</v>
      </c>
      <c r="L22" s="43">
        <f>VLOOKUP(C22,'Target allocation'!$B$2:$AF$51,23,FALSE)</f>
        <v>0</v>
      </c>
      <c r="M22" s="43">
        <f>VLOOKUP(C22,'Target allocation'!$B$2:$AF$51,24,FALSE)</f>
        <v>0</v>
      </c>
      <c r="N22" s="43">
        <f>VLOOKUP(C22,'Target allocation'!$B$2:$AF$51,25,FALSE)</f>
        <v>30250</v>
      </c>
      <c r="O22" s="43">
        <f>VLOOKUP(C22,'Target allocation'!$B$2:$AF$51,26,FALSE)</f>
        <v>30250</v>
      </c>
      <c r="P22" s="43">
        <f>VLOOKUP(C22,'Target allocation'!$B$2:$AF$51,27,FALSE)</f>
        <v>30250</v>
      </c>
      <c r="Q22" s="43">
        <f>VLOOKUP(C22,'Target allocation'!$B$2:$AF$51,28,FALSE)</f>
        <v>30250</v>
      </c>
      <c r="R22" s="43">
        <f>VLOOKUP(C22,'Target allocation'!$B$2:$AF$51,29,FALSE)</f>
        <v>30250</v>
      </c>
      <c r="S22" s="43">
        <f>VLOOKUP(C22,'Target allocation'!$B$2:$AF$51,30,FALSE)</f>
        <v>30250</v>
      </c>
      <c r="T22" s="43">
        <f t="shared" ref="T22" si="3">SUM(H22:S22)</f>
        <v>181500</v>
      </c>
    </row>
    <row r="23" spans="1:20" s="17" customFormat="1" x14ac:dyDescent="0.2">
      <c r="A23" s="43" t="s">
        <v>180</v>
      </c>
      <c r="B23" s="51" t="s">
        <v>75</v>
      </c>
      <c r="C23" s="45" t="s">
        <v>200</v>
      </c>
      <c r="D23" s="45"/>
      <c r="E23" s="45" t="s">
        <v>69</v>
      </c>
      <c r="F23" s="140"/>
      <c r="G23" s="84">
        <f t="shared" si="0"/>
        <v>540000</v>
      </c>
      <c r="H23" s="43">
        <f>VLOOKUP(C23,'Target allocation'!$B$2:$AF$51,19,FALSE)</f>
        <v>75000</v>
      </c>
      <c r="I23" s="43">
        <f>VLOOKUP(C23,'Target allocation'!$B$2:$AF$51,20,FALSE)</f>
        <v>75000</v>
      </c>
      <c r="J23" s="43">
        <f>VLOOKUP(C23,'Target allocation'!$B$2:$AF$51,21,FALSE)</f>
        <v>75000</v>
      </c>
      <c r="K23" s="43">
        <f>VLOOKUP(C23,'Target allocation'!$B$2:$AF$51,22,FALSE)</f>
        <v>75000</v>
      </c>
      <c r="L23" s="43">
        <f>VLOOKUP(C23,'Target allocation'!$B$2:$AF$51,23,FALSE)</f>
        <v>30000</v>
      </c>
      <c r="M23" s="43">
        <f>VLOOKUP(C23,'Target allocation'!$B$2:$AF$51,24,FALSE)</f>
        <v>30000</v>
      </c>
      <c r="N23" s="43">
        <f>VLOOKUP(C23,'Target allocation'!$B$2:$AF$51,25,FALSE)</f>
        <v>30000</v>
      </c>
      <c r="O23" s="43">
        <f>VLOOKUP(C23,'Target allocation'!$B$2:$AF$51,26,FALSE)</f>
        <v>30000</v>
      </c>
      <c r="P23" s="43">
        <f>VLOOKUP(C23,'Target allocation'!$B$2:$AF$51,27,FALSE)</f>
        <v>30000</v>
      </c>
      <c r="Q23" s="43">
        <f>VLOOKUP(C23,'Target allocation'!$B$2:$AF$51,28,FALSE)</f>
        <v>30000</v>
      </c>
      <c r="R23" s="43">
        <f>VLOOKUP(C23,'Target allocation'!$B$2:$AF$51,29,FALSE)</f>
        <v>30000</v>
      </c>
      <c r="S23" s="43">
        <f>VLOOKUP(C23,'Target allocation'!$B$2:$AF$51,30,FALSE)</f>
        <v>30000</v>
      </c>
      <c r="T23" s="43">
        <f t="shared" si="1"/>
        <v>540000</v>
      </c>
    </row>
    <row r="24" spans="1:20" s="17" customFormat="1" x14ac:dyDescent="0.2">
      <c r="A24" s="43" t="s">
        <v>23</v>
      </c>
      <c r="B24" s="50" t="s">
        <v>0</v>
      </c>
      <c r="C24" s="45" t="s">
        <v>38</v>
      </c>
      <c r="D24" s="45" t="s">
        <v>37</v>
      </c>
      <c r="E24" s="45" t="s">
        <v>69</v>
      </c>
      <c r="F24" s="141"/>
      <c r="G24" s="84">
        <f t="shared" si="0"/>
        <v>16200</v>
      </c>
      <c r="H24" s="43">
        <f t="shared" ref="H24:S24" si="4">450*3</f>
        <v>1350</v>
      </c>
      <c r="I24" s="43">
        <f t="shared" si="4"/>
        <v>1350</v>
      </c>
      <c r="J24" s="43">
        <f t="shared" si="4"/>
        <v>1350</v>
      </c>
      <c r="K24" s="43">
        <f t="shared" si="4"/>
        <v>1350</v>
      </c>
      <c r="L24" s="43">
        <f t="shared" si="4"/>
        <v>1350</v>
      </c>
      <c r="M24" s="43">
        <f t="shared" si="4"/>
        <v>1350</v>
      </c>
      <c r="N24" s="43">
        <f t="shared" si="4"/>
        <v>1350</v>
      </c>
      <c r="O24" s="43">
        <f t="shared" si="4"/>
        <v>1350</v>
      </c>
      <c r="P24" s="43">
        <f t="shared" si="4"/>
        <v>1350</v>
      </c>
      <c r="Q24" s="43">
        <f t="shared" si="4"/>
        <v>1350</v>
      </c>
      <c r="R24" s="43">
        <f t="shared" si="4"/>
        <v>1350</v>
      </c>
      <c r="S24" s="43">
        <f t="shared" si="4"/>
        <v>1350</v>
      </c>
      <c r="T24" s="43">
        <f t="shared" si="1"/>
        <v>16200</v>
      </c>
    </row>
    <row r="25" spans="1:20" s="17" customFormat="1" x14ac:dyDescent="0.2">
      <c r="A25" s="43" t="s">
        <v>23</v>
      </c>
      <c r="B25" s="50" t="s">
        <v>0</v>
      </c>
      <c r="C25" s="45" t="s">
        <v>23</v>
      </c>
      <c r="D25" s="45"/>
      <c r="E25" s="45"/>
      <c r="F25" s="141"/>
      <c r="G25" s="84">
        <f t="shared" si="0"/>
        <v>152000</v>
      </c>
      <c r="H25" s="43">
        <v>10500</v>
      </c>
      <c r="I25" s="43">
        <v>10500</v>
      </c>
      <c r="J25" s="43">
        <v>10500</v>
      </c>
      <c r="K25" s="43">
        <v>10500</v>
      </c>
      <c r="L25" s="43">
        <v>12500</v>
      </c>
      <c r="M25" s="43">
        <v>12500</v>
      </c>
      <c r="N25" s="43">
        <v>12500</v>
      </c>
      <c r="O25" s="43">
        <v>12500</v>
      </c>
      <c r="P25" s="43">
        <v>15000</v>
      </c>
      <c r="Q25" s="43">
        <v>15000</v>
      </c>
      <c r="R25" s="43">
        <v>15000</v>
      </c>
      <c r="S25" s="43">
        <v>15000</v>
      </c>
      <c r="T25" s="43">
        <f t="shared" si="1"/>
        <v>152000</v>
      </c>
    </row>
    <row r="26" spans="1:20" s="17" customFormat="1" x14ac:dyDescent="0.2">
      <c r="A26" s="43" t="s">
        <v>64</v>
      </c>
      <c r="B26" s="50" t="s">
        <v>0</v>
      </c>
      <c r="C26" s="45" t="s">
        <v>34</v>
      </c>
      <c r="D26" s="45" t="s">
        <v>33</v>
      </c>
      <c r="E26" s="45" t="s">
        <v>69</v>
      </c>
      <c r="F26" s="141"/>
      <c r="G26" s="84">
        <f t="shared" si="0"/>
        <v>132000.00000000015</v>
      </c>
      <c r="H26" s="43">
        <f>3666.66666666667*3</f>
        <v>11000.000000000011</v>
      </c>
      <c r="I26" s="43">
        <f>3666.66666666667*3</f>
        <v>11000.000000000011</v>
      </c>
      <c r="J26" s="43">
        <f>3666.66666666667*3</f>
        <v>11000.000000000011</v>
      </c>
      <c r="K26" s="43">
        <f>3666.66666666667*3</f>
        <v>11000.000000000011</v>
      </c>
      <c r="L26" s="43">
        <f t="shared" ref="L26:S26" si="5">3666.66666666667*3</f>
        <v>11000.000000000011</v>
      </c>
      <c r="M26" s="43">
        <f t="shared" si="5"/>
        <v>11000.000000000011</v>
      </c>
      <c r="N26" s="43">
        <f t="shared" si="5"/>
        <v>11000.000000000011</v>
      </c>
      <c r="O26" s="43">
        <f t="shared" si="5"/>
        <v>11000.000000000011</v>
      </c>
      <c r="P26" s="43">
        <f t="shared" si="5"/>
        <v>11000.000000000011</v>
      </c>
      <c r="Q26" s="43">
        <f t="shared" si="5"/>
        <v>11000.000000000011</v>
      </c>
      <c r="R26" s="43">
        <f t="shared" si="5"/>
        <v>11000.000000000011</v>
      </c>
      <c r="S26" s="43">
        <f t="shared" si="5"/>
        <v>11000.000000000011</v>
      </c>
      <c r="T26" s="43">
        <f t="shared" si="1"/>
        <v>132000.00000000015</v>
      </c>
    </row>
    <row r="27" spans="1:20" s="17" customFormat="1" x14ac:dyDescent="0.2">
      <c r="A27" s="43" t="s">
        <v>64</v>
      </c>
      <c r="B27" s="50" t="s">
        <v>0</v>
      </c>
      <c r="C27" s="45" t="s">
        <v>36</v>
      </c>
      <c r="D27" s="45" t="s">
        <v>35</v>
      </c>
      <c r="E27" s="45" t="s">
        <v>69</v>
      </c>
      <c r="F27" s="141"/>
      <c r="G27" s="84">
        <f t="shared" si="0"/>
        <v>36000</v>
      </c>
      <c r="H27" s="43">
        <f>1000*3</f>
        <v>3000</v>
      </c>
      <c r="I27" s="43">
        <f>1000*3</f>
        <v>3000</v>
      </c>
      <c r="J27" s="43">
        <f>1000*3</f>
        <v>3000</v>
      </c>
      <c r="K27" s="43">
        <f>1000*3</f>
        <v>3000</v>
      </c>
      <c r="L27" s="43">
        <f t="shared" ref="L27:S27" si="6">1000*3</f>
        <v>3000</v>
      </c>
      <c r="M27" s="43">
        <f t="shared" si="6"/>
        <v>3000</v>
      </c>
      <c r="N27" s="43">
        <f t="shared" si="6"/>
        <v>3000</v>
      </c>
      <c r="O27" s="43">
        <f t="shared" si="6"/>
        <v>3000</v>
      </c>
      <c r="P27" s="43">
        <f t="shared" si="6"/>
        <v>3000</v>
      </c>
      <c r="Q27" s="43">
        <f t="shared" si="6"/>
        <v>3000</v>
      </c>
      <c r="R27" s="43">
        <f t="shared" si="6"/>
        <v>3000</v>
      </c>
      <c r="S27" s="43">
        <f t="shared" si="6"/>
        <v>3000</v>
      </c>
      <c r="T27" s="43">
        <f t="shared" si="1"/>
        <v>36000</v>
      </c>
    </row>
    <row r="28" spans="1:20" s="17" customFormat="1" x14ac:dyDescent="0.2">
      <c r="A28" s="43" t="s">
        <v>64</v>
      </c>
      <c r="B28" s="50" t="s">
        <v>0</v>
      </c>
      <c r="C28" s="45" t="s">
        <v>25</v>
      </c>
      <c r="D28" s="45"/>
      <c r="E28" s="45"/>
      <c r="F28" s="141"/>
      <c r="G28" s="84">
        <f t="shared" si="0"/>
        <v>24000</v>
      </c>
      <c r="H28" s="43">
        <f>8000/4</f>
        <v>2000</v>
      </c>
      <c r="I28" s="43">
        <f t="shared" ref="I28:R28" si="7">8000/4</f>
        <v>2000</v>
      </c>
      <c r="J28" s="43">
        <f t="shared" si="7"/>
        <v>2000</v>
      </c>
      <c r="K28" s="43">
        <f t="shared" si="7"/>
        <v>2000</v>
      </c>
      <c r="L28" s="43">
        <f t="shared" si="7"/>
        <v>2000</v>
      </c>
      <c r="M28" s="43">
        <f t="shared" si="7"/>
        <v>2000</v>
      </c>
      <c r="N28" s="43">
        <f t="shared" si="7"/>
        <v>2000</v>
      </c>
      <c r="O28" s="43">
        <f t="shared" si="7"/>
        <v>2000</v>
      </c>
      <c r="P28" s="43">
        <f t="shared" si="7"/>
        <v>2000</v>
      </c>
      <c r="Q28" s="43">
        <f t="shared" si="7"/>
        <v>2000</v>
      </c>
      <c r="R28" s="43">
        <f t="shared" si="7"/>
        <v>2000</v>
      </c>
      <c r="S28" s="43">
        <f>8000/4</f>
        <v>2000</v>
      </c>
      <c r="T28" s="43">
        <f t="shared" si="1"/>
        <v>24000</v>
      </c>
    </row>
    <row r="29" spans="1:20" s="17" customFormat="1" x14ac:dyDescent="0.2">
      <c r="A29" s="43" t="s">
        <v>162</v>
      </c>
      <c r="B29" s="51" t="s">
        <v>75</v>
      </c>
      <c r="C29" s="45" t="s">
        <v>46</v>
      </c>
      <c r="D29" s="45" t="s">
        <v>47</v>
      </c>
      <c r="E29" s="50" t="s">
        <v>62</v>
      </c>
      <c r="F29" s="140">
        <f>VLOOKUP(C29,'Target allocation'!$B$2:$G$51,6,FALSE)</f>
        <v>0.90000000000000024</v>
      </c>
      <c r="G29" s="84">
        <f t="shared" si="0"/>
        <v>742500</v>
      </c>
      <c r="H29" s="43">
        <f>VLOOKUP(C29,'Target allocation'!$B$2:$AF$51,19,FALSE)</f>
        <v>61875</v>
      </c>
      <c r="I29" s="43">
        <f>VLOOKUP(C29,'Target allocation'!$B$2:$AF$51,20,FALSE)</f>
        <v>61875</v>
      </c>
      <c r="J29" s="43">
        <f>VLOOKUP(C29,'Target allocation'!$B$2:$AF$51,21,FALSE)</f>
        <v>61875</v>
      </c>
      <c r="K29" s="43">
        <f>VLOOKUP(C29,'Target allocation'!$B$2:$AF$51,22,FALSE)</f>
        <v>61875</v>
      </c>
      <c r="L29" s="43">
        <f>VLOOKUP(C29,'Target allocation'!$B$2:$AF$51,23,FALSE)</f>
        <v>61875</v>
      </c>
      <c r="M29" s="43">
        <f>VLOOKUP(C29,'Target allocation'!$B$2:$AF$51,24,FALSE)</f>
        <v>61875</v>
      </c>
      <c r="N29" s="43">
        <f>VLOOKUP(C29,'Target allocation'!$B$2:$AF$51,25,FALSE)</f>
        <v>61875</v>
      </c>
      <c r="O29" s="43">
        <f>VLOOKUP(C29,'Target allocation'!$B$2:$AF$51,26,FALSE)</f>
        <v>61875</v>
      </c>
      <c r="P29" s="43">
        <f>VLOOKUP(C29,'Target allocation'!$B$2:$AF$51,27,FALSE)</f>
        <v>61875</v>
      </c>
      <c r="Q29" s="43">
        <f>VLOOKUP(C29,'Target allocation'!$B$2:$AF$51,28,FALSE)</f>
        <v>61875</v>
      </c>
      <c r="R29" s="43">
        <f>VLOOKUP(C29,'Target allocation'!$B$2:$AF$51,29,FALSE)</f>
        <v>61875</v>
      </c>
      <c r="S29" s="43">
        <f>VLOOKUP(C29,'Target allocation'!$B$2:$AF$51,30,FALSE)</f>
        <v>61875</v>
      </c>
      <c r="T29" s="43">
        <f t="shared" si="1"/>
        <v>742500</v>
      </c>
    </row>
    <row r="30" spans="1:20" s="17" customFormat="1" x14ac:dyDescent="0.2">
      <c r="A30" s="43" t="s">
        <v>162</v>
      </c>
      <c r="B30" s="51" t="s">
        <v>75</v>
      </c>
      <c r="C30" s="45" t="s">
        <v>167</v>
      </c>
      <c r="D30" s="45" t="s">
        <v>48</v>
      </c>
      <c r="E30" s="50" t="s">
        <v>62</v>
      </c>
      <c r="F30" s="140">
        <f>VLOOKUP(C30,'Target allocation'!$B$2:$G$51,6,FALSE)</f>
        <v>0.79999999999999993</v>
      </c>
      <c r="G30" s="84">
        <f t="shared" si="0"/>
        <v>660000</v>
      </c>
      <c r="H30" s="43">
        <f>VLOOKUP(C30,'Target allocation'!$B$2:$AF$51,19,FALSE)</f>
        <v>55000</v>
      </c>
      <c r="I30" s="43">
        <f>VLOOKUP(C30,'Target allocation'!$B$2:$AF$51,20,FALSE)</f>
        <v>55000</v>
      </c>
      <c r="J30" s="43">
        <f>VLOOKUP(C30,'Target allocation'!$B$2:$AF$51,21,FALSE)</f>
        <v>55000</v>
      </c>
      <c r="K30" s="43">
        <f>VLOOKUP(C30,'Target allocation'!$B$2:$AF$51,22,FALSE)</f>
        <v>55000</v>
      </c>
      <c r="L30" s="43">
        <f>VLOOKUP(C30,'Target allocation'!$B$2:$AF$51,23,FALSE)</f>
        <v>55000</v>
      </c>
      <c r="M30" s="43">
        <f>VLOOKUP(C30,'Target allocation'!$B$2:$AF$51,24,FALSE)</f>
        <v>55000</v>
      </c>
      <c r="N30" s="43">
        <f>VLOOKUP(C30,'Target allocation'!$B$2:$AF$51,25,FALSE)</f>
        <v>55000</v>
      </c>
      <c r="O30" s="43">
        <f>VLOOKUP(C30,'Target allocation'!$B$2:$AF$51,26,FALSE)</f>
        <v>55000</v>
      </c>
      <c r="P30" s="43">
        <f>VLOOKUP(C30,'Target allocation'!$B$2:$AF$51,27,FALSE)</f>
        <v>55000</v>
      </c>
      <c r="Q30" s="43">
        <f>VLOOKUP(C30,'Target allocation'!$B$2:$AF$51,28,FALSE)</f>
        <v>55000</v>
      </c>
      <c r="R30" s="43">
        <f>VLOOKUP(C30,'Target allocation'!$B$2:$AF$51,29,FALSE)</f>
        <v>55000</v>
      </c>
      <c r="S30" s="43">
        <f>VLOOKUP(C30,'Target allocation'!$B$2:$AF$51,30,FALSE)</f>
        <v>55000</v>
      </c>
      <c r="T30" s="43">
        <f t="shared" si="1"/>
        <v>660000</v>
      </c>
    </row>
    <row r="31" spans="1:20" s="17" customFormat="1" x14ac:dyDescent="0.2">
      <c r="A31" s="43" t="s">
        <v>63</v>
      </c>
      <c r="B31" s="50" t="s">
        <v>0</v>
      </c>
      <c r="C31" s="45" t="s">
        <v>32</v>
      </c>
      <c r="D31" s="45" t="s">
        <v>166</v>
      </c>
      <c r="E31" s="45" t="s">
        <v>62</v>
      </c>
      <c r="F31" s="140">
        <v>1</v>
      </c>
      <c r="G31" s="84">
        <f t="shared" si="0"/>
        <v>183891.00000000012</v>
      </c>
      <c r="H31" s="43">
        <f>4086.46666666667/80*100*3</f>
        <v>15324.250000000013</v>
      </c>
      <c r="I31" s="43">
        <f t="shared" ref="I31:S31" si="8">4086.46666666667/80*100*3</f>
        <v>15324.250000000013</v>
      </c>
      <c r="J31" s="43">
        <f t="shared" si="8"/>
        <v>15324.250000000013</v>
      </c>
      <c r="K31" s="43">
        <f t="shared" si="8"/>
        <v>15324.250000000013</v>
      </c>
      <c r="L31" s="43">
        <f t="shared" si="8"/>
        <v>15324.250000000013</v>
      </c>
      <c r="M31" s="43">
        <f t="shared" si="8"/>
        <v>15324.250000000013</v>
      </c>
      <c r="N31" s="43">
        <f t="shared" si="8"/>
        <v>15324.250000000013</v>
      </c>
      <c r="O31" s="43">
        <f t="shared" si="8"/>
        <v>15324.250000000013</v>
      </c>
      <c r="P31" s="43">
        <f t="shared" si="8"/>
        <v>15324.250000000013</v>
      </c>
      <c r="Q31" s="43">
        <f t="shared" si="8"/>
        <v>15324.250000000013</v>
      </c>
      <c r="R31" s="43">
        <f t="shared" si="8"/>
        <v>15324.250000000013</v>
      </c>
      <c r="S31" s="43">
        <f t="shared" si="8"/>
        <v>15324.250000000013</v>
      </c>
      <c r="T31" s="43">
        <f t="shared" si="1"/>
        <v>183891.00000000012</v>
      </c>
    </row>
    <row r="32" spans="1:20" s="17" customFormat="1" x14ac:dyDescent="0.2">
      <c r="A32" s="43" t="s">
        <v>63</v>
      </c>
      <c r="B32" s="50" t="s">
        <v>0</v>
      </c>
      <c r="C32" s="45" t="s">
        <v>12</v>
      </c>
      <c r="D32" s="45" t="s">
        <v>39</v>
      </c>
      <c r="E32" s="45" t="s">
        <v>69</v>
      </c>
      <c r="F32" s="141"/>
      <c r="G32" s="84">
        <f t="shared" si="0"/>
        <v>23699.999999999996</v>
      </c>
      <c r="H32" s="43">
        <f t="shared" ref="H32:S32" si="9">658.333333333333*3</f>
        <v>1974.9999999999991</v>
      </c>
      <c r="I32" s="43">
        <f t="shared" si="9"/>
        <v>1974.9999999999991</v>
      </c>
      <c r="J32" s="43">
        <f t="shared" si="9"/>
        <v>1974.9999999999991</v>
      </c>
      <c r="K32" s="43">
        <f t="shared" si="9"/>
        <v>1974.9999999999991</v>
      </c>
      <c r="L32" s="43">
        <f t="shared" si="9"/>
        <v>1974.9999999999991</v>
      </c>
      <c r="M32" s="43">
        <f t="shared" si="9"/>
        <v>1974.9999999999991</v>
      </c>
      <c r="N32" s="43">
        <f t="shared" si="9"/>
        <v>1974.9999999999991</v>
      </c>
      <c r="O32" s="43">
        <f t="shared" si="9"/>
        <v>1974.9999999999991</v>
      </c>
      <c r="P32" s="43">
        <f t="shared" si="9"/>
        <v>1974.9999999999991</v>
      </c>
      <c r="Q32" s="43">
        <f t="shared" si="9"/>
        <v>1974.9999999999991</v>
      </c>
      <c r="R32" s="43">
        <f t="shared" si="9"/>
        <v>1974.9999999999991</v>
      </c>
      <c r="S32" s="43">
        <f t="shared" si="9"/>
        <v>1974.9999999999991</v>
      </c>
      <c r="T32" s="43">
        <f t="shared" si="1"/>
        <v>23699.999999999996</v>
      </c>
    </row>
    <row r="33" spans="1:20" s="17" customFormat="1" x14ac:dyDescent="0.2">
      <c r="A33" s="43" t="s">
        <v>63</v>
      </c>
      <c r="B33" s="50" t="s">
        <v>0</v>
      </c>
      <c r="C33" s="45" t="s">
        <v>15</v>
      </c>
      <c r="D33" s="45"/>
      <c r="E33" s="45"/>
      <c r="F33" s="141"/>
      <c r="G33" s="84">
        <f t="shared" si="0"/>
        <v>108000</v>
      </c>
      <c r="H33" s="43">
        <f t="shared" ref="H33:S33" si="10">3000*3</f>
        <v>9000</v>
      </c>
      <c r="I33" s="43">
        <f t="shared" si="10"/>
        <v>9000</v>
      </c>
      <c r="J33" s="43">
        <f t="shared" si="10"/>
        <v>9000</v>
      </c>
      <c r="K33" s="43">
        <f t="shared" si="10"/>
        <v>9000</v>
      </c>
      <c r="L33" s="43">
        <f t="shared" si="10"/>
        <v>9000</v>
      </c>
      <c r="M33" s="43">
        <f t="shared" si="10"/>
        <v>9000</v>
      </c>
      <c r="N33" s="43">
        <f t="shared" si="10"/>
        <v>9000</v>
      </c>
      <c r="O33" s="43">
        <f t="shared" si="10"/>
        <v>9000</v>
      </c>
      <c r="P33" s="43">
        <f t="shared" si="10"/>
        <v>9000</v>
      </c>
      <c r="Q33" s="43">
        <f t="shared" si="10"/>
        <v>9000</v>
      </c>
      <c r="R33" s="43">
        <f t="shared" si="10"/>
        <v>9000</v>
      </c>
      <c r="S33" s="43">
        <f t="shared" si="10"/>
        <v>9000</v>
      </c>
      <c r="T33" s="43">
        <f t="shared" si="1"/>
        <v>108000</v>
      </c>
    </row>
    <row r="34" spans="1:20" s="17" customFormat="1" x14ac:dyDescent="0.2">
      <c r="A34" s="43" t="s">
        <v>63</v>
      </c>
      <c r="B34" s="50" t="s">
        <v>0</v>
      </c>
      <c r="C34" s="45" t="s">
        <v>16</v>
      </c>
      <c r="D34" s="45"/>
      <c r="E34" s="45"/>
      <c r="F34" s="141"/>
      <c r="G34" s="84">
        <f t="shared" si="0"/>
        <v>250000</v>
      </c>
      <c r="H34" s="43">
        <f>10000*H88</f>
        <v>30000</v>
      </c>
      <c r="I34" s="43">
        <f t="shared" ref="I34:S34" si="11">10000*I88</f>
        <v>60000</v>
      </c>
      <c r="J34" s="43">
        <f t="shared" si="11"/>
        <v>0</v>
      </c>
      <c r="K34" s="43">
        <f t="shared" si="11"/>
        <v>40000</v>
      </c>
      <c r="L34" s="43">
        <f t="shared" si="11"/>
        <v>40000</v>
      </c>
      <c r="M34" s="43">
        <f t="shared" si="11"/>
        <v>0</v>
      </c>
      <c r="N34" s="43">
        <f t="shared" si="11"/>
        <v>10000</v>
      </c>
      <c r="O34" s="43">
        <f t="shared" si="11"/>
        <v>30000</v>
      </c>
      <c r="P34" s="43">
        <f t="shared" si="11"/>
        <v>20000</v>
      </c>
      <c r="Q34" s="43">
        <f t="shared" si="11"/>
        <v>10000</v>
      </c>
      <c r="R34" s="43">
        <f t="shared" si="11"/>
        <v>0</v>
      </c>
      <c r="S34" s="43">
        <f t="shared" si="11"/>
        <v>10000</v>
      </c>
      <c r="T34" s="43">
        <f t="shared" si="1"/>
        <v>250000</v>
      </c>
    </row>
    <row r="35" spans="1:20" s="17" customFormat="1" x14ac:dyDescent="0.2">
      <c r="A35" s="43" t="s">
        <v>63</v>
      </c>
      <c r="B35" s="50" t="s">
        <v>0</v>
      </c>
      <c r="C35" s="45" t="s">
        <v>17</v>
      </c>
      <c r="D35" s="45"/>
      <c r="E35" s="45"/>
      <c r="F35" s="141"/>
      <c r="G35" s="84">
        <f t="shared" si="0"/>
        <v>152000</v>
      </c>
      <c r="H35" s="43">
        <v>10500</v>
      </c>
      <c r="I35" s="43">
        <v>12500</v>
      </c>
      <c r="J35" s="43">
        <v>13500</v>
      </c>
      <c r="K35" s="43">
        <v>13500</v>
      </c>
      <c r="L35" s="43">
        <v>12500</v>
      </c>
      <c r="M35" s="43">
        <v>12500</v>
      </c>
      <c r="N35" s="43">
        <v>12500</v>
      </c>
      <c r="O35" s="43">
        <v>12500</v>
      </c>
      <c r="P35" s="43">
        <v>13000</v>
      </c>
      <c r="Q35" s="43">
        <v>13000</v>
      </c>
      <c r="R35" s="43">
        <v>13000</v>
      </c>
      <c r="S35" s="43">
        <v>13000</v>
      </c>
      <c r="T35" s="43">
        <f t="shared" si="1"/>
        <v>152000</v>
      </c>
    </row>
    <row r="36" spans="1:20" s="17" customFormat="1" x14ac:dyDescent="0.2">
      <c r="A36" s="43" t="s">
        <v>63</v>
      </c>
      <c r="B36" s="50" t="s">
        <v>0</v>
      </c>
      <c r="C36" s="45" t="s">
        <v>24</v>
      </c>
      <c r="D36" s="45"/>
      <c r="E36" s="45"/>
      <c r="F36" s="141"/>
      <c r="G36" s="84">
        <f t="shared" ref="G36:G80" si="12">SUM(H36:S36)</f>
        <v>26500</v>
      </c>
      <c r="H36" s="43">
        <f>26500*'Tableau recap'!E110</f>
        <v>152.54137582564201</v>
      </c>
      <c r="I36" s="43">
        <f>26500*'Tableau recap'!F110</f>
        <v>270.30994135640412</v>
      </c>
      <c r="J36" s="43">
        <f>26500*'Tableau recap'!G110</f>
        <v>366.19506366005749</v>
      </c>
      <c r="K36" s="43">
        <f>26500*'Tableau recap'!H110</f>
        <v>1576.34321859532</v>
      </c>
      <c r="L36" s="43">
        <f>26500*'Tableau recap'!I110</f>
        <v>1507.6123546372805</v>
      </c>
      <c r="M36" s="43">
        <f>26500*'Tableau recap'!J110</f>
        <v>1902.3195181604235</v>
      </c>
      <c r="N36" s="43">
        <f>26500*'Tableau recap'!K110</f>
        <v>2215.0435570618138</v>
      </c>
      <c r="O36" s="43">
        <f>26500*'Tableau recap'!L110</f>
        <v>2527.7675959632052</v>
      </c>
      <c r="P36" s="43">
        <f>26500*'Tableau recap'!M110</f>
        <v>3995.4668436849629</v>
      </c>
      <c r="Q36" s="43">
        <f>26500*'Tableau recap'!N110</f>
        <v>3995.4668436849629</v>
      </c>
      <c r="R36" s="43">
        <f>26500*'Tableau recap'!O110</f>
        <v>3995.4668436849629</v>
      </c>
      <c r="S36" s="43">
        <f>26500*'Tableau recap'!P110</f>
        <v>3995.4668436849629</v>
      </c>
      <c r="T36" s="43">
        <f t="shared" ref="T36:T80" si="13">SUM(H36:S36)</f>
        <v>26500</v>
      </c>
    </row>
    <row r="37" spans="1:20" s="17" customFormat="1" x14ac:dyDescent="0.2">
      <c r="A37" s="43" t="s">
        <v>58</v>
      </c>
      <c r="B37" s="50" t="s">
        <v>2</v>
      </c>
      <c r="C37" s="45" t="s">
        <v>58</v>
      </c>
      <c r="D37" s="45" t="s">
        <v>58</v>
      </c>
      <c r="E37" s="45" t="s">
        <v>69</v>
      </c>
      <c r="F37" s="140"/>
      <c r="G37" s="84">
        <f t="shared" si="12"/>
        <v>6666.666666666667</v>
      </c>
      <c r="H37" s="43">
        <f>40000/12/6</f>
        <v>555.55555555555554</v>
      </c>
      <c r="I37" s="43">
        <f t="shared" ref="I37:S37" si="14">40000/12/6</f>
        <v>555.55555555555554</v>
      </c>
      <c r="J37" s="43">
        <f t="shared" si="14"/>
        <v>555.55555555555554</v>
      </c>
      <c r="K37" s="43">
        <f t="shared" si="14"/>
        <v>555.55555555555554</v>
      </c>
      <c r="L37" s="43">
        <f t="shared" si="14"/>
        <v>555.55555555555554</v>
      </c>
      <c r="M37" s="43">
        <f t="shared" si="14"/>
        <v>555.55555555555554</v>
      </c>
      <c r="N37" s="43">
        <f t="shared" si="14"/>
        <v>555.55555555555554</v>
      </c>
      <c r="O37" s="43">
        <f t="shared" si="14"/>
        <v>555.55555555555554</v>
      </c>
      <c r="P37" s="43">
        <f t="shared" si="14"/>
        <v>555.55555555555554</v>
      </c>
      <c r="Q37" s="43">
        <f t="shared" si="14"/>
        <v>555.55555555555554</v>
      </c>
      <c r="R37" s="43">
        <f t="shared" si="14"/>
        <v>555.55555555555554</v>
      </c>
      <c r="S37" s="43">
        <f t="shared" si="14"/>
        <v>555.55555555555554</v>
      </c>
      <c r="T37" s="43">
        <f t="shared" si="13"/>
        <v>6666.666666666667</v>
      </c>
    </row>
    <row r="38" spans="1:20" s="17" customFormat="1" x14ac:dyDescent="0.2">
      <c r="A38" s="43" t="s">
        <v>58</v>
      </c>
      <c r="B38" s="50" t="s">
        <v>3</v>
      </c>
      <c r="C38" s="45" t="s">
        <v>58</v>
      </c>
      <c r="D38" s="45" t="s">
        <v>58</v>
      </c>
      <c r="E38" s="45" t="s">
        <v>69</v>
      </c>
      <c r="F38" s="140"/>
      <c r="G38" s="84">
        <f t="shared" si="12"/>
        <v>6666.666666666667</v>
      </c>
      <c r="H38" s="43">
        <f t="shared" ref="H38:S42" si="15">40000/12/6</f>
        <v>555.55555555555554</v>
      </c>
      <c r="I38" s="43">
        <f t="shared" si="15"/>
        <v>555.55555555555554</v>
      </c>
      <c r="J38" s="43">
        <f t="shared" si="15"/>
        <v>555.55555555555554</v>
      </c>
      <c r="K38" s="43">
        <f t="shared" si="15"/>
        <v>555.55555555555554</v>
      </c>
      <c r="L38" s="43">
        <f t="shared" si="15"/>
        <v>555.55555555555554</v>
      </c>
      <c r="M38" s="43">
        <f t="shared" si="15"/>
        <v>555.55555555555554</v>
      </c>
      <c r="N38" s="43">
        <f t="shared" si="15"/>
        <v>555.55555555555554</v>
      </c>
      <c r="O38" s="43">
        <f t="shared" si="15"/>
        <v>555.55555555555554</v>
      </c>
      <c r="P38" s="43">
        <f t="shared" si="15"/>
        <v>555.55555555555554</v>
      </c>
      <c r="Q38" s="43">
        <f t="shared" si="15"/>
        <v>555.55555555555554</v>
      </c>
      <c r="R38" s="43">
        <f t="shared" si="15"/>
        <v>555.55555555555554</v>
      </c>
      <c r="S38" s="43">
        <f t="shared" si="15"/>
        <v>555.55555555555554</v>
      </c>
      <c r="T38" s="43">
        <f t="shared" si="13"/>
        <v>6666.666666666667</v>
      </c>
    </row>
    <row r="39" spans="1:20" s="17" customFormat="1" x14ac:dyDescent="0.2">
      <c r="A39" s="43" t="s">
        <v>58</v>
      </c>
      <c r="B39" s="50" t="s">
        <v>4</v>
      </c>
      <c r="C39" s="45" t="s">
        <v>58</v>
      </c>
      <c r="D39" s="45" t="s">
        <v>58</v>
      </c>
      <c r="E39" s="45" t="s">
        <v>69</v>
      </c>
      <c r="F39" s="140"/>
      <c r="G39" s="84">
        <f t="shared" si="12"/>
        <v>6666.666666666667</v>
      </c>
      <c r="H39" s="43">
        <f t="shared" si="15"/>
        <v>555.55555555555554</v>
      </c>
      <c r="I39" s="43">
        <f t="shared" si="15"/>
        <v>555.55555555555554</v>
      </c>
      <c r="J39" s="43">
        <f t="shared" si="15"/>
        <v>555.55555555555554</v>
      </c>
      <c r="K39" s="43">
        <f t="shared" si="15"/>
        <v>555.55555555555554</v>
      </c>
      <c r="L39" s="43">
        <f t="shared" si="15"/>
        <v>555.55555555555554</v>
      </c>
      <c r="M39" s="43">
        <f t="shared" si="15"/>
        <v>555.55555555555554</v>
      </c>
      <c r="N39" s="43">
        <f t="shared" si="15"/>
        <v>555.55555555555554</v>
      </c>
      <c r="O39" s="43">
        <f t="shared" si="15"/>
        <v>555.55555555555554</v>
      </c>
      <c r="P39" s="43">
        <f t="shared" si="15"/>
        <v>555.55555555555554</v>
      </c>
      <c r="Q39" s="43">
        <f t="shared" si="15"/>
        <v>555.55555555555554</v>
      </c>
      <c r="R39" s="43">
        <f t="shared" si="15"/>
        <v>555.55555555555554</v>
      </c>
      <c r="S39" s="43">
        <f t="shared" si="15"/>
        <v>555.55555555555554</v>
      </c>
      <c r="T39" s="43">
        <f t="shared" si="13"/>
        <v>6666.666666666667</v>
      </c>
    </row>
    <row r="40" spans="1:20" s="17" customFormat="1" x14ac:dyDescent="0.2">
      <c r="A40" s="43" t="s">
        <v>58</v>
      </c>
      <c r="B40" s="50" t="s">
        <v>5</v>
      </c>
      <c r="C40" s="45" t="s">
        <v>58</v>
      </c>
      <c r="D40" s="45" t="s">
        <v>58</v>
      </c>
      <c r="E40" s="45" t="s">
        <v>69</v>
      </c>
      <c r="F40" s="140"/>
      <c r="G40" s="84">
        <f t="shared" si="12"/>
        <v>6666.666666666667</v>
      </c>
      <c r="H40" s="43">
        <f t="shared" si="15"/>
        <v>555.55555555555554</v>
      </c>
      <c r="I40" s="43">
        <f t="shared" si="15"/>
        <v>555.55555555555554</v>
      </c>
      <c r="J40" s="43">
        <f t="shared" si="15"/>
        <v>555.55555555555554</v>
      </c>
      <c r="K40" s="43">
        <f t="shared" si="15"/>
        <v>555.55555555555554</v>
      </c>
      <c r="L40" s="43">
        <f t="shared" si="15"/>
        <v>555.55555555555554</v>
      </c>
      <c r="M40" s="43">
        <f t="shared" si="15"/>
        <v>555.55555555555554</v>
      </c>
      <c r="N40" s="43">
        <f t="shared" si="15"/>
        <v>555.55555555555554</v>
      </c>
      <c r="O40" s="43">
        <f t="shared" si="15"/>
        <v>555.55555555555554</v>
      </c>
      <c r="P40" s="43">
        <f t="shared" si="15"/>
        <v>555.55555555555554</v>
      </c>
      <c r="Q40" s="43">
        <f t="shared" si="15"/>
        <v>555.55555555555554</v>
      </c>
      <c r="R40" s="43">
        <f t="shared" si="15"/>
        <v>555.55555555555554</v>
      </c>
      <c r="S40" s="43">
        <f t="shared" si="15"/>
        <v>555.55555555555554</v>
      </c>
      <c r="T40" s="43">
        <f t="shared" si="13"/>
        <v>6666.666666666667</v>
      </c>
    </row>
    <row r="41" spans="1:20" s="17" customFormat="1" x14ac:dyDescent="0.2">
      <c r="A41" s="43" t="s">
        <v>58</v>
      </c>
      <c r="B41" s="50" t="s">
        <v>9</v>
      </c>
      <c r="C41" s="45" t="s">
        <v>58</v>
      </c>
      <c r="D41" s="45" t="s">
        <v>58</v>
      </c>
      <c r="E41" s="45" t="s">
        <v>69</v>
      </c>
      <c r="F41" s="140"/>
      <c r="G41" s="84">
        <f t="shared" si="12"/>
        <v>6666.666666666667</v>
      </c>
      <c r="H41" s="43">
        <f t="shared" si="15"/>
        <v>555.55555555555554</v>
      </c>
      <c r="I41" s="43">
        <f t="shared" si="15"/>
        <v>555.55555555555554</v>
      </c>
      <c r="J41" s="43">
        <f t="shared" si="15"/>
        <v>555.55555555555554</v>
      </c>
      <c r="K41" s="43">
        <f t="shared" si="15"/>
        <v>555.55555555555554</v>
      </c>
      <c r="L41" s="43">
        <f t="shared" si="15"/>
        <v>555.55555555555554</v>
      </c>
      <c r="M41" s="43">
        <f t="shared" si="15"/>
        <v>555.55555555555554</v>
      </c>
      <c r="N41" s="43">
        <f t="shared" si="15"/>
        <v>555.55555555555554</v>
      </c>
      <c r="O41" s="43">
        <f t="shared" si="15"/>
        <v>555.55555555555554</v>
      </c>
      <c r="P41" s="43">
        <f t="shared" si="15"/>
        <v>555.55555555555554</v>
      </c>
      <c r="Q41" s="43">
        <f t="shared" si="15"/>
        <v>555.55555555555554</v>
      </c>
      <c r="R41" s="43">
        <f t="shared" si="15"/>
        <v>555.55555555555554</v>
      </c>
      <c r="S41" s="43">
        <f t="shared" si="15"/>
        <v>555.55555555555554</v>
      </c>
      <c r="T41" s="43">
        <f t="shared" si="13"/>
        <v>6666.666666666667</v>
      </c>
    </row>
    <row r="42" spans="1:20" s="17" customFormat="1" x14ac:dyDescent="0.2">
      <c r="A42" s="43" t="s">
        <v>58</v>
      </c>
      <c r="B42" s="50" t="s">
        <v>10</v>
      </c>
      <c r="C42" s="45" t="s">
        <v>58</v>
      </c>
      <c r="D42" s="45" t="s">
        <v>58</v>
      </c>
      <c r="E42" s="45" t="s">
        <v>69</v>
      </c>
      <c r="F42" s="140"/>
      <c r="G42" s="84">
        <f t="shared" si="12"/>
        <v>6666.666666666667</v>
      </c>
      <c r="H42" s="43">
        <f t="shared" si="15"/>
        <v>555.55555555555554</v>
      </c>
      <c r="I42" s="43">
        <f t="shared" si="15"/>
        <v>555.55555555555554</v>
      </c>
      <c r="J42" s="43">
        <f t="shared" si="15"/>
        <v>555.55555555555554</v>
      </c>
      <c r="K42" s="43">
        <f t="shared" si="15"/>
        <v>555.55555555555554</v>
      </c>
      <c r="L42" s="43">
        <f t="shared" si="15"/>
        <v>555.55555555555554</v>
      </c>
      <c r="M42" s="43">
        <f t="shared" si="15"/>
        <v>555.55555555555554</v>
      </c>
      <c r="N42" s="43">
        <f t="shared" si="15"/>
        <v>555.55555555555554</v>
      </c>
      <c r="O42" s="43">
        <f t="shared" si="15"/>
        <v>555.55555555555554</v>
      </c>
      <c r="P42" s="43">
        <f t="shared" si="15"/>
        <v>555.55555555555554</v>
      </c>
      <c r="Q42" s="43">
        <f t="shared" si="15"/>
        <v>555.55555555555554</v>
      </c>
      <c r="R42" s="43">
        <f t="shared" si="15"/>
        <v>555.55555555555554</v>
      </c>
      <c r="S42" s="43">
        <f t="shared" si="15"/>
        <v>555.55555555555554</v>
      </c>
      <c r="T42" s="43">
        <f t="shared" si="13"/>
        <v>6666.666666666667</v>
      </c>
    </row>
    <row r="43" spans="1:20" s="17" customFormat="1" x14ac:dyDescent="0.2">
      <c r="A43" s="53" t="s">
        <v>196</v>
      </c>
      <c r="B43" s="51" t="s">
        <v>75</v>
      </c>
      <c r="C43" s="45" t="s">
        <v>197</v>
      </c>
      <c r="D43" s="45" t="s">
        <v>168</v>
      </c>
      <c r="E43" s="50" t="s">
        <v>62</v>
      </c>
      <c r="F43" s="140">
        <f>VLOOKUP(C43,'Target allocation'!$B$2:$G$51,6,FALSE)</f>
        <v>0.41666666666666669</v>
      </c>
      <c r="G43" s="84">
        <f t="shared" si="12"/>
        <v>55000</v>
      </c>
      <c r="H43" s="43">
        <f>VLOOKUP(C43,'Target allocation'!$B$2:$AF$51,19,FALSE)</f>
        <v>0</v>
      </c>
      <c r="I43" s="43">
        <f>VLOOKUP(C43,'Target allocation'!$B$2:$AF$51,20,FALSE)</f>
        <v>2750</v>
      </c>
      <c r="J43" s="43">
        <f>VLOOKUP(C43,'Target allocation'!$B$2:$AF$51,21,FALSE)</f>
        <v>2750</v>
      </c>
      <c r="K43" s="43">
        <f>VLOOKUP(C43,'Target allocation'!$B$2:$AF$51,22,FALSE)</f>
        <v>5500</v>
      </c>
      <c r="L43" s="43">
        <f>VLOOKUP(C43,'Target allocation'!$B$2:$AF$51,23,FALSE)</f>
        <v>5500</v>
      </c>
      <c r="M43" s="43">
        <f>VLOOKUP(C43,'Target allocation'!$B$2:$AF$51,24,FALSE)</f>
        <v>5500</v>
      </c>
      <c r="N43" s="43">
        <f>VLOOKUP(C43,'Target allocation'!$B$2:$AF$51,25,FALSE)</f>
        <v>5500</v>
      </c>
      <c r="O43" s="43">
        <f>VLOOKUP(C43,'Target allocation'!$B$2:$AF$51,26,FALSE)</f>
        <v>5500</v>
      </c>
      <c r="P43" s="43">
        <f>VLOOKUP(C43,'Target allocation'!$B$2:$AF$51,27,FALSE)</f>
        <v>5500</v>
      </c>
      <c r="Q43" s="43">
        <f>VLOOKUP(C43,'Target allocation'!$B$2:$AF$51,28,FALSE)</f>
        <v>5500</v>
      </c>
      <c r="R43" s="43">
        <f>VLOOKUP(C43,'Target allocation'!$B$2:$AF$51,29,FALSE)</f>
        <v>5500</v>
      </c>
      <c r="S43" s="43">
        <f>VLOOKUP(C43,'Target allocation'!$B$2:$AF$51,30,FALSE)</f>
        <v>5500</v>
      </c>
      <c r="T43" s="43">
        <f t="shared" si="13"/>
        <v>55000</v>
      </c>
    </row>
    <row r="44" spans="1:20" s="17" customFormat="1" x14ac:dyDescent="0.2">
      <c r="A44" s="43" t="s">
        <v>163</v>
      </c>
      <c r="B44" s="51" t="s">
        <v>75</v>
      </c>
      <c r="C44" s="45" t="s">
        <v>115</v>
      </c>
      <c r="D44" s="45" t="s">
        <v>137</v>
      </c>
      <c r="E44" s="50" t="s">
        <v>62</v>
      </c>
      <c r="F44" s="140">
        <f>VLOOKUP(C44,'Target allocation'!$B$2:$G$51,6,FALSE)</f>
        <v>1</v>
      </c>
      <c r="G44" s="84">
        <f t="shared" si="12"/>
        <v>324000</v>
      </c>
      <c r="H44" s="43">
        <f>VLOOKUP(C44,'Target allocation'!$B$2:$AF$51,19,FALSE)</f>
        <v>27000</v>
      </c>
      <c r="I44" s="43">
        <f>VLOOKUP(C44,'Target allocation'!$B$2:$AF$51,20,FALSE)</f>
        <v>27000</v>
      </c>
      <c r="J44" s="43">
        <f>VLOOKUP(C44,'Target allocation'!$B$2:$AF$51,21,FALSE)</f>
        <v>27000</v>
      </c>
      <c r="K44" s="43">
        <f>VLOOKUP(C44,'Target allocation'!$B$2:$AF$51,22,FALSE)</f>
        <v>27000</v>
      </c>
      <c r="L44" s="43">
        <f>VLOOKUP(C44,'Target allocation'!$B$2:$AF$51,23,FALSE)</f>
        <v>27000</v>
      </c>
      <c r="M44" s="43">
        <f>VLOOKUP(C44,'Target allocation'!$B$2:$AF$51,24,FALSE)</f>
        <v>27000</v>
      </c>
      <c r="N44" s="43">
        <f>VLOOKUP(C44,'Target allocation'!$B$2:$AF$51,25,FALSE)</f>
        <v>27000</v>
      </c>
      <c r="O44" s="43">
        <f>VLOOKUP(C44,'Target allocation'!$B$2:$AF$51,26,FALSE)</f>
        <v>27000</v>
      </c>
      <c r="P44" s="43">
        <f>VLOOKUP(C44,'Target allocation'!$B$2:$AF$51,27,FALSE)</f>
        <v>27000</v>
      </c>
      <c r="Q44" s="43">
        <f>VLOOKUP(C44,'Target allocation'!$B$2:$AF$51,28,FALSE)</f>
        <v>27000</v>
      </c>
      <c r="R44" s="43">
        <f>VLOOKUP(C44,'Target allocation'!$B$2:$AF$51,29,FALSE)</f>
        <v>27000</v>
      </c>
      <c r="S44" s="43">
        <f>VLOOKUP(C44,'Target allocation'!$B$2:$AF$51,30,FALSE)</f>
        <v>27000</v>
      </c>
      <c r="T44" s="43">
        <f t="shared" si="13"/>
        <v>324000</v>
      </c>
    </row>
    <row r="45" spans="1:20" s="17" customFormat="1" x14ac:dyDescent="0.2">
      <c r="A45" s="43" t="s">
        <v>163</v>
      </c>
      <c r="B45" s="51" t="s">
        <v>75</v>
      </c>
      <c r="C45" s="45" t="s">
        <v>169</v>
      </c>
      <c r="D45" s="45" t="s">
        <v>168</v>
      </c>
      <c r="E45" s="50" t="s">
        <v>62</v>
      </c>
      <c r="F45" s="140">
        <f>VLOOKUP(C45,'Target allocation'!$B$2:$G$51,6,FALSE)</f>
        <v>0.91666666666666663</v>
      </c>
      <c r="G45" s="84">
        <f t="shared" si="12"/>
        <v>332750</v>
      </c>
      <c r="H45" s="43">
        <f>VLOOKUP(C45,'Target allocation'!$B$2:$AF$51,19,FALSE)</f>
        <v>0</v>
      </c>
      <c r="I45" s="43">
        <f>VLOOKUP(C45,'Target allocation'!$B$2:$AF$51,20,FALSE)</f>
        <v>30250</v>
      </c>
      <c r="J45" s="43">
        <f>VLOOKUP(C45,'Target allocation'!$B$2:$AF$51,21,FALSE)</f>
        <v>30250</v>
      </c>
      <c r="K45" s="43">
        <f>VLOOKUP(C45,'Target allocation'!$B$2:$AF$51,22,FALSE)</f>
        <v>30250</v>
      </c>
      <c r="L45" s="43">
        <f>VLOOKUP(C45,'Target allocation'!$B$2:$AF$51,23,FALSE)</f>
        <v>30250</v>
      </c>
      <c r="M45" s="43">
        <f>VLOOKUP(C45,'Target allocation'!$B$2:$AF$51,24,FALSE)</f>
        <v>30250</v>
      </c>
      <c r="N45" s="43">
        <f>VLOOKUP(C45,'Target allocation'!$B$2:$AF$51,25,FALSE)</f>
        <v>30250</v>
      </c>
      <c r="O45" s="43">
        <f>VLOOKUP(C45,'Target allocation'!$B$2:$AF$51,26,FALSE)</f>
        <v>30250</v>
      </c>
      <c r="P45" s="43">
        <f>VLOOKUP(C45,'Target allocation'!$B$2:$AF$51,27,FALSE)</f>
        <v>30250</v>
      </c>
      <c r="Q45" s="43">
        <f>VLOOKUP(C45,'Target allocation'!$B$2:$AF$51,28,FALSE)</f>
        <v>30250</v>
      </c>
      <c r="R45" s="43">
        <f>VLOOKUP(C45,'Target allocation'!$B$2:$AF$51,29,FALSE)</f>
        <v>30250</v>
      </c>
      <c r="S45" s="43">
        <f>VLOOKUP(C45,'Target allocation'!$B$2:$AF$51,30,FALSE)</f>
        <v>30250</v>
      </c>
      <c r="T45" s="43">
        <f t="shared" si="13"/>
        <v>332750</v>
      </c>
    </row>
    <row r="46" spans="1:20" s="17" customFormat="1" x14ac:dyDescent="0.2">
      <c r="A46" s="43" t="s">
        <v>163</v>
      </c>
      <c r="B46" s="51" t="s">
        <v>75</v>
      </c>
      <c r="C46" s="45" t="s">
        <v>170</v>
      </c>
      <c r="D46" s="45" t="s">
        <v>168</v>
      </c>
      <c r="E46" s="50" t="s">
        <v>62</v>
      </c>
      <c r="F46" s="140">
        <f>VLOOKUP(C46,'Target allocation'!$B$2:$G$51,6,FALSE)</f>
        <v>0.75</v>
      </c>
      <c r="G46" s="84">
        <f t="shared" si="12"/>
        <v>272250</v>
      </c>
      <c r="H46" s="43">
        <f>VLOOKUP(C46,'Target allocation'!$B$2:$AF$51,19,FALSE)</f>
        <v>0</v>
      </c>
      <c r="I46" s="43">
        <f>VLOOKUP(C46,'Target allocation'!$B$2:$AF$51,20,FALSE)</f>
        <v>0</v>
      </c>
      <c r="J46" s="43">
        <f>VLOOKUP(C46,'Target allocation'!$B$2:$AF$51,21,FALSE)</f>
        <v>0</v>
      </c>
      <c r="K46" s="43">
        <f>VLOOKUP(C46,'Target allocation'!$B$2:$AF$51,22,FALSE)</f>
        <v>30250</v>
      </c>
      <c r="L46" s="43">
        <f>VLOOKUP(C46,'Target allocation'!$B$2:$AF$51,23,FALSE)</f>
        <v>30250</v>
      </c>
      <c r="M46" s="43">
        <f>VLOOKUP(C46,'Target allocation'!$B$2:$AF$51,24,FALSE)</f>
        <v>30250</v>
      </c>
      <c r="N46" s="43">
        <f>VLOOKUP(C46,'Target allocation'!$B$2:$AF$51,25,FALSE)</f>
        <v>30250</v>
      </c>
      <c r="O46" s="43">
        <f>VLOOKUP(C46,'Target allocation'!$B$2:$AF$51,26,FALSE)</f>
        <v>30250</v>
      </c>
      <c r="P46" s="43">
        <f>VLOOKUP(C46,'Target allocation'!$B$2:$AF$51,27,FALSE)</f>
        <v>30250</v>
      </c>
      <c r="Q46" s="43">
        <f>VLOOKUP(C46,'Target allocation'!$B$2:$AF$51,28,FALSE)</f>
        <v>30250</v>
      </c>
      <c r="R46" s="43">
        <f>VLOOKUP(C46,'Target allocation'!$B$2:$AF$51,29,FALSE)</f>
        <v>30250</v>
      </c>
      <c r="S46" s="43">
        <f>VLOOKUP(C46,'Target allocation'!$B$2:$AF$51,30,FALSE)</f>
        <v>30250</v>
      </c>
      <c r="T46" s="43">
        <f t="shared" si="13"/>
        <v>272250</v>
      </c>
    </row>
    <row r="47" spans="1:20" s="17" customFormat="1" x14ac:dyDescent="0.2">
      <c r="A47" s="43" t="s">
        <v>163</v>
      </c>
      <c r="B47" s="51" t="s">
        <v>75</v>
      </c>
      <c r="C47" s="45" t="s">
        <v>172</v>
      </c>
      <c r="D47" s="45" t="s">
        <v>168</v>
      </c>
      <c r="E47" s="50" t="s">
        <v>62</v>
      </c>
      <c r="F47" s="140">
        <f>VLOOKUP(C47,'Target allocation'!$B$2:$G$51,6,FALSE)</f>
        <v>0.41666666666666669</v>
      </c>
      <c r="G47" s="84">
        <f t="shared" si="12"/>
        <v>96250</v>
      </c>
      <c r="H47" s="43">
        <f>VLOOKUP(C47,'Target allocation'!$B$2:$AF$51,19,FALSE)</f>
        <v>0</v>
      </c>
      <c r="I47" s="43">
        <f>VLOOKUP(C47,'Target allocation'!$B$2:$AF$51,20,FALSE)</f>
        <v>0</v>
      </c>
      <c r="J47" s="43">
        <f>VLOOKUP(C47,'Target allocation'!$B$2:$AF$51,21,FALSE)</f>
        <v>0</v>
      </c>
      <c r="K47" s="43">
        <f>VLOOKUP(C47,'Target allocation'!$B$2:$AF$51,22,FALSE)</f>
        <v>0</v>
      </c>
      <c r="L47" s="43">
        <f>VLOOKUP(C47,'Target allocation'!$B$2:$AF$51,23,FALSE)</f>
        <v>0</v>
      </c>
      <c r="M47" s="43">
        <f>VLOOKUP(C47,'Target allocation'!$B$2:$AF$51,24,FALSE)</f>
        <v>0</v>
      </c>
      <c r="N47" s="43">
        <f>VLOOKUP(C47,'Target allocation'!$B$2:$AF$51,25,FALSE)</f>
        <v>0</v>
      </c>
      <c r="O47" s="43">
        <f>VLOOKUP(C47,'Target allocation'!$B$2:$AF$51,26,FALSE)</f>
        <v>19250</v>
      </c>
      <c r="P47" s="43">
        <f>VLOOKUP(C47,'Target allocation'!$B$2:$AF$51,27,FALSE)</f>
        <v>19250</v>
      </c>
      <c r="Q47" s="43">
        <f>VLOOKUP(C47,'Target allocation'!$B$2:$AF$51,28,FALSE)</f>
        <v>19250</v>
      </c>
      <c r="R47" s="43">
        <f>VLOOKUP(C47,'Target allocation'!$B$2:$AF$51,29,FALSE)</f>
        <v>19250</v>
      </c>
      <c r="S47" s="43">
        <f>VLOOKUP(C47,'Target allocation'!$B$2:$AF$51,30,FALSE)</f>
        <v>19250</v>
      </c>
      <c r="T47" s="43">
        <f t="shared" si="13"/>
        <v>96250</v>
      </c>
    </row>
    <row r="48" spans="1:20" s="17" customFormat="1" ht="14.75" customHeight="1" x14ac:dyDescent="0.2">
      <c r="A48" s="43" t="s">
        <v>163</v>
      </c>
      <c r="B48" s="51" t="s">
        <v>75</v>
      </c>
      <c r="C48" s="45" t="s">
        <v>173</v>
      </c>
      <c r="D48" s="45" t="s">
        <v>168</v>
      </c>
      <c r="E48" s="50" t="s">
        <v>62</v>
      </c>
      <c r="F48" s="140">
        <f>VLOOKUP(C48,'Target allocation'!$B$2:$G$51,6,FALSE)</f>
        <v>0.41666666666666669</v>
      </c>
      <c r="G48" s="84">
        <f t="shared" si="12"/>
        <v>96250</v>
      </c>
      <c r="H48" s="43">
        <f>VLOOKUP(C48,'Target allocation'!$B$2:$AF$51,19,FALSE)</f>
        <v>0</v>
      </c>
      <c r="I48" s="43">
        <f>VLOOKUP(C48,'Target allocation'!$B$2:$AF$51,20,FALSE)</f>
        <v>0</v>
      </c>
      <c r="J48" s="43">
        <f>VLOOKUP(C48,'Target allocation'!$B$2:$AF$51,21,FALSE)</f>
        <v>0</v>
      </c>
      <c r="K48" s="43">
        <f>VLOOKUP(C48,'Target allocation'!$B$2:$AF$51,22,FALSE)</f>
        <v>0</v>
      </c>
      <c r="L48" s="43">
        <f>VLOOKUP(C48,'Target allocation'!$B$2:$AF$51,23,FALSE)</f>
        <v>0</v>
      </c>
      <c r="M48" s="43">
        <f>VLOOKUP(C48,'Target allocation'!$B$2:$AF$51,24,FALSE)</f>
        <v>0</v>
      </c>
      <c r="N48" s="43">
        <f>VLOOKUP(C48,'Target allocation'!$B$2:$AF$51,25,FALSE)</f>
        <v>0</v>
      </c>
      <c r="O48" s="43">
        <f>VLOOKUP(C48,'Target allocation'!$B$2:$AF$51,26,FALSE)</f>
        <v>19250</v>
      </c>
      <c r="P48" s="43">
        <f>VLOOKUP(C48,'Target allocation'!$B$2:$AF$51,27,FALSE)</f>
        <v>19250</v>
      </c>
      <c r="Q48" s="43">
        <f>VLOOKUP(C48,'Target allocation'!$B$2:$AF$51,28,FALSE)</f>
        <v>19250</v>
      </c>
      <c r="R48" s="43">
        <f>VLOOKUP(C48,'Target allocation'!$B$2:$AF$51,29,FALSE)</f>
        <v>19250</v>
      </c>
      <c r="S48" s="43">
        <f>VLOOKUP(C48,'Target allocation'!$B$2:$AF$51,30,FALSE)</f>
        <v>19250</v>
      </c>
      <c r="T48" s="43">
        <f t="shared" si="13"/>
        <v>96250</v>
      </c>
    </row>
    <row r="49" spans="1:20" s="17" customFormat="1" ht="14.75" customHeight="1" x14ac:dyDescent="0.2">
      <c r="A49" s="43" t="s">
        <v>163</v>
      </c>
      <c r="B49" s="51" t="s">
        <v>75</v>
      </c>
      <c r="C49" s="45" t="s">
        <v>171</v>
      </c>
      <c r="D49" s="45" t="s">
        <v>168</v>
      </c>
      <c r="E49" s="50" t="s">
        <v>62</v>
      </c>
      <c r="F49" s="140">
        <f>VLOOKUP(C49,'Target allocation'!$B$2:$G$51,6,FALSE)</f>
        <v>0.41666666666666669</v>
      </c>
      <c r="G49" s="84">
        <f t="shared" si="12"/>
        <v>96250</v>
      </c>
      <c r="H49" s="43">
        <f>VLOOKUP(C49,'Target allocation'!$B$2:$AF$51,19,FALSE)</f>
        <v>0</v>
      </c>
      <c r="I49" s="43">
        <f>VLOOKUP(C49,'Target allocation'!$B$2:$AF$51,20,FALSE)</f>
        <v>0</v>
      </c>
      <c r="J49" s="43">
        <f>VLOOKUP(C49,'Target allocation'!$B$2:$AF$51,21,FALSE)</f>
        <v>0</v>
      </c>
      <c r="K49" s="43">
        <f>VLOOKUP(C49,'Target allocation'!$B$2:$AF$51,22,FALSE)</f>
        <v>0</v>
      </c>
      <c r="L49" s="43">
        <f>VLOOKUP(C49,'Target allocation'!$B$2:$AF$51,23,FALSE)</f>
        <v>0</v>
      </c>
      <c r="M49" s="43">
        <f>VLOOKUP(C49,'Target allocation'!$B$2:$AF$51,24,FALSE)</f>
        <v>0</v>
      </c>
      <c r="N49" s="43">
        <f>VLOOKUP(C49,'Target allocation'!$B$2:$AF$51,25,FALSE)</f>
        <v>0</v>
      </c>
      <c r="O49" s="43">
        <f>VLOOKUP(C49,'Target allocation'!$B$2:$AF$51,26,FALSE)</f>
        <v>19250</v>
      </c>
      <c r="P49" s="43">
        <f>VLOOKUP(C49,'Target allocation'!$B$2:$AF$51,27,FALSE)</f>
        <v>19250</v>
      </c>
      <c r="Q49" s="43">
        <f>VLOOKUP(C49,'Target allocation'!$B$2:$AF$51,28,FALSE)</f>
        <v>19250</v>
      </c>
      <c r="R49" s="43">
        <f>VLOOKUP(C49,'Target allocation'!$B$2:$AF$51,29,FALSE)</f>
        <v>19250</v>
      </c>
      <c r="S49" s="43">
        <f>VLOOKUP(C49,'Target allocation'!$B$2:$AF$51,30,FALSE)</f>
        <v>19250</v>
      </c>
      <c r="T49" s="43">
        <f t="shared" si="13"/>
        <v>96250</v>
      </c>
    </row>
    <row r="50" spans="1:20" s="17" customFormat="1" x14ac:dyDescent="0.2">
      <c r="A50" s="43" t="s">
        <v>163</v>
      </c>
      <c r="B50" s="51" t="s">
        <v>75</v>
      </c>
      <c r="C50" s="45" t="s">
        <v>199</v>
      </c>
      <c r="D50" s="45"/>
      <c r="E50" s="45" t="s">
        <v>69</v>
      </c>
      <c r="F50" s="140"/>
      <c r="G50" s="84">
        <f t="shared" si="12"/>
        <v>12000</v>
      </c>
      <c r="H50" s="43">
        <f>VLOOKUP(C50,'Target allocation'!$B$2:$AF$51,19,FALSE)</f>
        <v>1000</v>
      </c>
      <c r="I50" s="43">
        <f>VLOOKUP(C50,'Target allocation'!$B$2:$AF$51,20,FALSE)</f>
        <v>1000</v>
      </c>
      <c r="J50" s="43">
        <f>VLOOKUP(C50,'Target allocation'!$B$2:$AF$51,21,FALSE)</f>
        <v>1000</v>
      </c>
      <c r="K50" s="43">
        <f>VLOOKUP(C50,'Target allocation'!$B$2:$AF$51,22,FALSE)</f>
        <v>1000</v>
      </c>
      <c r="L50" s="43">
        <f>VLOOKUP(C50,'Target allocation'!$B$2:$AF$51,23,FALSE)</f>
        <v>1000</v>
      </c>
      <c r="M50" s="43">
        <f>VLOOKUP(C50,'Target allocation'!$B$2:$AF$51,24,FALSE)</f>
        <v>1000</v>
      </c>
      <c r="N50" s="43">
        <f>VLOOKUP(C50,'Target allocation'!$B$2:$AF$51,25,FALSE)</f>
        <v>1000</v>
      </c>
      <c r="O50" s="43">
        <f>VLOOKUP(C50,'Target allocation'!$B$2:$AF$51,26,FALSE)</f>
        <v>1000</v>
      </c>
      <c r="P50" s="43">
        <f>VLOOKUP(C50,'Target allocation'!$B$2:$AF$51,27,FALSE)</f>
        <v>1000</v>
      </c>
      <c r="Q50" s="43">
        <f>VLOOKUP(C50,'Target allocation'!$B$2:$AF$51,28,FALSE)</f>
        <v>1000</v>
      </c>
      <c r="R50" s="43">
        <f>VLOOKUP(C50,'Target allocation'!$B$2:$AF$51,29,FALSE)</f>
        <v>1000</v>
      </c>
      <c r="S50" s="43">
        <f>VLOOKUP(C50,'Target allocation'!$B$2:$AF$51,30,FALSE)</f>
        <v>1000</v>
      </c>
      <c r="T50" s="43">
        <f t="shared" si="13"/>
        <v>12000</v>
      </c>
    </row>
    <row r="51" spans="1:20" s="17" customFormat="1" x14ac:dyDescent="0.2">
      <c r="A51" s="43" t="s">
        <v>163</v>
      </c>
      <c r="B51" s="51" t="s">
        <v>75</v>
      </c>
      <c r="C51" s="45" t="s">
        <v>237</v>
      </c>
      <c r="D51" s="45" t="s">
        <v>168</v>
      </c>
      <c r="E51" s="45" t="s">
        <v>62</v>
      </c>
      <c r="F51" s="140">
        <f>VLOOKUP(C51,'Target allocation'!$B$2:$G$51,6,FALSE)</f>
        <v>0.33333333333333331</v>
      </c>
      <c r="G51" s="84">
        <f t="shared" si="12"/>
        <v>77000</v>
      </c>
      <c r="H51" s="43">
        <f>VLOOKUP(C51,'Target allocation'!$B$2:$AF$51,19,FALSE)</f>
        <v>0</v>
      </c>
      <c r="I51" s="43">
        <f>VLOOKUP(C51,'Target allocation'!$B$2:$AF$51,20,FALSE)</f>
        <v>0</v>
      </c>
      <c r="J51" s="43">
        <f>VLOOKUP(C51,'Target allocation'!$B$2:$AF$51,21,FALSE)</f>
        <v>0</v>
      </c>
      <c r="K51" s="43">
        <f>VLOOKUP(C51,'Target allocation'!$B$2:$AF$51,22,FALSE)</f>
        <v>0</v>
      </c>
      <c r="L51" s="43">
        <f>VLOOKUP(C51,'Target allocation'!$B$2:$AF$51,23,FALSE)</f>
        <v>0</v>
      </c>
      <c r="M51" s="43">
        <f>VLOOKUP(C51,'Target allocation'!$B$2:$AF$51,24,FALSE)</f>
        <v>0</v>
      </c>
      <c r="N51" s="43">
        <f>VLOOKUP(C51,'Target allocation'!$B$2:$AF$51,25,FALSE)</f>
        <v>0</v>
      </c>
      <c r="O51" s="43">
        <f>VLOOKUP(C51,'Target allocation'!$B$2:$AF$51,26,FALSE)</f>
        <v>0</v>
      </c>
      <c r="P51" s="43">
        <f>VLOOKUP(C51,'Target allocation'!$B$2:$AF$51,27,FALSE)</f>
        <v>19250</v>
      </c>
      <c r="Q51" s="43">
        <f>VLOOKUP(C51,'Target allocation'!$B$2:$AF$51,28,FALSE)</f>
        <v>19250</v>
      </c>
      <c r="R51" s="43">
        <f>VLOOKUP(C51,'Target allocation'!$B$2:$AF$51,29,FALSE)</f>
        <v>19250</v>
      </c>
      <c r="S51" s="43">
        <f>VLOOKUP(C51,'Target allocation'!$B$2:$AF$51,30,FALSE)</f>
        <v>19250</v>
      </c>
      <c r="T51" s="43">
        <f t="shared" si="13"/>
        <v>77000</v>
      </c>
    </row>
    <row r="52" spans="1:20" s="17" customFormat="1" x14ac:dyDescent="0.2">
      <c r="A52" s="43" t="s">
        <v>163</v>
      </c>
      <c r="B52" s="51" t="s">
        <v>75</v>
      </c>
      <c r="C52" s="45" t="s">
        <v>244</v>
      </c>
      <c r="D52" s="45" t="s">
        <v>168</v>
      </c>
      <c r="E52" s="45" t="s">
        <v>62</v>
      </c>
      <c r="F52" s="140">
        <f>VLOOKUP(C52,'Target allocation'!$B$2:$G$51,6,FALSE)</f>
        <v>0.33333333333333331</v>
      </c>
      <c r="G52" s="84">
        <f t="shared" si="12"/>
        <v>77000</v>
      </c>
      <c r="H52" s="43">
        <f>VLOOKUP(C52,'Target allocation'!$B$2:$AF$51,19,FALSE)</f>
        <v>0</v>
      </c>
      <c r="I52" s="43">
        <f>VLOOKUP(C52,'Target allocation'!$B$2:$AF$51,20,FALSE)</f>
        <v>0</v>
      </c>
      <c r="J52" s="43">
        <f>VLOOKUP(C52,'Target allocation'!$B$2:$AF$51,21,FALSE)</f>
        <v>0</v>
      </c>
      <c r="K52" s="43">
        <f>VLOOKUP(C52,'Target allocation'!$B$2:$AF$51,22,FALSE)</f>
        <v>0</v>
      </c>
      <c r="L52" s="43">
        <f>VLOOKUP(C52,'Target allocation'!$B$2:$AF$51,23,FALSE)</f>
        <v>0</v>
      </c>
      <c r="M52" s="43">
        <f>VLOOKUP(C52,'Target allocation'!$B$2:$AF$51,24,FALSE)</f>
        <v>0</v>
      </c>
      <c r="N52" s="43">
        <f>VLOOKUP(C52,'Target allocation'!$B$2:$AF$51,25,FALSE)</f>
        <v>0</v>
      </c>
      <c r="O52" s="43">
        <f>VLOOKUP(C52,'Target allocation'!$B$2:$AF$51,26,FALSE)</f>
        <v>0</v>
      </c>
      <c r="P52" s="43">
        <f>VLOOKUP(C52,'Target allocation'!$B$2:$AF$51,27,FALSE)</f>
        <v>19250</v>
      </c>
      <c r="Q52" s="43">
        <f>VLOOKUP(C52,'Target allocation'!$B$2:$AF$51,28,FALSE)</f>
        <v>19250</v>
      </c>
      <c r="R52" s="43">
        <f>VLOOKUP(C52,'Target allocation'!$B$2:$AF$51,29,FALSE)</f>
        <v>19250</v>
      </c>
      <c r="S52" s="43">
        <f>VLOOKUP(C52,'Target allocation'!$B$2:$AF$51,30,FALSE)</f>
        <v>19250</v>
      </c>
      <c r="T52" s="43">
        <f t="shared" ref="T52:T53" si="16">SUM(H52:S52)</f>
        <v>77000</v>
      </c>
    </row>
    <row r="53" spans="1:20" s="17" customFormat="1" x14ac:dyDescent="0.2">
      <c r="A53" s="43" t="s">
        <v>163</v>
      </c>
      <c r="B53" s="51" t="s">
        <v>75</v>
      </c>
      <c r="C53" s="45" t="s">
        <v>245</v>
      </c>
      <c r="D53" s="45" t="s">
        <v>168</v>
      </c>
      <c r="E53" s="45" t="s">
        <v>62</v>
      </c>
      <c r="F53" s="140">
        <f>VLOOKUP(C53,'Target allocation'!$B$2:$G$51,6,FALSE)</f>
        <v>0.33333333333333331</v>
      </c>
      <c r="G53" s="84">
        <f t="shared" si="12"/>
        <v>77000</v>
      </c>
      <c r="H53" s="43">
        <f>VLOOKUP(C53,'Target allocation'!$B$2:$AF$51,19,FALSE)</f>
        <v>0</v>
      </c>
      <c r="I53" s="43">
        <f>VLOOKUP(C53,'Target allocation'!$B$2:$AF$51,20,FALSE)</f>
        <v>0</v>
      </c>
      <c r="J53" s="43">
        <f>VLOOKUP(C53,'Target allocation'!$B$2:$AF$51,21,FALSE)</f>
        <v>0</v>
      </c>
      <c r="K53" s="43">
        <f>VLOOKUP(C53,'Target allocation'!$B$2:$AF$51,22,FALSE)</f>
        <v>0</v>
      </c>
      <c r="L53" s="43">
        <f>VLOOKUP(C53,'Target allocation'!$B$2:$AF$51,23,FALSE)</f>
        <v>0</v>
      </c>
      <c r="M53" s="43">
        <f>VLOOKUP(C53,'Target allocation'!$B$2:$AF$51,24,FALSE)</f>
        <v>0</v>
      </c>
      <c r="N53" s="43">
        <f>VLOOKUP(C53,'Target allocation'!$B$2:$AF$51,25,FALSE)</f>
        <v>0</v>
      </c>
      <c r="O53" s="43">
        <f>VLOOKUP(C53,'Target allocation'!$B$2:$AF$51,26,FALSE)</f>
        <v>0</v>
      </c>
      <c r="P53" s="43">
        <f>VLOOKUP(C53,'Target allocation'!$B$2:$AF$51,27,FALSE)</f>
        <v>19250</v>
      </c>
      <c r="Q53" s="43">
        <f>VLOOKUP(C53,'Target allocation'!$B$2:$AF$51,28,FALSE)</f>
        <v>19250</v>
      </c>
      <c r="R53" s="43">
        <f>VLOOKUP(C53,'Target allocation'!$B$2:$AF$51,29,FALSE)</f>
        <v>19250</v>
      </c>
      <c r="S53" s="43">
        <f>VLOOKUP(C53,'Target allocation'!$B$2:$AF$51,30,FALSE)</f>
        <v>19250</v>
      </c>
      <c r="T53" s="43">
        <f t="shared" si="16"/>
        <v>77000</v>
      </c>
    </row>
    <row r="54" spans="1:20" s="17" customFormat="1" x14ac:dyDescent="0.2">
      <c r="A54" s="43" t="s">
        <v>57</v>
      </c>
      <c r="B54" s="50" t="s">
        <v>0</v>
      </c>
      <c r="C54" s="45" t="s">
        <v>18</v>
      </c>
      <c r="D54" s="45"/>
      <c r="E54" s="45"/>
      <c r="F54" s="141"/>
      <c r="G54" s="84">
        <f t="shared" si="12"/>
        <v>60000.000000000007</v>
      </c>
      <c r="H54" s="43">
        <f>60000*'Tableau recap'!E110</f>
        <v>345.37669998258571</v>
      </c>
      <c r="I54" s="43">
        <f>60000*'Tableau recap'!F110</f>
        <v>612.02250873148103</v>
      </c>
      <c r="J54" s="43">
        <f>60000*'Tableau recap'!G110</f>
        <v>829.12089885296029</v>
      </c>
      <c r="K54" s="43">
        <f>60000*'Tableau recap'!H110</f>
        <v>3569.0789854988375</v>
      </c>
      <c r="L54" s="43">
        <f>60000*'Tableau recap'!I110</f>
        <v>3413.4619350278049</v>
      </c>
      <c r="M54" s="43">
        <f>60000*'Tableau recap'!J110</f>
        <v>4307.1385316839778</v>
      </c>
      <c r="N54" s="43">
        <f>60000*'Tableau recap'!K110</f>
        <v>5015.1929593852392</v>
      </c>
      <c r="O54" s="43">
        <f>60000*'Tableau recap'!L110</f>
        <v>5723.2473870865024</v>
      </c>
      <c r="P54" s="43">
        <f>60000*'Tableau recap'!M110</f>
        <v>9046.3400234376531</v>
      </c>
      <c r="Q54" s="43">
        <f>60000*'Tableau recap'!N110</f>
        <v>9046.3400234376531</v>
      </c>
      <c r="R54" s="43">
        <f>60000*'Tableau recap'!O110</f>
        <v>9046.3400234376531</v>
      </c>
      <c r="S54" s="43">
        <f>60000*'Tableau recap'!P110</f>
        <v>9046.3400234376531</v>
      </c>
      <c r="T54" s="43">
        <f t="shared" si="13"/>
        <v>60000.000000000007</v>
      </c>
    </row>
    <row r="55" spans="1:20" s="17" customFormat="1" x14ac:dyDescent="0.2">
      <c r="A55" s="43" t="s">
        <v>57</v>
      </c>
      <c r="B55" s="50" t="s">
        <v>0</v>
      </c>
      <c r="C55" s="45" t="s">
        <v>20</v>
      </c>
      <c r="D55" s="45"/>
      <c r="E55" s="45"/>
      <c r="F55" s="141"/>
      <c r="G55" s="84">
        <f t="shared" si="12"/>
        <v>12000</v>
      </c>
      <c r="H55" s="43">
        <f>12000*'Tableau recap'!E110</f>
        <v>69.075339996517144</v>
      </c>
      <c r="I55" s="43">
        <f>12000*'Tableau recap'!F110</f>
        <v>122.40450174629621</v>
      </c>
      <c r="J55" s="43">
        <f>12000*'Tableau recap'!G110</f>
        <v>165.82417977059205</v>
      </c>
      <c r="K55" s="43">
        <f>12000*'Tableau recap'!H110</f>
        <v>713.81579709976756</v>
      </c>
      <c r="L55" s="43">
        <f>12000*'Tableau recap'!I110</f>
        <v>682.69238700556093</v>
      </c>
      <c r="M55" s="43">
        <f>12000*'Tableau recap'!J110</f>
        <v>861.4277063367955</v>
      </c>
      <c r="N55" s="43">
        <f>12000*'Tableau recap'!K110</f>
        <v>1003.0385918770478</v>
      </c>
      <c r="O55" s="43">
        <f>12000*'Tableau recap'!L110</f>
        <v>1144.6494774173007</v>
      </c>
      <c r="P55" s="43">
        <f>12000*'Tableau recap'!M110</f>
        <v>1809.2680046875305</v>
      </c>
      <c r="Q55" s="43">
        <f>12000*'Tableau recap'!N110</f>
        <v>1809.2680046875305</v>
      </c>
      <c r="R55" s="43">
        <f>12000*'Tableau recap'!O110</f>
        <v>1809.2680046875305</v>
      </c>
      <c r="S55" s="43">
        <f>12000*'Tableau recap'!P110</f>
        <v>1809.2680046875305</v>
      </c>
      <c r="T55" s="43">
        <f t="shared" si="13"/>
        <v>12000</v>
      </c>
    </row>
    <row r="56" spans="1:20" s="17" customFormat="1" x14ac:dyDescent="0.2">
      <c r="A56" s="43" t="s">
        <v>57</v>
      </c>
      <c r="B56" s="50" t="s">
        <v>0</v>
      </c>
      <c r="C56" s="45" t="s">
        <v>21</v>
      </c>
      <c r="D56" s="45"/>
      <c r="E56" s="45"/>
      <c r="F56" s="141"/>
      <c r="G56" s="84">
        <f t="shared" si="12"/>
        <v>22499.999999999996</v>
      </c>
      <c r="H56" s="43">
        <f>22500*'Tableau recap'!E110</f>
        <v>129.51626249346964</v>
      </c>
      <c r="I56" s="43">
        <f>22500*'Tableau recap'!F110</f>
        <v>229.50844077430537</v>
      </c>
      <c r="J56" s="43">
        <f>22500*'Tableau recap'!G110</f>
        <v>310.92033706986012</v>
      </c>
      <c r="K56" s="43">
        <f>22500*'Tableau recap'!H110</f>
        <v>1338.4046195620642</v>
      </c>
      <c r="L56" s="43">
        <f>22500*'Tableau recap'!I110</f>
        <v>1280.0482256354269</v>
      </c>
      <c r="M56" s="43">
        <f>22500*'Tableau recap'!J110</f>
        <v>1615.1769493814916</v>
      </c>
      <c r="N56" s="43">
        <f>22500*'Tableau recap'!K110</f>
        <v>1880.6973597694646</v>
      </c>
      <c r="O56" s="43">
        <f>22500*'Tableau recap'!L110</f>
        <v>2146.2177701574387</v>
      </c>
      <c r="P56" s="43">
        <f>22500*'Tableau recap'!M110</f>
        <v>3392.3775087891195</v>
      </c>
      <c r="Q56" s="43">
        <f>22500*'Tableau recap'!N110</f>
        <v>3392.3775087891195</v>
      </c>
      <c r="R56" s="43">
        <f>22500*'Tableau recap'!O110</f>
        <v>3392.3775087891195</v>
      </c>
      <c r="S56" s="43">
        <f>22500*'Tableau recap'!P110</f>
        <v>3392.3775087891195</v>
      </c>
      <c r="T56" s="43">
        <f t="shared" si="13"/>
        <v>22499.999999999996</v>
      </c>
    </row>
    <row r="57" spans="1:20" s="17" customFormat="1" x14ac:dyDescent="0.2">
      <c r="A57" s="43" t="s">
        <v>57</v>
      </c>
      <c r="B57" s="50" t="s">
        <v>0</v>
      </c>
      <c r="C57" s="45" t="s">
        <v>22</v>
      </c>
      <c r="D57" s="45"/>
      <c r="E57" s="45"/>
      <c r="F57" s="141"/>
      <c r="G57" s="84">
        <f t="shared" si="12"/>
        <v>150000</v>
      </c>
      <c r="H57" s="43">
        <f>150000*'Tableau recap'!E110</f>
        <v>863.44174995646426</v>
      </c>
      <c r="I57" s="43">
        <f>150000*'Tableau recap'!F110</f>
        <v>1530.0562718287026</v>
      </c>
      <c r="J57" s="43">
        <f>150000*'Tableau recap'!G110</f>
        <v>2072.8022471324007</v>
      </c>
      <c r="K57" s="43">
        <f>150000*'Tableau recap'!H110</f>
        <v>8922.6974637470939</v>
      </c>
      <c r="L57" s="43">
        <f>150000*'Tableau recap'!I110</f>
        <v>8533.6548375695129</v>
      </c>
      <c r="M57" s="43">
        <f>150000*'Tableau recap'!J110</f>
        <v>10767.846329209944</v>
      </c>
      <c r="N57" s="43">
        <f>150000*'Tableau recap'!K110</f>
        <v>12537.982398463098</v>
      </c>
      <c r="O57" s="43">
        <f>150000*'Tableau recap'!L110</f>
        <v>14308.118467716256</v>
      </c>
      <c r="P57" s="43">
        <f>150000*'Tableau recap'!M110</f>
        <v>22615.850058594129</v>
      </c>
      <c r="Q57" s="43">
        <f>150000*'Tableau recap'!N110</f>
        <v>22615.850058594129</v>
      </c>
      <c r="R57" s="43">
        <f>150000*'Tableau recap'!O110</f>
        <v>22615.850058594129</v>
      </c>
      <c r="S57" s="43">
        <f>150000*'Tableau recap'!P110</f>
        <v>22615.850058594129</v>
      </c>
      <c r="T57" s="43">
        <f t="shared" si="13"/>
        <v>150000</v>
      </c>
    </row>
    <row r="58" spans="1:20" s="17" customFormat="1" ht="14.75" customHeight="1" x14ac:dyDescent="0.2">
      <c r="A58" s="43" t="s">
        <v>68</v>
      </c>
      <c r="B58" s="51" t="s">
        <v>75</v>
      </c>
      <c r="C58" s="45" t="s">
        <v>29</v>
      </c>
      <c r="D58" s="45" t="s">
        <v>114</v>
      </c>
      <c r="E58" s="50" t="s">
        <v>62</v>
      </c>
      <c r="F58" s="140">
        <f>VLOOKUP(C58,'Target allocation'!$B$2:$G$51,6,FALSE)</f>
        <v>0.91666666666666663</v>
      </c>
      <c r="G58" s="84">
        <f t="shared" si="12"/>
        <v>244200</v>
      </c>
      <c r="H58" s="43">
        <f>VLOOKUP(C58,'Target allocation'!$B$2:$AF$51,19,FALSE)</f>
        <v>11100</v>
      </c>
      <c r="I58" s="43">
        <f>VLOOKUP(C58,'Target allocation'!$B$2:$AF$51,20,FALSE)</f>
        <v>11100</v>
      </c>
      <c r="J58" s="43">
        <f>VLOOKUP(C58,'Target allocation'!$B$2:$AF$51,21,FALSE)</f>
        <v>22200</v>
      </c>
      <c r="K58" s="43">
        <f>VLOOKUP(C58,'Target allocation'!$B$2:$AF$51,22,FALSE)</f>
        <v>22200</v>
      </c>
      <c r="L58" s="43">
        <f>VLOOKUP(C58,'Target allocation'!$B$2:$AF$51,23,FALSE)</f>
        <v>22200</v>
      </c>
      <c r="M58" s="43">
        <f>VLOOKUP(C58,'Target allocation'!$B$2:$AF$51,24,FALSE)</f>
        <v>22200</v>
      </c>
      <c r="N58" s="43">
        <f>VLOOKUP(C58,'Target allocation'!$B$2:$AF$51,25,FALSE)</f>
        <v>22200</v>
      </c>
      <c r="O58" s="43">
        <f>VLOOKUP(C58,'Target allocation'!$B$2:$AF$51,26,FALSE)</f>
        <v>22200</v>
      </c>
      <c r="P58" s="43">
        <f>VLOOKUP(C58,'Target allocation'!$B$2:$AF$51,27,FALSE)</f>
        <v>22200</v>
      </c>
      <c r="Q58" s="43">
        <f>VLOOKUP(C58,'Target allocation'!$B$2:$AF$51,28,FALSE)</f>
        <v>22200</v>
      </c>
      <c r="R58" s="43">
        <f>VLOOKUP(C58,'Target allocation'!$B$2:$AF$51,29,FALSE)</f>
        <v>22200</v>
      </c>
      <c r="S58" s="43">
        <f>VLOOKUP(C58,'Target allocation'!$B$2:$AF$51,30,FALSE)</f>
        <v>22200</v>
      </c>
      <c r="T58" s="43">
        <f t="shared" si="13"/>
        <v>244200</v>
      </c>
    </row>
    <row r="59" spans="1:20" s="17" customFormat="1" x14ac:dyDescent="0.2">
      <c r="A59" s="43" t="s">
        <v>68</v>
      </c>
      <c r="B59" s="51" t="s">
        <v>75</v>
      </c>
      <c r="C59" s="45" t="s">
        <v>178</v>
      </c>
      <c r="D59" s="45" t="s">
        <v>87</v>
      </c>
      <c r="E59" s="45" t="s">
        <v>69</v>
      </c>
      <c r="F59" s="140"/>
      <c r="G59" s="84">
        <f t="shared" si="12"/>
        <v>26400</v>
      </c>
      <c r="H59" s="43">
        <f>VLOOKUP(C59,'Target allocation'!$B$2:$AF$51,19,FALSE)</f>
        <v>2200</v>
      </c>
      <c r="I59" s="43">
        <f>VLOOKUP(C59,'Target allocation'!$B$2:$AF$51,20,FALSE)</f>
        <v>2200</v>
      </c>
      <c r="J59" s="43">
        <f>VLOOKUP(C59,'Target allocation'!$B$2:$AF$51,21,FALSE)</f>
        <v>2200</v>
      </c>
      <c r="K59" s="43">
        <f>VLOOKUP(C59,'Target allocation'!$B$2:$AF$51,22,FALSE)</f>
        <v>2200</v>
      </c>
      <c r="L59" s="43">
        <f>VLOOKUP(C59,'Target allocation'!$B$2:$AF$51,23,FALSE)</f>
        <v>2200</v>
      </c>
      <c r="M59" s="43">
        <f>VLOOKUP(C59,'Target allocation'!$B$2:$AF$51,24,FALSE)</f>
        <v>2200</v>
      </c>
      <c r="N59" s="43">
        <f>VLOOKUP(C59,'Target allocation'!$B$2:$AF$51,25,FALSE)</f>
        <v>2200</v>
      </c>
      <c r="O59" s="43">
        <f>VLOOKUP(C59,'Target allocation'!$B$2:$AF$51,26,FALSE)</f>
        <v>2200</v>
      </c>
      <c r="P59" s="43">
        <f>VLOOKUP(C59,'Target allocation'!$B$2:$AF$51,27,FALSE)</f>
        <v>2200</v>
      </c>
      <c r="Q59" s="43">
        <f>VLOOKUP(C59,'Target allocation'!$B$2:$AF$51,28,FALSE)</f>
        <v>2200</v>
      </c>
      <c r="R59" s="43">
        <f>VLOOKUP(C59,'Target allocation'!$B$2:$AF$51,29,FALSE)</f>
        <v>2200</v>
      </c>
      <c r="S59" s="43">
        <f>VLOOKUP(C59,'Target allocation'!$B$2:$AF$51,30,FALSE)</f>
        <v>2200</v>
      </c>
      <c r="T59" s="43">
        <f t="shared" si="13"/>
        <v>26400</v>
      </c>
    </row>
    <row r="60" spans="1:20" s="17" customFormat="1" x14ac:dyDescent="0.2">
      <c r="A60" s="43" t="s">
        <v>51</v>
      </c>
      <c r="B60" s="50" t="s">
        <v>73</v>
      </c>
      <c r="C60" s="45" t="s">
        <v>253</v>
      </c>
      <c r="D60" s="45" t="s">
        <v>168</v>
      </c>
      <c r="E60" s="50" t="s">
        <v>62</v>
      </c>
      <c r="F60" s="140">
        <f>(0.5*2+1*10)/12</f>
        <v>0.91666666666666663</v>
      </c>
      <c r="G60" s="84">
        <f t="shared" si="12"/>
        <v>242000</v>
      </c>
      <c r="H60" s="43">
        <f t="shared" ref="H60:I60" si="17">(400*220/4)*0.5</f>
        <v>11000</v>
      </c>
      <c r="I60" s="43">
        <f t="shared" si="17"/>
        <v>11000</v>
      </c>
      <c r="J60" s="43">
        <f t="shared" ref="J60:K60" si="18">400*220/4</f>
        <v>22000</v>
      </c>
      <c r="K60" s="43">
        <f t="shared" si="18"/>
        <v>22000</v>
      </c>
      <c r="L60" s="43">
        <f>400*220/4</f>
        <v>22000</v>
      </c>
      <c r="M60" s="43">
        <f t="shared" ref="L60:S61" si="19">400*220/4</f>
        <v>22000</v>
      </c>
      <c r="N60" s="43">
        <f t="shared" si="19"/>
        <v>22000</v>
      </c>
      <c r="O60" s="43">
        <f t="shared" si="19"/>
        <v>22000</v>
      </c>
      <c r="P60" s="43">
        <f t="shared" si="19"/>
        <v>22000</v>
      </c>
      <c r="Q60" s="43">
        <f t="shared" si="19"/>
        <v>22000</v>
      </c>
      <c r="R60" s="43">
        <f t="shared" si="19"/>
        <v>22000</v>
      </c>
      <c r="S60" s="43">
        <f t="shared" si="19"/>
        <v>22000</v>
      </c>
      <c r="T60" s="43">
        <f t="shared" si="13"/>
        <v>242000</v>
      </c>
    </row>
    <row r="61" spans="1:20" s="17" customFormat="1" x14ac:dyDescent="0.2">
      <c r="A61" s="43" t="s">
        <v>51</v>
      </c>
      <c r="B61" s="50" t="s">
        <v>73</v>
      </c>
      <c r="C61" s="45" t="s">
        <v>254</v>
      </c>
      <c r="D61" s="45" t="s">
        <v>168</v>
      </c>
      <c r="E61" s="50" t="s">
        <v>62</v>
      </c>
      <c r="F61" s="140">
        <f>(1*8)/12</f>
        <v>0.66666666666666663</v>
      </c>
      <c r="G61" s="84">
        <f t="shared" si="12"/>
        <v>176000</v>
      </c>
      <c r="H61" s="43">
        <f>(400*220/4)*0</f>
        <v>0</v>
      </c>
      <c r="I61" s="43">
        <f>(400*220/4)*0</f>
        <v>0</v>
      </c>
      <c r="J61" s="43">
        <f>(400*220/4)*0</f>
        <v>0</v>
      </c>
      <c r="K61" s="43">
        <f>(400*220/4)*0</f>
        <v>0</v>
      </c>
      <c r="L61" s="43">
        <f t="shared" si="19"/>
        <v>22000</v>
      </c>
      <c r="M61" s="43">
        <f t="shared" si="19"/>
        <v>22000</v>
      </c>
      <c r="N61" s="43">
        <f t="shared" si="19"/>
        <v>22000</v>
      </c>
      <c r="O61" s="43">
        <f t="shared" si="19"/>
        <v>22000</v>
      </c>
      <c r="P61" s="43">
        <f t="shared" si="19"/>
        <v>22000</v>
      </c>
      <c r="Q61" s="43">
        <f t="shared" si="19"/>
        <v>22000</v>
      </c>
      <c r="R61" s="43">
        <f t="shared" si="19"/>
        <v>22000</v>
      </c>
      <c r="S61" s="43">
        <f t="shared" si="19"/>
        <v>22000</v>
      </c>
      <c r="T61" s="43">
        <f t="shared" si="13"/>
        <v>176000</v>
      </c>
    </row>
    <row r="62" spans="1:20" s="17" customFormat="1" x14ac:dyDescent="0.2">
      <c r="A62" s="43" t="s">
        <v>51</v>
      </c>
      <c r="B62" s="50" t="s">
        <v>73</v>
      </c>
      <c r="C62" s="45" t="s">
        <v>19</v>
      </c>
      <c r="D62" s="45"/>
      <c r="E62" s="45"/>
      <c r="F62" s="140"/>
      <c r="G62" s="84">
        <f t="shared" si="12"/>
        <v>300000</v>
      </c>
      <c r="H62" s="43">
        <f>300000*'Tableau recap'!E110</f>
        <v>1726.8834999129285</v>
      </c>
      <c r="I62" s="43">
        <f>300000*'Tableau recap'!F110</f>
        <v>3060.1125436574052</v>
      </c>
      <c r="J62" s="43">
        <f>300000*'Tableau recap'!G110</f>
        <v>4145.6044942648014</v>
      </c>
      <c r="K62" s="43">
        <f>300000*'Tableau recap'!H110</f>
        <v>17845.394927494188</v>
      </c>
      <c r="L62" s="43">
        <f>300000*'Tableau recap'!I110</f>
        <v>17067.309675139026</v>
      </c>
      <c r="M62" s="43">
        <f>300000*'Tableau recap'!J110</f>
        <v>21535.692658419888</v>
      </c>
      <c r="N62" s="43">
        <f>300000*'Tableau recap'!K110</f>
        <v>25075.964796926197</v>
      </c>
      <c r="O62" s="43">
        <f>300000*'Tableau recap'!L110</f>
        <v>28616.236935432513</v>
      </c>
      <c r="P62" s="43">
        <f>300000*'Tableau recap'!M110</f>
        <v>45231.700117188258</v>
      </c>
      <c r="Q62" s="43">
        <f>300000*'Tableau recap'!N110</f>
        <v>45231.700117188258</v>
      </c>
      <c r="R62" s="43">
        <f>300000*'Tableau recap'!O110</f>
        <v>45231.700117188258</v>
      </c>
      <c r="S62" s="43">
        <f>300000*'Tableau recap'!P110</f>
        <v>45231.700117188258</v>
      </c>
      <c r="T62" s="43">
        <f t="shared" si="13"/>
        <v>300000</v>
      </c>
    </row>
    <row r="63" spans="1:20" s="17" customFormat="1" x14ac:dyDescent="0.2">
      <c r="A63" s="43" t="s">
        <v>51</v>
      </c>
      <c r="B63" s="51" t="s">
        <v>75</v>
      </c>
      <c r="C63" s="45" t="s">
        <v>49</v>
      </c>
      <c r="D63" s="45" t="s">
        <v>50</v>
      </c>
      <c r="E63" s="50" t="s">
        <v>62</v>
      </c>
      <c r="F63" s="140">
        <f>VLOOKUP(C63,'Target allocation'!$B$2:$G$51,6,FALSE)</f>
        <v>1</v>
      </c>
      <c r="G63" s="84">
        <f t="shared" si="12"/>
        <v>237554.16480000006</v>
      </c>
      <c r="H63" s="43">
        <f>VLOOKUP(C63,'Target allocation'!$B$2:$AF$51,19,FALSE)</f>
        <v>19796.180400000001</v>
      </c>
      <c r="I63" s="43">
        <f>VLOOKUP(C63,'Target allocation'!$B$2:$AF$51,20,FALSE)</f>
        <v>19796.180400000001</v>
      </c>
      <c r="J63" s="43">
        <f>VLOOKUP(C63,'Target allocation'!$B$2:$AF$51,21,FALSE)</f>
        <v>19796.180400000001</v>
      </c>
      <c r="K63" s="43">
        <f>VLOOKUP(C63,'Target allocation'!$B$2:$AF$51,22,FALSE)</f>
        <v>19796.180400000001</v>
      </c>
      <c r="L63" s="43">
        <f>VLOOKUP(C63,'Target allocation'!$B$2:$AF$51,23,FALSE)</f>
        <v>19796.180400000001</v>
      </c>
      <c r="M63" s="43">
        <f>VLOOKUP(C63,'Target allocation'!$B$2:$AF$51,24,FALSE)</f>
        <v>19796.180400000001</v>
      </c>
      <c r="N63" s="43">
        <f>VLOOKUP(C63,'Target allocation'!$B$2:$AF$51,25,FALSE)</f>
        <v>19796.180400000001</v>
      </c>
      <c r="O63" s="43">
        <f>VLOOKUP(C63,'Target allocation'!$B$2:$AF$51,26,FALSE)</f>
        <v>19796.180400000001</v>
      </c>
      <c r="P63" s="43">
        <f>VLOOKUP(C63,'Target allocation'!$B$2:$AF$51,27,FALSE)</f>
        <v>19796.180400000001</v>
      </c>
      <c r="Q63" s="43">
        <f>VLOOKUP(C63,'Target allocation'!$B$2:$AF$51,28,FALSE)</f>
        <v>19796.180400000001</v>
      </c>
      <c r="R63" s="43">
        <f>VLOOKUP(C63,'Target allocation'!$B$2:$AF$51,29,FALSE)</f>
        <v>19796.180400000001</v>
      </c>
      <c r="S63" s="43">
        <f>VLOOKUP(C63,'Target allocation'!$B$2:$AF$51,30,FALSE)</f>
        <v>19796.180400000001</v>
      </c>
      <c r="T63" s="43">
        <f t="shared" si="13"/>
        <v>237554.16480000006</v>
      </c>
    </row>
    <row r="64" spans="1:20" s="17" customFormat="1" ht="14.75" customHeight="1" x14ac:dyDescent="0.2">
      <c r="A64" s="43" t="s">
        <v>51</v>
      </c>
      <c r="B64" s="51" t="s">
        <v>75</v>
      </c>
      <c r="C64" s="45" t="s">
        <v>52</v>
      </c>
      <c r="D64" s="45" t="s">
        <v>53</v>
      </c>
      <c r="E64" s="45" t="s">
        <v>69</v>
      </c>
      <c r="F64" s="140"/>
      <c r="G64" s="84">
        <f t="shared" si="12"/>
        <v>108000</v>
      </c>
      <c r="H64" s="43">
        <f>VLOOKUP(C64,'Target allocation'!$B$2:$AF$51,19,FALSE)</f>
        <v>9000</v>
      </c>
      <c r="I64" s="43">
        <f>VLOOKUP(C64,'Target allocation'!$B$2:$AF$51,20,FALSE)</f>
        <v>9000</v>
      </c>
      <c r="J64" s="43">
        <f>VLOOKUP(C64,'Target allocation'!$B$2:$AF$51,21,FALSE)</f>
        <v>9000</v>
      </c>
      <c r="K64" s="43">
        <f>VLOOKUP(C64,'Target allocation'!$B$2:$AF$51,22,FALSE)</f>
        <v>9000</v>
      </c>
      <c r="L64" s="43">
        <f>VLOOKUP(C64,'Target allocation'!$B$2:$AF$51,23,FALSE)</f>
        <v>9000</v>
      </c>
      <c r="M64" s="43">
        <f>VLOOKUP(C64,'Target allocation'!$B$2:$AF$51,24,FALSE)</f>
        <v>9000</v>
      </c>
      <c r="N64" s="43">
        <f>VLOOKUP(C64,'Target allocation'!$B$2:$AF$51,25,FALSE)</f>
        <v>9000</v>
      </c>
      <c r="O64" s="43">
        <f>VLOOKUP(C64,'Target allocation'!$B$2:$AF$51,26,FALSE)</f>
        <v>9000</v>
      </c>
      <c r="P64" s="43">
        <f>VLOOKUP(C64,'Target allocation'!$B$2:$AF$51,27,FALSE)</f>
        <v>9000</v>
      </c>
      <c r="Q64" s="43">
        <f>VLOOKUP(C64,'Target allocation'!$B$2:$AF$51,28,FALSE)</f>
        <v>9000</v>
      </c>
      <c r="R64" s="43">
        <f>VLOOKUP(C64,'Target allocation'!$B$2:$AF$51,29,FALSE)</f>
        <v>9000</v>
      </c>
      <c r="S64" s="43">
        <f>VLOOKUP(C64,'Target allocation'!$B$2:$AF$51,30,FALSE)</f>
        <v>9000</v>
      </c>
      <c r="T64" s="43">
        <f t="shared" si="13"/>
        <v>108000</v>
      </c>
    </row>
    <row r="65" spans="1:20" s="17" customFormat="1" x14ac:dyDescent="0.2">
      <c r="A65" s="43" t="s">
        <v>51</v>
      </c>
      <c r="B65" s="51" t="s">
        <v>75</v>
      </c>
      <c r="C65" s="45" t="s">
        <v>249</v>
      </c>
      <c r="D65" s="45" t="s">
        <v>168</v>
      </c>
      <c r="E65" s="45" t="s">
        <v>62</v>
      </c>
      <c r="F65" s="140">
        <f>VLOOKUP(C65,'Target allocation'!$B$2:$G$51,6,FALSE)</f>
        <v>0.91666666666666663</v>
      </c>
      <c r="G65" s="84">
        <f t="shared" si="12"/>
        <v>496100</v>
      </c>
      <c r="H65" s="43">
        <f>VLOOKUP(C65,'Target allocation'!$B$2:$AF$51,19,FALSE)</f>
        <v>0</v>
      </c>
      <c r="I65" s="43">
        <f>VLOOKUP(C65,'Target allocation'!$B$2:$AF$51,20,FALSE)</f>
        <v>45100</v>
      </c>
      <c r="J65" s="43">
        <f>VLOOKUP(C65,'Target allocation'!$B$2:$AF$51,21,FALSE)</f>
        <v>45100</v>
      </c>
      <c r="K65" s="43">
        <f>VLOOKUP(C65,'Target allocation'!$B$2:$AF$51,22,FALSE)</f>
        <v>45100</v>
      </c>
      <c r="L65" s="43">
        <f>VLOOKUP(C65,'Target allocation'!$B$2:$AF$51,23,FALSE)</f>
        <v>45100</v>
      </c>
      <c r="M65" s="43">
        <f>VLOOKUP(C65,'Target allocation'!$B$2:$AF$51,24,FALSE)</f>
        <v>45100</v>
      </c>
      <c r="N65" s="43">
        <f>VLOOKUP(C65,'Target allocation'!$B$2:$AF$51,25,FALSE)</f>
        <v>45100</v>
      </c>
      <c r="O65" s="43">
        <f>VLOOKUP(C65,'Target allocation'!$B$2:$AF$51,26,FALSE)</f>
        <v>45100</v>
      </c>
      <c r="P65" s="43">
        <f>VLOOKUP(C65,'Target allocation'!$B$2:$AF$51,27,FALSE)</f>
        <v>45100</v>
      </c>
      <c r="Q65" s="43">
        <f>VLOOKUP(C65,'Target allocation'!$B$2:$AF$51,28,FALSE)</f>
        <v>45100</v>
      </c>
      <c r="R65" s="43">
        <f>VLOOKUP(C65,'Target allocation'!$B$2:$AF$51,29,FALSE)</f>
        <v>45100</v>
      </c>
      <c r="S65" s="43">
        <f>VLOOKUP(C65,'Target allocation'!$B$2:$AF$51,30,FALSE)</f>
        <v>45100</v>
      </c>
      <c r="T65" s="43">
        <f t="shared" si="13"/>
        <v>496100</v>
      </c>
    </row>
    <row r="66" spans="1:20" s="17" customFormat="1" x14ac:dyDescent="0.2">
      <c r="A66" s="43" t="s">
        <v>51</v>
      </c>
      <c r="B66" s="51" t="s">
        <v>75</v>
      </c>
      <c r="C66" s="45" t="s">
        <v>250</v>
      </c>
      <c r="D66" s="45" t="s">
        <v>168</v>
      </c>
      <c r="E66" s="45" t="s">
        <v>62</v>
      </c>
      <c r="F66" s="140">
        <f>VLOOKUP(C66,'Target allocation'!$B$2:$G$51,6,FALSE)</f>
        <v>0.91666666666666663</v>
      </c>
      <c r="G66" s="84">
        <f t="shared" ref="G66" si="20">SUM(H66:S66)</f>
        <v>496100</v>
      </c>
      <c r="H66" s="43">
        <f>VLOOKUP(C66,'Target allocation'!$B$2:$AF$51,19,FALSE)</f>
        <v>0</v>
      </c>
      <c r="I66" s="43">
        <f>VLOOKUP(C66,'Target allocation'!$B$2:$AF$51,20,FALSE)</f>
        <v>45100</v>
      </c>
      <c r="J66" s="43">
        <f>VLOOKUP(C66,'Target allocation'!$B$2:$AF$51,21,FALSE)</f>
        <v>45100</v>
      </c>
      <c r="K66" s="43">
        <f>VLOOKUP(C66,'Target allocation'!$B$2:$AF$51,22,FALSE)</f>
        <v>45100</v>
      </c>
      <c r="L66" s="43">
        <f>VLOOKUP(C66,'Target allocation'!$B$2:$AF$51,23,FALSE)</f>
        <v>45100</v>
      </c>
      <c r="M66" s="43">
        <f>VLOOKUP(C66,'Target allocation'!$B$2:$AF$51,24,FALSE)</f>
        <v>45100</v>
      </c>
      <c r="N66" s="43">
        <f>VLOOKUP(C66,'Target allocation'!$B$2:$AF$51,25,FALSE)</f>
        <v>45100</v>
      </c>
      <c r="O66" s="43">
        <f>VLOOKUP(C66,'Target allocation'!$B$2:$AF$51,26,FALSE)</f>
        <v>45100</v>
      </c>
      <c r="P66" s="43">
        <f>VLOOKUP(C66,'Target allocation'!$B$2:$AF$51,27,FALSE)</f>
        <v>45100</v>
      </c>
      <c r="Q66" s="43">
        <f>VLOOKUP(C66,'Target allocation'!$B$2:$AF$51,28,FALSE)</f>
        <v>45100</v>
      </c>
      <c r="R66" s="43">
        <f>VLOOKUP(C66,'Target allocation'!$B$2:$AF$51,29,FALSE)</f>
        <v>45100</v>
      </c>
      <c r="S66" s="43">
        <f>VLOOKUP(C66,'Target allocation'!$B$2:$AF$51,30,FALSE)</f>
        <v>45100</v>
      </c>
      <c r="T66" s="43">
        <f t="shared" ref="T66" si="21">SUM(H66:S66)</f>
        <v>496100</v>
      </c>
    </row>
    <row r="67" spans="1:20" s="17" customFormat="1" x14ac:dyDescent="0.2">
      <c r="A67" s="43" t="s">
        <v>51</v>
      </c>
      <c r="B67" s="51" t="s">
        <v>75</v>
      </c>
      <c r="C67" s="45" t="s">
        <v>252</v>
      </c>
      <c r="D67" s="45" t="s">
        <v>211</v>
      </c>
      <c r="E67" s="45" t="s">
        <v>62</v>
      </c>
      <c r="F67" s="140">
        <f>VLOOKUP(C67,'Target allocation'!$B$2:$G$51,6,FALSE)</f>
        <v>0.42499999999999999</v>
      </c>
      <c r="G67" s="84">
        <f t="shared" si="12"/>
        <v>182325</v>
      </c>
      <c r="H67" s="43">
        <f>VLOOKUP(C67,'Target allocation'!$B$2:$AF$51,19,FALSE)</f>
        <v>7150</v>
      </c>
      <c r="I67" s="43">
        <f>VLOOKUP(C67,'Target allocation'!$B$2:$AF$51,20,FALSE)</f>
        <v>10725</v>
      </c>
      <c r="J67" s="43">
        <f>VLOOKUP(C67,'Target allocation'!$B$2:$AF$51,21,FALSE)</f>
        <v>10725</v>
      </c>
      <c r="K67" s="43">
        <f>VLOOKUP(C67,'Target allocation'!$B$2:$AF$51,22,FALSE)</f>
        <v>10725</v>
      </c>
      <c r="L67" s="43">
        <f>VLOOKUP(C67,'Target allocation'!$B$2:$AF$51,23,FALSE)</f>
        <v>17875</v>
      </c>
      <c r="M67" s="43">
        <f>VLOOKUP(C67,'Target allocation'!$B$2:$AF$51,24,FALSE)</f>
        <v>17875</v>
      </c>
      <c r="N67" s="43">
        <f>VLOOKUP(C67,'Target allocation'!$B$2:$AF$51,25,FALSE)</f>
        <v>17875</v>
      </c>
      <c r="O67" s="43">
        <f>VLOOKUP(C67,'Target allocation'!$B$2:$AF$51,26,FALSE)</f>
        <v>17875</v>
      </c>
      <c r="P67" s="43">
        <f>VLOOKUP(C67,'Target allocation'!$B$2:$AF$51,27,FALSE)</f>
        <v>17875</v>
      </c>
      <c r="Q67" s="43">
        <f>VLOOKUP(C67,'Target allocation'!$B$2:$AF$51,28,FALSE)</f>
        <v>17875</v>
      </c>
      <c r="R67" s="43">
        <f>VLOOKUP(C67,'Target allocation'!$B$2:$AF$51,29,FALSE)</f>
        <v>17875</v>
      </c>
      <c r="S67" s="43">
        <f>VLOOKUP(C67,'Target allocation'!$B$2:$AF$51,30,FALSE)</f>
        <v>17875</v>
      </c>
      <c r="T67" s="43">
        <f t="shared" si="13"/>
        <v>182325</v>
      </c>
    </row>
    <row r="68" spans="1:20" s="17" customFormat="1" x14ac:dyDescent="0.2">
      <c r="A68" s="43" t="s">
        <v>51</v>
      </c>
      <c r="B68" s="51" t="s">
        <v>75</v>
      </c>
      <c r="C68" s="45" t="s">
        <v>246</v>
      </c>
      <c r="D68" s="45" t="s">
        <v>168</v>
      </c>
      <c r="E68" s="45" t="s">
        <v>62</v>
      </c>
      <c r="F68" s="140">
        <f>VLOOKUP(C68,'Target allocation'!$B$2:$G$51,6,FALSE)</f>
        <v>0.5</v>
      </c>
      <c r="G68" s="84">
        <f t="shared" si="12"/>
        <v>180000</v>
      </c>
      <c r="H68" s="43">
        <f>VLOOKUP(C68,'Target allocation'!$B$2:$AF$51,19,FALSE)</f>
        <v>0</v>
      </c>
      <c r="I68" s="43">
        <f>VLOOKUP(C68,'Target allocation'!$B$2:$AF$51,20,FALSE)</f>
        <v>0</v>
      </c>
      <c r="J68" s="43">
        <f>VLOOKUP(C68,'Target allocation'!$B$2:$AF$51,21,FALSE)</f>
        <v>0</v>
      </c>
      <c r="K68" s="43">
        <f>VLOOKUP(C68,'Target allocation'!$B$2:$AF$51,22,FALSE)</f>
        <v>0</v>
      </c>
      <c r="L68" s="43">
        <f>VLOOKUP(C68,'Target allocation'!$B$2:$AF$51,23,FALSE)</f>
        <v>0</v>
      </c>
      <c r="M68" s="43">
        <f>VLOOKUP(C68,'Target allocation'!$B$2:$AF$51,24,FALSE)</f>
        <v>0</v>
      </c>
      <c r="N68" s="43">
        <f>VLOOKUP(C68,'Target allocation'!$B$2:$AF$51,25,FALSE)</f>
        <v>30000</v>
      </c>
      <c r="O68" s="43">
        <f>VLOOKUP(C68,'Target allocation'!$B$2:$AF$51,26,FALSE)</f>
        <v>30000</v>
      </c>
      <c r="P68" s="43">
        <f>VLOOKUP(C68,'Target allocation'!$B$2:$AF$51,27,FALSE)</f>
        <v>30000</v>
      </c>
      <c r="Q68" s="43">
        <f>VLOOKUP(C68,'Target allocation'!$B$2:$AF$51,28,FALSE)</f>
        <v>30000</v>
      </c>
      <c r="R68" s="43">
        <f>VLOOKUP(C68,'Target allocation'!$B$2:$AF$51,29,FALSE)</f>
        <v>30000</v>
      </c>
      <c r="S68" s="43">
        <f>VLOOKUP(C68,'Target allocation'!$B$2:$AF$51,30,FALSE)</f>
        <v>30000</v>
      </c>
      <c r="T68" s="43">
        <f t="shared" si="13"/>
        <v>180000</v>
      </c>
    </row>
    <row r="69" spans="1:20" s="17" customFormat="1" x14ac:dyDescent="0.2">
      <c r="A69" s="43" t="s">
        <v>51</v>
      </c>
      <c r="B69" s="51" t="s">
        <v>75</v>
      </c>
      <c r="C69" s="45" t="s">
        <v>247</v>
      </c>
      <c r="D69" s="45" t="s">
        <v>168</v>
      </c>
      <c r="E69" s="45" t="s">
        <v>62</v>
      </c>
      <c r="F69" s="140">
        <f>VLOOKUP(C69,'Target allocation'!$B$2:$G$51,6,FALSE)</f>
        <v>0.5</v>
      </c>
      <c r="G69" s="84">
        <f t="shared" ref="G69:G70" si="22">SUM(H69:S69)</f>
        <v>180000</v>
      </c>
      <c r="H69" s="43">
        <f>VLOOKUP(C69,'Target allocation'!$B$2:$AF$51,19,FALSE)</f>
        <v>0</v>
      </c>
      <c r="I69" s="43">
        <f>VLOOKUP(C69,'Target allocation'!$B$2:$AF$51,20,FALSE)</f>
        <v>0</v>
      </c>
      <c r="J69" s="43">
        <f>VLOOKUP(C69,'Target allocation'!$B$2:$AF$51,21,FALSE)</f>
        <v>0</v>
      </c>
      <c r="K69" s="43">
        <f>VLOOKUP(C69,'Target allocation'!$B$2:$AF$51,22,FALSE)</f>
        <v>0</v>
      </c>
      <c r="L69" s="43">
        <f>VLOOKUP(C69,'Target allocation'!$B$2:$AF$51,23,FALSE)</f>
        <v>0</v>
      </c>
      <c r="M69" s="43">
        <f>VLOOKUP(C69,'Target allocation'!$B$2:$AF$51,24,FALSE)</f>
        <v>0</v>
      </c>
      <c r="N69" s="43">
        <f>VLOOKUP(C69,'Target allocation'!$B$2:$AF$51,25,FALSE)</f>
        <v>30000</v>
      </c>
      <c r="O69" s="43">
        <f>VLOOKUP(C69,'Target allocation'!$B$2:$AF$51,26,FALSE)</f>
        <v>30000</v>
      </c>
      <c r="P69" s="43">
        <f>VLOOKUP(C69,'Target allocation'!$B$2:$AF$51,27,FALSE)</f>
        <v>30000</v>
      </c>
      <c r="Q69" s="43">
        <f>VLOOKUP(C69,'Target allocation'!$B$2:$AF$51,28,FALSE)</f>
        <v>30000</v>
      </c>
      <c r="R69" s="43">
        <f>VLOOKUP(C69,'Target allocation'!$B$2:$AF$51,29,FALSE)</f>
        <v>30000</v>
      </c>
      <c r="S69" s="43">
        <f>VLOOKUP(C69,'Target allocation'!$B$2:$AF$51,30,FALSE)</f>
        <v>30000</v>
      </c>
      <c r="T69" s="43">
        <f t="shared" ref="T69:T70" si="23">SUM(H69:S69)</f>
        <v>180000</v>
      </c>
    </row>
    <row r="70" spans="1:20" s="17" customFormat="1" x14ac:dyDescent="0.2">
      <c r="A70" s="43" t="s">
        <v>51</v>
      </c>
      <c r="B70" s="51" t="s">
        <v>75</v>
      </c>
      <c r="C70" s="45" t="s">
        <v>248</v>
      </c>
      <c r="D70" s="45" t="s">
        <v>168</v>
      </c>
      <c r="E70" s="45" t="s">
        <v>62</v>
      </c>
      <c r="F70" s="140">
        <f>VLOOKUP(C70,'Target allocation'!$B$2:$G$51,6,FALSE)</f>
        <v>0.25</v>
      </c>
      <c r="G70" s="84">
        <f t="shared" si="22"/>
        <v>135300</v>
      </c>
      <c r="H70" s="43">
        <f>VLOOKUP(C70,'Target allocation'!$B$2:$AF$51,19,FALSE)</f>
        <v>0</v>
      </c>
      <c r="I70" s="43">
        <f>VLOOKUP(C70,'Target allocation'!$B$2:$AF$51,20,FALSE)</f>
        <v>0</v>
      </c>
      <c r="J70" s="43">
        <f>VLOOKUP(C70,'Target allocation'!$B$2:$AF$51,21,FALSE)</f>
        <v>0</v>
      </c>
      <c r="K70" s="43">
        <f>VLOOKUP(C70,'Target allocation'!$B$2:$AF$51,22,FALSE)</f>
        <v>0</v>
      </c>
      <c r="L70" s="43">
        <f>VLOOKUP(C70,'Target allocation'!$B$2:$AF$51,23,FALSE)</f>
        <v>0</v>
      </c>
      <c r="M70" s="43">
        <f>VLOOKUP(C70,'Target allocation'!$B$2:$AF$51,24,FALSE)</f>
        <v>0</v>
      </c>
      <c r="N70" s="43">
        <f>VLOOKUP(C70,'Target allocation'!$B$2:$AF$51,25,FALSE)</f>
        <v>0</v>
      </c>
      <c r="O70" s="43">
        <f>VLOOKUP(C70,'Target allocation'!$B$2:$AF$51,26,FALSE)</f>
        <v>0</v>
      </c>
      <c r="P70" s="43">
        <f>VLOOKUP(C70,'Target allocation'!$B$2:$AF$51,27,FALSE)</f>
        <v>0</v>
      </c>
      <c r="Q70" s="43">
        <f>VLOOKUP(C70,'Target allocation'!$B$2:$AF$51,28,FALSE)</f>
        <v>45100</v>
      </c>
      <c r="R70" s="43">
        <f>VLOOKUP(C70,'Target allocation'!$B$2:$AF$51,29,FALSE)</f>
        <v>45100</v>
      </c>
      <c r="S70" s="43">
        <f>VLOOKUP(C70,'Target allocation'!$B$2:$AF$51,30,FALSE)</f>
        <v>45100</v>
      </c>
      <c r="T70" s="43">
        <f t="shared" si="23"/>
        <v>135300</v>
      </c>
    </row>
    <row r="71" spans="1:20" s="17" customFormat="1" x14ac:dyDescent="0.2">
      <c r="A71" s="43" t="s">
        <v>51</v>
      </c>
      <c r="B71" s="51" t="s">
        <v>75</v>
      </c>
      <c r="C71" s="45" t="s">
        <v>255</v>
      </c>
      <c r="D71" s="45" t="s">
        <v>168</v>
      </c>
      <c r="E71" s="45" t="s">
        <v>62</v>
      </c>
      <c r="F71" s="140">
        <f>VLOOKUP(C71,'Target allocation'!$B$2:$G$51,6,FALSE)</f>
        <v>0.75</v>
      </c>
      <c r="G71" s="84">
        <f t="shared" ref="G71:G74" si="24">SUM(H71:S71)</f>
        <v>405900</v>
      </c>
      <c r="H71" s="43">
        <f>VLOOKUP(C71,'Target allocation'!$B$2:$AF$51,19,FALSE)</f>
        <v>0</v>
      </c>
      <c r="I71" s="43">
        <f>VLOOKUP(C71,'Target allocation'!$B$2:$AF$51,20,FALSE)</f>
        <v>0</v>
      </c>
      <c r="J71" s="43">
        <f>VLOOKUP(C71,'Target allocation'!$B$2:$AF$51,21,FALSE)</f>
        <v>0</v>
      </c>
      <c r="K71" s="43">
        <f>VLOOKUP(C71,'Target allocation'!$B$2:$AF$51,22,FALSE)</f>
        <v>45100</v>
      </c>
      <c r="L71" s="43">
        <f>VLOOKUP(C71,'Target allocation'!$B$2:$AF$51,23,FALSE)</f>
        <v>45100</v>
      </c>
      <c r="M71" s="43">
        <f>VLOOKUP(C71,'Target allocation'!$B$2:$AF$51,24,FALSE)</f>
        <v>45100</v>
      </c>
      <c r="N71" s="43">
        <f>VLOOKUP(C71,'Target allocation'!$B$2:$AF$51,25,FALSE)</f>
        <v>45100</v>
      </c>
      <c r="O71" s="43">
        <f>VLOOKUP(C71,'Target allocation'!$B$2:$AF$51,26,FALSE)</f>
        <v>45100</v>
      </c>
      <c r="P71" s="43">
        <f>VLOOKUP(C71,'Target allocation'!$B$2:$AF$51,27,FALSE)</f>
        <v>45100</v>
      </c>
      <c r="Q71" s="43">
        <f>VLOOKUP(C71,'Target allocation'!$B$2:$AF$51,28,FALSE)</f>
        <v>45100</v>
      </c>
      <c r="R71" s="43">
        <f>VLOOKUP(C71,'Target allocation'!$B$2:$AF$51,29,FALSE)</f>
        <v>45100</v>
      </c>
      <c r="S71" s="43">
        <f>VLOOKUP(C71,'Target allocation'!$B$2:$AF$51,30,FALSE)</f>
        <v>45100</v>
      </c>
      <c r="T71" s="43">
        <f t="shared" ref="T71:T72" si="25">SUM(H71:S71)</f>
        <v>405900</v>
      </c>
    </row>
    <row r="72" spans="1:20" s="17" customFormat="1" x14ac:dyDescent="0.2">
      <c r="A72" s="43" t="s">
        <v>51</v>
      </c>
      <c r="B72" s="51" t="s">
        <v>75</v>
      </c>
      <c r="C72" s="45" t="s">
        <v>256</v>
      </c>
      <c r="D72" s="45" t="s">
        <v>168</v>
      </c>
      <c r="E72" s="45" t="s">
        <v>62</v>
      </c>
      <c r="F72" s="140">
        <f>VLOOKUP(C72,'Target allocation'!$B$2:$G$51,6,FALSE)</f>
        <v>0.875</v>
      </c>
      <c r="G72" s="84">
        <f t="shared" si="24"/>
        <v>315000</v>
      </c>
      <c r="H72" s="43">
        <f>VLOOKUP(C72,'Target allocation'!$B$2:$AF$51,19,FALSE)</f>
        <v>0</v>
      </c>
      <c r="I72" s="43">
        <f>VLOOKUP(C72,'Target allocation'!$B$2:$AF$51,20,FALSE)</f>
        <v>15000</v>
      </c>
      <c r="J72" s="43">
        <f>VLOOKUP(C72,'Target allocation'!$B$2:$AF$51,21,FALSE)</f>
        <v>30000</v>
      </c>
      <c r="K72" s="43">
        <f>VLOOKUP(C72,'Target allocation'!$B$2:$AF$51,22,FALSE)</f>
        <v>30000</v>
      </c>
      <c r="L72" s="43">
        <f>VLOOKUP(C72,'Target allocation'!$B$2:$AF$51,23,FALSE)</f>
        <v>30000</v>
      </c>
      <c r="M72" s="43">
        <f>VLOOKUP(C72,'Target allocation'!$B$2:$AF$51,24,FALSE)</f>
        <v>30000</v>
      </c>
      <c r="N72" s="43">
        <f>VLOOKUP(C72,'Target allocation'!$B$2:$AF$51,25,FALSE)</f>
        <v>30000</v>
      </c>
      <c r="O72" s="43">
        <f>VLOOKUP(C72,'Target allocation'!$B$2:$AF$51,26,FALSE)</f>
        <v>30000</v>
      </c>
      <c r="P72" s="43">
        <f>VLOOKUP(C72,'Target allocation'!$B$2:$AF$51,27,FALSE)</f>
        <v>30000</v>
      </c>
      <c r="Q72" s="43">
        <f>VLOOKUP(C72,'Target allocation'!$B$2:$AF$51,28,FALSE)</f>
        <v>30000</v>
      </c>
      <c r="R72" s="43">
        <f>VLOOKUP(C72,'Target allocation'!$B$2:$AF$51,29,FALSE)</f>
        <v>30000</v>
      </c>
      <c r="S72" s="43">
        <f>VLOOKUP(C72,'Target allocation'!$B$2:$AF$51,30,FALSE)</f>
        <v>30000</v>
      </c>
      <c r="T72" s="43">
        <f t="shared" si="25"/>
        <v>315000</v>
      </c>
    </row>
    <row r="73" spans="1:20" s="17" customFormat="1" x14ac:dyDescent="0.2">
      <c r="A73" s="43" t="s">
        <v>51</v>
      </c>
      <c r="B73" s="51" t="s">
        <v>75</v>
      </c>
      <c r="C73" s="45" t="s">
        <v>262</v>
      </c>
      <c r="D73" s="45" t="s">
        <v>168</v>
      </c>
      <c r="E73" s="45" t="s">
        <v>62</v>
      </c>
      <c r="F73" s="140">
        <f>VLOOKUP(C73,'Target allocation'!$B$2:$G$51,6,FALSE)</f>
        <v>0.91666666666666663</v>
      </c>
      <c r="G73" s="84">
        <f t="shared" si="24"/>
        <v>496100</v>
      </c>
      <c r="H73" s="43">
        <f>VLOOKUP(C73,'Target allocation'!$B$2:$AF$51,19,FALSE)</f>
        <v>0</v>
      </c>
      <c r="I73" s="43">
        <f>VLOOKUP(C73,'Target allocation'!$B$2:$AF$51,20,FALSE)</f>
        <v>45100</v>
      </c>
      <c r="J73" s="43">
        <f>VLOOKUP(C73,'Target allocation'!$B$2:$AF$51,21,FALSE)</f>
        <v>45100</v>
      </c>
      <c r="K73" s="43">
        <f>VLOOKUP(C73,'Target allocation'!$B$2:$AF$51,22,FALSE)</f>
        <v>45100</v>
      </c>
      <c r="L73" s="43">
        <f>VLOOKUP(C73,'Target allocation'!$B$2:$AF$51,23,FALSE)</f>
        <v>45100</v>
      </c>
      <c r="M73" s="43">
        <f>VLOOKUP(C73,'Target allocation'!$B$2:$AF$51,24,FALSE)</f>
        <v>45100</v>
      </c>
      <c r="N73" s="43">
        <f>VLOOKUP(C73,'Target allocation'!$B$2:$AF$51,25,FALSE)</f>
        <v>45100</v>
      </c>
      <c r="O73" s="43">
        <f>VLOOKUP(C73,'Target allocation'!$B$2:$AF$51,26,FALSE)</f>
        <v>45100</v>
      </c>
      <c r="P73" s="43">
        <f>VLOOKUP(C73,'Target allocation'!$B$2:$AF$51,27,FALSE)</f>
        <v>45100</v>
      </c>
      <c r="Q73" s="43">
        <f>VLOOKUP(C73,'Target allocation'!$B$2:$AF$51,28,FALSE)</f>
        <v>45100</v>
      </c>
      <c r="R73" s="43">
        <f>VLOOKUP(C73,'Target allocation'!$B$2:$AF$51,29,FALSE)</f>
        <v>45100</v>
      </c>
      <c r="S73" s="43">
        <f>VLOOKUP(C73,'Target allocation'!$B$2:$AF$51,30,FALSE)</f>
        <v>45100</v>
      </c>
      <c r="T73" s="43">
        <f t="shared" ref="T73:T74" si="26">SUM(H73:S73)</f>
        <v>496100</v>
      </c>
    </row>
    <row r="74" spans="1:20" s="17" customFormat="1" x14ac:dyDescent="0.2">
      <c r="A74" s="43" t="s">
        <v>51</v>
      </c>
      <c r="B74" s="51" t="s">
        <v>75</v>
      </c>
      <c r="C74" s="45" t="s">
        <v>263</v>
      </c>
      <c r="D74" s="45" t="s">
        <v>168</v>
      </c>
      <c r="E74" s="45" t="s">
        <v>62</v>
      </c>
      <c r="F74" s="140">
        <f>VLOOKUP(C74,'Target allocation'!$B$2:$G$51,6,FALSE)</f>
        <v>0.5</v>
      </c>
      <c r="G74" s="84">
        <f t="shared" si="24"/>
        <v>180000</v>
      </c>
      <c r="H74" s="43">
        <f>VLOOKUP(C74,'Target allocation'!$B$2:$AF$51,19,FALSE)</f>
        <v>0</v>
      </c>
      <c r="I74" s="43">
        <f>VLOOKUP(C74,'Target allocation'!$B$2:$AF$51,20,FALSE)</f>
        <v>0</v>
      </c>
      <c r="J74" s="43">
        <f>VLOOKUP(C74,'Target allocation'!$B$2:$AF$51,21,FALSE)</f>
        <v>0</v>
      </c>
      <c r="K74" s="43">
        <f>VLOOKUP(C74,'Target allocation'!$B$2:$AF$51,22,FALSE)</f>
        <v>0</v>
      </c>
      <c r="L74" s="43">
        <f>VLOOKUP(C74,'Target allocation'!$B$2:$AF$51,23,FALSE)</f>
        <v>0</v>
      </c>
      <c r="M74" s="43">
        <f>VLOOKUP(C74,'Target allocation'!$B$2:$AF$51,24,FALSE)</f>
        <v>0</v>
      </c>
      <c r="N74" s="43">
        <f>VLOOKUP(C74,'Target allocation'!$B$2:$AF$51,25,FALSE)</f>
        <v>30000</v>
      </c>
      <c r="O74" s="43">
        <f>VLOOKUP(C74,'Target allocation'!$B$2:$AF$51,26,FALSE)</f>
        <v>30000</v>
      </c>
      <c r="P74" s="43">
        <f>VLOOKUP(C74,'Target allocation'!$B$2:$AF$51,27,FALSE)</f>
        <v>30000</v>
      </c>
      <c r="Q74" s="43">
        <f>VLOOKUP(C74,'Target allocation'!$B$2:$AF$51,28,FALSE)</f>
        <v>30000</v>
      </c>
      <c r="R74" s="43">
        <f>VLOOKUP(C74,'Target allocation'!$B$2:$AF$51,29,FALSE)</f>
        <v>30000</v>
      </c>
      <c r="S74" s="43">
        <f>VLOOKUP(C74,'Target allocation'!$B$2:$AF$51,30,FALSE)</f>
        <v>30000</v>
      </c>
      <c r="T74" s="43">
        <f t="shared" si="26"/>
        <v>180000</v>
      </c>
    </row>
    <row r="75" spans="1:20" s="17" customFormat="1" x14ac:dyDescent="0.2">
      <c r="A75" s="43" t="s">
        <v>56</v>
      </c>
      <c r="B75" s="50" t="s">
        <v>2</v>
      </c>
      <c r="C75" s="45" t="s">
        <v>56</v>
      </c>
      <c r="D75" s="45" t="s">
        <v>56</v>
      </c>
      <c r="E75" s="45"/>
      <c r="F75" s="140"/>
      <c r="G75" s="84">
        <f t="shared" si="12"/>
        <v>40000</v>
      </c>
      <c r="H75" s="43">
        <f>40000/12</f>
        <v>3333.3333333333335</v>
      </c>
      <c r="I75" s="43">
        <f t="shared" ref="I75:S76" si="27">40000/12</f>
        <v>3333.3333333333335</v>
      </c>
      <c r="J75" s="43">
        <f t="shared" si="27"/>
        <v>3333.3333333333335</v>
      </c>
      <c r="K75" s="43">
        <f t="shared" si="27"/>
        <v>3333.3333333333335</v>
      </c>
      <c r="L75" s="43">
        <f t="shared" si="27"/>
        <v>3333.3333333333335</v>
      </c>
      <c r="M75" s="43">
        <f t="shared" si="27"/>
        <v>3333.3333333333335</v>
      </c>
      <c r="N75" s="43">
        <f t="shared" si="27"/>
        <v>3333.3333333333335</v>
      </c>
      <c r="O75" s="43">
        <f t="shared" si="27"/>
        <v>3333.3333333333335</v>
      </c>
      <c r="P75" s="43">
        <f t="shared" si="27"/>
        <v>3333.3333333333335</v>
      </c>
      <c r="Q75" s="43">
        <f t="shared" si="27"/>
        <v>3333.3333333333335</v>
      </c>
      <c r="R75" s="43">
        <f t="shared" si="27"/>
        <v>3333.3333333333335</v>
      </c>
      <c r="S75" s="43">
        <f t="shared" si="27"/>
        <v>3333.3333333333335</v>
      </c>
      <c r="T75" s="43">
        <f t="shared" si="13"/>
        <v>40000</v>
      </c>
    </row>
    <row r="76" spans="1:20" s="17" customFormat="1" x14ac:dyDescent="0.2">
      <c r="A76" s="43" t="s">
        <v>56</v>
      </c>
      <c r="B76" s="50" t="s">
        <v>3</v>
      </c>
      <c r="C76" s="45" t="s">
        <v>56</v>
      </c>
      <c r="D76" s="45" t="s">
        <v>56</v>
      </c>
      <c r="E76" s="45"/>
      <c r="F76" s="140"/>
      <c r="G76" s="84">
        <f t="shared" si="12"/>
        <v>40000</v>
      </c>
      <c r="H76" s="43">
        <f>40000/12</f>
        <v>3333.3333333333335</v>
      </c>
      <c r="I76" s="43">
        <f t="shared" si="27"/>
        <v>3333.3333333333335</v>
      </c>
      <c r="J76" s="43">
        <f t="shared" si="27"/>
        <v>3333.3333333333335</v>
      </c>
      <c r="K76" s="43">
        <f t="shared" si="27"/>
        <v>3333.3333333333335</v>
      </c>
      <c r="L76" s="43">
        <f t="shared" si="27"/>
        <v>3333.3333333333335</v>
      </c>
      <c r="M76" s="43">
        <f t="shared" si="27"/>
        <v>3333.3333333333335</v>
      </c>
      <c r="N76" s="43">
        <f t="shared" si="27"/>
        <v>3333.3333333333335</v>
      </c>
      <c r="O76" s="43">
        <f t="shared" si="27"/>
        <v>3333.3333333333335</v>
      </c>
      <c r="P76" s="43">
        <f t="shared" si="27"/>
        <v>3333.3333333333335</v>
      </c>
      <c r="Q76" s="43">
        <f t="shared" si="27"/>
        <v>3333.3333333333335</v>
      </c>
      <c r="R76" s="43">
        <f t="shared" si="27"/>
        <v>3333.3333333333335</v>
      </c>
      <c r="S76" s="43">
        <f t="shared" si="27"/>
        <v>3333.3333333333335</v>
      </c>
      <c r="T76" s="43">
        <f t="shared" si="13"/>
        <v>40000</v>
      </c>
    </row>
    <row r="77" spans="1:20" s="17" customFormat="1" x14ac:dyDescent="0.2">
      <c r="A77" s="43" t="s">
        <v>56</v>
      </c>
      <c r="B77" s="50" t="s">
        <v>4</v>
      </c>
      <c r="C77" s="45" t="s">
        <v>56</v>
      </c>
      <c r="D77" s="45" t="s">
        <v>56</v>
      </c>
      <c r="E77" s="45"/>
      <c r="F77" s="140"/>
      <c r="G77" s="84">
        <f t="shared" si="12"/>
        <v>60000</v>
      </c>
      <c r="H77" s="43">
        <v>5000</v>
      </c>
      <c r="I77" s="43">
        <v>5000</v>
      </c>
      <c r="J77" s="43">
        <v>5000</v>
      </c>
      <c r="K77" s="43">
        <v>5000</v>
      </c>
      <c r="L77" s="43">
        <v>5000</v>
      </c>
      <c r="M77" s="43">
        <v>5000</v>
      </c>
      <c r="N77" s="43">
        <v>5000</v>
      </c>
      <c r="O77" s="43">
        <v>5000</v>
      </c>
      <c r="P77" s="43">
        <v>5000</v>
      </c>
      <c r="Q77" s="43">
        <v>5000</v>
      </c>
      <c r="R77" s="43">
        <v>5000</v>
      </c>
      <c r="S77" s="43">
        <v>5000</v>
      </c>
      <c r="T77" s="43">
        <f t="shared" si="13"/>
        <v>60000</v>
      </c>
    </row>
    <row r="78" spans="1:20" s="17" customFormat="1" x14ac:dyDescent="0.2">
      <c r="A78" s="43" t="s">
        <v>56</v>
      </c>
      <c r="B78" s="50" t="s">
        <v>5</v>
      </c>
      <c r="C78" s="45" t="s">
        <v>56</v>
      </c>
      <c r="D78" s="45" t="s">
        <v>56</v>
      </c>
      <c r="E78" s="45"/>
      <c r="F78" s="140"/>
      <c r="G78" s="84">
        <f t="shared" si="12"/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f t="shared" si="13"/>
        <v>0</v>
      </c>
    </row>
    <row r="79" spans="1:20" s="17" customFormat="1" x14ac:dyDescent="0.2">
      <c r="A79" s="43" t="s">
        <v>56</v>
      </c>
      <c r="B79" s="50" t="s">
        <v>9</v>
      </c>
      <c r="C79" s="45" t="s">
        <v>56</v>
      </c>
      <c r="D79" s="45" t="s">
        <v>56</v>
      </c>
      <c r="E79" s="45"/>
      <c r="F79" s="140"/>
      <c r="G79" s="84">
        <f t="shared" si="12"/>
        <v>150000</v>
      </c>
      <c r="H79" s="43">
        <v>7500</v>
      </c>
      <c r="I79" s="43">
        <v>7500</v>
      </c>
      <c r="J79" s="43">
        <v>7500</v>
      </c>
      <c r="K79" s="43">
        <v>7500</v>
      </c>
      <c r="L79" s="43">
        <v>15000</v>
      </c>
      <c r="M79" s="43">
        <v>15000</v>
      </c>
      <c r="N79" s="43">
        <v>15000</v>
      </c>
      <c r="O79" s="43">
        <v>15000</v>
      </c>
      <c r="P79" s="43">
        <v>15000</v>
      </c>
      <c r="Q79" s="43">
        <v>15000</v>
      </c>
      <c r="R79" s="43">
        <v>15000</v>
      </c>
      <c r="S79" s="43">
        <v>15000</v>
      </c>
      <c r="T79" s="43">
        <f t="shared" si="13"/>
        <v>150000</v>
      </c>
    </row>
    <row r="80" spans="1:20" s="17" customFormat="1" x14ac:dyDescent="0.2">
      <c r="A80" s="43" t="s">
        <v>56</v>
      </c>
      <c r="B80" s="50" t="s">
        <v>10</v>
      </c>
      <c r="C80" s="45" t="s">
        <v>56</v>
      </c>
      <c r="D80" s="45" t="s">
        <v>56</v>
      </c>
      <c r="E80" s="45"/>
      <c r="F80" s="140"/>
      <c r="G80" s="84">
        <f t="shared" si="12"/>
        <v>40000</v>
      </c>
      <c r="H80" s="43">
        <f>40000/12</f>
        <v>3333.3333333333335</v>
      </c>
      <c r="I80" s="43">
        <f t="shared" ref="I80:S80" si="28">40000/12</f>
        <v>3333.3333333333335</v>
      </c>
      <c r="J80" s="43">
        <f t="shared" si="28"/>
        <v>3333.3333333333335</v>
      </c>
      <c r="K80" s="43">
        <f t="shared" si="28"/>
        <v>3333.3333333333335</v>
      </c>
      <c r="L80" s="43">
        <f t="shared" si="28"/>
        <v>3333.3333333333335</v>
      </c>
      <c r="M80" s="43">
        <f t="shared" si="28"/>
        <v>3333.3333333333335</v>
      </c>
      <c r="N80" s="43">
        <f t="shared" si="28"/>
        <v>3333.3333333333335</v>
      </c>
      <c r="O80" s="43">
        <f t="shared" si="28"/>
        <v>3333.3333333333335</v>
      </c>
      <c r="P80" s="43">
        <f t="shared" si="28"/>
        <v>3333.3333333333335</v>
      </c>
      <c r="Q80" s="43">
        <f t="shared" si="28"/>
        <v>3333.3333333333335</v>
      </c>
      <c r="R80" s="43">
        <f t="shared" si="28"/>
        <v>3333.3333333333335</v>
      </c>
      <c r="S80" s="43">
        <f t="shared" si="28"/>
        <v>3333.3333333333335</v>
      </c>
      <c r="T80" s="43">
        <f t="shared" si="13"/>
        <v>40000</v>
      </c>
    </row>
    <row r="81" spans="1:21" x14ac:dyDescent="0.2">
      <c r="A81" s="48"/>
      <c r="B81" s="52"/>
      <c r="C81" s="2"/>
      <c r="D81" s="2"/>
      <c r="E81" s="52"/>
      <c r="F81" s="61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1" x14ac:dyDescent="0.2">
      <c r="A82" s="44" t="s">
        <v>28</v>
      </c>
      <c r="B82" s="30"/>
      <c r="C82" s="14"/>
      <c r="D82" s="14"/>
      <c r="E82" s="78"/>
      <c r="F82" s="62">
        <f>SUM(F3:F79)</f>
        <v>26.716666666666672</v>
      </c>
      <c r="G82" s="16">
        <f>SUM(G2:G80)</f>
        <v>14743801.426563453</v>
      </c>
      <c r="H82" s="16">
        <f t="shared" ref="H82:T82" si="29">SUM(H2:H80)</f>
        <v>555617.52026386105</v>
      </c>
      <c r="I82" s="16">
        <f t="shared" si="29"/>
        <v>783367.015404267</v>
      </c>
      <c r="J82" s="16">
        <f t="shared" si="29"/>
        <v>761877.34644834267</v>
      </c>
      <c r="K82" s="16">
        <f t="shared" si="29"/>
        <v>1188371.4845115759</v>
      </c>
      <c r="L82" s="16">
        <f t="shared" si="29"/>
        <v>1276565.8588059803</v>
      </c>
      <c r="M82" s="16">
        <f t="shared" si="29"/>
        <v>1218371.7639422833</v>
      </c>
      <c r="N82" s="16">
        <f t="shared" si="29"/>
        <v>1265411.1647706989</v>
      </c>
      <c r="O82" s="16">
        <f t="shared" si="29"/>
        <v>1353450.5655991139</v>
      </c>
      <c r="P82" s="16">
        <f t="shared" si="29"/>
        <v>1549679.6767043311</v>
      </c>
      <c r="Q82" s="16">
        <f t="shared" si="29"/>
        <v>1584779.6767043311</v>
      </c>
      <c r="R82" s="16">
        <f t="shared" si="29"/>
        <v>1574779.6767043311</v>
      </c>
      <c r="S82" s="16">
        <f t="shared" si="29"/>
        <v>1631529.6767043311</v>
      </c>
      <c r="T82" s="16">
        <f t="shared" si="29"/>
        <v>14743801.426563453</v>
      </c>
    </row>
    <row r="85" spans="1:21" x14ac:dyDescent="0.2">
      <c r="E85" s="135" t="s">
        <v>62</v>
      </c>
      <c r="F85" s="136"/>
      <c r="G85" s="137">
        <f>SUMIF($E$2:$E$80,"E&amp;F",G2:G80)</f>
        <v>9573442.0416000001</v>
      </c>
      <c r="H85" s="137">
        <f t="shared" ref="H85:T85" si="30">SUMIF($E$2:$E$80,"E&amp;F",H2:H80)</f>
        <v>327618.08679999999</v>
      </c>
      <c r="I85" s="137">
        <f t="shared" si="30"/>
        <v>514493.08679999999</v>
      </c>
      <c r="J85" s="137">
        <f t="shared" si="30"/>
        <v>551593.08679999993</v>
      </c>
      <c r="K85" s="137">
        <f t="shared" si="30"/>
        <v>706443.08679999993</v>
      </c>
      <c r="L85" s="137">
        <f t="shared" si="30"/>
        <v>867843.08679999993</v>
      </c>
      <c r="M85" s="137">
        <f t="shared" si="30"/>
        <v>837593.08679999993</v>
      </c>
      <c r="N85" s="137">
        <f t="shared" si="30"/>
        <v>864343.08679999993</v>
      </c>
      <c r="O85" s="137">
        <f t="shared" si="30"/>
        <v>922093.08679999993</v>
      </c>
      <c r="P85" s="137">
        <f t="shared" si="30"/>
        <v>949843.08679999993</v>
      </c>
      <c r="Q85" s="137">
        <f t="shared" si="30"/>
        <v>994943.08679999993</v>
      </c>
      <c r="R85" s="137">
        <f t="shared" si="30"/>
        <v>994943.08679999993</v>
      </c>
      <c r="S85" s="137">
        <f t="shared" si="30"/>
        <v>1041693.0867999999</v>
      </c>
      <c r="T85" s="137">
        <f t="shared" si="30"/>
        <v>9573442.0416000001</v>
      </c>
      <c r="U85" s="137"/>
    </row>
    <row r="86" spans="1:21" x14ac:dyDescent="0.2">
      <c r="E86" s="135" t="s">
        <v>69</v>
      </c>
      <c r="F86" s="136"/>
      <c r="G86" s="137">
        <f>SUMIF($E$2:$E$80,"Consultancies",G2:G80)</f>
        <v>1224372.0000000005</v>
      </c>
      <c r="H86" s="137">
        <f t="shared" ref="H86:T86" si="31">SUMIF($E$2:$E$80,"Consultancies",H2:H80)</f>
        <v>137864.33333333337</v>
      </c>
      <c r="I86" s="137">
        <f t="shared" si="31"/>
        <v>137864.33333333337</v>
      </c>
      <c r="J86" s="137">
        <f t="shared" si="31"/>
        <v>130864.33333333339</v>
      </c>
      <c r="K86" s="137">
        <f t="shared" si="31"/>
        <v>130864.33333333339</v>
      </c>
      <c r="L86" s="137">
        <f t="shared" si="31"/>
        <v>85864.333333333387</v>
      </c>
      <c r="M86" s="137">
        <f t="shared" si="31"/>
        <v>85864.333333333387</v>
      </c>
      <c r="N86" s="137">
        <f t="shared" si="31"/>
        <v>85864.333333333387</v>
      </c>
      <c r="O86" s="137">
        <f t="shared" si="31"/>
        <v>85864.333333333387</v>
      </c>
      <c r="P86" s="137">
        <f t="shared" si="31"/>
        <v>85864.333333333387</v>
      </c>
      <c r="Q86" s="137">
        <f t="shared" si="31"/>
        <v>85864.333333333387</v>
      </c>
      <c r="R86" s="137">
        <f t="shared" si="31"/>
        <v>85864.333333333387</v>
      </c>
      <c r="S86" s="137">
        <f t="shared" si="31"/>
        <v>85864.333333333387</v>
      </c>
      <c r="T86" s="137">
        <f t="shared" si="31"/>
        <v>1224372.0000000005</v>
      </c>
    </row>
    <row r="87" spans="1:21" x14ac:dyDescent="0.2">
      <c r="E87" s="135" t="s">
        <v>257</v>
      </c>
      <c r="F87" s="136"/>
      <c r="G87" s="137"/>
      <c r="H87" s="137">
        <f t="shared" ref="H87:S87" si="32">COUNTIFS($D$2:$D$81,"TBH",H2:H81,"&gt;0")</f>
        <v>3</v>
      </c>
      <c r="I87" s="137">
        <f t="shared" si="32"/>
        <v>9</v>
      </c>
      <c r="J87" s="137">
        <f t="shared" si="32"/>
        <v>9</v>
      </c>
      <c r="K87" s="137">
        <f t="shared" si="32"/>
        <v>13</v>
      </c>
      <c r="L87" s="137">
        <f>COUNTIFS($D$2:$D$81,"TBH",L2:L81,"&gt;0")</f>
        <v>17</v>
      </c>
      <c r="M87" s="137">
        <f t="shared" si="32"/>
        <v>17</v>
      </c>
      <c r="N87" s="137">
        <f t="shared" si="32"/>
        <v>18</v>
      </c>
      <c r="O87" s="137">
        <f t="shared" si="32"/>
        <v>21</v>
      </c>
      <c r="P87" s="137">
        <f t="shared" si="32"/>
        <v>23</v>
      </c>
      <c r="Q87" s="137">
        <f t="shared" si="32"/>
        <v>24</v>
      </c>
      <c r="R87" s="137">
        <f t="shared" si="32"/>
        <v>24</v>
      </c>
      <c r="S87" s="137">
        <f t="shared" si="32"/>
        <v>25</v>
      </c>
      <c r="T87" s="137">
        <f t="shared" ref="T87" si="33">COUNTIF(Q1:Q80,"TBH")</f>
        <v>0</v>
      </c>
    </row>
    <row r="88" spans="1:21" x14ac:dyDescent="0.2">
      <c r="E88" s="135" t="s">
        <v>258</v>
      </c>
      <c r="F88" s="136"/>
      <c r="G88" s="137">
        <f>SUM(H88:S88)</f>
        <v>25</v>
      </c>
      <c r="H88" s="137">
        <f>H87</f>
        <v>3</v>
      </c>
      <c r="I88" s="137">
        <f>IF(I87&gt;H87,I87-H87,0)</f>
        <v>6</v>
      </c>
      <c r="J88" s="137">
        <f t="shared" ref="J88:S88" si="34">IF(J87&gt;I87,J87-I87,0)</f>
        <v>0</v>
      </c>
      <c r="K88" s="137">
        <f t="shared" si="34"/>
        <v>4</v>
      </c>
      <c r="L88" s="137">
        <f t="shared" si="34"/>
        <v>4</v>
      </c>
      <c r="M88" s="137">
        <f t="shared" si="34"/>
        <v>0</v>
      </c>
      <c r="N88" s="137">
        <f t="shared" si="34"/>
        <v>1</v>
      </c>
      <c r="O88" s="137">
        <f t="shared" si="34"/>
        <v>3</v>
      </c>
      <c r="P88" s="137">
        <f t="shared" si="34"/>
        <v>2</v>
      </c>
      <c r="Q88" s="137">
        <f t="shared" si="34"/>
        <v>1</v>
      </c>
      <c r="R88" s="137">
        <f t="shared" si="34"/>
        <v>0</v>
      </c>
      <c r="S88" s="137">
        <f t="shared" si="34"/>
        <v>1</v>
      </c>
      <c r="T88" s="137"/>
    </row>
  </sheetData>
  <autoFilter ref="A1:U80" xr:uid="{6EFC4158-25AE-435E-9024-D998F1BEDF6A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70"/>
  <sheetViews>
    <sheetView zoomScale="70" zoomScaleNormal="70" zoomScalePageLayoutView="80" workbookViewId="0">
      <pane xSplit="3" ySplit="2" topLeftCell="D44" activePane="bottomRight" state="frozen"/>
      <selection pane="topRight" activeCell="D1" sqref="D1"/>
      <selection pane="bottomLeft" activeCell="A3" sqref="A3"/>
      <selection pane="bottomRight" activeCell="B37" sqref="B37"/>
    </sheetView>
  </sheetViews>
  <sheetFormatPr baseColWidth="10" defaultColWidth="10.6640625" defaultRowHeight="15" x14ac:dyDescent="0.2"/>
  <cols>
    <col min="1" max="1" width="26.83203125" style="60" customWidth="1"/>
    <col min="2" max="2" width="22.33203125" style="60" customWidth="1"/>
    <col min="3" max="3" width="37.33203125" bestFit="1" customWidth="1"/>
    <col min="4" max="4" width="27.1640625" bestFit="1" customWidth="1"/>
    <col min="5" max="5" width="18" style="60" customWidth="1"/>
    <col min="6" max="18" width="10.6640625" style="60" customWidth="1"/>
    <col min="19" max="19" width="10.6640625" customWidth="1"/>
    <col min="20" max="21" width="12.6640625" bestFit="1" customWidth="1"/>
    <col min="22" max="22" width="13.33203125" bestFit="1" customWidth="1"/>
    <col min="23" max="23" width="11.6640625" bestFit="1" customWidth="1"/>
    <col min="24" max="24" width="12.33203125" bestFit="1" customWidth="1"/>
    <col min="25" max="25" width="12.5" bestFit="1" customWidth="1"/>
    <col min="26" max="26" width="11.83203125" bestFit="1" customWidth="1"/>
    <col min="27" max="27" width="13" bestFit="1" customWidth="1"/>
    <col min="28" max="28" width="12.83203125" bestFit="1" customWidth="1"/>
    <col min="29" max="29" width="11.6640625" bestFit="1" customWidth="1"/>
    <col min="30" max="30" width="12.33203125" bestFit="1" customWidth="1"/>
    <col min="31" max="31" width="12.33203125" style="2" bestFit="1" customWidth="1"/>
    <col min="32" max="32" width="18.33203125" customWidth="1"/>
  </cols>
  <sheetData>
    <row r="1" spans="1:32" ht="16" thickBot="1" x14ac:dyDescent="0.25">
      <c r="B1"/>
      <c r="D1" s="60"/>
      <c r="H1" s="60" t="s">
        <v>81</v>
      </c>
      <c r="I1" s="60" t="s">
        <v>81</v>
      </c>
      <c r="J1" s="60" t="s">
        <v>81</v>
      </c>
      <c r="K1" s="60" t="s">
        <v>81</v>
      </c>
      <c r="L1" s="60" t="s">
        <v>81</v>
      </c>
      <c r="M1" s="60" t="s">
        <v>81</v>
      </c>
      <c r="N1" s="60" t="s">
        <v>81</v>
      </c>
      <c r="O1" s="60" t="s">
        <v>81</v>
      </c>
      <c r="P1" s="60" t="s">
        <v>81</v>
      </c>
      <c r="Q1" s="60" t="s">
        <v>81</v>
      </c>
      <c r="R1" s="60" t="s">
        <v>81</v>
      </c>
      <c r="S1" s="60" t="s">
        <v>81</v>
      </c>
      <c r="T1" s="60" t="s">
        <v>82</v>
      </c>
      <c r="U1" s="60" t="s">
        <v>82</v>
      </c>
      <c r="V1" s="60" t="s">
        <v>82</v>
      </c>
      <c r="W1" s="60" t="s">
        <v>82</v>
      </c>
      <c r="X1" s="60" t="s">
        <v>82</v>
      </c>
      <c r="Y1" s="60" t="s">
        <v>82</v>
      </c>
      <c r="Z1" s="60" t="s">
        <v>82</v>
      </c>
      <c r="AA1" s="60" t="s">
        <v>82</v>
      </c>
      <c r="AB1" s="60" t="s">
        <v>82</v>
      </c>
      <c r="AC1" s="60" t="s">
        <v>82</v>
      </c>
      <c r="AD1" s="60" t="s">
        <v>82</v>
      </c>
      <c r="AE1" s="60" t="s">
        <v>82</v>
      </c>
      <c r="AF1" s="60" t="s">
        <v>82</v>
      </c>
    </row>
    <row r="2" spans="1:32" ht="32" x14ac:dyDescent="0.2">
      <c r="A2" s="47" t="s">
        <v>43</v>
      </c>
      <c r="B2" s="47" t="s">
        <v>42</v>
      </c>
      <c r="C2" s="42" t="s">
        <v>54</v>
      </c>
      <c r="D2" s="68" t="s">
        <v>70</v>
      </c>
      <c r="E2" s="147" t="s">
        <v>176</v>
      </c>
      <c r="F2" s="71" t="s">
        <v>175</v>
      </c>
      <c r="G2" s="72" t="s">
        <v>174</v>
      </c>
      <c r="H2" s="144" t="s">
        <v>116</v>
      </c>
      <c r="I2" s="144" t="s">
        <v>117</v>
      </c>
      <c r="J2" s="144" t="s">
        <v>118</v>
      </c>
      <c r="K2" s="144" t="s">
        <v>119</v>
      </c>
      <c r="L2" s="144" t="s">
        <v>120</v>
      </c>
      <c r="M2" s="144" t="s">
        <v>121</v>
      </c>
      <c r="N2" s="144" t="s">
        <v>123</v>
      </c>
      <c r="O2" s="144" t="s">
        <v>124</v>
      </c>
      <c r="P2" s="144" t="s">
        <v>125</v>
      </c>
      <c r="Q2" s="144" t="s">
        <v>126</v>
      </c>
      <c r="R2" s="144" t="s">
        <v>122</v>
      </c>
      <c r="S2" s="144" t="s">
        <v>135</v>
      </c>
      <c r="T2" s="144" t="s">
        <v>116</v>
      </c>
      <c r="U2" s="144" t="s">
        <v>117</v>
      </c>
      <c r="V2" s="144" t="s">
        <v>118</v>
      </c>
      <c r="W2" s="144" t="s">
        <v>119</v>
      </c>
      <c r="X2" s="144" t="s">
        <v>120</v>
      </c>
      <c r="Y2" s="144" t="s">
        <v>121</v>
      </c>
      <c r="Z2" s="144" t="s">
        <v>123</v>
      </c>
      <c r="AA2" s="144" t="s">
        <v>136</v>
      </c>
      <c r="AB2" s="144" t="s">
        <v>125</v>
      </c>
      <c r="AC2" s="144" t="s">
        <v>126</v>
      </c>
      <c r="AD2" s="144" t="s">
        <v>122</v>
      </c>
      <c r="AE2" s="144" t="s">
        <v>135</v>
      </c>
      <c r="AF2" s="68" t="s">
        <v>55</v>
      </c>
    </row>
    <row r="3" spans="1:32" x14ac:dyDescent="0.2">
      <c r="A3" s="53" t="s">
        <v>164</v>
      </c>
      <c r="B3" s="45" t="s">
        <v>46</v>
      </c>
      <c r="C3" s="45" t="s">
        <v>47</v>
      </c>
      <c r="D3" s="69" t="s">
        <v>62</v>
      </c>
      <c r="E3" s="86">
        <f>1250*220/12</f>
        <v>22916.666666666668</v>
      </c>
      <c r="F3" s="86">
        <f>E3*3</f>
        <v>68750</v>
      </c>
      <c r="G3" s="59">
        <f>AVERAGE(H3:S3)</f>
        <v>0.90000000000000024</v>
      </c>
      <c r="H3" s="58">
        <f t="shared" ref="H3:AE3" si="0">SUMIFS(H54:H974,$C$54:$C$974,$B$3)</f>
        <v>0.9</v>
      </c>
      <c r="I3" s="58">
        <f t="shared" si="0"/>
        <v>0.9</v>
      </c>
      <c r="J3" s="58">
        <f t="shared" si="0"/>
        <v>0.9</v>
      </c>
      <c r="K3" s="58">
        <f t="shared" si="0"/>
        <v>0.9</v>
      </c>
      <c r="L3" s="58">
        <f t="shared" si="0"/>
        <v>0.9</v>
      </c>
      <c r="M3" s="58">
        <f t="shared" si="0"/>
        <v>0.9</v>
      </c>
      <c r="N3" s="58">
        <f t="shared" si="0"/>
        <v>0.9</v>
      </c>
      <c r="O3" s="58">
        <f t="shared" si="0"/>
        <v>0.9</v>
      </c>
      <c r="P3" s="58">
        <f t="shared" si="0"/>
        <v>0.9</v>
      </c>
      <c r="Q3" s="58">
        <f t="shared" si="0"/>
        <v>0.9</v>
      </c>
      <c r="R3" s="58">
        <f t="shared" si="0"/>
        <v>0.9</v>
      </c>
      <c r="S3" s="58">
        <f t="shared" si="0"/>
        <v>0.9</v>
      </c>
      <c r="T3" s="86">
        <f t="shared" si="0"/>
        <v>61875</v>
      </c>
      <c r="U3" s="86">
        <f t="shared" si="0"/>
        <v>61875</v>
      </c>
      <c r="V3" s="86">
        <f t="shared" si="0"/>
        <v>61875</v>
      </c>
      <c r="W3" s="86">
        <f t="shared" si="0"/>
        <v>61875</v>
      </c>
      <c r="X3" s="86">
        <f t="shared" si="0"/>
        <v>61875</v>
      </c>
      <c r="Y3" s="86">
        <f t="shared" si="0"/>
        <v>61875</v>
      </c>
      <c r="Z3" s="86">
        <f t="shared" si="0"/>
        <v>61875</v>
      </c>
      <c r="AA3" s="86">
        <f t="shared" si="0"/>
        <v>61875</v>
      </c>
      <c r="AB3" s="86">
        <f t="shared" si="0"/>
        <v>61875</v>
      </c>
      <c r="AC3" s="86">
        <f t="shared" si="0"/>
        <v>61875</v>
      </c>
      <c r="AD3" s="86">
        <f t="shared" si="0"/>
        <v>61875</v>
      </c>
      <c r="AE3" s="86">
        <f t="shared" si="0"/>
        <v>61875</v>
      </c>
      <c r="AF3" s="55">
        <f>SUM(T3:AE3)</f>
        <v>742500</v>
      </c>
    </row>
    <row r="4" spans="1:32" x14ac:dyDescent="0.2">
      <c r="A4" s="53" t="s">
        <v>164</v>
      </c>
      <c r="B4" s="45" t="s">
        <v>167</v>
      </c>
      <c r="C4" s="45" t="s">
        <v>48</v>
      </c>
      <c r="D4" s="69" t="s">
        <v>62</v>
      </c>
      <c r="E4" s="86">
        <f>1250*220/12</f>
        <v>22916.666666666668</v>
      </c>
      <c r="F4" s="86">
        <f t="shared" ref="F4:F49" si="1">E4*3</f>
        <v>68750</v>
      </c>
      <c r="G4" s="59">
        <f t="shared" ref="G4:G49" si="2">AVERAGE(H4:S4)</f>
        <v>0.79999999999999993</v>
      </c>
      <c r="H4" s="58">
        <f t="shared" ref="H4:AE4" si="3">SUMIFS(H54:H974,$C$54:$C$974,$B$4)</f>
        <v>0.8</v>
      </c>
      <c r="I4" s="58">
        <f t="shared" si="3"/>
        <v>0.8</v>
      </c>
      <c r="J4" s="58">
        <f t="shared" si="3"/>
        <v>0.8</v>
      </c>
      <c r="K4" s="58">
        <f t="shared" si="3"/>
        <v>0.8</v>
      </c>
      <c r="L4" s="58">
        <f t="shared" si="3"/>
        <v>0.8</v>
      </c>
      <c r="M4" s="58">
        <f t="shared" si="3"/>
        <v>0.8</v>
      </c>
      <c r="N4" s="58">
        <f t="shared" si="3"/>
        <v>0.8</v>
      </c>
      <c r="O4" s="58">
        <f t="shared" si="3"/>
        <v>0.8</v>
      </c>
      <c r="P4" s="58">
        <f t="shared" si="3"/>
        <v>0.8</v>
      </c>
      <c r="Q4" s="58">
        <f t="shared" si="3"/>
        <v>0.8</v>
      </c>
      <c r="R4" s="58">
        <f t="shared" si="3"/>
        <v>0.8</v>
      </c>
      <c r="S4" s="58">
        <f t="shared" si="3"/>
        <v>0.8</v>
      </c>
      <c r="T4" s="86">
        <f t="shared" si="3"/>
        <v>55000</v>
      </c>
      <c r="U4" s="86">
        <f t="shared" si="3"/>
        <v>55000</v>
      </c>
      <c r="V4" s="86">
        <f t="shared" si="3"/>
        <v>55000</v>
      </c>
      <c r="W4" s="86">
        <f t="shared" si="3"/>
        <v>55000</v>
      </c>
      <c r="X4" s="86">
        <f t="shared" si="3"/>
        <v>55000</v>
      </c>
      <c r="Y4" s="86">
        <f t="shared" si="3"/>
        <v>55000</v>
      </c>
      <c r="Z4" s="86">
        <f t="shared" si="3"/>
        <v>55000</v>
      </c>
      <c r="AA4" s="86">
        <f t="shared" si="3"/>
        <v>55000</v>
      </c>
      <c r="AB4" s="86">
        <f t="shared" si="3"/>
        <v>55000</v>
      </c>
      <c r="AC4" s="86">
        <f t="shared" si="3"/>
        <v>55000</v>
      </c>
      <c r="AD4" s="86">
        <f t="shared" si="3"/>
        <v>55000</v>
      </c>
      <c r="AE4" s="86">
        <f t="shared" si="3"/>
        <v>55000</v>
      </c>
      <c r="AF4" s="55">
        <f t="shared" ref="AF4:AF49" si="4">SUM(T4:AE4)</f>
        <v>660000</v>
      </c>
    </row>
    <row r="5" spans="1:32" x14ac:dyDescent="0.2">
      <c r="A5" s="53" t="s">
        <v>163</v>
      </c>
      <c r="B5" s="45" t="s">
        <v>115</v>
      </c>
      <c r="C5" s="45" t="s">
        <v>137</v>
      </c>
      <c r="D5" s="69" t="s">
        <v>76</v>
      </c>
      <c r="E5" s="86">
        <f>4500*2</f>
        <v>9000</v>
      </c>
      <c r="F5" s="86">
        <f t="shared" si="1"/>
        <v>27000</v>
      </c>
      <c r="G5" s="59">
        <f t="shared" si="2"/>
        <v>1</v>
      </c>
      <c r="H5" s="58">
        <f t="shared" ref="H5:AE5" si="5">SUMIFS(H54:H974,$C$54:$C$974,$B$5)</f>
        <v>1</v>
      </c>
      <c r="I5" s="58">
        <f t="shared" si="5"/>
        <v>1</v>
      </c>
      <c r="J5" s="58">
        <f t="shared" si="5"/>
        <v>1</v>
      </c>
      <c r="K5" s="58">
        <f t="shared" si="5"/>
        <v>1</v>
      </c>
      <c r="L5" s="58">
        <f t="shared" si="5"/>
        <v>1</v>
      </c>
      <c r="M5" s="58">
        <f t="shared" si="5"/>
        <v>1</v>
      </c>
      <c r="N5" s="58">
        <f t="shared" si="5"/>
        <v>1</v>
      </c>
      <c r="O5" s="58">
        <f t="shared" si="5"/>
        <v>1</v>
      </c>
      <c r="P5" s="58">
        <f t="shared" si="5"/>
        <v>1</v>
      </c>
      <c r="Q5" s="58">
        <f t="shared" si="5"/>
        <v>1</v>
      </c>
      <c r="R5" s="58">
        <f t="shared" si="5"/>
        <v>1</v>
      </c>
      <c r="S5" s="58">
        <f t="shared" si="5"/>
        <v>1</v>
      </c>
      <c r="T5" s="86">
        <f t="shared" si="5"/>
        <v>27000</v>
      </c>
      <c r="U5" s="86">
        <f t="shared" si="5"/>
        <v>27000</v>
      </c>
      <c r="V5" s="86">
        <f t="shared" si="5"/>
        <v>27000</v>
      </c>
      <c r="W5" s="86">
        <f t="shared" si="5"/>
        <v>27000</v>
      </c>
      <c r="X5" s="86">
        <f t="shared" si="5"/>
        <v>27000</v>
      </c>
      <c r="Y5" s="86">
        <f t="shared" si="5"/>
        <v>27000</v>
      </c>
      <c r="Z5" s="86">
        <f t="shared" si="5"/>
        <v>27000</v>
      </c>
      <c r="AA5" s="86">
        <f t="shared" si="5"/>
        <v>27000</v>
      </c>
      <c r="AB5" s="86">
        <f t="shared" si="5"/>
        <v>27000</v>
      </c>
      <c r="AC5" s="86">
        <f t="shared" si="5"/>
        <v>27000</v>
      </c>
      <c r="AD5" s="86">
        <f t="shared" si="5"/>
        <v>27000</v>
      </c>
      <c r="AE5" s="86">
        <f t="shared" si="5"/>
        <v>27000</v>
      </c>
      <c r="AF5" s="55">
        <f t="shared" si="4"/>
        <v>324000</v>
      </c>
    </row>
    <row r="6" spans="1:32" x14ac:dyDescent="0.2">
      <c r="A6" s="53" t="s">
        <v>163</v>
      </c>
      <c r="B6" s="45" t="s">
        <v>169</v>
      </c>
      <c r="C6" s="45" t="s">
        <v>168</v>
      </c>
      <c r="D6" s="69" t="s">
        <v>76</v>
      </c>
      <c r="E6" s="86">
        <f>550*220/12</f>
        <v>10083.333333333334</v>
      </c>
      <c r="F6" s="86">
        <f t="shared" si="1"/>
        <v>30250</v>
      </c>
      <c r="G6" s="59">
        <f t="shared" si="2"/>
        <v>0.91666666666666663</v>
      </c>
      <c r="H6" s="58">
        <f t="shared" ref="H6:AE6" si="6">SUMIFS(H54:H974,$C$54:$C$974,$B$6)</f>
        <v>0</v>
      </c>
      <c r="I6" s="58">
        <f t="shared" si="6"/>
        <v>1</v>
      </c>
      <c r="J6" s="58">
        <f t="shared" si="6"/>
        <v>1</v>
      </c>
      <c r="K6" s="58">
        <f t="shared" si="6"/>
        <v>1</v>
      </c>
      <c r="L6" s="58">
        <f t="shared" si="6"/>
        <v>1</v>
      </c>
      <c r="M6" s="58">
        <f t="shared" si="6"/>
        <v>1</v>
      </c>
      <c r="N6" s="58">
        <f t="shared" si="6"/>
        <v>1</v>
      </c>
      <c r="O6" s="58">
        <f t="shared" si="6"/>
        <v>1</v>
      </c>
      <c r="P6" s="58">
        <f t="shared" si="6"/>
        <v>1</v>
      </c>
      <c r="Q6" s="58">
        <f t="shared" si="6"/>
        <v>1</v>
      </c>
      <c r="R6" s="58">
        <f t="shared" si="6"/>
        <v>1</v>
      </c>
      <c r="S6" s="58">
        <f t="shared" si="6"/>
        <v>1</v>
      </c>
      <c r="T6" s="86">
        <f t="shared" si="6"/>
        <v>0</v>
      </c>
      <c r="U6" s="86">
        <f t="shared" si="6"/>
        <v>30250</v>
      </c>
      <c r="V6" s="86">
        <f t="shared" si="6"/>
        <v>30250</v>
      </c>
      <c r="W6" s="86">
        <f t="shared" si="6"/>
        <v>30250</v>
      </c>
      <c r="X6" s="86">
        <f t="shared" si="6"/>
        <v>30250</v>
      </c>
      <c r="Y6" s="86">
        <f t="shared" si="6"/>
        <v>30250</v>
      </c>
      <c r="Z6" s="86">
        <f t="shared" si="6"/>
        <v>30250</v>
      </c>
      <c r="AA6" s="86">
        <f t="shared" si="6"/>
        <v>30250</v>
      </c>
      <c r="AB6" s="86">
        <f t="shared" si="6"/>
        <v>30250</v>
      </c>
      <c r="AC6" s="86">
        <f t="shared" si="6"/>
        <v>30250</v>
      </c>
      <c r="AD6" s="86">
        <f t="shared" si="6"/>
        <v>30250</v>
      </c>
      <c r="AE6" s="86">
        <f t="shared" si="6"/>
        <v>30250</v>
      </c>
      <c r="AF6" s="55">
        <f t="shared" si="4"/>
        <v>332750</v>
      </c>
    </row>
    <row r="7" spans="1:32" x14ac:dyDescent="0.2">
      <c r="A7" s="53" t="s">
        <v>163</v>
      </c>
      <c r="B7" s="45" t="s">
        <v>170</v>
      </c>
      <c r="C7" s="45" t="s">
        <v>168</v>
      </c>
      <c r="D7" s="69" t="s">
        <v>76</v>
      </c>
      <c r="E7" s="86">
        <f>550*220/12</f>
        <v>10083.333333333334</v>
      </c>
      <c r="F7" s="86">
        <f t="shared" si="1"/>
        <v>30250</v>
      </c>
      <c r="G7" s="59">
        <f t="shared" si="2"/>
        <v>0.75</v>
      </c>
      <c r="H7" s="58">
        <f t="shared" ref="H7:AE7" si="7">SUMIFS(H54:H974,$C$54:$C$974,$B$7)</f>
        <v>0</v>
      </c>
      <c r="I7" s="58">
        <f t="shared" si="7"/>
        <v>0</v>
      </c>
      <c r="J7" s="58">
        <f t="shared" si="7"/>
        <v>0</v>
      </c>
      <c r="K7" s="58">
        <f t="shared" si="7"/>
        <v>1</v>
      </c>
      <c r="L7" s="58">
        <f t="shared" si="7"/>
        <v>1</v>
      </c>
      <c r="M7" s="58">
        <f t="shared" si="7"/>
        <v>1</v>
      </c>
      <c r="N7" s="58">
        <f t="shared" si="7"/>
        <v>1</v>
      </c>
      <c r="O7" s="58">
        <f t="shared" si="7"/>
        <v>1</v>
      </c>
      <c r="P7" s="58">
        <f t="shared" si="7"/>
        <v>1</v>
      </c>
      <c r="Q7" s="58">
        <f t="shared" si="7"/>
        <v>1</v>
      </c>
      <c r="R7" s="58">
        <f t="shared" si="7"/>
        <v>1</v>
      </c>
      <c r="S7" s="58">
        <f t="shared" si="7"/>
        <v>1</v>
      </c>
      <c r="T7" s="86">
        <f t="shared" si="7"/>
        <v>0</v>
      </c>
      <c r="U7" s="86">
        <f t="shared" si="7"/>
        <v>0</v>
      </c>
      <c r="V7" s="86">
        <f t="shared" si="7"/>
        <v>0</v>
      </c>
      <c r="W7" s="86">
        <f t="shared" si="7"/>
        <v>30250</v>
      </c>
      <c r="X7" s="86">
        <f t="shared" si="7"/>
        <v>30250</v>
      </c>
      <c r="Y7" s="86">
        <f t="shared" si="7"/>
        <v>30250</v>
      </c>
      <c r="Z7" s="86">
        <f t="shared" si="7"/>
        <v>30250</v>
      </c>
      <c r="AA7" s="86">
        <f t="shared" si="7"/>
        <v>30250</v>
      </c>
      <c r="AB7" s="86">
        <f t="shared" si="7"/>
        <v>30250</v>
      </c>
      <c r="AC7" s="86">
        <f t="shared" si="7"/>
        <v>30250</v>
      </c>
      <c r="AD7" s="86">
        <f t="shared" si="7"/>
        <v>30250</v>
      </c>
      <c r="AE7" s="86">
        <f t="shared" si="7"/>
        <v>30250</v>
      </c>
      <c r="AF7" s="55">
        <f t="shared" si="4"/>
        <v>272250</v>
      </c>
    </row>
    <row r="8" spans="1:32" x14ac:dyDescent="0.2">
      <c r="A8" s="53" t="s">
        <v>163</v>
      </c>
      <c r="B8" s="45" t="s">
        <v>172</v>
      </c>
      <c r="C8" s="45" t="s">
        <v>168</v>
      </c>
      <c r="D8" s="69" t="s">
        <v>76</v>
      </c>
      <c r="E8" s="86">
        <f>350*220/12</f>
        <v>6416.666666666667</v>
      </c>
      <c r="F8" s="86">
        <f t="shared" si="1"/>
        <v>19250</v>
      </c>
      <c r="G8" s="59">
        <f t="shared" si="2"/>
        <v>0.41666666666666669</v>
      </c>
      <c r="H8" s="58">
        <f t="shared" ref="H8:AE8" si="8">SUMIFS(H54:H974,$C$54:$C$974,$B$8)</f>
        <v>0</v>
      </c>
      <c r="I8" s="58">
        <f t="shared" si="8"/>
        <v>0</v>
      </c>
      <c r="J8" s="58">
        <f t="shared" si="8"/>
        <v>0</v>
      </c>
      <c r="K8" s="58">
        <f t="shared" si="8"/>
        <v>0</v>
      </c>
      <c r="L8" s="58">
        <f t="shared" si="8"/>
        <v>0</v>
      </c>
      <c r="M8" s="58">
        <f t="shared" si="8"/>
        <v>0</v>
      </c>
      <c r="N8" s="58">
        <f t="shared" si="8"/>
        <v>0</v>
      </c>
      <c r="O8" s="58">
        <f t="shared" si="8"/>
        <v>1</v>
      </c>
      <c r="P8" s="58">
        <f t="shared" si="8"/>
        <v>1</v>
      </c>
      <c r="Q8" s="58">
        <f t="shared" si="8"/>
        <v>1</v>
      </c>
      <c r="R8" s="58">
        <f t="shared" si="8"/>
        <v>1</v>
      </c>
      <c r="S8" s="58">
        <f t="shared" si="8"/>
        <v>1</v>
      </c>
      <c r="T8" s="86">
        <f t="shared" si="8"/>
        <v>0</v>
      </c>
      <c r="U8" s="86">
        <f t="shared" si="8"/>
        <v>0</v>
      </c>
      <c r="V8" s="86">
        <f t="shared" si="8"/>
        <v>0</v>
      </c>
      <c r="W8" s="86">
        <f t="shared" si="8"/>
        <v>0</v>
      </c>
      <c r="X8" s="86">
        <f t="shared" si="8"/>
        <v>0</v>
      </c>
      <c r="Y8" s="86">
        <f t="shared" si="8"/>
        <v>0</v>
      </c>
      <c r="Z8" s="86">
        <f t="shared" si="8"/>
        <v>0</v>
      </c>
      <c r="AA8" s="86">
        <f t="shared" si="8"/>
        <v>19250</v>
      </c>
      <c r="AB8" s="86">
        <f t="shared" si="8"/>
        <v>19250</v>
      </c>
      <c r="AC8" s="86">
        <f t="shared" si="8"/>
        <v>19250</v>
      </c>
      <c r="AD8" s="86">
        <f t="shared" si="8"/>
        <v>19250</v>
      </c>
      <c r="AE8" s="86">
        <f t="shared" si="8"/>
        <v>19250</v>
      </c>
      <c r="AF8" s="55">
        <f t="shared" si="4"/>
        <v>96250</v>
      </c>
    </row>
    <row r="9" spans="1:32" x14ac:dyDescent="0.2">
      <c r="A9" s="53" t="s">
        <v>163</v>
      </c>
      <c r="B9" s="45" t="s">
        <v>173</v>
      </c>
      <c r="C9" s="45" t="s">
        <v>168</v>
      </c>
      <c r="D9" s="69" t="s">
        <v>76</v>
      </c>
      <c r="E9" s="86">
        <f t="shared" ref="E9:E13" si="9">350*220/12</f>
        <v>6416.666666666667</v>
      </c>
      <c r="F9" s="86">
        <f t="shared" si="1"/>
        <v>19250</v>
      </c>
      <c r="G9" s="59">
        <f t="shared" si="2"/>
        <v>0.41666666666666669</v>
      </c>
      <c r="H9" s="58">
        <f t="shared" ref="H9:AE9" si="10">SUMIFS(H54:H974,$C$54:$C$974,$B$9)</f>
        <v>0</v>
      </c>
      <c r="I9" s="58">
        <f t="shared" si="10"/>
        <v>0</v>
      </c>
      <c r="J9" s="58">
        <f t="shared" si="10"/>
        <v>0</v>
      </c>
      <c r="K9" s="58">
        <f t="shared" si="10"/>
        <v>0</v>
      </c>
      <c r="L9" s="58">
        <f t="shared" si="10"/>
        <v>0</v>
      </c>
      <c r="M9" s="58">
        <f t="shared" si="10"/>
        <v>0</v>
      </c>
      <c r="N9" s="58">
        <f t="shared" si="10"/>
        <v>0</v>
      </c>
      <c r="O9" s="58">
        <f t="shared" si="10"/>
        <v>1</v>
      </c>
      <c r="P9" s="58">
        <f t="shared" si="10"/>
        <v>1</v>
      </c>
      <c r="Q9" s="58">
        <f t="shared" si="10"/>
        <v>1</v>
      </c>
      <c r="R9" s="58">
        <f t="shared" si="10"/>
        <v>1</v>
      </c>
      <c r="S9" s="58">
        <f t="shared" si="10"/>
        <v>1</v>
      </c>
      <c r="T9" s="86">
        <f t="shared" si="10"/>
        <v>0</v>
      </c>
      <c r="U9" s="86">
        <f t="shared" si="10"/>
        <v>0</v>
      </c>
      <c r="V9" s="86">
        <f t="shared" si="10"/>
        <v>0</v>
      </c>
      <c r="W9" s="86">
        <f t="shared" si="10"/>
        <v>0</v>
      </c>
      <c r="X9" s="86">
        <f t="shared" si="10"/>
        <v>0</v>
      </c>
      <c r="Y9" s="86">
        <f t="shared" si="10"/>
        <v>0</v>
      </c>
      <c r="Z9" s="86">
        <f t="shared" si="10"/>
        <v>0</v>
      </c>
      <c r="AA9" s="86">
        <f t="shared" si="10"/>
        <v>19250</v>
      </c>
      <c r="AB9" s="86">
        <f t="shared" si="10"/>
        <v>19250</v>
      </c>
      <c r="AC9" s="86">
        <f t="shared" si="10"/>
        <v>19250</v>
      </c>
      <c r="AD9" s="86">
        <f t="shared" si="10"/>
        <v>19250</v>
      </c>
      <c r="AE9" s="86">
        <f t="shared" si="10"/>
        <v>19250</v>
      </c>
      <c r="AF9" s="55">
        <f t="shared" si="4"/>
        <v>96250</v>
      </c>
    </row>
    <row r="10" spans="1:32" x14ac:dyDescent="0.2">
      <c r="A10" s="53" t="s">
        <v>163</v>
      </c>
      <c r="B10" s="45" t="s">
        <v>171</v>
      </c>
      <c r="C10" s="45" t="s">
        <v>168</v>
      </c>
      <c r="D10" s="69" t="s">
        <v>76</v>
      </c>
      <c r="E10" s="86">
        <f t="shared" si="9"/>
        <v>6416.666666666667</v>
      </c>
      <c r="F10" s="86">
        <f t="shared" si="1"/>
        <v>19250</v>
      </c>
      <c r="G10" s="59">
        <f t="shared" si="2"/>
        <v>0.41666666666666669</v>
      </c>
      <c r="H10" s="58">
        <f t="shared" ref="H10:AE10" si="11">SUMIFS(H54:H974,$C$54:$C$974,$B$10)</f>
        <v>0</v>
      </c>
      <c r="I10" s="58">
        <f t="shared" si="11"/>
        <v>0</v>
      </c>
      <c r="J10" s="58">
        <f t="shared" si="11"/>
        <v>0</v>
      </c>
      <c r="K10" s="58">
        <f t="shared" si="11"/>
        <v>0</v>
      </c>
      <c r="L10" s="58">
        <f t="shared" si="11"/>
        <v>0</v>
      </c>
      <c r="M10" s="58">
        <f t="shared" si="11"/>
        <v>0</v>
      </c>
      <c r="N10" s="58">
        <f t="shared" si="11"/>
        <v>0</v>
      </c>
      <c r="O10" s="58">
        <f t="shared" si="11"/>
        <v>1</v>
      </c>
      <c r="P10" s="58">
        <f t="shared" si="11"/>
        <v>1</v>
      </c>
      <c r="Q10" s="58">
        <f t="shared" si="11"/>
        <v>1</v>
      </c>
      <c r="R10" s="58">
        <f t="shared" si="11"/>
        <v>1</v>
      </c>
      <c r="S10" s="58">
        <f t="shared" si="11"/>
        <v>1</v>
      </c>
      <c r="T10" s="86">
        <f t="shared" si="11"/>
        <v>0</v>
      </c>
      <c r="U10" s="86">
        <f t="shared" si="11"/>
        <v>0</v>
      </c>
      <c r="V10" s="86">
        <f t="shared" si="11"/>
        <v>0</v>
      </c>
      <c r="W10" s="86">
        <f t="shared" si="11"/>
        <v>0</v>
      </c>
      <c r="X10" s="86">
        <f t="shared" si="11"/>
        <v>0</v>
      </c>
      <c r="Y10" s="86">
        <f t="shared" si="11"/>
        <v>0</v>
      </c>
      <c r="Z10" s="86">
        <f t="shared" si="11"/>
        <v>0</v>
      </c>
      <c r="AA10" s="86">
        <f t="shared" si="11"/>
        <v>19250</v>
      </c>
      <c r="AB10" s="86">
        <f t="shared" si="11"/>
        <v>19250</v>
      </c>
      <c r="AC10" s="86">
        <f t="shared" si="11"/>
        <v>19250</v>
      </c>
      <c r="AD10" s="86">
        <f t="shared" si="11"/>
        <v>19250</v>
      </c>
      <c r="AE10" s="86">
        <f t="shared" si="11"/>
        <v>19250</v>
      </c>
      <c r="AF10" s="55">
        <f t="shared" si="4"/>
        <v>96250</v>
      </c>
    </row>
    <row r="11" spans="1:32" x14ac:dyDescent="0.2">
      <c r="A11" s="53" t="s">
        <v>163</v>
      </c>
      <c r="B11" s="45" t="s">
        <v>237</v>
      </c>
      <c r="C11" s="45" t="s">
        <v>168</v>
      </c>
      <c r="D11" s="69" t="s">
        <v>76</v>
      </c>
      <c r="E11" s="86">
        <f t="shared" si="9"/>
        <v>6416.666666666667</v>
      </c>
      <c r="F11" s="86">
        <f t="shared" ref="F11:F13" si="12">E11*3</f>
        <v>19250</v>
      </c>
      <c r="G11" s="59">
        <f t="shared" ref="G11:G13" si="13">AVERAGE(H11:S11)</f>
        <v>0.33333333333333331</v>
      </c>
      <c r="H11" s="58">
        <f t="shared" ref="H11:AE11" si="14">SUMIFS(H54:H974,$C$54:$C$974,$B$11)</f>
        <v>0</v>
      </c>
      <c r="I11" s="58">
        <f t="shared" si="14"/>
        <v>0</v>
      </c>
      <c r="J11" s="58">
        <f t="shared" si="14"/>
        <v>0</v>
      </c>
      <c r="K11" s="58">
        <f t="shared" si="14"/>
        <v>0</v>
      </c>
      <c r="L11" s="58">
        <f t="shared" si="14"/>
        <v>0</v>
      </c>
      <c r="M11" s="58">
        <f t="shared" si="14"/>
        <v>0</v>
      </c>
      <c r="N11" s="58">
        <f t="shared" si="14"/>
        <v>0</v>
      </c>
      <c r="O11" s="58">
        <f t="shared" si="14"/>
        <v>0</v>
      </c>
      <c r="P11" s="58">
        <f t="shared" si="14"/>
        <v>1</v>
      </c>
      <c r="Q11" s="58">
        <f t="shared" si="14"/>
        <v>1</v>
      </c>
      <c r="R11" s="58">
        <f t="shared" si="14"/>
        <v>1</v>
      </c>
      <c r="S11" s="58">
        <f t="shared" si="14"/>
        <v>1</v>
      </c>
      <c r="T11" s="86">
        <f t="shared" si="14"/>
        <v>0</v>
      </c>
      <c r="U11" s="86">
        <f t="shared" si="14"/>
        <v>0</v>
      </c>
      <c r="V11" s="86">
        <f t="shared" si="14"/>
        <v>0</v>
      </c>
      <c r="W11" s="86">
        <f t="shared" si="14"/>
        <v>0</v>
      </c>
      <c r="X11" s="86">
        <f t="shared" si="14"/>
        <v>0</v>
      </c>
      <c r="Y11" s="86">
        <f t="shared" si="14"/>
        <v>0</v>
      </c>
      <c r="Z11" s="86">
        <f t="shared" si="14"/>
        <v>0</v>
      </c>
      <c r="AA11" s="86">
        <f t="shared" si="14"/>
        <v>0</v>
      </c>
      <c r="AB11" s="86">
        <f t="shared" si="14"/>
        <v>19250</v>
      </c>
      <c r="AC11" s="86">
        <f t="shared" si="14"/>
        <v>19250</v>
      </c>
      <c r="AD11" s="86">
        <f t="shared" si="14"/>
        <v>19250</v>
      </c>
      <c r="AE11" s="86">
        <f t="shared" si="14"/>
        <v>19250</v>
      </c>
      <c r="AF11" s="55">
        <f t="shared" ref="AF11" si="15">SUM(T11:AE11)</f>
        <v>77000</v>
      </c>
    </row>
    <row r="12" spans="1:32" x14ac:dyDescent="0.2">
      <c r="A12" s="53" t="s">
        <v>163</v>
      </c>
      <c r="B12" s="45" t="s">
        <v>244</v>
      </c>
      <c r="C12" s="45" t="s">
        <v>168</v>
      </c>
      <c r="D12" s="69" t="s">
        <v>76</v>
      </c>
      <c r="E12" s="86">
        <f t="shared" si="9"/>
        <v>6416.666666666667</v>
      </c>
      <c r="F12" s="86">
        <f t="shared" si="12"/>
        <v>19250</v>
      </c>
      <c r="G12" s="59">
        <f t="shared" si="13"/>
        <v>0.33333333333333331</v>
      </c>
      <c r="H12" s="58">
        <f t="shared" ref="H12:AE12" si="16">SUMIFS(H54:H974,$C$54:$C$974,$B$12)</f>
        <v>0</v>
      </c>
      <c r="I12" s="58">
        <f t="shared" si="16"/>
        <v>0</v>
      </c>
      <c r="J12" s="58">
        <f t="shared" si="16"/>
        <v>0</v>
      </c>
      <c r="K12" s="58">
        <f t="shared" si="16"/>
        <v>0</v>
      </c>
      <c r="L12" s="58">
        <f t="shared" si="16"/>
        <v>0</v>
      </c>
      <c r="M12" s="58">
        <f t="shared" si="16"/>
        <v>0</v>
      </c>
      <c r="N12" s="58">
        <f t="shared" si="16"/>
        <v>0</v>
      </c>
      <c r="O12" s="58">
        <f t="shared" si="16"/>
        <v>0</v>
      </c>
      <c r="P12" s="58">
        <f t="shared" si="16"/>
        <v>1</v>
      </c>
      <c r="Q12" s="58">
        <f t="shared" si="16"/>
        <v>1</v>
      </c>
      <c r="R12" s="58">
        <f t="shared" si="16"/>
        <v>1</v>
      </c>
      <c r="S12" s="58">
        <f t="shared" si="16"/>
        <v>1</v>
      </c>
      <c r="T12" s="58">
        <f t="shared" si="16"/>
        <v>0</v>
      </c>
      <c r="U12" s="58">
        <f t="shared" si="16"/>
        <v>0</v>
      </c>
      <c r="V12" s="86">
        <f t="shared" si="16"/>
        <v>0</v>
      </c>
      <c r="W12" s="86">
        <f t="shared" si="16"/>
        <v>0</v>
      </c>
      <c r="X12" s="86">
        <f t="shared" si="16"/>
        <v>0</v>
      </c>
      <c r="Y12" s="86">
        <f t="shared" si="16"/>
        <v>0</v>
      </c>
      <c r="Z12" s="86">
        <f t="shared" si="16"/>
        <v>0</v>
      </c>
      <c r="AA12" s="86">
        <f t="shared" si="16"/>
        <v>0</v>
      </c>
      <c r="AB12" s="86">
        <f t="shared" si="16"/>
        <v>19250</v>
      </c>
      <c r="AC12" s="86">
        <f t="shared" si="16"/>
        <v>19250</v>
      </c>
      <c r="AD12" s="86">
        <f t="shared" si="16"/>
        <v>19250</v>
      </c>
      <c r="AE12" s="86">
        <f t="shared" si="16"/>
        <v>19250</v>
      </c>
      <c r="AF12" s="55">
        <f t="shared" ref="AF12:AF13" si="17">SUM(T12:AE12)</f>
        <v>77000</v>
      </c>
    </row>
    <row r="13" spans="1:32" x14ac:dyDescent="0.2">
      <c r="A13" s="53" t="s">
        <v>163</v>
      </c>
      <c r="B13" s="45" t="s">
        <v>245</v>
      </c>
      <c r="C13" s="45" t="s">
        <v>168</v>
      </c>
      <c r="D13" s="69" t="s">
        <v>76</v>
      </c>
      <c r="E13" s="86">
        <f t="shared" si="9"/>
        <v>6416.666666666667</v>
      </c>
      <c r="F13" s="86">
        <f t="shared" si="12"/>
        <v>19250</v>
      </c>
      <c r="G13" s="59">
        <f t="shared" si="13"/>
        <v>0.33333333333333331</v>
      </c>
      <c r="H13" s="58">
        <f t="shared" ref="H13:AE13" si="18">SUMIFS(H54:H974,$C$54:$C$974,$B$13)</f>
        <v>0</v>
      </c>
      <c r="I13" s="58">
        <f t="shared" si="18"/>
        <v>0</v>
      </c>
      <c r="J13" s="58">
        <f t="shared" si="18"/>
        <v>0</v>
      </c>
      <c r="K13" s="58">
        <f t="shared" si="18"/>
        <v>0</v>
      </c>
      <c r="L13" s="58">
        <f t="shared" si="18"/>
        <v>0</v>
      </c>
      <c r="M13" s="58">
        <f t="shared" si="18"/>
        <v>0</v>
      </c>
      <c r="N13" s="58">
        <f t="shared" si="18"/>
        <v>0</v>
      </c>
      <c r="O13" s="58">
        <f t="shared" si="18"/>
        <v>0</v>
      </c>
      <c r="P13" s="58">
        <f t="shared" si="18"/>
        <v>1</v>
      </c>
      <c r="Q13" s="58">
        <f t="shared" si="18"/>
        <v>1</v>
      </c>
      <c r="R13" s="58">
        <f t="shared" si="18"/>
        <v>1</v>
      </c>
      <c r="S13" s="58">
        <f t="shared" si="18"/>
        <v>1</v>
      </c>
      <c r="T13" s="86">
        <f t="shared" si="18"/>
        <v>0</v>
      </c>
      <c r="U13" s="86">
        <f t="shared" si="18"/>
        <v>0</v>
      </c>
      <c r="V13" s="86">
        <f t="shared" si="18"/>
        <v>0</v>
      </c>
      <c r="W13" s="86">
        <f t="shared" si="18"/>
        <v>0</v>
      </c>
      <c r="X13" s="86">
        <f t="shared" si="18"/>
        <v>0</v>
      </c>
      <c r="Y13" s="86">
        <f t="shared" si="18"/>
        <v>0</v>
      </c>
      <c r="Z13" s="86">
        <f t="shared" si="18"/>
        <v>0</v>
      </c>
      <c r="AA13" s="86">
        <f t="shared" si="18"/>
        <v>0</v>
      </c>
      <c r="AB13" s="86">
        <f t="shared" si="18"/>
        <v>19250</v>
      </c>
      <c r="AC13" s="86">
        <f t="shared" si="18"/>
        <v>19250</v>
      </c>
      <c r="AD13" s="86">
        <f t="shared" si="18"/>
        <v>19250</v>
      </c>
      <c r="AE13" s="86">
        <f t="shared" si="18"/>
        <v>19250</v>
      </c>
      <c r="AF13" s="55">
        <f t="shared" si="17"/>
        <v>77000</v>
      </c>
    </row>
    <row r="14" spans="1:32" x14ac:dyDescent="0.2">
      <c r="A14" s="53" t="s">
        <v>163</v>
      </c>
      <c r="B14" s="45" t="s">
        <v>199</v>
      </c>
      <c r="C14" s="45"/>
      <c r="D14" s="69" t="s">
        <v>69</v>
      </c>
      <c r="E14" s="86">
        <f>1000/3</f>
        <v>333.33333333333331</v>
      </c>
      <c r="F14" s="86">
        <f t="shared" ref="F14" si="19">E14*3</f>
        <v>1000</v>
      </c>
      <c r="G14" s="59">
        <f t="shared" ref="G14" si="20">AVERAGE(H14:S14)</f>
        <v>1</v>
      </c>
      <c r="H14" s="58">
        <f t="shared" ref="H14:AE14" si="21">SUMIFS(H54:H974,$C$54:$C$974,$B$14)</f>
        <v>1</v>
      </c>
      <c r="I14" s="58">
        <f t="shared" si="21"/>
        <v>1</v>
      </c>
      <c r="J14" s="58">
        <f t="shared" si="21"/>
        <v>1</v>
      </c>
      <c r="K14" s="58">
        <f t="shared" si="21"/>
        <v>1</v>
      </c>
      <c r="L14" s="58">
        <f t="shared" si="21"/>
        <v>1</v>
      </c>
      <c r="M14" s="58">
        <f t="shared" si="21"/>
        <v>1</v>
      </c>
      <c r="N14" s="58">
        <f t="shared" si="21"/>
        <v>1</v>
      </c>
      <c r="O14" s="58">
        <f t="shared" si="21"/>
        <v>1</v>
      </c>
      <c r="P14" s="58">
        <f t="shared" si="21"/>
        <v>1</v>
      </c>
      <c r="Q14" s="58">
        <f t="shared" si="21"/>
        <v>1</v>
      </c>
      <c r="R14" s="58">
        <f t="shared" si="21"/>
        <v>1</v>
      </c>
      <c r="S14" s="58">
        <f t="shared" si="21"/>
        <v>1</v>
      </c>
      <c r="T14" s="86">
        <f t="shared" si="21"/>
        <v>1000</v>
      </c>
      <c r="U14" s="86">
        <f t="shared" si="21"/>
        <v>1000</v>
      </c>
      <c r="V14" s="86">
        <f t="shared" si="21"/>
        <v>1000</v>
      </c>
      <c r="W14" s="86">
        <f t="shared" si="21"/>
        <v>1000</v>
      </c>
      <c r="X14" s="86">
        <f t="shared" si="21"/>
        <v>1000</v>
      </c>
      <c r="Y14" s="86">
        <f t="shared" si="21"/>
        <v>1000</v>
      </c>
      <c r="Z14" s="86">
        <f t="shared" si="21"/>
        <v>1000</v>
      </c>
      <c r="AA14" s="86">
        <f t="shared" si="21"/>
        <v>1000</v>
      </c>
      <c r="AB14" s="86">
        <f t="shared" si="21"/>
        <v>1000</v>
      </c>
      <c r="AC14" s="86">
        <f t="shared" si="21"/>
        <v>1000</v>
      </c>
      <c r="AD14" s="86">
        <f t="shared" si="21"/>
        <v>1000</v>
      </c>
      <c r="AE14" s="86">
        <f t="shared" si="21"/>
        <v>1000</v>
      </c>
      <c r="AF14" s="55">
        <f t="shared" si="4"/>
        <v>12000</v>
      </c>
    </row>
    <row r="15" spans="1:32" x14ac:dyDescent="0.2">
      <c r="A15" s="53" t="s">
        <v>31</v>
      </c>
      <c r="B15" s="45" t="s">
        <v>30</v>
      </c>
      <c r="C15" s="45" t="s">
        <v>30</v>
      </c>
      <c r="D15" s="69" t="s">
        <v>69</v>
      </c>
      <c r="E15" s="86">
        <f>80000/12</f>
        <v>6666.666666666667</v>
      </c>
      <c r="F15" s="86">
        <f t="shared" si="1"/>
        <v>20000</v>
      </c>
      <c r="G15" s="59">
        <f t="shared" si="2"/>
        <v>1</v>
      </c>
      <c r="H15" s="58">
        <f t="shared" ref="H15:AE15" si="22">SUMIFS(H54:H974,$C$54:$C$974,$B$15)</f>
        <v>1</v>
      </c>
      <c r="I15" s="58">
        <f t="shared" si="22"/>
        <v>1</v>
      </c>
      <c r="J15" s="58">
        <f t="shared" si="22"/>
        <v>1</v>
      </c>
      <c r="K15" s="58">
        <f t="shared" si="22"/>
        <v>1</v>
      </c>
      <c r="L15" s="58">
        <f t="shared" si="22"/>
        <v>1</v>
      </c>
      <c r="M15" s="58">
        <f t="shared" si="22"/>
        <v>1</v>
      </c>
      <c r="N15" s="58">
        <f t="shared" si="22"/>
        <v>1</v>
      </c>
      <c r="O15" s="58">
        <f t="shared" si="22"/>
        <v>1</v>
      </c>
      <c r="P15" s="58">
        <f t="shared" si="22"/>
        <v>1</v>
      </c>
      <c r="Q15" s="58">
        <f t="shared" si="22"/>
        <v>1</v>
      </c>
      <c r="R15" s="58">
        <f t="shared" si="22"/>
        <v>1</v>
      </c>
      <c r="S15" s="58">
        <f t="shared" si="22"/>
        <v>1</v>
      </c>
      <c r="T15" s="86">
        <f t="shared" si="22"/>
        <v>20000</v>
      </c>
      <c r="U15" s="86">
        <f t="shared" si="22"/>
        <v>20000</v>
      </c>
      <c r="V15" s="86">
        <f t="shared" si="22"/>
        <v>20000</v>
      </c>
      <c r="W15" s="86">
        <f t="shared" si="22"/>
        <v>20000</v>
      </c>
      <c r="X15" s="86">
        <f t="shared" si="22"/>
        <v>20000</v>
      </c>
      <c r="Y15" s="86">
        <f t="shared" si="22"/>
        <v>20000</v>
      </c>
      <c r="Z15" s="86">
        <f t="shared" si="22"/>
        <v>20000</v>
      </c>
      <c r="AA15" s="86">
        <f t="shared" si="22"/>
        <v>20000</v>
      </c>
      <c r="AB15" s="86">
        <f t="shared" si="22"/>
        <v>20000</v>
      </c>
      <c r="AC15" s="86">
        <f t="shared" si="22"/>
        <v>20000</v>
      </c>
      <c r="AD15" s="86">
        <f t="shared" si="22"/>
        <v>20000</v>
      </c>
      <c r="AE15" s="86">
        <f t="shared" si="22"/>
        <v>20000</v>
      </c>
      <c r="AF15" s="55">
        <f t="shared" si="4"/>
        <v>240000</v>
      </c>
    </row>
    <row r="16" spans="1:32" x14ac:dyDescent="0.2">
      <c r="A16" s="53" t="s">
        <v>31</v>
      </c>
      <c r="B16" s="45" t="s">
        <v>44</v>
      </c>
      <c r="C16" s="45" t="s">
        <v>45</v>
      </c>
      <c r="D16" s="69" t="s">
        <v>69</v>
      </c>
      <c r="E16" s="86">
        <v>1002</v>
      </c>
      <c r="F16" s="86">
        <f t="shared" si="1"/>
        <v>3006</v>
      </c>
      <c r="G16" s="59">
        <f t="shared" si="2"/>
        <v>1</v>
      </c>
      <c r="H16" s="58">
        <f t="shared" ref="H16:AE16" si="23">SUMIFS(H54:H974,$C$54:$C$974,$B$16)</f>
        <v>1</v>
      </c>
      <c r="I16" s="58">
        <f t="shared" si="23"/>
        <v>1</v>
      </c>
      <c r="J16" s="58">
        <f t="shared" si="23"/>
        <v>1</v>
      </c>
      <c r="K16" s="58">
        <f t="shared" si="23"/>
        <v>1</v>
      </c>
      <c r="L16" s="58">
        <f t="shared" si="23"/>
        <v>1</v>
      </c>
      <c r="M16" s="58">
        <f t="shared" si="23"/>
        <v>1</v>
      </c>
      <c r="N16" s="58">
        <f t="shared" si="23"/>
        <v>1</v>
      </c>
      <c r="O16" s="58">
        <f t="shared" si="23"/>
        <v>1</v>
      </c>
      <c r="P16" s="58">
        <f t="shared" si="23"/>
        <v>1</v>
      </c>
      <c r="Q16" s="58">
        <f t="shared" si="23"/>
        <v>1</v>
      </c>
      <c r="R16" s="58">
        <f t="shared" si="23"/>
        <v>1</v>
      </c>
      <c r="S16" s="58">
        <f t="shared" si="23"/>
        <v>1</v>
      </c>
      <c r="T16" s="86">
        <f t="shared" si="23"/>
        <v>3006</v>
      </c>
      <c r="U16" s="86">
        <f t="shared" si="23"/>
        <v>3006</v>
      </c>
      <c r="V16" s="86">
        <f t="shared" si="23"/>
        <v>3006</v>
      </c>
      <c r="W16" s="86">
        <f t="shared" si="23"/>
        <v>3006</v>
      </c>
      <c r="X16" s="86">
        <f t="shared" si="23"/>
        <v>3006</v>
      </c>
      <c r="Y16" s="86">
        <f t="shared" si="23"/>
        <v>3006</v>
      </c>
      <c r="Z16" s="86">
        <f t="shared" si="23"/>
        <v>3006</v>
      </c>
      <c r="AA16" s="86">
        <f t="shared" si="23"/>
        <v>3006</v>
      </c>
      <c r="AB16" s="86">
        <f t="shared" si="23"/>
        <v>3006</v>
      </c>
      <c r="AC16" s="86">
        <f t="shared" si="23"/>
        <v>3006</v>
      </c>
      <c r="AD16" s="86">
        <f t="shared" si="23"/>
        <v>3006</v>
      </c>
      <c r="AE16" s="86">
        <f t="shared" si="23"/>
        <v>3006</v>
      </c>
      <c r="AF16" s="55">
        <f t="shared" si="4"/>
        <v>36072</v>
      </c>
    </row>
    <row r="17" spans="1:32" x14ac:dyDescent="0.2">
      <c r="A17" s="53" t="s">
        <v>31</v>
      </c>
      <c r="B17" s="45" t="s">
        <v>88</v>
      </c>
      <c r="C17" s="45" t="s">
        <v>41</v>
      </c>
      <c r="D17" s="69" t="s">
        <v>62</v>
      </c>
      <c r="E17" s="86">
        <f>525*220/12</f>
        <v>9625</v>
      </c>
      <c r="F17" s="86">
        <f t="shared" si="1"/>
        <v>28875</v>
      </c>
      <c r="G17" s="59">
        <f t="shared" si="2"/>
        <v>4.9999999999999996E-2</v>
      </c>
      <c r="H17" s="58">
        <f t="shared" ref="H17:AE17" si="24">SUMIFS(H54:H974,$C$54:$C$974,$B$17)</f>
        <v>0.05</v>
      </c>
      <c r="I17" s="58">
        <f t="shared" si="24"/>
        <v>0.05</v>
      </c>
      <c r="J17" s="58">
        <f t="shared" si="24"/>
        <v>0.05</v>
      </c>
      <c r="K17" s="58">
        <f t="shared" si="24"/>
        <v>0.05</v>
      </c>
      <c r="L17" s="58">
        <f t="shared" si="24"/>
        <v>0.05</v>
      </c>
      <c r="M17" s="58">
        <f t="shared" si="24"/>
        <v>0.05</v>
      </c>
      <c r="N17" s="58">
        <f t="shared" si="24"/>
        <v>0.05</v>
      </c>
      <c r="O17" s="58">
        <f t="shared" si="24"/>
        <v>0.05</v>
      </c>
      <c r="P17" s="58">
        <f t="shared" si="24"/>
        <v>0.05</v>
      </c>
      <c r="Q17" s="58">
        <f t="shared" si="24"/>
        <v>0.05</v>
      </c>
      <c r="R17" s="58">
        <f t="shared" si="24"/>
        <v>0.05</v>
      </c>
      <c r="S17" s="58">
        <f t="shared" si="24"/>
        <v>0.05</v>
      </c>
      <c r="T17" s="86">
        <f t="shared" si="24"/>
        <v>1443.75</v>
      </c>
      <c r="U17" s="86">
        <f t="shared" si="24"/>
        <v>1443.75</v>
      </c>
      <c r="V17" s="86">
        <f t="shared" si="24"/>
        <v>1443.75</v>
      </c>
      <c r="W17" s="86">
        <f t="shared" si="24"/>
        <v>1443.75</v>
      </c>
      <c r="X17" s="86">
        <f t="shared" si="24"/>
        <v>1443.75</v>
      </c>
      <c r="Y17" s="86">
        <f t="shared" si="24"/>
        <v>1443.75</v>
      </c>
      <c r="Z17" s="86">
        <f t="shared" si="24"/>
        <v>1443.75</v>
      </c>
      <c r="AA17" s="86">
        <f t="shared" si="24"/>
        <v>1443.75</v>
      </c>
      <c r="AB17" s="86">
        <f t="shared" si="24"/>
        <v>1443.75</v>
      </c>
      <c r="AC17" s="86">
        <f t="shared" si="24"/>
        <v>1443.75</v>
      </c>
      <c r="AD17" s="86">
        <f t="shared" si="24"/>
        <v>1443.75</v>
      </c>
      <c r="AE17" s="86">
        <f t="shared" si="24"/>
        <v>1443.75</v>
      </c>
      <c r="AF17" s="55">
        <f t="shared" si="4"/>
        <v>17325</v>
      </c>
    </row>
    <row r="18" spans="1:32" x14ac:dyDescent="0.2">
      <c r="A18" s="53" t="s">
        <v>31</v>
      </c>
      <c r="B18" s="45" t="s">
        <v>195</v>
      </c>
      <c r="C18" s="45" t="s">
        <v>168</v>
      </c>
      <c r="D18" s="69" t="s">
        <v>62</v>
      </c>
      <c r="E18" s="86">
        <f>180000/12</f>
        <v>15000</v>
      </c>
      <c r="F18" s="86">
        <f t="shared" si="1"/>
        <v>45000</v>
      </c>
      <c r="G18" s="59">
        <f t="shared" si="2"/>
        <v>8.3333333333333329E-2</v>
      </c>
      <c r="H18" s="58">
        <f t="shared" ref="H18:AE18" si="25">SUMIFS(H54:H974,$C$54:$C$974,$B$18)</f>
        <v>0.25</v>
      </c>
      <c r="I18" s="58">
        <f t="shared" si="25"/>
        <v>0.25</v>
      </c>
      <c r="J18" s="58">
        <f t="shared" si="25"/>
        <v>0.25</v>
      </c>
      <c r="K18" s="58">
        <f t="shared" si="25"/>
        <v>0.25</v>
      </c>
      <c r="L18" s="58">
        <f t="shared" si="25"/>
        <v>0</v>
      </c>
      <c r="M18" s="58">
        <f t="shared" si="25"/>
        <v>0</v>
      </c>
      <c r="N18" s="58">
        <f t="shared" si="25"/>
        <v>0</v>
      </c>
      <c r="O18" s="58">
        <f t="shared" si="25"/>
        <v>0</v>
      </c>
      <c r="P18" s="58">
        <f t="shared" si="25"/>
        <v>0</v>
      </c>
      <c r="Q18" s="58">
        <f t="shared" si="25"/>
        <v>0</v>
      </c>
      <c r="R18" s="58">
        <f t="shared" si="25"/>
        <v>0</v>
      </c>
      <c r="S18" s="58">
        <f t="shared" si="25"/>
        <v>0</v>
      </c>
      <c r="T18" s="86">
        <f t="shared" si="25"/>
        <v>11250</v>
      </c>
      <c r="U18" s="86">
        <f t="shared" si="25"/>
        <v>11250</v>
      </c>
      <c r="V18" s="86">
        <f t="shared" si="25"/>
        <v>11250</v>
      </c>
      <c r="W18" s="86">
        <f t="shared" si="25"/>
        <v>11250</v>
      </c>
      <c r="X18" s="86">
        <f t="shared" si="25"/>
        <v>0</v>
      </c>
      <c r="Y18" s="86">
        <f t="shared" si="25"/>
        <v>0</v>
      </c>
      <c r="Z18" s="86">
        <f t="shared" si="25"/>
        <v>0</v>
      </c>
      <c r="AA18" s="86">
        <f t="shared" si="25"/>
        <v>0</v>
      </c>
      <c r="AB18" s="86">
        <f t="shared" si="25"/>
        <v>0</v>
      </c>
      <c r="AC18" s="86">
        <f t="shared" si="25"/>
        <v>0</v>
      </c>
      <c r="AD18" s="86">
        <f t="shared" si="25"/>
        <v>0</v>
      </c>
      <c r="AE18" s="86">
        <f t="shared" si="25"/>
        <v>0</v>
      </c>
      <c r="AF18" s="55">
        <f t="shared" si="4"/>
        <v>45000</v>
      </c>
    </row>
    <row r="19" spans="1:32" x14ac:dyDescent="0.2">
      <c r="A19" s="53" t="s">
        <v>31</v>
      </c>
      <c r="B19" s="45" t="s">
        <v>210</v>
      </c>
      <c r="C19" s="45" t="s">
        <v>168</v>
      </c>
      <c r="D19" s="69" t="s">
        <v>62</v>
      </c>
      <c r="E19" s="86">
        <v>20000</v>
      </c>
      <c r="F19" s="86">
        <f t="shared" si="1"/>
        <v>60000</v>
      </c>
      <c r="G19" s="59">
        <f t="shared" si="2"/>
        <v>0.16666666666666666</v>
      </c>
      <c r="H19" s="58">
        <f t="shared" ref="H19:AE19" si="26">SUMIFS(H54:H974,$C$54:$C$974,$B$19)</f>
        <v>0.1</v>
      </c>
      <c r="I19" s="58">
        <f t="shared" si="26"/>
        <v>0.1</v>
      </c>
      <c r="J19" s="58">
        <f t="shared" si="26"/>
        <v>0.1</v>
      </c>
      <c r="K19" s="58">
        <f t="shared" si="26"/>
        <v>0.1</v>
      </c>
      <c r="L19" s="58">
        <f t="shared" si="26"/>
        <v>0.2</v>
      </c>
      <c r="M19" s="58">
        <f t="shared" si="26"/>
        <v>0.2</v>
      </c>
      <c r="N19" s="58">
        <f t="shared" si="26"/>
        <v>0.2</v>
      </c>
      <c r="O19" s="58">
        <f t="shared" si="26"/>
        <v>0.2</v>
      </c>
      <c r="P19" s="58">
        <f t="shared" si="26"/>
        <v>0.2</v>
      </c>
      <c r="Q19" s="58">
        <f t="shared" si="26"/>
        <v>0.2</v>
      </c>
      <c r="R19" s="58">
        <f t="shared" si="26"/>
        <v>0.2</v>
      </c>
      <c r="S19" s="58">
        <f t="shared" si="26"/>
        <v>0.2</v>
      </c>
      <c r="T19" s="86">
        <f t="shared" si="26"/>
        <v>6000</v>
      </c>
      <c r="U19" s="86">
        <f t="shared" si="26"/>
        <v>6000</v>
      </c>
      <c r="V19" s="86">
        <f t="shared" si="26"/>
        <v>6000</v>
      </c>
      <c r="W19" s="86">
        <f t="shared" si="26"/>
        <v>6000</v>
      </c>
      <c r="X19" s="86">
        <f t="shared" si="26"/>
        <v>12000</v>
      </c>
      <c r="Y19" s="86">
        <f t="shared" si="26"/>
        <v>12000</v>
      </c>
      <c r="Z19" s="86">
        <f t="shared" si="26"/>
        <v>12000</v>
      </c>
      <c r="AA19" s="86">
        <f t="shared" si="26"/>
        <v>12000</v>
      </c>
      <c r="AB19" s="86">
        <f t="shared" si="26"/>
        <v>12000</v>
      </c>
      <c r="AC19" s="86">
        <f t="shared" si="26"/>
        <v>12000</v>
      </c>
      <c r="AD19" s="86">
        <f t="shared" si="26"/>
        <v>12000</v>
      </c>
      <c r="AE19" s="86">
        <f t="shared" si="26"/>
        <v>12000</v>
      </c>
      <c r="AF19" s="55">
        <f t="shared" ref="AF19" si="27">SUM(T19:AE19)</f>
        <v>120000</v>
      </c>
    </row>
    <row r="20" spans="1:32" x14ac:dyDescent="0.2">
      <c r="A20" s="53" t="s">
        <v>68</v>
      </c>
      <c r="B20" s="45" t="s">
        <v>29</v>
      </c>
      <c r="C20" s="45" t="s">
        <v>114</v>
      </c>
      <c r="D20" s="69" t="s">
        <v>62</v>
      </c>
      <c r="E20" s="86">
        <f>3700*2</f>
        <v>7400</v>
      </c>
      <c r="F20" s="86">
        <f t="shared" si="1"/>
        <v>22200</v>
      </c>
      <c r="G20" s="59">
        <f t="shared" si="2"/>
        <v>0.91666666666666663</v>
      </c>
      <c r="H20" s="58">
        <f t="shared" ref="H20:AE20" si="28">SUMIFS(H54:H974,$C$54:$C$974,$B$20)</f>
        <v>0.5</v>
      </c>
      <c r="I20" s="58">
        <f t="shared" si="28"/>
        <v>0.5</v>
      </c>
      <c r="J20" s="58">
        <f t="shared" si="28"/>
        <v>1</v>
      </c>
      <c r="K20" s="58">
        <f t="shared" si="28"/>
        <v>1</v>
      </c>
      <c r="L20" s="58">
        <f t="shared" si="28"/>
        <v>1</v>
      </c>
      <c r="M20" s="58">
        <f t="shared" si="28"/>
        <v>1</v>
      </c>
      <c r="N20" s="58">
        <f t="shared" si="28"/>
        <v>1</v>
      </c>
      <c r="O20" s="58">
        <f t="shared" si="28"/>
        <v>1</v>
      </c>
      <c r="P20" s="58">
        <f t="shared" si="28"/>
        <v>1</v>
      </c>
      <c r="Q20" s="58">
        <f t="shared" si="28"/>
        <v>1</v>
      </c>
      <c r="R20" s="58">
        <f t="shared" si="28"/>
        <v>1</v>
      </c>
      <c r="S20" s="58">
        <f t="shared" si="28"/>
        <v>1</v>
      </c>
      <c r="T20" s="86">
        <f t="shared" si="28"/>
        <v>11100</v>
      </c>
      <c r="U20" s="86">
        <f t="shared" si="28"/>
        <v>11100</v>
      </c>
      <c r="V20" s="86">
        <f t="shared" si="28"/>
        <v>22200</v>
      </c>
      <c r="W20" s="86">
        <f t="shared" si="28"/>
        <v>22200</v>
      </c>
      <c r="X20" s="86">
        <f t="shared" si="28"/>
        <v>22200</v>
      </c>
      <c r="Y20" s="86">
        <f t="shared" si="28"/>
        <v>22200</v>
      </c>
      <c r="Z20" s="86">
        <f t="shared" si="28"/>
        <v>22200</v>
      </c>
      <c r="AA20" s="86">
        <f t="shared" si="28"/>
        <v>22200</v>
      </c>
      <c r="AB20" s="86">
        <f t="shared" si="28"/>
        <v>22200</v>
      </c>
      <c r="AC20" s="86">
        <f t="shared" si="28"/>
        <v>22200</v>
      </c>
      <c r="AD20" s="86">
        <f t="shared" si="28"/>
        <v>22200</v>
      </c>
      <c r="AE20" s="86">
        <f t="shared" si="28"/>
        <v>22200</v>
      </c>
      <c r="AF20" s="55">
        <f t="shared" si="4"/>
        <v>244200</v>
      </c>
    </row>
    <row r="21" spans="1:32" x14ac:dyDescent="0.2">
      <c r="A21" s="53" t="s">
        <v>68</v>
      </c>
      <c r="B21" s="45" t="s">
        <v>178</v>
      </c>
      <c r="C21" s="45" t="s">
        <v>87</v>
      </c>
      <c r="D21" s="69" t="s">
        <v>69</v>
      </c>
      <c r="E21" s="86">
        <f>800*220/12</f>
        <v>14666.666666666666</v>
      </c>
      <c r="F21" s="86">
        <f t="shared" si="1"/>
        <v>44000</v>
      </c>
      <c r="G21" s="59">
        <f t="shared" si="2"/>
        <v>4.9999999999999996E-2</v>
      </c>
      <c r="H21" s="58">
        <f t="shared" ref="H21:AE21" si="29">SUMIFS(H54:H974,$C$54:$C$974,$B$21)</f>
        <v>0.05</v>
      </c>
      <c r="I21" s="58">
        <f t="shared" si="29"/>
        <v>0.05</v>
      </c>
      <c r="J21" s="58">
        <f t="shared" si="29"/>
        <v>0.05</v>
      </c>
      <c r="K21" s="58">
        <f t="shared" si="29"/>
        <v>0.05</v>
      </c>
      <c r="L21" s="58">
        <f t="shared" si="29"/>
        <v>0.05</v>
      </c>
      <c r="M21" s="58">
        <f t="shared" si="29"/>
        <v>0.05</v>
      </c>
      <c r="N21" s="58">
        <f t="shared" si="29"/>
        <v>0.05</v>
      </c>
      <c r="O21" s="58">
        <f t="shared" si="29"/>
        <v>0.05</v>
      </c>
      <c r="P21" s="58">
        <f t="shared" si="29"/>
        <v>0.05</v>
      </c>
      <c r="Q21" s="58">
        <f t="shared" si="29"/>
        <v>0.05</v>
      </c>
      <c r="R21" s="58">
        <f t="shared" si="29"/>
        <v>0.05</v>
      </c>
      <c r="S21" s="58">
        <f t="shared" si="29"/>
        <v>0.05</v>
      </c>
      <c r="T21" s="86">
        <f t="shared" si="29"/>
        <v>2200</v>
      </c>
      <c r="U21" s="86">
        <f t="shared" si="29"/>
        <v>2200</v>
      </c>
      <c r="V21" s="86">
        <f t="shared" si="29"/>
        <v>2200</v>
      </c>
      <c r="W21" s="86">
        <f t="shared" si="29"/>
        <v>2200</v>
      </c>
      <c r="X21" s="86">
        <f t="shared" si="29"/>
        <v>2200</v>
      </c>
      <c r="Y21" s="86">
        <f t="shared" si="29"/>
        <v>2200</v>
      </c>
      <c r="Z21" s="86">
        <f t="shared" si="29"/>
        <v>2200</v>
      </c>
      <c r="AA21" s="86">
        <f t="shared" si="29"/>
        <v>2200</v>
      </c>
      <c r="AB21" s="86">
        <f t="shared" si="29"/>
        <v>2200</v>
      </c>
      <c r="AC21" s="86">
        <f t="shared" si="29"/>
        <v>2200</v>
      </c>
      <c r="AD21" s="86">
        <f t="shared" si="29"/>
        <v>2200</v>
      </c>
      <c r="AE21" s="86">
        <f t="shared" si="29"/>
        <v>2200</v>
      </c>
      <c r="AF21" s="55">
        <f t="shared" si="4"/>
        <v>26400</v>
      </c>
    </row>
    <row r="22" spans="1:32" x14ac:dyDescent="0.2">
      <c r="A22" s="53" t="s">
        <v>51</v>
      </c>
      <c r="B22" s="45" t="s">
        <v>49</v>
      </c>
      <c r="C22" s="45" t="s">
        <v>50</v>
      </c>
      <c r="D22" s="69" t="s">
        <v>62</v>
      </c>
      <c r="E22" s="86">
        <f>6469.34*1.02</f>
        <v>6598.7268000000004</v>
      </c>
      <c r="F22" s="86">
        <f t="shared" si="1"/>
        <v>19796.180400000001</v>
      </c>
      <c r="G22" s="59">
        <f t="shared" si="2"/>
        <v>1</v>
      </c>
      <c r="H22" s="58">
        <f t="shared" ref="H22:AE22" si="30">SUMIFS(H54:H974,$C$54:$C$974,$B$22)</f>
        <v>1</v>
      </c>
      <c r="I22" s="58">
        <f t="shared" si="30"/>
        <v>1</v>
      </c>
      <c r="J22" s="58">
        <f t="shared" si="30"/>
        <v>1</v>
      </c>
      <c r="K22" s="58">
        <f t="shared" si="30"/>
        <v>1</v>
      </c>
      <c r="L22" s="58">
        <f t="shared" si="30"/>
        <v>1</v>
      </c>
      <c r="M22" s="58">
        <f t="shared" si="30"/>
        <v>1</v>
      </c>
      <c r="N22" s="58">
        <f t="shared" si="30"/>
        <v>1</v>
      </c>
      <c r="O22" s="58">
        <f t="shared" si="30"/>
        <v>1</v>
      </c>
      <c r="P22" s="58">
        <f t="shared" si="30"/>
        <v>1</v>
      </c>
      <c r="Q22" s="58">
        <f t="shared" si="30"/>
        <v>1</v>
      </c>
      <c r="R22" s="58">
        <f t="shared" si="30"/>
        <v>1</v>
      </c>
      <c r="S22" s="58">
        <f t="shared" si="30"/>
        <v>1</v>
      </c>
      <c r="T22" s="86">
        <f t="shared" si="30"/>
        <v>19796.180400000001</v>
      </c>
      <c r="U22" s="86">
        <f t="shared" si="30"/>
        <v>19796.180400000001</v>
      </c>
      <c r="V22" s="86">
        <f t="shared" si="30"/>
        <v>19796.180400000001</v>
      </c>
      <c r="W22" s="86">
        <f t="shared" si="30"/>
        <v>19796.180400000001</v>
      </c>
      <c r="X22" s="86">
        <f t="shared" si="30"/>
        <v>19796.180400000001</v>
      </c>
      <c r="Y22" s="86">
        <f t="shared" si="30"/>
        <v>19796.180400000001</v>
      </c>
      <c r="Z22" s="86">
        <f t="shared" si="30"/>
        <v>19796.180400000001</v>
      </c>
      <c r="AA22" s="86">
        <f t="shared" si="30"/>
        <v>19796.180400000001</v>
      </c>
      <c r="AB22" s="86">
        <f t="shared" si="30"/>
        <v>19796.180400000001</v>
      </c>
      <c r="AC22" s="86">
        <f t="shared" si="30"/>
        <v>19796.180400000001</v>
      </c>
      <c r="AD22" s="86">
        <f t="shared" si="30"/>
        <v>19796.180400000001</v>
      </c>
      <c r="AE22" s="86">
        <f t="shared" si="30"/>
        <v>19796.180400000001</v>
      </c>
      <c r="AF22" s="55">
        <f t="shared" si="4"/>
        <v>237554.16480000006</v>
      </c>
    </row>
    <row r="23" spans="1:32" x14ac:dyDescent="0.2">
      <c r="A23" s="53" t="s">
        <v>51</v>
      </c>
      <c r="B23" s="45" t="s">
        <v>52</v>
      </c>
      <c r="C23" s="45" t="s">
        <v>53</v>
      </c>
      <c r="D23" s="69" t="s">
        <v>69</v>
      </c>
      <c r="E23" s="86">
        <v>3000</v>
      </c>
      <c r="F23" s="86">
        <f t="shared" si="1"/>
        <v>9000</v>
      </c>
      <c r="G23" s="59">
        <f t="shared" si="2"/>
        <v>1</v>
      </c>
      <c r="H23" s="58">
        <f t="shared" ref="H23:AE23" si="31">SUMIFS(H54:H974,$C$54:$C$974,$B$23)</f>
        <v>1</v>
      </c>
      <c r="I23" s="58">
        <f t="shared" si="31"/>
        <v>1</v>
      </c>
      <c r="J23" s="58">
        <f t="shared" si="31"/>
        <v>1</v>
      </c>
      <c r="K23" s="58">
        <f t="shared" si="31"/>
        <v>1</v>
      </c>
      <c r="L23" s="58">
        <f t="shared" si="31"/>
        <v>1</v>
      </c>
      <c r="M23" s="58">
        <f t="shared" si="31"/>
        <v>1</v>
      </c>
      <c r="N23" s="58">
        <f t="shared" si="31"/>
        <v>1</v>
      </c>
      <c r="O23" s="58">
        <f t="shared" si="31"/>
        <v>1</v>
      </c>
      <c r="P23" s="58">
        <f t="shared" si="31"/>
        <v>1</v>
      </c>
      <c r="Q23" s="58">
        <f t="shared" si="31"/>
        <v>1</v>
      </c>
      <c r="R23" s="58">
        <f t="shared" si="31"/>
        <v>1</v>
      </c>
      <c r="S23" s="58">
        <f t="shared" si="31"/>
        <v>1</v>
      </c>
      <c r="T23" s="86">
        <f t="shared" si="31"/>
        <v>9000</v>
      </c>
      <c r="U23" s="86">
        <f t="shared" si="31"/>
        <v>9000</v>
      </c>
      <c r="V23" s="86">
        <f t="shared" si="31"/>
        <v>9000</v>
      </c>
      <c r="W23" s="86">
        <f t="shared" si="31"/>
        <v>9000</v>
      </c>
      <c r="X23" s="86">
        <f t="shared" si="31"/>
        <v>9000</v>
      </c>
      <c r="Y23" s="86">
        <f t="shared" si="31"/>
        <v>9000</v>
      </c>
      <c r="Z23" s="86">
        <f t="shared" si="31"/>
        <v>9000</v>
      </c>
      <c r="AA23" s="86">
        <f t="shared" si="31"/>
        <v>9000</v>
      </c>
      <c r="AB23" s="86">
        <f t="shared" si="31"/>
        <v>9000</v>
      </c>
      <c r="AC23" s="86">
        <f t="shared" si="31"/>
        <v>9000</v>
      </c>
      <c r="AD23" s="86">
        <f t="shared" si="31"/>
        <v>9000</v>
      </c>
      <c r="AE23" s="86">
        <f t="shared" si="31"/>
        <v>9000</v>
      </c>
      <c r="AF23" s="55">
        <f t="shared" si="4"/>
        <v>108000</v>
      </c>
    </row>
    <row r="24" spans="1:32" x14ac:dyDescent="0.2">
      <c r="A24" s="53" t="s">
        <v>51</v>
      </c>
      <c r="B24" s="45" t="s">
        <v>249</v>
      </c>
      <c r="C24" s="45" t="s">
        <v>168</v>
      </c>
      <c r="D24" s="69" t="s">
        <v>62</v>
      </c>
      <c r="E24" s="86">
        <f>820*220/12</f>
        <v>15033.333333333334</v>
      </c>
      <c r="F24" s="86">
        <f t="shared" si="1"/>
        <v>45100</v>
      </c>
      <c r="G24" s="59">
        <f t="shared" si="2"/>
        <v>0.91666666666666663</v>
      </c>
      <c r="H24" s="58">
        <f t="shared" ref="H24:AE24" si="32">SUMIFS(H54:H974,$C$54:$C$974,$B$24)</f>
        <v>0</v>
      </c>
      <c r="I24" s="58">
        <f t="shared" si="32"/>
        <v>1</v>
      </c>
      <c r="J24" s="58">
        <f t="shared" si="32"/>
        <v>1</v>
      </c>
      <c r="K24" s="58">
        <f t="shared" si="32"/>
        <v>1</v>
      </c>
      <c r="L24" s="58">
        <f t="shared" si="32"/>
        <v>1</v>
      </c>
      <c r="M24" s="58">
        <f t="shared" si="32"/>
        <v>1</v>
      </c>
      <c r="N24" s="58">
        <f t="shared" si="32"/>
        <v>1</v>
      </c>
      <c r="O24" s="58">
        <f t="shared" si="32"/>
        <v>1</v>
      </c>
      <c r="P24" s="58">
        <f t="shared" si="32"/>
        <v>1</v>
      </c>
      <c r="Q24" s="58">
        <f t="shared" si="32"/>
        <v>1</v>
      </c>
      <c r="R24" s="58">
        <f t="shared" si="32"/>
        <v>1</v>
      </c>
      <c r="S24" s="58">
        <f t="shared" si="32"/>
        <v>1</v>
      </c>
      <c r="T24" s="86">
        <f t="shared" si="32"/>
        <v>0</v>
      </c>
      <c r="U24" s="86">
        <f t="shared" si="32"/>
        <v>45100</v>
      </c>
      <c r="V24" s="86">
        <f t="shared" si="32"/>
        <v>45100</v>
      </c>
      <c r="W24" s="86">
        <f t="shared" si="32"/>
        <v>45100</v>
      </c>
      <c r="X24" s="86">
        <f t="shared" si="32"/>
        <v>45100</v>
      </c>
      <c r="Y24" s="86">
        <f t="shared" si="32"/>
        <v>45100</v>
      </c>
      <c r="Z24" s="86">
        <f t="shared" si="32"/>
        <v>45100</v>
      </c>
      <c r="AA24" s="86">
        <f t="shared" si="32"/>
        <v>45100</v>
      </c>
      <c r="AB24" s="86">
        <f t="shared" si="32"/>
        <v>45100</v>
      </c>
      <c r="AC24" s="86">
        <f t="shared" si="32"/>
        <v>45100</v>
      </c>
      <c r="AD24" s="86">
        <f t="shared" si="32"/>
        <v>45100</v>
      </c>
      <c r="AE24" s="86">
        <f t="shared" si="32"/>
        <v>45100</v>
      </c>
      <c r="AF24" s="55">
        <f t="shared" si="4"/>
        <v>496100</v>
      </c>
    </row>
    <row r="25" spans="1:32" x14ac:dyDescent="0.2">
      <c r="A25" s="53" t="s">
        <v>51</v>
      </c>
      <c r="B25" s="45" t="s">
        <v>250</v>
      </c>
      <c r="C25" s="45" t="s">
        <v>251</v>
      </c>
      <c r="D25" s="69" t="s">
        <v>62</v>
      </c>
      <c r="E25" s="86">
        <f>820*220/12</f>
        <v>15033.333333333334</v>
      </c>
      <c r="F25" s="86">
        <f t="shared" ref="F25" si="33">E25*3</f>
        <v>45100</v>
      </c>
      <c r="G25" s="59">
        <f t="shared" ref="G25" si="34">AVERAGE(H25:S25)</f>
        <v>0.91666666666666663</v>
      </c>
      <c r="H25" s="58">
        <f>SUMIFS(H54:H974,$C$54:$C$974,$B$25)</f>
        <v>0</v>
      </c>
      <c r="I25" s="58">
        <f t="shared" ref="I25:AE25" si="35">SUMIFS(I54:I974,$C$54:$C$974,$B$25)</f>
        <v>1</v>
      </c>
      <c r="J25" s="58">
        <f t="shared" si="35"/>
        <v>1</v>
      </c>
      <c r="K25" s="58">
        <f t="shared" si="35"/>
        <v>1</v>
      </c>
      <c r="L25" s="58">
        <f t="shared" si="35"/>
        <v>1</v>
      </c>
      <c r="M25" s="58">
        <f t="shared" si="35"/>
        <v>1</v>
      </c>
      <c r="N25" s="58">
        <f t="shared" si="35"/>
        <v>1</v>
      </c>
      <c r="O25" s="58">
        <f t="shared" si="35"/>
        <v>1</v>
      </c>
      <c r="P25" s="58">
        <f t="shared" si="35"/>
        <v>1</v>
      </c>
      <c r="Q25" s="58">
        <f t="shared" si="35"/>
        <v>1</v>
      </c>
      <c r="R25" s="58">
        <f t="shared" si="35"/>
        <v>1</v>
      </c>
      <c r="S25" s="58">
        <f t="shared" si="35"/>
        <v>1</v>
      </c>
      <c r="T25" s="86">
        <f t="shared" si="35"/>
        <v>0</v>
      </c>
      <c r="U25" s="86">
        <f t="shared" si="35"/>
        <v>45100</v>
      </c>
      <c r="V25" s="86">
        <f t="shared" si="35"/>
        <v>45100</v>
      </c>
      <c r="W25" s="86">
        <f t="shared" si="35"/>
        <v>45100</v>
      </c>
      <c r="X25" s="86">
        <f t="shared" si="35"/>
        <v>45100</v>
      </c>
      <c r="Y25" s="86">
        <f t="shared" si="35"/>
        <v>45100</v>
      </c>
      <c r="Z25" s="86">
        <f t="shared" si="35"/>
        <v>45100</v>
      </c>
      <c r="AA25" s="86">
        <f t="shared" si="35"/>
        <v>45100</v>
      </c>
      <c r="AB25" s="86">
        <f t="shared" si="35"/>
        <v>45100</v>
      </c>
      <c r="AC25" s="86">
        <f t="shared" si="35"/>
        <v>45100</v>
      </c>
      <c r="AD25" s="86">
        <f t="shared" si="35"/>
        <v>45100</v>
      </c>
      <c r="AE25" s="86">
        <f t="shared" si="35"/>
        <v>45100</v>
      </c>
      <c r="AF25" s="55">
        <f t="shared" ref="AF25:AF33" si="36">SUM(T25:AE25)</f>
        <v>496100</v>
      </c>
    </row>
    <row r="26" spans="1:32" x14ac:dyDescent="0.2">
      <c r="A26" s="53" t="s">
        <v>51</v>
      </c>
      <c r="B26" s="45" t="s">
        <v>252</v>
      </c>
      <c r="C26" s="45" t="s">
        <v>211</v>
      </c>
      <c r="D26" s="69" t="s">
        <v>62</v>
      </c>
      <c r="E26" s="86">
        <f>650*220/12</f>
        <v>11916.666666666666</v>
      </c>
      <c r="F26" s="86">
        <f t="shared" ref="F26:F27" si="37">E26*3</f>
        <v>35750</v>
      </c>
      <c r="G26" s="59">
        <f t="shared" ref="G26:G27" si="38">AVERAGE(H26:S26)</f>
        <v>0.42499999999999999</v>
      </c>
      <c r="H26" s="58">
        <f t="shared" ref="H26:AE26" si="39">SUMIFS(H54:H974,$C$54:$C$974,$B$26)</f>
        <v>0.2</v>
      </c>
      <c r="I26" s="58">
        <f t="shared" si="39"/>
        <v>0.3</v>
      </c>
      <c r="J26" s="58">
        <f t="shared" si="39"/>
        <v>0.3</v>
      </c>
      <c r="K26" s="58">
        <f t="shared" si="39"/>
        <v>0.3</v>
      </c>
      <c r="L26" s="58">
        <f t="shared" si="39"/>
        <v>0.5</v>
      </c>
      <c r="M26" s="58">
        <f t="shared" si="39"/>
        <v>0.5</v>
      </c>
      <c r="N26" s="58">
        <f t="shared" si="39"/>
        <v>0.5</v>
      </c>
      <c r="O26" s="58">
        <f t="shared" si="39"/>
        <v>0.5</v>
      </c>
      <c r="P26" s="58">
        <f t="shared" si="39"/>
        <v>0.5</v>
      </c>
      <c r="Q26" s="58">
        <f t="shared" si="39"/>
        <v>0.5</v>
      </c>
      <c r="R26" s="58">
        <f t="shared" si="39"/>
        <v>0.5</v>
      </c>
      <c r="S26" s="58">
        <f t="shared" si="39"/>
        <v>0.5</v>
      </c>
      <c r="T26" s="86">
        <f t="shared" si="39"/>
        <v>7150</v>
      </c>
      <c r="U26" s="86">
        <f t="shared" si="39"/>
        <v>10725</v>
      </c>
      <c r="V26" s="86">
        <f t="shared" si="39"/>
        <v>10725</v>
      </c>
      <c r="W26" s="86">
        <f t="shared" si="39"/>
        <v>10725</v>
      </c>
      <c r="X26" s="86">
        <f t="shared" si="39"/>
        <v>17875</v>
      </c>
      <c r="Y26" s="86">
        <f t="shared" si="39"/>
        <v>17875</v>
      </c>
      <c r="Z26" s="86">
        <f t="shared" si="39"/>
        <v>17875</v>
      </c>
      <c r="AA26" s="86">
        <f t="shared" si="39"/>
        <v>17875</v>
      </c>
      <c r="AB26" s="86">
        <f t="shared" si="39"/>
        <v>17875</v>
      </c>
      <c r="AC26" s="86">
        <f t="shared" si="39"/>
        <v>17875</v>
      </c>
      <c r="AD26" s="86">
        <f t="shared" si="39"/>
        <v>17875</v>
      </c>
      <c r="AE26" s="86">
        <f t="shared" si="39"/>
        <v>17875</v>
      </c>
      <c r="AF26" s="55">
        <f t="shared" si="36"/>
        <v>182325</v>
      </c>
    </row>
    <row r="27" spans="1:32" x14ac:dyDescent="0.2">
      <c r="A27" s="53" t="s">
        <v>51</v>
      </c>
      <c r="B27" s="45" t="s">
        <v>246</v>
      </c>
      <c r="C27" s="45" t="s">
        <v>168</v>
      </c>
      <c r="D27" s="69" t="s">
        <v>62</v>
      </c>
      <c r="E27" s="86">
        <v>10000</v>
      </c>
      <c r="F27" s="86">
        <f t="shared" si="37"/>
        <v>30000</v>
      </c>
      <c r="G27" s="59">
        <f t="shared" si="38"/>
        <v>0.5</v>
      </c>
      <c r="H27" s="58">
        <f t="shared" ref="H27:AE27" si="40">SUMIFS(H54:H974,$C$54:$C$974,$B$27)</f>
        <v>0</v>
      </c>
      <c r="I27" s="58">
        <f t="shared" si="40"/>
        <v>0</v>
      </c>
      <c r="J27" s="58">
        <f t="shared" si="40"/>
        <v>0</v>
      </c>
      <c r="K27" s="58">
        <f t="shared" si="40"/>
        <v>0</v>
      </c>
      <c r="L27" s="58">
        <f t="shared" si="40"/>
        <v>0</v>
      </c>
      <c r="M27" s="58">
        <f t="shared" si="40"/>
        <v>0</v>
      </c>
      <c r="N27" s="58">
        <f t="shared" si="40"/>
        <v>1</v>
      </c>
      <c r="O27" s="58">
        <f t="shared" si="40"/>
        <v>1</v>
      </c>
      <c r="P27" s="58">
        <f t="shared" si="40"/>
        <v>1</v>
      </c>
      <c r="Q27" s="58">
        <f t="shared" si="40"/>
        <v>1</v>
      </c>
      <c r="R27" s="58">
        <f t="shared" si="40"/>
        <v>1</v>
      </c>
      <c r="S27" s="58">
        <f t="shared" si="40"/>
        <v>1</v>
      </c>
      <c r="T27" s="86">
        <f t="shared" si="40"/>
        <v>0</v>
      </c>
      <c r="U27" s="86">
        <f t="shared" si="40"/>
        <v>0</v>
      </c>
      <c r="V27" s="86">
        <f t="shared" si="40"/>
        <v>0</v>
      </c>
      <c r="W27" s="86">
        <f t="shared" si="40"/>
        <v>0</v>
      </c>
      <c r="X27" s="86">
        <f t="shared" si="40"/>
        <v>0</v>
      </c>
      <c r="Y27" s="86">
        <f t="shared" si="40"/>
        <v>0</v>
      </c>
      <c r="Z27" s="86">
        <f t="shared" si="40"/>
        <v>30000</v>
      </c>
      <c r="AA27" s="86">
        <f t="shared" si="40"/>
        <v>30000</v>
      </c>
      <c r="AB27" s="86">
        <f t="shared" si="40"/>
        <v>30000</v>
      </c>
      <c r="AC27" s="86">
        <f t="shared" si="40"/>
        <v>30000</v>
      </c>
      <c r="AD27" s="86">
        <f t="shared" si="40"/>
        <v>30000</v>
      </c>
      <c r="AE27" s="86">
        <f t="shared" si="40"/>
        <v>30000</v>
      </c>
      <c r="AF27" s="55">
        <f t="shared" si="36"/>
        <v>180000</v>
      </c>
    </row>
    <row r="28" spans="1:32" x14ac:dyDescent="0.2">
      <c r="A28" s="53" t="s">
        <v>51</v>
      </c>
      <c r="B28" s="45" t="s">
        <v>247</v>
      </c>
      <c r="C28" s="45" t="s">
        <v>168</v>
      </c>
      <c r="D28" s="69" t="s">
        <v>62</v>
      </c>
      <c r="E28" s="86">
        <v>10000</v>
      </c>
      <c r="F28" s="86">
        <f t="shared" ref="F28:F29" si="41">E28*3</f>
        <v>30000</v>
      </c>
      <c r="G28" s="59">
        <f t="shared" ref="G28:G29" si="42">AVERAGE(H28:S28)</f>
        <v>0.5</v>
      </c>
      <c r="H28" s="58">
        <f>SUMIFS(H54:H974,$C$54:$C$974,$B$28)</f>
        <v>0</v>
      </c>
      <c r="I28" s="58">
        <f t="shared" ref="I28:AE28" si="43">SUMIFS(I54:I974,$C$54:$C$974,$B$28)</f>
        <v>0</v>
      </c>
      <c r="J28" s="58">
        <f t="shared" si="43"/>
        <v>0</v>
      </c>
      <c r="K28" s="58">
        <f t="shared" si="43"/>
        <v>0</v>
      </c>
      <c r="L28" s="58">
        <f t="shared" si="43"/>
        <v>0</v>
      </c>
      <c r="M28" s="58">
        <f t="shared" si="43"/>
        <v>0</v>
      </c>
      <c r="N28" s="58">
        <f t="shared" si="43"/>
        <v>1</v>
      </c>
      <c r="O28" s="58">
        <f t="shared" si="43"/>
        <v>1</v>
      </c>
      <c r="P28" s="58">
        <f t="shared" si="43"/>
        <v>1</v>
      </c>
      <c r="Q28" s="58">
        <f t="shared" si="43"/>
        <v>1</v>
      </c>
      <c r="R28" s="58">
        <f t="shared" si="43"/>
        <v>1</v>
      </c>
      <c r="S28" s="58">
        <f t="shared" si="43"/>
        <v>1</v>
      </c>
      <c r="T28" s="86">
        <f t="shared" si="43"/>
        <v>0</v>
      </c>
      <c r="U28" s="86">
        <f t="shared" si="43"/>
        <v>0</v>
      </c>
      <c r="V28" s="86">
        <f t="shared" si="43"/>
        <v>0</v>
      </c>
      <c r="W28" s="86">
        <f t="shared" si="43"/>
        <v>0</v>
      </c>
      <c r="X28" s="86">
        <f t="shared" si="43"/>
        <v>0</v>
      </c>
      <c r="Y28" s="86">
        <f t="shared" si="43"/>
        <v>0</v>
      </c>
      <c r="Z28" s="86">
        <f t="shared" si="43"/>
        <v>30000</v>
      </c>
      <c r="AA28" s="86">
        <f t="shared" si="43"/>
        <v>30000</v>
      </c>
      <c r="AB28" s="86">
        <f t="shared" si="43"/>
        <v>30000</v>
      </c>
      <c r="AC28" s="86">
        <f t="shared" si="43"/>
        <v>30000</v>
      </c>
      <c r="AD28" s="86">
        <f t="shared" si="43"/>
        <v>30000</v>
      </c>
      <c r="AE28" s="86">
        <f t="shared" si="43"/>
        <v>30000</v>
      </c>
      <c r="AF28" s="55">
        <f t="shared" si="36"/>
        <v>180000</v>
      </c>
    </row>
    <row r="29" spans="1:32" x14ac:dyDescent="0.2">
      <c r="A29" s="53" t="s">
        <v>51</v>
      </c>
      <c r="B29" s="45" t="s">
        <v>248</v>
      </c>
      <c r="C29" s="45" t="s">
        <v>168</v>
      </c>
      <c r="D29" s="69" t="s">
        <v>62</v>
      </c>
      <c r="E29" s="86">
        <f>820*220/12</f>
        <v>15033.333333333334</v>
      </c>
      <c r="F29" s="86">
        <f t="shared" si="41"/>
        <v>45100</v>
      </c>
      <c r="G29" s="59">
        <f t="shared" si="42"/>
        <v>0.25</v>
      </c>
      <c r="H29" s="58">
        <f>SUMIFS(H54:H974,$C$54:$C$974,$B$29)</f>
        <v>0</v>
      </c>
      <c r="I29" s="58">
        <f t="shared" ref="I29:AE29" si="44">SUMIFS(I54:I974,$C$54:$C$974,$B$29)</f>
        <v>0</v>
      </c>
      <c r="J29" s="58">
        <f t="shared" si="44"/>
        <v>0</v>
      </c>
      <c r="K29" s="58">
        <f t="shared" si="44"/>
        <v>0</v>
      </c>
      <c r="L29" s="58">
        <f t="shared" si="44"/>
        <v>0</v>
      </c>
      <c r="M29" s="58">
        <f t="shared" si="44"/>
        <v>0</v>
      </c>
      <c r="N29" s="58">
        <f t="shared" si="44"/>
        <v>0</v>
      </c>
      <c r="O29" s="58">
        <f t="shared" si="44"/>
        <v>0</v>
      </c>
      <c r="P29" s="58">
        <f t="shared" si="44"/>
        <v>0</v>
      </c>
      <c r="Q29" s="58">
        <f t="shared" si="44"/>
        <v>1</v>
      </c>
      <c r="R29" s="58">
        <f t="shared" si="44"/>
        <v>1</v>
      </c>
      <c r="S29" s="58">
        <f t="shared" si="44"/>
        <v>1</v>
      </c>
      <c r="T29" s="86">
        <f t="shared" si="44"/>
        <v>0</v>
      </c>
      <c r="U29" s="86">
        <f t="shared" si="44"/>
        <v>0</v>
      </c>
      <c r="V29" s="86">
        <f t="shared" si="44"/>
        <v>0</v>
      </c>
      <c r="W29" s="86">
        <f t="shared" si="44"/>
        <v>0</v>
      </c>
      <c r="X29" s="86">
        <f t="shared" si="44"/>
        <v>0</v>
      </c>
      <c r="Y29" s="86">
        <f t="shared" si="44"/>
        <v>0</v>
      </c>
      <c r="Z29" s="86">
        <f t="shared" si="44"/>
        <v>0</v>
      </c>
      <c r="AA29" s="86">
        <f t="shared" si="44"/>
        <v>0</v>
      </c>
      <c r="AB29" s="86">
        <f t="shared" si="44"/>
        <v>0</v>
      </c>
      <c r="AC29" s="86">
        <f t="shared" si="44"/>
        <v>45100</v>
      </c>
      <c r="AD29" s="86">
        <f t="shared" si="44"/>
        <v>45100</v>
      </c>
      <c r="AE29" s="86">
        <f t="shared" si="44"/>
        <v>45100</v>
      </c>
      <c r="AF29" s="55">
        <f t="shared" si="36"/>
        <v>135300</v>
      </c>
    </row>
    <row r="30" spans="1:32" x14ac:dyDescent="0.2">
      <c r="A30" s="53" t="s">
        <v>51</v>
      </c>
      <c r="B30" s="45" t="s">
        <v>255</v>
      </c>
      <c r="C30" s="45" t="s">
        <v>168</v>
      </c>
      <c r="D30" s="69" t="s">
        <v>62</v>
      </c>
      <c r="E30" s="86">
        <f>820*220/12</f>
        <v>15033.333333333334</v>
      </c>
      <c r="F30" s="86">
        <f t="shared" ref="F30:F33" si="45">E30*3</f>
        <v>45100</v>
      </c>
      <c r="G30" s="59">
        <f t="shared" ref="G30:G33" si="46">AVERAGE(H30:S30)</f>
        <v>0.75</v>
      </c>
      <c r="H30" s="58">
        <f>SUMIFS(H54:H974,$C$54:$C$974,$B$30)</f>
        <v>0</v>
      </c>
      <c r="I30" s="58">
        <f t="shared" ref="I30:AE30" si="47">SUMIFS(I54:I974,$C$54:$C$974,$B$30)</f>
        <v>0</v>
      </c>
      <c r="J30" s="58">
        <f t="shared" si="47"/>
        <v>0</v>
      </c>
      <c r="K30" s="58">
        <f t="shared" si="47"/>
        <v>1</v>
      </c>
      <c r="L30" s="58">
        <f t="shared" si="47"/>
        <v>1</v>
      </c>
      <c r="M30" s="58">
        <f t="shared" si="47"/>
        <v>1</v>
      </c>
      <c r="N30" s="58">
        <f t="shared" si="47"/>
        <v>1</v>
      </c>
      <c r="O30" s="58">
        <f t="shared" si="47"/>
        <v>1</v>
      </c>
      <c r="P30" s="58">
        <f t="shared" si="47"/>
        <v>1</v>
      </c>
      <c r="Q30" s="58">
        <f t="shared" si="47"/>
        <v>1</v>
      </c>
      <c r="R30" s="58">
        <f t="shared" si="47"/>
        <v>1</v>
      </c>
      <c r="S30" s="58">
        <f t="shared" si="47"/>
        <v>1</v>
      </c>
      <c r="T30" s="86">
        <f t="shared" si="47"/>
        <v>0</v>
      </c>
      <c r="U30" s="86">
        <f t="shared" si="47"/>
        <v>0</v>
      </c>
      <c r="V30" s="86">
        <f t="shared" si="47"/>
        <v>0</v>
      </c>
      <c r="W30" s="86">
        <f t="shared" si="47"/>
        <v>45100</v>
      </c>
      <c r="X30" s="86">
        <f t="shared" si="47"/>
        <v>45100</v>
      </c>
      <c r="Y30" s="86">
        <f t="shared" si="47"/>
        <v>45100</v>
      </c>
      <c r="Z30" s="86">
        <f t="shared" si="47"/>
        <v>45100</v>
      </c>
      <c r="AA30" s="86">
        <f t="shared" si="47"/>
        <v>45100</v>
      </c>
      <c r="AB30" s="86">
        <f t="shared" si="47"/>
        <v>45100</v>
      </c>
      <c r="AC30" s="86">
        <f t="shared" si="47"/>
        <v>45100</v>
      </c>
      <c r="AD30" s="86">
        <f t="shared" si="47"/>
        <v>45100</v>
      </c>
      <c r="AE30" s="86">
        <f t="shared" si="47"/>
        <v>45100</v>
      </c>
      <c r="AF30" s="55">
        <f t="shared" si="36"/>
        <v>405900</v>
      </c>
    </row>
    <row r="31" spans="1:32" x14ac:dyDescent="0.2">
      <c r="A31" s="53" t="s">
        <v>51</v>
      </c>
      <c r="B31" s="45" t="s">
        <v>256</v>
      </c>
      <c r="C31" s="45" t="s">
        <v>168</v>
      </c>
      <c r="D31" s="69" t="s">
        <v>62</v>
      </c>
      <c r="E31" s="86">
        <v>10000</v>
      </c>
      <c r="F31" s="86">
        <f t="shared" si="45"/>
        <v>30000</v>
      </c>
      <c r="G31" s="59">
        <f t="shared" si="46"/>
        <v>0.875</v>
      </c>
      <c r="H31" s="58">
        <f>SUMIFS(H54:H974,$C$54:$C$974,$B$31)</f>
        <v>0</v>
      </c>
      <c r="I31" s="58">
        <f t="shared" ref="I31:AE31" si="48">SUMIFS(I54:I974,$C$54:$C$974,$B$31)</f>
        <v>0.5</v>
      </c>
      <c r="J31" s="58">
        <f t="shared" si="48"/>
        <v>1</v>
      </c>
      <c r="K31" s="58">
        <f t="shared" si="48"/>
        <v>1</v>
      </c>
      <c r="L31" s="58">
        <f t="shared" si="48"/>
        <v>1</v>
      </c>
      <c r="M31" s="58">
        <f t="shared" si="48"/>
        <v>1</v>
      </c>
      <c r="N31" s="58">
        <f t="shared" si="48"/>
        <v>1</v>
      </c>
      <c r="O31" s="58">
        <f t="shared" si="48"/>
        <v>1</v>
      </c>
      <c r="P31" s="58">
        <f t="shared" si="48"/>
        <v>1</v>
      </c>
      <c r="Q31" s="58">
        <f t="shared" si="48"/>
        <v>1</v>
      </c>
      <c r="R31" s="58">
        <f t="shared" si="48"/>
        <v>1</v>
      </c>
      <c r="S31" s="58">
        <f t="shared" si="48"/>
        <v>1</v>
      </c>
      <c r="T31" s="86">
        <f t="shared" si="48"/>
        <v>0</v>
      </c>
      <c r="U31" s="86">
        <f t="shared" si="48"/>
        <v>15000</v>
      </c>
      <c r="V31" s="86">
        <f t="shared" si="48"/>
        <v>30000</v>
      </c>
      <c r="W31" s="86">
        <f t="shared" si="48"/>
        <v>30000</v>
      </c>
      <c r="X31" s="86">
        <f t="shared" si="48"/>
        <v>30000</v>
      </c>
      <c r="Y31" s="86">
        <f t="shared" si="48"/>
        <v>30000</v>
      </c>
      <c r="Z31" s="86">
        <f t="shared" si="48"/>
        <v>30000</v>
      </c>
      <c r="AA31" s="86">
        <f t="shared" si="48"/>
        <v>30000</v>
      </c>
      <c r="AB31" s="86">
        <f t="shared" si="48"/>
        <v>30000</v>
      </c>
      <c r="AC31" s="86">
        <f t="shared" si="48"/>
        <v>30000</v>
      </c>
      <c r="AD31" s="86">
        <f t="shared" si="48"/>
        <v>30000</v>
      </c>
      <c r="AE31" s="86">
        <f t="shared" si="48"/>
        <v>30000</v>
      </c>
      <c r="AF31" s="55">
        <f t="shared" si="36"/>
        <v>315000</v>
      </c>
    </row>
    <row r="32" spans="1:32" x14ac:dyDescent="0.2">
      <c r="A32" s="53" t="s">
        <v>51</v>
      </c>
      <c r="B32" s="45" t="s">
        <v>262</v>
      </c>
      <c r="C32" s="45" t="s">
        <v>168</v>
      </c>
      <c r="D32" s="69" t="s">
        <v>62</v>
      </c>
      <c r="E32" s="86">
        <f>820*220/12</f>
        <v>15033.333333333334</v>
      </c>
      <c r="F32" s="86">
        <f t="shared" si="45"/>
        <v>45100</v>
      </c>
      <c r="G32" s="59">
        <f t="shared" si="46"/>
        <v>0.91666666666666663</v>
      </c>
      <c r="H32" s="58">
        <f>SUMIFS(H54:H974,$C$54:$C$974,$B$32)</f>
        <v>0</v>
      </c>
      <c r="I32" s="58">
        <f t="shared" ref="I32:S32" si="49">SUMIFS(I54:I974,$C$54:$C$974,$B$32)</f>
        <v>1</v>
      </c>
      <c r="J32" s="58">
        <f t="shared" si="49"/>
        <v>1</v>
      </c>
      <c r="K32" s="58">
        <f t="shared" si="49"/>
        <v>1</v>
      </c>
      <c r="L32" s="58">
        <f t="shared" si="49"/>
        <v>1</v>
      </c>
      <c r="M32" s="58">
        <f t="shared" si="49"/>
        <v>1</v>
      </c>
      <c r="N32" s="58">
        <f t="shared" si="49"/>
        <v>1</v>
      </c>
      <c r="O32" s="58">
        <f t="shared" si="49"/>
        <v>1</v>
      </c>
      <c r="P32" s="58">
        <f t="shared" si="49"/>
        <v>1</v>
      </c>
      <c r="Q32" s="58">
        <f t="shared" si="49"/>
        <v>1</v>
      </c>
      <c r="R32" s="58">
        <f t="shared" si="49"/>
        <v>1</v>
      </c>
      <c r="S32" s="58">
        <f t="shared" si="49"/>
        <v>1</v>
      </c>
      <c r="T32" s="86">
        <f t="shared" ref="T32:AE32" si="50">SUMIFS(T54:T974,$C$54:$C$974,$B$32)</f>
        <v>0</v>
      </c>
      <c r="U32" s="86">
        <f t="shared" si="50"/>
        <v>45100</v>
      </c>
      <c r="V32" s="86">
        <f t="shared" si="50"/>
        <v>45100</v>
      </c>
      <c r="W32" s="86">
        <f t="shared" si="50"/>
        <v>45100</v>
      </c>
      <c r="X32" s="86">
        <f t="shared" si="50"/>
        <v>45100</v>
      </c>
      <c r="Y32" s="86">
        <f t="shared" si="50"/>
        <v>45100</v>
      </c>
      <c r="Z32" s="86">
        <f t="shared" si="50"/>
        <v>45100</v>
      </c>
      <c r="AA32" s="86">
        <f t="shared" si="50"/>
        <v>45100</v>
      </c>
      <c r="AB32" s="86">
        <f t="shared" si="50"/>
        <v>45100</v>
      </c>
      <c r="AC32" s="86">
        <f t="shared" si="50"/>
        <v>45100</v>
      </c>
      <c r="AD32" s="86">
        <f t="shared" si="50"/>
        <v>45100</v>
      </c>
      <c r="AE32" s="86">
        <f t="shared" si="50"/>
        <v>45100</v>
      </c>
      <c r="AF32" s="55">
        <f t="shared" si="36"/>
        <v>496100</v>
      </c>
    </row>
    <row r="33" spans="1:32" x14ac:dyDescent="0.2">
      <c r="A33" s="53" t="s">
        <v>51</v>
      </c>
      <c r="B33" s="45" t="s">
        <v>263</v>
      </c>
      <c r="C33" s="45" t="s">
        <v>168</v>
      </c>
      <c r="D33" s="69" t="s">
        <v>62</v>
      </c>
      <c r="E33" s="86">
        <v>10000</v>
      </c>
      <c r="F33" s="86">
        <f t="shared" si="45"/>
        <v>30000</v>
      </c>
      <c r="G33" s="59">
        <f t="shared" si="46"/>
        <v>0.5</v>
      </c>
      <c r="H33" s="58">
        <f>SUMIFS(H54:H974,$C$54:$C$974,$B$33)</f>
        <v>0</v>
      </c>
      <c r="I33" s="58">
        <f t="shared" ref="I33:S33" si="51">SUMIFS(I54:I974,$C$54:$C$974,$B$33)</f>
        <v>0</v>
      </c>
      <c r="J33" s="58">
        <f t="shared" si="51"/>
        <v>0</v>
      </c>
      <c r="K33" s="58">
        <f t="shared" si="51"/>
        <v>0</v>
      </c>
      <c r="L33" s="58">
        <f t="shared" si="51"/>
        <v>0</v>
      </c>
      <c r="M33" s="58">
        <f t="shared" si="51"/>
        <v>0</v>
      </c>
      <c r="N33" s="58">
        <f t="shared" si="51"/>
        <v>1</v>
      </c>
      <c r="O33" s="58">
        <f t="shared" si="51"/>
        <v>1</v>
      </c>
      <c r="P33" s="58">
        <f t="shared" si="51"/>
        <v>1</v>
      </c>
      <c r="Q33" s="58">
        <f t="shared" si="51"/>
        <v>1</v>
      </c>
      <c r="R33" s="58">
        <f t="shared" si="51"/>
        <v>1</v>
      </c>
      <c r="S33" s="58">
        <f t="shared" si="51"/>
        <v>1</v>
      </c>
      <c r="T33" s="86">
        <f t="shared" ref="T33:AE33" si="52">SUMIFS(T54:T974,$C$54:$C$974,$B$33)</f>
        <v>0</v>
      </c>
      <c r="U33" s="86">
        <f t="shared" si="52"/>
        <v>0</v>
      </c>
      <c r="V33" s="86">
        <f t="shared" si="52"/>
        <v>0</v>
      </c>
      <c r="W33" s="86">
        <f t="shared" si="52"/>
        <v>0</v>
      </c>
      <c r="X33" s="86">
        <f t="shared" si="52"/>
        <v>0</v>
      </c>
      <c r="Y33" s="86">
        <f t="shared" si="52"/>
        <v>0</v>
      </c>
      <c r="Z33" s="86">
        <f t="shared" si="52"/>
        <v>30000</v>
      </c>
      <c r="AA33" s="86">
        <f t="shared" si="52"/>
        <v>30000</v>
      </c>
      <c r="AB33" s="86">
        <f t="shared" si="52"/>
        <v>30000</v>
      </c>
      <c r="AC33" s="86">
        <f t="shared" si="52"/>
        <v>30000</v>
      </c>
      <c r="AD33" s="86">
        <f t="shared" si="52"/>
        <v>30000</v>
      </c>
      <c r="AE33" s="86">
        <f t="shared" si="52"/>
        <v>30000</v>
      </c>
      <c r="AF33" s="55">
        <f t="shared" si="36"/>
        <v>180000</v>
      </c>
    </row>
    <row r="34" spans="1:32" x14ac:dyDescent="0.2">
      <c r="A34" s="53" t="s">
        <v>180</v>
      </c>
      <c r="B34" s="45" t="s">
        <v>183</v>
      </c>
      <c r="C34" s="45" t="s">
        <v>77</v>
      </c>
      <c r="D34" s="69" t="s">
        <v>76</v>
      </c>
      <c r="E34" s="86">
        <f>600*220/12</f>
        <v>11000</v>
      </c>
      <c r="F34" s="86">
        <f t="shared" si="1"/>
        <v>33000</v>
      </c>
      <c r="G34" s="59">
        <f t="shared" si="2"/>
        <v>1</v>
      </c>
      <c r="H34" s="58">
        <f t="shared" ref="H34:AE34" si="53">SUMIFS(H54:H974,$C$54:$C$974,$B$34)</f>
        <v>1</v>
      </c>
      <c r="I34" s="58">
        <f t="shared" si="53"/>
        <v>1</v>
      </c>
      <c r="J34" s="58">
        <f t="shared" si="53"/>
        <v>1</v>
      </c>
      <c r="K34" s="58">
        <f t="shared" si="53"/>
        <v>1</v>
      </c>
      <c r="L34" s="58">
        <f t="shared" si="53"/>
        <v>1</v>
      </c>
      <c r="M34" s="58">
        <f t="shared" si="53"/>
        <v>1</v>
      </c>
      <c r="N34" s="58">
        <f t="shared" si="53"/>
        <v>1</v>
      </c>
      <c r="O34" s="58">
        <f t="shared" si="53"/>
        <v>1</v>
      </c>
      <c r="P34" s="58">
        <f t="shared" si="53"/>
        <v>1</v>
      </c>
      <c r="Q34" s="58">
        <f t="shared" si="53"/>
        <v>1</v>
      </c>
      <c r="R34" s="58">
        <f t="shared" si="53"/>
        <v>1</v>
      </c>
      <c r="S34" s="58">
        <f t="shared" si="53"/>
        <v>1</v>
      </c>
      <c r="T34" s="86">
        <f t="shared" si="53"/>
        <v>33000</v>
      </c>
      <c r="U34" s="86">
        <f t="shared" si="53"/>
        <v>33000</v>
      </c>
      <c r="V34" s="86">
        <f t="shared" si="53"/>
        <v>33000</v>
      </c>
      <c r="W34" s="86">
        <f t="shared" si="53"/>
        <v>33000</v>
      </c>
      <c r="X34" s="86">
        <f t="shared" si="53"/>
        <v>33000</v>
      </c>
      <c r="Y34" s="86">
        <f t="shared" si="53"/>
        <v>33000</v>
      </c>
      <c r="Z34" s="86">
        <f t="shared" si="53"/>
        <v>33000</v>
      </c>
      <c r="AA34" s="86">
        <f t="shared" si="53"/>
        <v>33000</v>
      </c>
      <c r="AB34" s="86">
        <f t="shared" si="53"/>
        <v>33000</v>
      </c>
      <c r="AC34" s="86">
        <f t="shared" si="53"/>
        <v>33000</v>
      </c>
      <c r="AD34" s="86">
        <f t="shared" si="53"/>
        <v>33000</v>
      </c>
      <c r="AE34" s="86">
        <f t="shared" si="53"/>
        <v>33000</v>
      </c>
      <c r="AF34" s="55">
        <f t="shared" si="4"/>
        <v>396000</v>
      </c>
    </row>
    <row r="35" spans="1:32" x14ac:dyDescent="0.2">
      <c r="A35" s="53" t="s">
        <v>180</v>
      </c>
      <c r="B35" s="45" t="s">
        <v>185</v>
      </c>
      <c r="C35" s="45" t="s">
        <v>78</v>
      </c>
      <c r="D35" s="69" t="s">
        <v>76</v>
      </c>
      <c r="E35" s="86">
        <f>350*220/12</f>
        <v>6416.666666666667</v>
      </c>
      <c r="F35" s="86">
        <f t="shared" si="1"/>
        <v>19250</v>
      </c>
      <c r="G35" s="59">
        <f t="shared" si="2"/>
        <v>1</v>
      </c>
      <c r="H35" s="58">
        <f t="shared" ref="H35:AE35" si="54">SUMIFS(H54:H974,$C$54:$C$974,$B$35)</f>
        <v>1</v>
      </c>
      <c r="I35" s="58">
        <f t="shared" si="54"/>
        <v>1</v>
      </c>
      <c r="J35" s="58">
        <f t="shared" si="54"/>
        <v>1</v>
      </c>
      <c r="K35" s="58">
        <f t="shared" si="54"/>
        <v>1</v>
      </c>
      <c r="L35" s="58">
        <f t="shared" si="54"/>
        <v>1</v>
      </c>
      <c r="M35" s="58">
        <f t="shared" si="54"/>
        <v>1</v>
      </c>
      <c r="N35" s="58">
        <f t="shared" si="54"/>
        <v>1</v>
      </c>
      <c r="O35" s="58">
        <f t="shared" si="54"/>
        <v>1</v>
      </c>
      <c r="P35" s="58">
        <f t="shared" si="54"/>
        <v>1</v>
      </c>
      <c r="Q35" s="58">
        <f t="shared" si="54"/>
        <v>1</v>
      </c>
      <c r="R35" s="58">
        <f t="shared" si="54"/>
        <v>1</v>
      </c>
      <c r="S35" s="58">
        <f t="shared" si="54"/>
        <v>1</v>
      </c>
      <c r="T35" s="86">
        <f t="shared" si="54"/>
        <v>19250</v>
      </c>
      <c r="U35" s="86">
        <f t="shared" si="54"/>
        <v>19250</v>
      </c>
      <c r="V35" s="86">
        <f t="shared" si="54"/>
        <v>19250</v>
      </c>
      <c r="W35" s="86">
        <f t="shared" si="54"/>
        <v>19250</v>
      </c>
      <c r="X35" s="86">
        <f t="shared" si="54"/>
        <v>19250</v>
      </c>
      <c r="Y35" s="86">
        <f t="shared" si="54"/>
        <v>19250</v>
      </c>
      <c r="Z35" s="86">
        <f t="shared" si="54"/>
        <v>19250</v>
      </c>
      <c r="AA35" s="86">
        <f t="shared" si="54"/>
        <v>19250</v>
      </c>
      <c r="AB35" s="86">
        <f t="shared" si="54"/>
        <v>19250</v>
      </c>
      <c r="AC35" s="86">
        <f t="shared" si="54"/>
        <v>19250</v>
      </c>
      <c r="AD35" s="86">
        <f t="shared" si="54"/>
        <v>19250</v>
      </c>
      <c r="AE35" s="86">
        <f t="shared" si="54"/>
        <v>19250</v>
      </c>
      <c r="AF35" s="55">
        <f t="shared" si="4"/>
        <v>231000</v>
      </c>
    </row>
    <row r="36" spans="1:32" x14ac:dyDescent="0.2">
      <c r="A36" s="53" t="s">
        <v>180</v>
      </c>
      <c r="B36" s="45" t="s">
        <v>186</v>
      </c>
      <c r="C36" s="45" t="s">
        <v>79</v>
      </c>
      <c r="D36" s="69" t="s">
        <v>76</v>
      </c>
      <c r="E36" s="86">
        <f>4504.12*1.02</f>
        <v>4594.2024000000001</v>
      </c>
      <c r="F36" s="86">
        <f t="shared" si="1"/>
        <v>13782.6072</v>
      </c>
      <c r="G36" s="59">
        <f t="shared" si="2"/>
        <v>1</v>
      </c>
      <c r="H36" s="58">
        <f t="shared" ref="H36:AE36" si="55">SUMIFS(H54:H974,$C$54:$C$974,$B$36)</f>
        <v>1</v>
      </c>
      <c r="I36" s="58">
        <f t="shared" si="55"/>
        <v>1</v>
      </c>
      <c r="J36" s="58">
        <f t="shared" si="55"/>
        <v>1</v>
      </c>
      <c r="K36" s="58">
        <f t="shared" si="55"/>
        <v>1</v>
      </c>
      <c r="L36" s="58">
        <f t="shared" si="55"/>
        <v>1</v>
      </c>
      <c r="M36" s="58">
        <f t="shared" si="55"/>
        <v>1</v>
      </c>
      <c r="N36" s="58">
        <f t="shared" si="55"/>
        <v>1</v>
      </c>
      <c r="O36" s="58">
        <f t="shared" si="55"/>
        <v>1</v>
      </c>
      <c r="P36" s="58">
        <f t="shared" si="55"/>
        <v>1</v>
      </c>
      <c r="Q36" s="58">
        <f t="shared" si="55"/>
        <v>1</v>
      </c>
      <c r="R36" s="58">
        <f t="shared" si="55"/>
        <v>1</v>
      </c>
      <c r="S36" s="58">
        <f t="shared" si="55"/>
        <v>1</v>
      </c>
      <c r="T36" s="86">
        <f t="shared" si="55"/>
        <v>13782.6072</v>
      </c>
      <c r="U36" s="86">
        <f t="shared" si="55"/>
        <v>13782.6072</v>
      </c>
      <c r="V36" s="86">
        <f t="shared" si="55"/>
        <v>13782.6072</v>
      </c>
      <c r="W36" s="86">
        <f t="shared" si="55"/>
        <v>13782.6072</v>
      </c>
      <c r="X36" s="86">
        <f t="shared" si="55"/>
        <v>13782.6072</v>
      </c>
      <c r="Y36" s="86">
        <f t="shared" si="55"/>
        <v>13782.6072</v>
      </c>
      <c r="Z36" s="86">
        <f t="shared" si="55"/>
        <v>13782.6072</v>
      </c>
      <c r="AA36" s="86">
        <f t="shared" si="55"/>
        <v>13782.6072</v>
      </c>
      <c r="AB36" s="86">
        <f t="shared" si="55"/>
        <v>13782.6072</v>
      </c>
      <c r="AC36" s="86">
        <f t="shared" si="55"/>
        <v>13782.6072</v>
      </c>
      <c r="AD36" s="86">
        <f t="shared" si="55"/>
        <v>13782.6072</v>
      </c>
      <c r="AE36" s="86">
        <f t="shared" si="55"/>
        <v>13782.6072</v>
      </c>
      <c r="AF36" s="55">
        <f t="shared" si="4"/>
        <v>165391.28640000001</v>
      </c>
    </row>
    <row r="37" spans="1:32" x14ac:dyDescent="0.2">
      <c r="A37" s="53" t="s">
        <v>180</v>
      </c>
      <c r="B37" s="45" t="s">
        <v>181</v>
      </c>
      <c r="C37" s="45" t="s">
        <v>80</v>
      </c>
      <c r="D37" s="69" t="s">
        <v>76</v>
      </c>
      <c r="E37" s="86">
        <f>6161.17*1.02</f>
        <v>6284.3933999999999</v>
      </c>
      <c r="F37" s="86">
        <f t="shared" si="1"/>
        <v>18853.180199999999</v>
      </c>
      <c r="G37" s="59">
        <f t="shared" si="2"/>
        <v>1</v>
      </c>
      <c r="H37" s="58">
        <f t="shared" ref="H37:AE37" si="56">SUMIFS(H54:H974,$C$54:$C$974,$B$37)</f>
        <v>1</v>
      </c>
      <c r="I37" s="58">
        <f t="shared" si="56"/>
        <v>1</v>
      </c>
      <c r="J37" s="58">
        <f t="shared" si="56"/>
        <v>1</v>
      </c>
      <c r="K37" s="58">
        <f t="shared" si="56"/>
        <v>1</v>
      </c>
      <c r="L37" s="58">
        <f t="shared" si="56"/>
        <v>1</v>
      </c>
      <c r="M37" s="58">
        <f t="shared" si="56"/>
        <v>1</v>
      </c>
      <c r="N37" s="58">
        <f t="shared" si="56"/>
        <v>1</v>
      </c>
      <c r="O37" s="58">
        <f t="shared" si="56"/>
        <v>1</v>
      </c>
      <c r="P37" s="58">
        <f t="shared" si="56"/>
        <v>1</v>
      </c>
      <c r="Q37" s="58">
        <f t="shared" si="56"/>
        <v>1</v>
      </c>
      <c r="R37" s="58">
        <f t="shared" si="56"/>
        <v>1</v>
      </c>
      <c r="S37" s="58">
        <f t="shared" si="56"/>
        <v>1</v>
      </c>
      <c r="T37" s="86">
        <f t="shared" si="56"/>
        <v>18853.180199999999</v>
      </c>
      <c r="U37" s="86">
        <f t="shared" si="56"/>
        <v>18853.180199999999</v>
      </c>
      <c r="V37" s="86">
        <f t="shared" si="56"/>
        <v>18853.180199999999</v>
      </c>
      <c r="W37" s="86">
        <f t="shared" si="56"/>
        <v>18853.180199999999</v>
      </c>
      <c r="X37" s="86">
        <f t="shared" si="56"/>
        <v>18853.180199999999</v>
      </c>
      <c r="Y37" s="86">
        <f t="shared" si="56"/>
        <v>18853.180199999999</v>
      </c>
      <c r="Z37" s="86">
        <f t="shared" si="56"/>
        <v>18853.180199999999</v>
      </c>
      <c r="AA37" s="86">
        <f t="shared" si="56"/>
        <v>18853.180199999999</v>
      </c>
      <c r="AB37" s="86">
        <f t="shared" si="56"/>
        <v>18853.180199999999</v>
      </c>
      <c r="AC37" s="86">
        <f t="shared" si="56"/>
        <v>18853.180199999999</v>
      </c>
      <c r="AD37" s="86">
        <f t="shared" si="56"/>
        <v>18853.180199999999</v>
      </c>
      <c r="AE37" s="86">
        <f t="shared" si="56"/>
        <v>18853.180199999999</v>
      </c>
      <c r="AF37" s="55">
        <f t="shared" si="4"/>
        <v>226238.1624</v>
      </c>
    </row>
    <row r="38" spans="1:32" x14ac:dyDescent="0.2">
      <c r="A38" s="53" t="s">
        <v>180</v>
      </c>
      <c r="B38" s="45" t="s">
        <v>187</v>
      </c>
      <c r="C38" s="45" t="s">
        <v>168</v>
      </c>
      <c r="D38" s="69" t="s">
        <v>76</v>
      </c>
      <c r="E38" s="86">
        <v>10000</v>
      </c>
      <c r="F38" s="86">
        <f t="shared" si="1"/>
        <v>30000</v>
      </c>
      <c r="G38" s="59">
        <f t="shared" si="2"/>
        <v>0.41666666666666669</v>
      </c>
      <c r="H38" s="58">
        <f t="shared" ref="H38:AE38" si="57">SUMIFS(H54:H974,$C$54:$C$974,$B$38)</f>
        <v>0</v>
      </c>
      <c r="I38" s="58">
        <f t="shared" si="57"/>
        <v>0</v>
      </c>
      <c r="J38" s="58">
        <f t="shared" si="57"/>
        <v>0</v>
      </c>
      <c r="K38" s="58">
        <f t="shared" si="57"/>
        <v>1</v>
      </c>
      <c r="L38" s="58">
        <f t="shared" si="57"/>
        <v>1</v>
      </c>
      <c r="M38" s="58">
        <f t="shared" si="57"/>
        <v>1</v>
      </c>
      <c r="N38" s="58">
        <f t="shared" si="57"/>
        <v>1</v>
      </c>
      <c r="O38" s="58">
        <f t="shared" si="57"/>
        <v>1</v>
      </c>
      <c r="P38" s="58">
        <f t="shared" si="57"/>
        <v>0</v>
      </c>
      <c r="Q38" s="58">
        <f t="shared" si="57"/>
        <v>0</v>
      </c>
      <c r="R38" s="58">
        <f t="shared" si="57"/>
        <v>0</v>
      </c>
      <c r="S38" s="58">
        <f t="shared" si="57"/>
        <v>0</v>
      </c>
      <c r="T38" s="86">
        <f t="shared" si="57"/>
        <v>0</v>
      </c>
      <c r="U38" s="86">
        <f t="shared" si="57"/>
        <v>0</v>
      </c>
      <c r="V38" s="86">
        <f t="shared" si="57"/>
        <v>0</v>
      </c>
      <c r="W38" s="86">
        <f t="shared" si="57"/>
        <v>30000</v>
      </c>
      <c r="X38" s="86">
        <f t="shared" si="57"/>
        <v>30000</v>
      </c>
      <c r="Y38" s="86">
        <f t="shared" si="57"/>
        <v>30000</v>
      </c>
      <c r="Z38" s="86">
        <f t="shared" si="57"/>
        <v>30000</v>
      </c>
      <c r="AA38" s="86">
        <f t="shared" si="57"/>
        <v>30000</v>
      </c>
      <c r="AB38" s="86">
        <f t="shared" si="57"/>
        <v>0</v>
      </c>
      <c r="AC38" s="86">
        <f t="shared" si="57"/>
        <v>0</v>
      </c>
      <c r="AD38" s="86">
        <f t="shared" si="57"/>
        <v>0</v>
      </c>
      <c r="AE38" s="86">
        <f t="shared" si="57"/>
        <v>0</v>
      </c>
      <c r="AF38" s="55">
        <f t="shared" si="4"/>
        <v>150000</v>
      </c>
    </row>
    <row r="39" spans="1:32" x14ac:dyDescent="0.2">
      <c r="A39" s="53" t="s">
        <v>180</v>
      </c>
      <c r="B39" s="45" t="s">
        <v>182</v>
      </c>
      <c r="C39" s="45" t="s">
        <v>90</v>
      </c>
      <c r="D39" s="69" t="s">
        <v>76</v>
      </c>
      <c r="E39" s="86">
        <f>5161.15*1.02</f>
        <v>5264.3729999999996</v>
      </c>
      <c r="F39" s="86">
        <f t="shared" si="1"/>
        <v>15793.118999999999</v>
      </c>
      <c r="G39" s="59">
        <f t="shared" si="2"/>
        <v>1</v>
      </c>
      <c r="H39" s="58">
        <f t="shared" ref="H39:AE39" si="58">SUMIFS(H54:H974,$C$54:$C$974,$B$39)</f>
        <v>1</v>
      </c>
      <c r="I39" s="58">
        <f t="shared" si="58"/>
        <v>1</v>
      </c>
      <c r="J39" s="58">
        <f t="shared" si="58"/>
        <v>1</v>
      </c>
      <c r="K39" s="58">
        <f t="shared" si="58"/>
        <v>1</v>
      </c>
      <c r="L39" s="58">
        <f t="shared" si="58"/>
        <v>1</v>
      </c>
      <c r="M39" s="58">
        <f t="shared" si="58"/>
        <v>1</v>
      </c>
      <c r="N39" s="58">
        <f t="shared" si="58"/>
        <v>1</v>
      </c>
      <c r="O39" s="58">
        <f t="shared" si="58"/>
        <v>1</v>
      </c>
      <c r="P39" s="58">
        <f t="shared" si="58"/>
        <v>1</v>
      </c>
      <c r="Q39" s="58">
        <f t="shared" si="58"/>
        <v>1</v>
      </c>
      <c r="R39" s="58">
        <f t="shared" si="58"/>
        <v>1</v>
      </c>
      <c r="S39" s="58">
        <f t="shared" si="58"/>
        <v>1</v>
      </c>
      <c r="T39" s="86">
        <f t="shared" si="58"/>
        <v>15793.118999999999</v>
      </c>
      <c r="U39" s="86">
        <f t="shared" si="58"/>
        <v>15793.118999999999</v>
      </c>
      <c r="V39" s="86">
        <f t="shared" si="58"/>
        <v>15793.118999999999</v>
      </c>
      <c r="W39" s="86">
        <f t="shared" si="58"/>
        <v>15793.118999999999</v>
      </c>
      <c r="X39" s="86">
        <f t="shared" si="58"/>
        <v>15793.118999999999</v>
      </c>
      <c r="Y39" s="86">
        <f t="shared" si="58"/>
        <v>15793.118999999999</v>
      </c>
      <c r="Z39" s="86">
        <f t="shared" si="58"/>
        <v>15793.118999999999</v>
      </c>
      <c r="AA39" s="86">
        <f t="shared" si="58"/>
        <v>15793.118999999999</v>
      </c>
      <c r="AB39" s="86">
        <f t="shared" si="58"/>
        <v>15793.118999999999</v>
      </c>
      <c r="AC39" s="86">
        <f t="shared" si="58"/>
        <v>15793.118999999999</v>
      </c>
      <c r="AD39" s="86">
        <f t="shared" si="58"/>
        <v>15793.118999999999</v>
      </c>
      <c r="AE39" s="86">
        <f t="shared" si="58"/>
        <v>15793.118999999999</v>
      </c>
      <c r="AF39" s="55">
        <f t="shared" si="4"/>
        <v>189517.42800000004</v>
      </c>
    </row>
    <row r="40" spans="1:32" x14ac:dyDescent="0.2">
      <c r="A40" s="53" t="s">
        <v>180</v>
      </c>
      <c r="B40" s="45" t="s">
        <v>184</v>
      </c>
      <c r="C40" s="45" t="s">
        <v>168</v>
      </c>
      <c r="D40" s="69" t="s">
        <v>76</v>
      </c>
      <c r="E40" s="86">
        <f>550*220/12</f>
        <v>10083.333333333334</v>
      </c>
      <c r="F40" s="86">
        <f t="shared" si="1"/>
        <v>30250</v>
      </c>
      <c r="G40" s="59">
        <f t="shared" si="2"/>
        <v>0.33333333333333331</v>
      </c>
      <c r="H40" s="58">
        <f t="shared" ref="H40:AE40" si="59">SUMIFS(H54:H974,$C$54:$C$974,$B$40)</f>
        <v>0</v>
      </c>
      <c r="I40" s="58">
        <f t="shared" si="59"/>
        <v>0</v>
      </c>
      <c r="J40" s="58">
        <f t="shared" si="59"/>
        <v>0</v>
      </c>
      <c r="K40" s="58">
        <f t="shared" si="59"/>
        <v>1</v>
      </c>
      <c r="L40" s="58">
        <f t="shared" si="59"/>
        <v>1</v>
      </c>
      <c r="M40" s="58">
        <f t="shared" si="59"/>
        <v>1</v>
      </c>
      <c r="N40" s="58">
        <f t="shared" si="59"/>
        <v>0</v>
      </c>
      <c r="O40" s="58">
        <f t="shared" si="59"/>
        <v>0</v>
      </c>
      <c r="P40" s="58">
        <f t="shared" si="59"/>
        <v>0</v>
      </c>
      <c r="Q40" s="58">
        <f t="shared" si="59"/>
        <v>0</v>
      </c>
      <c r="R40" s="58">
        <f t="shared" si="59"/>
        <v>0</v>
      </c>
      <c r="S40" s="58">
        <f t="shared" si="59"/>
        <v>1</v>
      </c>
      <c r="T40" s="86">
        <f t="shared" si="59"/>
        <v>0</v>
      </c>
      <c r="U40" s="86">
        <f t="shared" si="59"/>
        <v>0</v>
      </c>
      <c r="V40" s="86">
        <f t="shared" si="59"/>
        <v>0</v>
      </c>
      <c r="W40" s="86">
        <f t="shared" si="59"/>
        <v>30250</v>
      </c>
      <c r="X40" s="86">
        <f t="shared" si="59"/>
        <v>30250</v>
      </c>
      <c r="Y40" s="86">
        <f t="shared" si="59"/>
        <v>30250</v>
      </c>
      <c r="Z40" s="86">
        <f t="shared" si="59"/>
        <v>0</v>
      </c>
      <c r="AA40" s="86">
        <f t="shared" si="59"/>
        <v>0</v>
      </c>
      <c r="AB40" s="86">
        <f t="shared" si="59"/>
        <v>0</v>
      </c>
      <c r="AC40" s="86">
        <f t="shared" si="59"/>
        <v>0</v>
      </c>
      <c r="AD40" s="86">
        <f t="shared" si="59"/>
        <v>0</v>
      </c>
      <c r="AE40" s="86">
        <f t="shared" si="59"/>
        <v>30250</v>
      </c>
      <c r="AF40" s="55">
        <f t="shared" si="4"/>
        <v>121000</v>
      </c>
    </row>
    <row r="41" spans="1:32" x14ac:dyDescent="0.2">
      <c r="A41" s="53" t="s">
        <v>180</v>
      </c>
      <c r="B41" s="45" t="s">
        <v>188</v>
      </c>
      <c r="C41" s="45" t="s">
        <v>168</v>
      </c>
      <c r="D41" s="69" t="s">
        <v>76</v>
      </c>
      <c r="E41" s="86">
        <f t="shared" ref="E41:E42" si="60">550*220/12</f>
        <v>10083.333333333334</v>
      </c>
      <c r="F41" s="86">
        <f t="shared" si="1"/>
        <v>30250</v>
      </c>
      <c r="G41" s="59">
        <f t="shared" si="2"/>
        <v>0.75</v>
      </c>
      <c r="H41" s="58">
        <f t="shared" ref="H41:AE41" si="61">SUMIFS(H54:H974,$C$54:$C$974,$B$41)</f>
        <v>0</v>
      </c>
      <c r="I41" s="58">
        <f t="shared" si="61"/>
        <v>0</v>
      </c>
      <c r="J41" s="58">
        <f t="shared" si="61"/>
        <v>0</v>
      </c>
      <c r="K41" s="58">
        <f t="shared" si="61"/>
        <v>0</v>
      </c>
      <c r="L41" s="58">
        <f t="shared" si="61"/>
        <v>2</v>
      </c>
      <c r="M41" s="58">
        <f t="shared" si="61"/>
        <v>1</v>
      </c>
      <c r="N41" s="58">
        <f t="shared" si="61"/>
        <v>1</v>
      </c>
      <c r="O41" s="58">
        <f t="shared" si="61"/>
        <v>1</v>
      </c>
      <c r="P41" s="58">
        <f t="shared" si="61"/>
        <v>1</v>
      </c>
      <c r="Q41" s="58">
        <f t="shared" si="61"/>
        <v>1</v>
      </c>
      <c r="R41" s="58">
        <f t="shared" si="61"/>
        <v>1</v>
      </c>
      <c r="S41" s="58">
        <f t="shared" si="61"/>
        <v>1</v>
      </c>
      <c r="T41" s="86">
        <f t="shared" si="61"/>
        <v>0</v>
      </c>
      <c r="U41" s="86">
        <f t="shared" si="61"/>
        <v>0</v>
      </c>
      <c r="V41" s="86">
        <f t="shared" si="61"/>
        <v>0</v>
      </c>
      <c r="W41" s="86">
        <f t="shared" si="61"/>
        <v>0</v>
      </c>
      <c r="X41" s="86">
        <f t="shared" si="61"/>
        <v>60500</v>
      </c>
      <c r="Y41" s="86">
        <f t="shared" si="61"/>
        <v>30250</v>
      </c>
      <c r="Z41" s="86">
        <f t="shared" si="61"/>
        <v>30250</v>
      </c>
      <c r="AA41" s="86">
        <f t="shared" si="61"/>
        <v>30250</v>
      </c>
      <c r="AB41" s="86">
        <f t="shared" si="61"/>
        <v>30250</v>
      </c>
      <c r="AC41" s="86">
        <f t="shared" si="61"/>
        <v>30250</v>
      </c>
      <c r="AD41" s="86">
        <f t="shared" si="61"/>
        <v>30250</v>
      </c>
      <c r="AE41" s="86">
        <f t="shared" si="61"/>
        <v>30250</v>
      </c>
      <c r="AF41" s="55">
        <f t="shared" si="4"/>
        <v>272250</v>
      </c>
    </row>
    <row r="42" spans="1:32" x14ac:dyDescent="0.2">
      <c r="A42" s="53" t="s">
        <v>180</v>
      </c>
      <c r="B42" s="45" t="s">
        <v>189</v>
      </c>
      <c r="C42" s="45" t="s">
        <v>168</v>
      </c>
      <c r="D42" s="69" t="s">
        <v>76</v>
      </c>
      <c r="E42" s="86">
        <f t="shared" si="60"/>
        <v>10083.333333333334</v>
      </c>
      <c r="F42" s="86">
        <f t="shared" si="1"/>
        <v>30250</v>
      </c>
      <c r="G42" s="59">
        <f t="shared" si="2"/>
        <v>0.16666666666666666</v>
      </c>
      <c r="H42" s="58">
        <f t="shared" ref="H42:AE42" si="62">SUMIFS(H54:H974,$C$54:$C$974,$B$42)</f>
        <v>0</v>
      </c>
      <c r="I42" s="58">
        <f t="shared" si="62"/>
        <v>0</v>
      </c>
      <c r="J42" s="58">
        <f t="shared" si="62"/>
        <v>0</v>
      </c>
      <c r="K42" s="58">
        <f t="shared" si="62"/>
        <v>0</v>
      </c>
      <c r="L42" s="58">
        <f t="shared" si="62"/>
        <v>1</v>
      </c>
      <c r="M42" s="58">
        <f t="shared" si="62"/>
        <v>1</v>
      </c>
      <c r="N42" s="58">
        <f t="shared" si="62"/>
        <v>0</v>
      </c>
      <c r="O42" s="58">
        <f t="shared" si="62"/>
        <v>0</v>
      </c>
      <c r="P42" s="58">
        <f t="shared" si="62"/>
        <v>0</v>
      </c>
      <c r="Q42" s="58">
        <f t="shared" si="62"/>
        <v>0</v>
      </c>
      <c r="R42" s="58">
        <f t="shared" si="62"/>
        <v>0</v>
      </c>
      <c r="S42" s="58">
        <f t="shared" si="62"/>
        <v>0</v>
      </c>
      <c r="T42" s="86">
        <f t="shared" si="62"/>
        <v>0</v>
      </c>
      <c r="U42" s="86">
        <f t="shared" si="62"/>
        <v>0</v>
      </c>
      <c r="V42" s="86">
        <f t="shared" si="62"/>
        <v>0</v>
      </c>
      <c r="W42" s="86">
        <f t="shared" si="62"/>
        <v>0</v>
      </c>
      <c r="X42" s="86">
        <f t="shared" si="62"/>
        <v>30250</v>
      </c>
      <c r="Y42" s="86">
        <f t="shared" si="62"/>
        <v>30250</v>
      </c>
      <c r="Z42" s="86">
        <f t="shared" si="62"/>
        <v>0</v>
      </c>
      <c r="AA42" s="86">
        <f t="shared" si="62"/>
        <v>0</v>
      </c>
      <c r="AB42" s="86">
        <f t="shared" si="62"/>
        <v>0</v>
      </c>
      <c r="AC42" s="86">
        <f t="shared" si="62"/>
        <v>0</v>
      </c>
      <c r="AD42" s="86">
        <f t="shared" si="62"/>
        <v>0</v>
      </c>
      <c r="AE42" s="86">
        <f t="shared" si="62"/>
        <v>0</v>
      </c>
      <c r="AF42" s="55">
        <f t="shared" si="4"/>
        <v>60500</v>
      </c>
    </row>
    <row r="43" spans="1:32" x14ac:dyDescent="0.2">
      <c r="A43" s="53" t="s">
        <v>180</v>
      </c>
      <c r="B43" s="45" t="s">
        <v>190</v>
      </c>
      <c r="C43" s="45" t="s">
        <v>168</v>
      </c>
      <c r="D43" s="69" t="s">
        <v>76</v>
      </c>
      <c r="E43" s="86">
        <v>5500</v>
      </c>
      <c r="F43" s="86">
        <f t="shared" si="1"/>
        <v>16500</v>
      </c>
      <c r="G43" s="59">
        <f t="shared" si="2"/>
        <v>0.33333333333333331</v>
      </c>
      <c r="H43" s="58">
        <f t="shared" ref="H43:AE43" si="63">SUMIFS(H54:H974,$C$54:$C$974,$B$43)</f>
        <v>0</v>
      </c>
      <c r="I43" s="58">
        <f t="shared" si="63"/>
        <v>0</v>
      </c>
      <c r="J43" s="58">
        <f t="shared" si="63"/>
        <v>0</v>
      </c>
      <c r="K43" s="58">
        <f t="shared" si="63"/>
        <v>1</v>
      </c>
      <c r="L43" s="58">
        <f t="shared" si="63"/>
        <v>1</v>
      </c>
      <c r="M43" s="58">
        <f t="shared" si="63"/>
        <v>1</v>
      </c>
      <c r="N43" s="58">
        <f t="shared" si="63"/>
        <v>0</v>
      </c>
      <c r="O43" s="58">
        <f t="shared" si="63"/>
        <v>0</v>
      </c>
      <c r="P43" s="58">
        <f t="shared" si="63"/>
        <v>0</v>
      </c>
      <c r="Q43" s="58">
        <f t="shared" si="63"/>
        <v>0</v>
      </c>
      <c r="R43" s="58">
        <f t="shared" si="63"/>
        <v>0</v>
      </c>
      <c r="S43" s="58">
        <f t="shared" si="63"/>
        <v>1</v>
      </c>
      <c r="T43" s="86">
        <f t="shared" si="63"/>
        <v>0</v>
      </c>
      <c r="U43" s="86">
        <f t="shared" si="63"/>
        <v>0</v>
      </c>
      <c r="V43" s="86">
        <f t="shared" si="63"/>
        <v>0</v>
      </c>
      <c r="W43" s="86">
        <f t="shared" si="63"/>
        <v>16500</v>
      </c>
      <c r="X43" s="86">
        <f t="shared" si="63"/>
        <v>16500</v>
      </c>
      <c r="Y43" s="86">
        <f t="shared" si="63"/>
        <v>16500</v>
      </c>
      <c r="Z43" s="86">
        <f t="shared" si="63"/>
        <v>0</v>
      </c>
      <c r="AA43" s="86">
        <f t="shared" si="63"/>
        <v>0</v>
      </c>
      <c r="AB43" s="86">
        <f t="shared" si="63"/>
        <v>0</v>
      </c>
      <c r="AC43" s="86">
        <f t="shared" si="63"/>
        <v>0</v>
      </c>
      <c r="AD43" s="86">
        <f t="shared" si="63"/>
        <v>0</v>
      </c>
      <c r="AE43" s="86">
        <f t="shared" si="63"/>
        <v>16500</v>
      </c>
      <c r="AF43" s="55">
        <f t="shared" si="4"/>
        <v>66000</v>
      </c>
    </row>
    <row r="44" spans="1:32" x14ac:dyDescent="0.2">
      <c r="A44" s="53" t="s">
        <v>180</v>
      </c>
      <c r="B44" s="45" t="s">
        <v>191</v>
      </c>
      <c r="C44" s="45" t="s">
        <v>168</v>
      </c>
      <c r="D44" s="69" t="s">
        <v>76</v>
      </c>
      <c r="E44" s="86">
        <v>5500</v>
      </c>
      <c r="F44" s="86">
        <f t="shared" si="1"/>
        <v>16500</v>
      </c>
      <c r="G44" s="59">
        <f t="shared" si="2"/>
        <v>0.16666666666666666</v>
      </c>
      <c r="H44" s="58">
        <f t="shared" ref="H44:AE44" si="64">SUMIFS(H54:H974,$C$54:$C$974,$B$44)</f>
        <v>0</v>
      </c>
      <c r="I44" s="58">
        <f t="shared" si="64"/>
        <v>0</v>
      </c>
      <c r="J44" s="58">
        <f t="shared" si="64"/>
        <v>0</v>
      </c>
      <c r="K44" s="58">
        <f t="shared" si="64"/>
        <v>0</v>
      </c>
      <c r="L44" s="58">
        <f t="shared" si="64"/>
        <v>1</v>
      </c>
      <c r="M44" s="58">
        <f t="shared" si="64"/>
        <v>1</v>
      </c>
      <c r="N44" s="58">
        <f t="shared" si="64"/>
        <v>0</v>
      </c>
      <c r="O44" s="58">
        <f t="shared" si="64"/>
        <v>0</v>
      </c>
      <c r="P44" s="58">
        <f t="shared" si="64"/>
        <v>0</v>
      </c>
      <c r="Q44" s="58">
        <f t="shared" si="64"/>
        <v>0</v>
      </c>
      <c r="R44" s="58">
        <f t="shared" si="64"/>
        <v>0</v>
      </c>
      <c r="S44" s="58">
        <f t="shared" si="64"/>
        <v>0</v>
      </c>
      <c r="T44" s="86">
        <f t="shared" si="64"/>
        <v>0</v>
      </c>
      <c r="U44" s="86">
        <f t="shared" si="64"/>
        <v>0</v>
      </c>
      <c r="V44" s="86">
        <f t="shared" si="64"/>
        <v>0</v>
      </c>
      <c r="W44" s="86">
        <f t="shared" si="64"/>
        <v>0</v>
      </c>
      <c r="X44" s="86">
        <f t="shared" si="64"/>
        <v>16500</v>
      </c>
      <c r="Y44" s="86">
        <f t="shared" si="64"/>
        <v>16500</v>
      </c>
      <c r="Z44" s="86">
        <f t="shared" si="64"/>
        <v>0</v>
      </c>
      <c r="AA44" s="86">
        <f t="shared" si="64"/>
        <v>0</v>
      </c>
      <c r="AB44" s="86">
        <f t="shared" si="64"/>
        <v>0</v>
      </c>
      <c r="AC44" s="86">
        <f t="shared" si="64"/>
        <v>0</v>
      </c>
      <c r="AD44" s="86">
        <f t="shared" si="64"/>
        <v>0</v>
      </c>
      <c r="AE44" s="86">
        <f t="shared" si="64"/>
        <v>0</v>
      </c>
      <c r="AF44" s="55">
        <f t="shared" si="4"/>
        <v>33000</v>
      </c>
    </row>
    <row r="45" spans="1:32" x14ac:dyDescent="0.2">
      <c r="A45" s="53" t="s">
        <v>180</v>
      </c>
      <c r="B45" s="45" t="s">
        <v>192</v>
      </c>
      <c r="C45" s="45" t="s">
        <v>168</v>
      </c>
      <c r="D45" s="69" t="s">
        <v>76</v>
      </c>
      <c r="E45" s="86">
        <v>5500</v>
      </c>
      <c r="F45" s="86">
        <f t="shared" si="1"/>
        <v>16500</v>
      </c>
      <c r="G45" s="59">
        <f t="shared" si="2"/>
        <v>0</v>
      </c>
      <c r="H45" s="58">
        <f t="shared" ref="H45:AE45" si="65">SUMIFS(H54:H974,$C$54:$C$974,$B$45)</f>
        <v>0</v>
      </c>
      <c r="I45" s="58">
        <f t="shared" si="65"/>
        <v>0</v>
      </c>
      <c r="J45" s="58">
        <f t="shared" si="65"/>
        <v>0</v>
      </c>
      <c r="K45" s="58">
        <f t="shared" si="65"/>
        <v>0</v>
      </c>
      <c r="L45" s="58">
        <f t="shared" si="65"/>
        <v>0</v>
      </c>
      <c r="M45" s="58">
        <f t="shared" si="65"/>
        <v>0</v>
      </c>
      <c r="N45" s="58">
        <f t="shared" si="65"/>
        <v>0</v>
      </c>
      <c r="O45" s="58">
        <f t="shared" si="65"/>
        <v>0</v>
      </c>
      <c r="P45" s="58">
        <f t="shared" si="65"/>
        <v>0</v>
      </c>
      <c r="Q45" s="58">
        <f t="shared" si="65"/>
        <v>0</v>
      </c>
      <c r="R45" s="58">
        <f t="shared" si="65"/>
        <v>0</v>
      </c>
      <c r="S45" s="58">
        <f t="shared" si="65"/>
        <v>0</v>
      </c>
      <c r="T45" s="86">
        <f t="shared" si="65"/>
        <v>0</v>
      </c>
      <c r="U45" s="86">
        <f t="shared" si="65"/>
        <v>0</v>
      </c>
      <c r="V45" s="86">
        <f t="shared" si="65"/>
        <v>0</v>
      </c>
      <c r="W45" s="86">
        <f t="shared" si="65"/>
        <v>0</v>
      </c>
      <c r="X45" s="86">
        <f t="shared" si="65"/>
        <v>0</v>
      </c>
      <c r="Y45" s="86">
        <f t="shared" si="65"/>
        <v>0</v>
      </c>
      <c r="Z45" s="86">
        <f t="shared" si="65"/>
        <v>0</v>
      </c>
      <c r="AA45" s="86">
        <f t="shared" si="65"/>
        <v>0</v>
      </c>
      <c r="AB45" s="86">
        <f t="shared" si="65"/>
        <v>0</v>
      </c>
      <c r="AC45" s="86">
        <f t="shared" si="65"/>
        <v>0</v>
      </c>
      <c r="AD45" s="86">
        <f t="shared" si="65"/>
        <v>0</v>
      </c>
      <c r="AE45" s="86">
        <f t="shared" si="65"/>
        <v>0</v>
      </c>
      <c r="AF45" s="55">
        <f t="shared" si="4"/>
        <v>0</v>
      </c>
    </row>
    <row r="46" spans="1:32" x14ac:dyDescent="0.2">
      <c r="A46" s="53" t="s">
        <v>180</v>
      </c>
      <c r="B46" s="45" t="s">
        <v>259</v>
      </c>
      <c r="C46" s="45" t="s">
        <v>168</v>
      </c>
      <c r="D46" s="69" t="s">
        <v>76</v>
      </c>
      <c r="E46" s="86">
        <f t="shared" ref="E46:E47" si="66">550*220/12</f>
        <v>10083.333333333334</v>
      </c>
      <c r="F46" s="86">
        <f t="shared" si="1"/>
        <v>30250</v>
      </c>
      <c r="G46" s="59">
        <f t="shared" si="2"/>
        <v>0.66666666666666663</v>
      </c>
      <c r="H46" s="58">
        <f t="shared" ref="H46:AE46" si="67">SUMIFS(H54:H974,$C$54:$C$974,$B$46)</f>
        <v>0</v>
      </c>
      <c r="I46" s="58">
        <f t="shared" si="67"/>
        <v>0</v>
      </c>
      <c r="J46" s="58">
        <f t="shared" si="67"/>
        <v>0</v>
      </c>
      <c r="K46" s="58">
        <f t="shared" si="67"/>
        <v>0</v>
      </c>
      <c r="L46" s="58">
        <f t="shared" si="67"/>
        <v>1</v>
      </c>
      <c r="M46" s="58">
        <f t="shared" si="67"/>
        <v>1</v>
      </c>
      <c r="N46" s="58">
        <f t="shared" si="67"/>
        <v>1</v>
      </c>
      <c r="O46" s="58">
        <f t="shared" si="67"/>
        <v>1</v>
      </c>
      <c r="P46" s="58">
        <f t="shared" si="67"/>
        <v>1</v>
      </c>
      <c r="Q46" s="58">
        <f t="shared" si="67"/>
        <v>1</v>
      </c>
      <c r="R46" s="58">
        <f t="shared" si="67"/>
        <v>1</v>
      </c>
      <c r="S46" s="58">
        <f t="shared" si="67"/>
        <v>1</v>
      </c>
      <c r="T46" s="86">
        <f t="shared" si="67"/>
        <v>0</v>
      </c>
      <c r="U46" s="86">
        <f t="shared" si="67"/>
        <v>0</v>
      </c>
      <c r="V46" s="86">
        <f t="shared" si="67"/>
        <v>0</v>
      </c>
      <c r="W46" s="86">
        <f t="shared" si="67"/>
        <v>0</v>
      </c>
      <c r="X46" s="86">
        <f t="shared" si="67"/>
        <v>30250</v>
      </c>
      <c r="Y46" s="86">
        <f t="shared" si="67"/>
        <v>30250</v>
      </c>
      <c r="Z46" s="86">
        <f t="shared" si="67"/>
        <v>30250</v>
      </c>
      <c r="AA46" s="86">
        <f t="shared" si="67"/>
        <v>30250</v>
      </c>
      <c r="AB46" s="86">
        <f t="shared" si="67"/>
        <v>30250</v>
      </c>
      <c r="AC46" s="86">
        <f t="shared" si="67"/>
        <v>30250</v>
      </c>
      <c r="AD46" s="86">
        <f t="shared" si="67"/>
        <v>30250</v>
      </c>
      <c r="AE46" s="86">
        <f t="shared" si="67"/>
        <v>30250</v>
      </c>
      <c r="AF46" s="55">
        <f t="shared" si="4"/>
        <v>242000</v>
      </c>
    </row>
    <row r="47" spans="1:32" x14ac:dyDescent="0.2">
      <c r="A47" s="53" t="s">
        <v>180</v>
      </c>
      <c r="B47" s="45" t="s">
        <v>260</v>
      </c>
      <c r="C47" s="45" t="s">
        <v>168</v>
      </c>
      <c r="D47" s="69" t="s">
        <v>76</v>
      </c>
      <c r="E47" s="86">
        <f t="shared" si="66"/>
        <v>10083.333333333334</v>
      </c>
      <c r="F47" s="86">
        <f t="shared" ref="F47" si="68">E47*3</f>
        <v>30250</v>
      </c>
      <c r="G47" s="59">
        <f t="shared" ref="G47" si="69">AVERAGE(H47:S47)</f>
        <v>0.5</v>
      </c>
      <c r="H47" s="58">
        <f>SUMIFS(H54:H974,$C$54:$C$974,$B$47)</f>
        <v>0</v>
      </c>
      <c r="I47" s="58">
        <f t="shared" ref="I47:AE47" si="70">SUMIFS(I54:I974,$C$54:$C$974,$B$47)</f>
        <v>0</v>
      </c>
      <c r="J47" s="58">
        <f t="shared" si="70"/>
        <v>0</v>
      </c>
      <c r="K47" s="58">
        <f t="shared" si="70"/>
        <v>0</v>
      </c>
      <c r="L47" s="58">
        <f t="shared" si="70"/>
        <v>0</v>
      </c>
      <c r="M47" s="58">
        <f t="shared" si="70"/>
        <v>0</v>
      </c>
      <c r="N47" s="58">
        <f t="shared" si="70"/>
        <v>1</v>
      </c>
      <c r="O47" s="58">
        <f t="shared" si="70"/>
        <v>1</v>
      </c>
      <c r="P47" s="58">
        <f t="shared" si="70"/>
        <v>1</v>
      </c>
      <c r="Q47" s="58">
        <f t="shared" si="70"/>
        <v>1</v>
      </c>
      <c r="R47" s="58">
        <f t="shared" si="70"/>
        <v>1</v>
      </c>
      <c r="S47" s="58">
        <f t="shared" si="70"/>
        <v>1</v>
      </c>
      <c r="T47" s="86">
        <f t="shared" si="70"/>
        <v>0</v>
      </c>
      <c r="U47" s="86">
        <f t="shared" si="70"/>
        <v>0</v>
      </c>
      <c r="V47" s="86">
        <f t="shared" si="70"/>
        <v>0</v>
      </c>
      <c r="W47" s="86">
        <f t="shared" si="70"/>
        <v>0</v>
      </c>
      <c r="X47" s="86">
        <f t="shared" si="70"/>
        <v>0</v>
      </c>
      <c r="Y47" s="86">
        <f t="shared" si="70"/>
        <v>0</v>
      </c>
      <c r="Z47" s="86">
        <f t="shared" si="70"/>
        <v>30250</v>
      </c>
      <c r="AA47" s="86">
        <f t="shared" si="70"/>
        <v>30250</v>
      </c>
      <c r="AB47" s="86">
        <f t="shared" si="70"/>
        <v>30250</v>
      </c>
      <c r="AC47" s="86">
        <f t="shared" si="70"/>
        <v>30250</v>
      </c>
      <c r="AD47" s="86">
        <f t="shared" si="70"/>
        <v>30250</v>
      </c>
      <c r="AE47" s="86">
        <f t="shared" si="70"/>
        <v>30250</v>
      </c>
      <c r="AF47" s="55">
        <f t="shared" si="4"/>
        <v>181500</v>
      </c>
    </row>
    <row r="48" spans="1:32" x14ac:dyDescent="0.2">
      <c r="A48" s="53" t="s">
        <v>180</v>
      </c>
      <c r="B48" s="45" t="s">
        <v>200</v>
      </c>
      <c r="C48" s="45"/>
      <c r="D48" s="69" t="s">
        <v>69</v>
      </c>
      <c r="E48" s="86">
        <f>75000/3</f>
        <v>25000</v>
      </c>
      <c r="F48" s="86">
        <f t="shared" si="1"/>
        <v>75000</v>
      </c>
      <c r="G48" s="59">
        <f t="shared" si="2"/>
        <v>0.6000000000000002</v>
      </c>
      <c r="H48" s="58">
        <f t="shared" ref="H48:AE48" si="71">SUMIFS(H54:H974,$C$54:$C$974,$B$48)</f>
        <v>1</v>
      </c>
      <c r="I48" s="58">
        <f t="shared" si="71"/>
        <v>1</v>
      </c>
      <c r="J48" s="58">
        <f t="shared" si="71"/>
        <v>1</v>
      </c>
      <c r="K48" s="58">
        <f t="shared" si="71"/>
        <v>1</v>
      </c>
      <c r="L48" s="58">
        <f t="shared" si="71"/>
        <v>0.4</v>
      </c>
      <c r="M48" s="58">
        <f t="shared" si="71"/>
        <v>0.4</v>
      </c>
      <c r="N48" s="58">
        <f t="shared" si="71"/>
        <v>0.4</v>
      </c>
      <c r="O48" s="58">
        <f t="shared" si="71"/>
        <v>0.4</v>
      </c>
      <c r="P48" s="58">
        <f t="shared" si="71"/>
        <v>0.4</v>
      </c>
      <c r="Q48" s="58">
        <f t="shared" si="71"/>
        <v>0.4</v>
      </c>
      <c r="R48" s="58">
        <f t="shared" si="71"/>
        <v>0.4</v>
      </c>
      <c r="S48" s="58">
        <f t="shared" si="71"/>
        <v>0.4</v>
      </c>
      <c r="T48" s="86">
        <f t="shared" si="71"/>
        <v>75000</v>
      </c>
      <c r="U48" s="86">
        <f t="shared" si="71"/>
        <v>75000</v>
      </c>
      <c r="V48" s="86">
        <f t="shared" si="71"/>
        <v>75000</v>
      </c>
      <c r="W48" s="86">
        <f t="shared" si="71"/>
        <v>75000</v>
      </c>
      <c r="X48" s="86">
        <f t="shared" si="71"/>
        <v>30000</v>
      </c>
      <c r="Y48" s="86">
        <f t="shared" si="71"/>
        <v>30000</v>
      </c>
      <c r="Z48" s="86">
        <f t="shared" si="71"/>
        <v>30000</v>
      </c>
      <c r="AA48" s="86">
        <f t="shared" si="71"/>
        <v>30000</v>
      </c>
      <c r="AB48" s="86">
        <f t="shared" si="71"/>
        <v>30000</v>
      </c>
      <c r="AC48" s="86">
        <f t="shared" si="71"/>
        <v>30000</v>
      </c>
      <c r="AD48" s="86">
        <f t="shared" si="71"/>
        <v>30000</v>
      </c>
      <c r="AE48" s="86">
        <f t="shared" si="71"/>
        <v>30000</v>
      </c>
      <c r="AF48" s="55">
        <f t="shared" si="4"/>
        <v>540000</v>
      </c>
    </row>
    <row r="49" spans="1:33" x14ac:dyDescent="0.2">
      <c r="A49" s="53" t="s">
        <v>196</v>
      </c>
      <c r="B49" s="45" t="s">
        <v>197</v>
      </c>
      <c r="C49" s="45" t="s">
        <v>168</v>
      </c>
      <c r="D49" s="69" t="s">
        <v>198</v>
      </c>
      <c r="E49" s="86">
        <f>44000/12</f>
        <v>3666.6666666666665</v>
      </c>
      <c r="F49" s="86">
        <f t="shared" si="1"/>
        <v>11000</v>
      </c>
      <c r="G49" s="59">
        <f t="shared" si="2"/>
        <v>0.41666666666666669</v>
      </c>
      <c r="H49" s="58">
        <f t="shared" ref="H49:AE49" si="72">SUMIFS(H54:H974,$C$54:$C$974,$B$49)</f>
        <v>0</v>
      </c>
      <c r="I49" s="58">
        <f t="shared" si="72"/>
        <v>0.25</v>
      </c>
      <c r="J49" s="58">
        <f t="shared" si="72"/>
        <v>0.25</v>
      </c>
      <c r="K49" s="58">
        <f t="shared" si="72"/>
        <v>0.5</v>
      </c>
      <c r="L49" s="58">
        <f t="shared" si="72"/>
        <v>0.5</v>
      </c>
      <c r="M49" s="58">
        <f t="shared" si="72"/>
        <v>0.5</v>
      </c>
      <c r="N49" s="58">
        <f t="shared" si="72"/>
        <v>0.5</v>
      </c>
      <c r="O49" s="58">
        <f t="shared" si="72"/>
        <v>0.5</v>
      </c>
      <c r="P49" s="58">
        <f t="shared" si="72"/>
        <v>0.5</v>
      </c>
      <c r="Q49" s="58">
        <f t="shared" si="72"/>
        <v>0.5</v>
      </c>
      <c r="R49" s="58">
        <f t="shared" si="72"/>
        <v>0.5</v>
      </c>
      <c r="S49" s="58">
        <f t="shared" si="72"/>
        <v>0.5</v>
      </c>
      <c r="T49" s="86">
        <f t="shared" si="72"/>
        <v>0</v>
      </c>
      <c r="U49" s="86">
        <f t="shared" si="72"/>
        <v>2750</v>
      </c>
      <c r="V49" s="86">
        <f t="shared" si="72"/>
        <v>2750</v>
      </c>
      <c r="W49" s="86">
        <f t="shared" si="72"/>
        <v>5500</v>
      </c>
      <c r="X49" s="86">
        <f t="shared" si="72"/>
        <v>5500</v>
      </c>
      <c r="Y49" s="86">
        <f t="shared" si="72"/>
        <v>5500</v>
      </c>
      <c r="Z49" s="86">
        <f t="shared" si="72"/>
        <v>5500</v>
      </c>
      <c r="AA49" s="86">
        <f t="shared" si="72"/>
        <v>5500</v>
      </c>
      <c r="AB49" s="86">
        <f t="shared" si="72"/>
        <v>5500</v>
      </c>
      <c r="AC49" s="86">
        <f t="shared" si="72"/>
        <v>5500</v>
      </c>
      <c r="AD49" s="86">
        <f t="shared" si="72"/>
        <v>5500</v>
      </c>
      <c r="AE49" s="86">
        <f t="shared" si="72"/>
        <v>5500</v>
      </c>
      <c r="AF49" s="55">
        <f t="shared" si="4"/>
        <v>55000</v>
      </c>
    </row>
    <row r="50" spans="1:33" x14ac:dyDescent="0.2">
      <c r="A50" s="53"/>
      <c r="B50" s="45"/>
      <c r="C50" s="45"/>
      <c r="D50" s="69"/>
      <c r="E50" s="86"/>
      <c r="F50" s="86"/>
      <c r="G50" s="59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55"/>
    </row>
    <row r="51" spans="1:33" ht="16" thickBot="1" x14ac:dyDescent="0.25">
      <c r="A51" s="66" t="s">
        <v>28</v>
      </c>
      <c r="B51" s="67"/>
      <c r="C51" s="67"/>
      <c r="D51" s="70"/>
      <c r="E51" s="146"/>
      <c r="F51" s="73"/>
      <c r="G51" s="70"/>
      <c r="H51" s="74">
        <f t="shared" ref="H51:AF51" si="73">SUM(H3:H50)</f>
        <v>14.849999999999998</v>
      </c>
      <c r="I51" s="74">
        <f t="shared" si="73"/>
        <v>19.7</v>
      </c>
      <c r="J51" s="74">
        <f t="shared" si="73"/>
        <v>20.700000000000003</v>
      </c>
      <c r="K51" s="74">
        <f t="shared" si="73"/>
        <v>25.950000000000003</v>
      </c>
      <c r="L51" s="74">
        <f t="shared" si="73"/>
        <v>30.4</v>
      </c>
      <c r="M51" s="74">
        <f t="shared" si="73"/>
        <v>29.4</v>
      </c>
      <c r="N51" s="74">
        <f t="shared" si="73"/>
        <v>29.4</v>
      </c>
      <c r="O51" s="74">
        <f t="shared" si="73"/>
        <v>32.4</v>
      </c>
      <c r="P51" s="74">
        <f t="shared" si="73"/>
        <v>34.4</v>
      </c>
      <c r="Q51" s="74">
        <f t="shared" si="73"/>
        <v>35.4</v>
      </c>
      <c r="R51" s="74">
        <f t="shared" si="73"/>
        <v>35.4</v>
      </c>
      <c r="S51" s="74">
        <f t="shared" si="73"/>
        <v>37.4</v>
      </c>
      <c r="T51" s="153">
        <f t="shared" si="73"/>
        <v>411499.83680000005</v>
      </c>
      <c r="U51" s="153">
        <f t="shared" si="73"/>
        <v>598374.83680000005</v>
      </c>
      <c r="V51" s="153">
        <f t="shared" si="73"/>
        <v>624474.83679999993</v>
      </c>
      <c r="W51" s="153">
        <f t="shared" si="73"/>
        <v>779324.83679999982</v>
      </c>
      <c r="X51" s="153">
        <f t="shared" si="73"/>
        <v>873724.83679999982</v>
      </c>
      <c r="Y51" s="153">
        <f t="shared" si="73"/>
        <v>843474.83679999982</v>
      </c>
      <c r="Z51" s="153">
        <f t="shared" si="73"/>
        <v>870224.83679999982</v>
      </c>
      <c r="AA51" s="153">
        <f t="shared" si="73"/>
        <v>927974.83679999982</v>
      </c>
      <c r="AB51" s="153">
        <f t="shared" si="73"/>
        <v>955724.83679999982</v>
      </c>
      <c r="AC51" s="153">
        <f t="shared" si="73"/>
        <v>1000824.8367999998</v>
      </c>
      <c r="AD51" s="153">
        <f t="shared" si="73"/>
        <v>1000824.8367999998</v>
      </c>
      <c r="AE51" s="153">
        <f t="shared" si="73"/>
        <v>1047574.8367999998</v>
      </c>
      <c r="AF51" s="153">
        <f t="shared" si="73"/>
        <v>9934023.0416000001</v>
      </c>
    </row>
    <row r="52" spans="1:33" ht="16" thickBot="1" x14ac:dyDescent="0.25"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AE52" s="76" t="s">
        <v>83</v>
      </c>
      <c r="AF52" s="76">
        <f>AF51-SUM(AF54:AF1048576)</f>
        <v>0</v>
      </c>
    </row>
    <row r="53" spans="1:33" ht="33" thickBot="1" x14ac:dyDescent="0.25">
      <c r="A53" s="47" t="s">
        <v>43</v>
      </c>
      <c r="B53" s="57" t="s">
        <v>72</v>
      </c>
      <c r="C53" s="47" t="s">
        <v>42</v>
      </c>
      <c r="D53" s="47" t="s">
        <v>54</v>
      </c>
      <c r="E53" s="68" t="s">
        <v>70</v>
      </c>
      <c r="F53" s="75" t="s">
        <v>84</v>
      </c>
      <c r="G53" s="72" t="s">
        <v>174</v>
      </c>
      <c r="H53" s="144" t="s">
        <v>116</v>
      </c>
      <c r="I53" s="144" t="s">
        <v>117</v>
      </c>
      <c r="J53" s="144" t="s">
        <v>118</v>
      </c>
      <c r="K53" s="144" t="s">
        <v>119</v>
      </c>
      <c r="L53" s="144" t="s">
        <v>120</v>
      </c>
      <c r="M53" s="144" t="s">
        <v>121</v>
      </c>
      <c r="N53" s="144" t="s">
        <v>123</v>
      </c>
      <c r="O53" s="144" t="s">
        <v>124</v>
      </c>
      <c r="P53" s="144" t="s">
        <v>125</v>
      </c>
      <c r="Q53" s="144" t="s">
        <v>126</v>
      </c>
      <c r="R53" s="144" t="s">
        <v>122</v>
      </c>
      <c r="S53" s="144" t="s">
        <v>135</v>
      </c>
      <c r="T53" s="144" t="s">
        <v>116</v>
      </c>
      <c r="U53" s="144" t="s">
        <v>117</v>
      </c>
      <c r="V53" s="144" t="s">
        <v>118</v>
      </c>
      <c r="W53" s="144" t="s">
        <v>119</v>
      </c>
      <c r="X53" s="144" t="s">
        <v>120</v>
      </c>
      <c r="Y53" s="144" t="s">
        <v>121</v>
      </c>
      <c r="Z53" s="144" t="s">
        <v>123</v>
      </c>
      <c r="AA53" s="144" t="s">
        <v>136</v>
      </c>
      <c r="AB53" s="144" t="s">
        <v>125</v>
      </c>
      <c r="AC53" s="144" t="s">
        <v>126</v>
      </c>
      <c r="AD53" s="144" t="s">
        <v>122</v>
      </c>
      <c r="AE53" s="144" t="s">
        <v>135</v>
      </c>
      <c r="AF53" s="145" t="s">
        <v>55</v>
      </c>
    </row>
    <row r="54" spans="1:33" ht="16" thickBot="1" x14ac:dyDescent="0.25">
      <c r="A54" s="148" t="s">
        <v>163</v>
      </c>
      <c r="B54" s="91" t="s">
        <v>177</v>
      </c>
      <c r="C54" s="92" t="s">
        <v>172</v>
      </c>
      <c r="D54" s="92" t="s">
        <v>168</v>
      </c>
      <c r="E54" s="94" t="s">
        <v>76</v>
      </c>
      <c r="F54" s="95"/>
      <c r="G54" s="142">
        <f>AVERAGE(H54:S54)</f>
        <v>0</v>
      </c>
      <c r="H54" s="93">
        <v>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0">
        <f t="shared" ref="T54:AE54" si="74">$F$8*H54</f>
        <v>0</v>
      </c>
      <c r="U54" s="90">
        <f t="shared" si="74"/>
        <v>0</v>
      </c>
      <c r="V54" s="90">
        <f t="shared" si="74"/>
        <v>0</v>
      </c>
      <c r="W54" s="90">
        <f t="shared" si="74"/>
        <v>0</v>
      </c>
      <c r="X54" s="90">
        <f t="shared" si="74"/>
        <v>0</v>
      </c>
      <c r="Y54" s="90">
        <f t="shared" si="74"/>
        <v>0</v>
      </c>
      <c r="Z54" s="90">
        <f t="shared" si="74"/>
        <v>0</v>
      </c>
      <c r="AA54" s="90">
        <f t="shared" si="74"/>
        <v>0</v>
      </c>
      <c r="AB54" s="90">
        <f t="shared" si="74"/>
        <v>0</v>
      </c>
      <c r="AC54" s="90">
        <f t="shared" si="74"/>
        <v>0</v>
      </c>
      <c r="AD54" s="90">
        <f t="shared" si="74"/>
        <v>0</v>
      </c>
      <c r="AE54" s="90">
        <f t="shared" si="74"/>
        <v>0</v>
      </c>
      <c r="AF54" s="54">
        <f>SUM(T54:AE54)</f>
        <v>0</v>
      </c>
      <c r="AG54" s="2"/>
    </row>
    <row r="55" spans="1:33" ht="16" thickBot="1" x14ac:dyDescent="0.25">
      <c r="A55" s="148" t="s">
        <v>163</v>
      </c>
      <c r="B55" s="91" t="s">
        <v>177</v>
      </c>
      <c r="C55" s="92" t="s">
        <v>173</v>
      </c>
      <c r="D55" s="92" t="s">
        <v>168</v>
      </c>
      <c r="E55" s="94" t="s">
        <v>76</v>
      </c>
      <c r="F55" s="95"/>
      <c r="G55" s="142">
        <f t="shared" ref="G55:G116" si="75">AVERAGE(H55:S55)</f>
        <v>0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0">
        <f t="shared" ref="T55:AE55" si="76">$F$9*H55</f>
        <v>0</v>
      </c>
      <c r="U55" s="90">
        <f t="shared" si="76"/>
        <v>0</v>
      </c>
      <c r="V55" s="90">
        <f t="shared" si="76"/>
        <v>0</v>
      </c>
      <c r="W55" s="90">
        <f t="shared" si="76"/>
        <v>0</v>
      </c>
      <c r="X55" s="90">
        <f t="shared" si="76"/>
        <v>0</v>
      </c>
      <c r="Y55" s="90">
        <f t="shared" si="76"/>
        <v>0</v>
      </c>
      <c r="Z55" s="90">
        <f t="shared" si="76"/>
        <v>0</v>
      </c>
      <c r="AA55" s="90">
        <f t="shared" si="76"/>
        <v>0</v>
      </c>
      <c r="AB55" s="90">
        <f t="shared" si="76"/>
        <v>0</v>
      </c>
      <c r="AC55" s="90">
        <f t="shared" si="76"/>
        <v>0</v>
      </c>
      <c r="AD55" s="90">
        <f t="shared" si="76"/>
        <v>0</v>
      </c>
      <c r="AE55" s="90">
        <f t="shared" si="76"/>
        <v>0</v>
      </c>
      <c r="AF55" s="54">
        <f t="shared" ref="AF55:AF116" si="77">SUM(T55:AE55)</f>
        <v>0</v>
      </c>
      <c r="AG55" s="2"/>
    </row>
    <row r="56" spans="1:33" ht="16" thickBot="1" x14ac:dyDescent="0.25">
      <c r="A56" s="148" t="s">
        <v>163</v>
      </c>
      <c r="B56" s="91" t="s">
        <v>177</v>
      </c>
      <c r="C56" s="92" t="s">
        <v>171</v>
      </c>
      <c r="D56" s="92" t="s">
        <v>168</v>
      </c>
      <c r="E56" s="94" t="s">
        <v>76</v>
      </c>
      <c r="F56" s="95"/>
      <c r="G56" s="142">
        <f t="shared" si="75"/>
        <v>0</v>
      </c>
      <c r="H56" s="93">
        <v>0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0">
        <f t="shared" ref="T56:AE56" si="78">$F$10*H56</f>
        <v>0</v>
      </c>
      <c r="U56" s="90">
        <f t="shared" si="78"/>
        <v>0</v>
      </c>
      <c r="V56" s="90">
        <f t="shared" si="78"/>
        <v>0</v>
      </c>
      <c r="W56" s="90">
        <f t="shared" si="78"/>
        <v>0</v>
      </c>
      <c r="X56" s="90">
        <f t="shared" si="78"/>
        <v>0</v>
      </c>
      <c r="Y56" s="90">
        <f t="shared" si="78"/>
        <v>0</v>
      </c>
      <c r="Z56" s="90">
        <f t="shared" si="78"/>
        <v>0</v>
      </c>
      <c r="AA56" s="90">
        <f t="shared" si="78"/>
        <v>0</v>
      </c>
      <c r="AB56" s="90">
        <f t="shared" si="78"/>
        <v>0</v>
      </c>
      <c r="AC56" s="90">
        <f t="shared" si="78"/>
        <v>0</v>
      </c>
      <c r="AD56" s="90">
        <f t="shared" si="78"/>
        <v>0</v>
      </c>
      <c r="AE56" s="90">
        <f t="shared" si="78"/>
        <v>0</v>
      </c>
      <c r="AF56" s="54">
        <f t="shared" si="77"/>
        <v>0</v>
      </c>
      <c r="AG56" s="2"/>
    </row>
    <row r="57" spans="1:33" ht="16" thickBot="1" x14ac:dyDescent="0.25">
      <c r="A57" s="148" t="s">
        <v>196</v>
      </c>
      <c r="B57" s="91" t="s">
        <v>177</v>
      </c>
      <c r="C57" s="92" t="s">
        <v>197</v>
      </c>
      <c r="D57" s="92" t="s">
        <v>168</v>
      </c>
      <c r="E57" s="94" t="s">
        <v>198</v>
      </c>
      <c r="F57" s="95"/>
      <c r="G57" s="142">
        <f t="shared" si="75"/>
        <v>0</v>
      </c>
      <c r="H57" s="93">
        <v>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0">
        <f t="shared" ref="T57:AE57" si="79">H57*$F$49</f>
        <v>0</v>
      </c>
      <c r="U57" s="90">
        <f t="shared" si="79"/>
        <v>0</v>
      </c>
      <c r="V57" s="90">
        <f t="shared" si="79"/>
        <v>0</v>
      </c>
      <c r="W57" s="90">
        <f t="shared" si="79"/>
        <v>0</v>
      </c>
      <c r="X57" s="90">
        <f t="shared" si="79"/>
        <v>0</v>
      </c>
      <c r="Y57" s="90">
        <f t="shared" si="79"/>
        <v>0</v>
      </c>
      <c r="Z57" s="90">
        <f t="shared" si="79"/>
        <v>0</v>
      </c>
      <c r="AA57" s="90">
        <f t="shared" si="79"/>
        <v>0</v>
      </c>
      <c r="AB57" s="90">
        <f t="shared" si="79"/>
        <v>0</v>
      </c>
      <c r="AC57" s="90">
        <f t="shared" si="79"/>
        <v>0</v>
      </c>
      <c r="AD57" s="90">
        <f t="shared" si="79"/>
        <v>0</v>
      </c>
      <c r="AE57" s="90">
        <f t="shared" si="79"/>
        <v>0</v>
      </c>
      <c r="AF57" s="54">
        <f t="shared" si="77"/>
        <v>0</v>
      </c>
      <c r="AG57" s="2"/>
    </row>
    <row r="58" spans="1:33" ht="16" thickBot="1" x14ac:dyDescent="0.25">
      <c r="A58" s="148" t="s">
        <v>163</v>
      </c>
      <c r="B58" s="91" t="s">
        <v>177</v>
      </c>
      <c r="C58" s="92" t="s">
        <v>169</v>
      </c>
      <c r="D58" s="92" t="s">
        <v>168</v>
      </c>
      <c r="E58" s="94" t="s">
        <v>76</v>
      </c>
      <c r="F58" s="95"/>
      <c r="G58" s="142">
        <f t="shared" si="75"/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0">
        <f t="shared" ref="T58:AE58" si="80">H58*$F$6</f>
        <v>0</v>
      </c>
      <c r="U58" s="90">
        <f t="shared" si="80"/>
        <v>0</v>
      </c>
      <c r="V58" s="90">
        <f t="shared" si="80"/>
        <v>0</v>
      </c>
      <c r="W58" s="90">
        <f t="shared" si="80"/>
        <v>0</v>
      </c>
      <c r="X58" s="90">
        <f t="shared" si="80"/>
        <v>0</v>
      </c>
      <c r="Y58" s="90">
        <f t="shared" si="80"/>
        <v>0</v>
      </c>
      <c r="Z58" s="90">
        <f t="shared" si="80"/>
        <v>0</v>
      </c>
      <c r="AA58" s="90">
        <f t="shared" si="80"/>
        <v>0</v>
      </c>
      <c r="AB58" s="90">
        <f t="shared" si="80"/>
        <v>0</v>
      </c>
      <c r="AC58" s="90">
        <f t="shared" si="80"/>
        <v>0</v>
      </c>
      <c r="AD58" s="90">
        <f t="shared" si="80"/>
        <v>0</v>
      </c>
      <c r="AE58" s="90">
        <f t="shared" si="80"/>
        <v>0</v>
      </c>
      <c r="AF58" s="54">
        <f t="shared" si="77"/>
        <v>0</v>
      </c>
      <c r="AG58" s="2"/>
    </row>
    <row r="59" spans="1:33" ht="16" thickBot="1" x14ac:dyDescent="0.25">
      <c r="A59" s="148" t="s">
        <v>163</v>
      </c>
      <c r="B59" s="91" t="s">
        <v>177</v>
      </c>
      <c r="C59" s="92" t="s">
        <v>170</v>
      </c>
      <c r="D59" s="92" t="s">
        <v>168</v>
      </c>
      <c r="E59" s="94" t="s">
        <v>76</v>
      </c>
      <c r="F59" s="95"/>
      <c r="G59" s="142">
        <f t="shared" si="75"/>
        <v>0</v>
      </c>
      <c r="H59" s="93">
        <v>0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0">
        <f t="shared" ref="T59:AE59" si="81">H59*$F$7</f>
        <v>0</v>
      </c>
      <c r="U59" s="90">
        <f t="shared" si="81"/>
        <v>0</v>
      </c>
      <c r="V59" s="90">
        <f t="shared" si="81"/>
        <v>0</v>
      </c>
      <c r="W59" s="90">
        <f t="shared" si="81"/>
        <v>0</v>
      </c>
      <c r="X59" s="90">
        <f t="shared" si="81"/>
        <v>0</v>
      </c>
      <c r="Y59" s="90">
        <f t="shared" si="81"/>
        <v>0</v>
      </c>
      <c r="Z59" s="90">
        <f t="shared" si="81"/>
        <v>0</v>
      </c>
      <c r="AA59" s="90">
        <f t="shared" si="81"/>
        <v>0</v>
      </c>
      <c r="AB59" s="90">
        <f t="shared" si="81"/>
        <v>0</v>
      </c>
      <c r="AC59" s="90">
        <f t="shared" si="81"/>
        <v>0</v>
      </c>
      <c r="AD59" s="90">
        <f t="shared" si="81"/>
        <v>0</v>
      </c>
      <c r="AE59" s="90">
        <f t="shared" si="81"/>
        <v>0</v>
      </c>
      <c r="AF59" s="54">
        <f t="shared" si="77"/>
        <v>0</v>
      </c>
      <c r="AG59" s="2"/>
    </row>
    <row r="60" spans="1:33" ht="16" thickBot="1" x14ac:dyDescent="0.25">
      <c r="A60" s="148" t="s">
        <v>51</v>
      </c>
      <c r="B60" s="91" t="s">
        <v>177</v>
      </c>
      <c r="C60" s="92" t="s">
        <v>49</v>
      </c>
      <c r="D60" s="92" t="s">
        <v>50</v>
      </c>
      <c r="E60" s="94" t="s">
        <v>198</v>
      </c>
      <c r="F60" s="95"/>
      <c r="G60" s="142">
        <f t="shared" si="75"/>
        <v>0</v>
      </c>
      <c r="H60" s="93">
        <v>0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0">
        <f t="shared" ref="T60:AE60" si="82">H60*$F$22</f>
        <v>0</v>
      </c>
      <c r="U60" s="90">
        <f t="shared" si="82"/>
        <v>0</v>
      </c>
      <c r="V60" s="90">
        <f t="shared" si="82"/>
        <v>0</v>
      </c>
      <c r="W60" s="90">
        <f t="shared" si="82"/>
        <v>0</v>
      </c>
      <c r="X60" s="90">
        <f t="shared" si="82"/>
        <v>0</v>
      </c>
      <c r="Y60" s="90">
        <f t="shared" si="82"/>
        <v>0</v>
      </c>
      <c r="Z60" s="90">
        <f t="shared" si="82"/>
        <v>0</v>
      </c>
      <c r="AA60" s="90">
        <f t="shared" si="82"/>
        <v>0</v>
      </c>
      <c r="AB60" s="90">
        <f t="shared" si="82"/>
        <v>0</v>
      </c>
      <c r="AC60" s="90">
        <f t="shared" si="82"/>
        <v>0</v>
      </c>
      <c r="AD60" s="90">
        <f t="shared" si="82"/>
        <v>0</v>
      </c>
      <c r="AE60" s="90">
        <f t="shared" si="82"/>
        <v>0</v>
      </c>
      <c r="AF60" s="54">
        <f t="shared" si="77"/>
        <v>0</v>
      </c>
      <c r="AG60" s="2"/>
    </row>
    <row r="61" spans="1:33" ht="16" thickBot="1" x14ac:dyDescent="0.25">
      <c r="A61" s="148" t="s">
        <v>51</v>
      </c>
      <c r="B61" s="91" t="s">
        <v>177</v>
      </c>
      <c r="C61" s="92" t="s">
        <v>52</v>
      </c>
      <c r="D61" s="92" t="s">
        <v>53</v>
      </c>
      <c r="E61" s="94" t="s">
        <v>69</v>
      </c>
      <c r="F61" s="95"/>
      <c r="G61" s="142">
        <f t="shared" si="75"/>
        <v>0</v>
      </c>
      <c r="H61" s="93">
        <v>0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0">
        <f t="shared" ref="T61:AE61" si="83">$F$23*H61</f>
        <v>0</v>
      </c>
      <c r="U61" s="90">
        <f t="shared" si="83"/>
        <v>0</v>
      </c>
      <c r="V61" s="90">
        <f t="shared" si="83"/>
        <v>0</v>
      </c>
      <c r="W61" s="90">
        <f t="shared" si="83"/>
        <v>0</v>
      </c>
      <c r="X61" s="90">
        <f t="shared" si="83"/>
        <v>0</v>
      </c>
      <c r="Y61" s="90">
        <f t="shared" si="83"/>
        <v>0</v>
      </c>
      <c r="Z61" s="90">
        <f t="shared" si="83"/>
        <v>0</v>
      </c>
      <c r="AA61" s="90">
        <f t="shared" si="83"/>
        <v>0</v>
      </c>
      <c r="AB61" s="90">
        <f t="shared" si="83"/>
        <v>0</v>
      </c>
      <c r="AC61" s="90">
        <f t="shared" si="83"/>
        <v>0</v>
      </c>
      <c r="AD61" s="90">
        <f t="shared" si="83"/>
        <v>0</v>
      </c>
      <c r="AE61" s="90">
        <f t="shared" si="83"/>
        <v>0</v>
      </c>
      <c r="AF61" s="54">
        <f t="shared" si="77"/>
        <v>0</v>
      </c>
      <c r="AG61" s="2"/>
    </row>
    <row r="62" spans="1:33" ht="16" thickBot="1" x14ac:dyDescent="0.25">
      <c r="A62" s="148" t="s">
        <v>164</v>
      </c>
      <c r="B62" s="91" t="s">
        <v>177</v>
      </c>
      <c r="C62" s="92" t="s">
        <v>46</v>
      </c>
      <c r="D62" s="92" t="s">
        <v>47</v>
      </c>
      <c r="E62" s="94" t="s">
        <v>198</v>
      </c>
      <c r="F62" s="95"/>
      <c r="G62" s="142">
        <f t="shared" si="75"/>
        <v>0.90000000000000024</v>
      </c>
      <c r="H62" s="93">
        <v>0.9</v>
      </c>
      <c r="I62" s="93">
        <v>0.9</v>
      </c>
      <c r="J62" s="93">
        <v>0.9</v>
      </c>
      <c r="K62" s="93">
        <v>0.9</v>
      </c>
      <c r="L62" s="93">
        <v>0.9</v>
      </c>
      <c r="M62" s="93">
        <v>0.9</v>
      </c>
      <c r="N62" s="93">
        <v>0.9</v>
      </c>
      <c r="O62" s="93">
        <v>0.9</v>
      </c>
      <c r="P62" s="93">
        <v>0.9</v>
      </c>
      <c r="Q62" s="93">
        <v>0.9</v>
      </c>
      <c r="R62" s="93">
        <v>0.9</v>
      </c>
      <c r="S62" s="93">
        <v>0.9</v>
      </c>
      <c r="T62" s="90">
        <f t="shared" ref="T62:AE62" si="84">H62*$F$3</f>
        <v>61875</v>
      </c>
      <c r="U62" s="90">
        <f t="shared" si="84"/>
        <v>61875</v>
      </c>
      <c r="V62" s="90">
        <f t="shared" si="84"/>
        <v>61875</v>
      </c>
      <c r="W62" s="90">
        <f t="shared" si="84"/>
        <v>61875</v>
      </c>
      <c r="X62" s="90">
        <f t="shared" si="84"/>
        <v>61875</v>
      </c>
      <c r="Y62" s="90">
        <f t="shared" si="84"/>
        <v>61875</v>
      </c>
      <c r="Z62" s="90">
        <f t="shared" si="84"/>
        <v>61875</v>
      </c>
      <c r="AA62" s="90">
        <f t="shared" si="84"/>
        <v>61875</v>
      </c>
      <c r="AB62" s="90">
        <f t="shared" si="84"/>
        <v>61875</v>
      </c>
      <c r="AC62" s="90">
        <f t="shared" si="84"/>
        <v>61875</v>
      </c>
      <c r="AD62" s="90">
        <f t="shared" si="84"/>
        <v>61875</v>
      </c>
      <c r="AE62" s="90">
        <f t="shared" si="84"/>
        <v>61875</v>
      </c>
      <c r="AF62" s="54">
        <f t="shared" si="77"/>
        <v>742500</v>
      </c>
      <c r="AG62" s="2"/>
    </row>
    <row r="63" spans="1:33" ht="16" thickBot="1" x14ac:dyDescent="0.25">
      <c r="A63" s="148" t="s">
        <v>31</v>
      </c>
      <c r="B63" s="91" t="s">
        <v>177</v>
      </c>
      <c r="C63" s="92" t="s">
        <v>195</v>
      </c>
      <c r="D63" s="92" t="s">
        <v>168</v>
      </c>
      <c r="E63" s="94" t="s">
        <v>198</v>
      </c>
      <c r="F63" s="95"/>
      <c r="G63" s="142">
        <f t="shared" si="75"/>
        <v>0</v>
      </c>
      <c r="H63" s="93">
        <v>0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0">
        <f t="shared" ref="T63:AE63" si="85">H63*$F$18</f>
        <v>0</v>
      </c>
      <c r="U63" s="90">
        <f t="shared" si="85"/>
        <v>0</v>
      </c>
      <c r="V63" s="90">
        <f t="shared" si="85"/>
        <v>0</v>
      </c>
      <c r="W63" s="90">
        <f t="shared" si="85"/>
        <v>0</v>
      </c>
      <c r="X63" s="90">
        <f t="shared" si="85"/>
        <v>0</v>
      </c>
      <c r="Y63" s="90">
        <f t="shared" si="85"/>
        <v>0</v>
      </c>
      <c r="Z63" s="90">
        <f t="shared" si="85"/>
        <v>0</v>
      </c>
      <c r="AA63" s="90">
        <f t="shared" si="85"/>
        <v>0</v>
      </c>
      <c r="AB63" s="90">
        <f t="shared" si="85"/>
        <v>0</v>
      </c>
      <c r="AC63" s="90">
        <f t="shared" si="85"/>
        <v>0</v>
      </c>
      <c r="AD63" s="90">
        <f t="shared" si="85"/>
        <v>0</v>
      </c>
      <c r="AE63" s="90">
        <f t="shared" si="85"/>
        <v>0</v>
      </c>
      <c r="AF63" s="54">
        <f t="shared" si="77"/>
        <v>0</v>
      </c>
      <c r="AG63" s="2"/>
    </row>
    <row r="64" spans="1:33" ht="16" thickBot="1" x14ac:dyDescent="0.25">
      <c r="A64" s="148" t="s">
        <v>31</v>
      </c>
      <c r="B64" s="91" t="s">
        <v>177</v>
      </c>
      <c r="C64" s="92" t="s">
        <v>88</v>
      </c>
      <c r="D64" s="92" t="s">
        <v>41</v>
      </c>
      <c r="E64" s="94" t="s">
        <v>198</v>
      </c>
      <c r="F64" s="95"/>
      <c r="G64" s="142">
        <f t="shared" si="75"/>
        <v>4.9999999999999996E-2</v>
      </c>
      <c r="H64" s="93">
        <v>0.05</v>
      </c>
      <c r="I64" s="93">
        <v>0.05</v>
      </c>
      <c r="J64" s="93">
        <v>0.05</v>
      </c>
      <c r="K64" s="93">
        <v>0.05</v>
      </c>
      <c r="L64" s="93">
        <v>0.05</v>
      </c>
      <c r="M64" s="93">
        <v>0.05</v>
      </c>
      <c r="N64" s="93">
        <v>0.05</v>
      </c>
      <c r="O64" s="93">
        <v>0.05</v>
      </c>
      <c r="P64" s="93">
        <v>0.05</v>
      </c>
      <c r="Q64" s="93">
        <v>0.05</v>
      </c>
      <c r="R64" s="93">
        <v>0.05</v>
      </c>
      <c r="S64" s="93">
        <v>0.05</v>
      </c>
      <c r="T64" s="90">
        <f t="shared" ref="T64:AE64" si="86">$F$17*H64</f>
        <v>1443.75</v>
      </c>
      <c r="U64" s="90">
        <f t="shared" si="86"/>
        <v>1443.75</v>
      </c>
      <c r="V64" s="90">
        <f t="shared" si="86"/>
        <v>1443.75</v>
      </c>
      <c r="W64" s="90">
        <f t="shared" si="86"/>
        <v>1443.75</v>
      </c>
      <c r="X64" s="90">
        <f t="shared" si="86"/>
        <v>1443.75</v>
      </c>
      <c r="Y64" s="90">
        <f t="shared" si="86"/>
        <v>1443.75</v>
      </c>
      <c r="Z64" s="90">
        <f t="shared" si="86"/>
        <v>1443.75</v>
      </c>
      <c r="AA64" s="90">
        <f t="shared" si="86"/>
        <v>1443.75</v>
      </c>
      <c r="AB64" s="90">
        <f t="shared" si="86"/>
        <v>1443.75</v>
      </c>
      <c r="AC64" s="90">
        <f t="shared" si="86"/>
        <v>1443.75</v>
      </c>
      <c r="AD64" s="90">
        <f t="shared" si="86"/>
        <v>1443.75</v>
      </c>
      <c r="AE64" s="90">
        <f t="shared" si="86"/>
        <v>1443.75</v>
      </c>
      <c r="AF64" s="54">
        <f t="shared" si="77"/>
        <v>17325</v>
      </c>
      <c r="AG64" s="2"/>
    </row>
    <row r="65" spans="1:33" ht="16" thickBot="1" x14ac:dyDescent="0.25">
      <c r="A65" s="148" t="s">
        <v>164</v>
      </c>
      <c r="B65" s="91" t="s">
        <v>177</v>
      </c>
      <c r="C65" s="92" t="s">
        <v>167</v>
      </c>
      <c r="D65" s="92" t="s">
        <v>48</v>
      </c>
      <c r="E65" s="94" t="s">
        <v>198</v>
      </c>
      <c r="F65" s="95"/>
      <c r="G65" s="142">
        <f t="shared" si="75"/>
        <v>0.79999999999999993</v>
      </c>
      <c r="H65" s="93">
        <v>0.8</v>
      </c>
      <c r="I65" s="93">
        <v>0.8</v>
      </c>
      <c r="J65" s="93">
        <v>0.8</v>
      </c>
      <c r="K65" s="93">
        <v>0.8</v>
      </c>
      <c r="L65" s="93">
        <v>0.8</v>
      </c>
      <c r="M65" s="93">
        <v>0.8</v>
      </c>
      <c r="N65" s="93">
        <v>0.8</v>
      </c>
      <c r="O65" s="93">
        <v>0.8</v>
      </c>
      <c r="P65" s="93">
        <v>0.8</v>
      </c>
      <c r="Q65" s="93">
        <v>0.8</v>
      </c>
      <c r="R65" s="93">
        <v>0.8</v>
      </c>
      <c r="S65" s="93">
        <v>0.8</v>
      </c>
      <c r="T65" s="90">
        <f t="shared" ref="T65:AE65" si="87">$F$4*H65</f>
        <v>55000</v>
      </c>
      <c r="U65" s="90">
        <f t="shared" si="87"/>
        <v>55000</v>
      </c>
      <c r="V65" s="90">
        <f t="shared" si="87"/>
        <v>55000</v>
      </c>
      <c r="W65" s="90">
        <f t="shared" si="87"/>
        <v>55000</v>
      </c>
      <c r="X65" s="90">
        <f t="shared" si="87"/>
        <v>55000</v>
      </c>
      <c r="Y65" s="90">
        <f t="shared" si="87"/>
        <v>55000</v>
      </c>
      <c r="Z65" s="90">
        <f t="shared" si="87"/>
        <v>55000</v>
      </c>
      <c r="AA65" s="90">
        <f t="shared" si="87"/>
        <v>55000</v>
      </c>
      <c r="AB65" s="90">
        <f t="shared" si="87"/>
        <v>55000</v>
      </c>
      <c r="AC65" s="90">
        <f t="shared" si="87"/>
        <v>55000</v>
      </c>
      <c r="AD65" s="90">
        <f t="shared" si="87"/>
        <v>55000</v>
      </c>
      <c r="AE65" s="90">
        <f t="shared" si="87"/>
        <v>55000</v>
      </c>
      <c r="AF65" s="54">
        <f t="shared" si="77"/>
        <v>660000</v>
      </c>
      <c r="AG65" s="2"/>
    </row>
    <row r="66" spans="1:33" ht="16" thickBot="1" x14ac:dyDescent="0.25">
      <c r="A66" s="148" t="s">
        <v>180</v>
      </c>
      <c r="B66" s="91" t="s">
        <v>177</v>
      </c>
      <c r="C66" s="92" t="s">
        <v>185</v>
      </c>
      <c r="D66" s="92" t="s">
        <v>78</v>
      </c>
      <c r="E66" s="94" t="s">
        <v>76</v>
      </c>
      <c r="F66" s="95"/>
      <c r="G66" s="142">
        <f t="shared" si="75"/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0">
        <f t="shared" ref="T66:AE66" si="88">H66*$F$35</f>
        <v>0</v>
      </c>
      <c r="U66" s="90">
        <f t="shared" si="88"/>
        <v>0</v>
      </c>
      <c r="V66" s="90">
        <f t="shared" si="88"/>
        <v>0</v>
      </c>
      <c r="W66" s="90">
        <f t="shared" si="88"/>
        <v>0</v>
      </c>
      <c r="X66" s="90">
        <f t="shared" si="88"/>
        <v>0</v>
      </c>
      <c r="Y66" s="90">
        <f t="shared" si="88"/>
        <v>0</v>
      </c>
      <c r="Z66" s="90">
        <f t="shared" si="88"/>
        <v>0</v>
      </c>
      <c r="AA66" s="90">
        <f t="shared" si="88"/>
        <v>0</v>
      </c>
      <c r="AB66" s="90">
        <f t="shared" si="88"/>
        <v>0</v>
      </c>
      <c r="AC66" s="90">
        <f t="shared" si="88"/>
        <v>0</v>
      </c>
      <c r="AD66" s="90">
        <f t="shared" si="88"/>
        <v>0</v>
      </c>
      <c r="AE66" s="90">
        <f t="shared" si="88"/>
        <v>0</v>
      </c>
      <c r="AF66" s="54">
        <f t="shared" si="77"/>
        <v>0</v>
      </c>
      <c r="AG66" s="2"/>
    </row>
    <row r="67" spans="1:33" ht="16" thickBot="1" x14ac:dyDescent="0.25">
      <c r="A67" s="148" t="s">
        <v>180</v>
      </c>
      <c r="B67" s="91" t="s">
        <v>177</v>
      </c>
      <c r="C67" s="92" t="s">
        <v>186</v>
      </c>
      <c r="D67" s="92" t="s">
        <v>79</v>
      </c>
      <c r="E67" s="94" t="s">
        <v>76</v>
      </c>
      <c r="F67" s="95"/>
      <c r="G67" s="142">
        <f t="shared" si="75"/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0">
        <f t="shared" ref="T67:AE67" si="89">H67*$F$36</f>
        <v>0</v>
      </c>
      <c r="U67" s="90">
        <f t="shared" si="89"/>
        <v>0</v>
      </c>
      <c r="V67" s="90">
        <f t="shared" si="89"/>
        <v>0</v>
      </c>
      <c r="W67" s="90">
        <f t="shared" si="89"/>
        <v>0</v>
      </c>
      <c r="X67" s="90">
        <f t="shared" si="89"/>
        <v>0</v>
      </c>
      <c r="Y67" s="90">
        <f t="shared" si="89"/>
        <v>0</v>
      </c>
      <c r="Z67" s="90">
        <f t="shared" si="89"/>
        <v>0</v>
      </c>
      <c r="AA67" s="90">
        <f t="shared" si="89"/>
        <v>0</v>
      </c>
      <c r="AB67" s="90">
        <f t="shared" si="89"/>
        <v>0</v>
      </c>
      <c r="AC67" s="90">
        <f t="shared" si="89"/>
        <v>0</v>
      </c>
      <c r="AD67" s="90">
        <f t="shared" si="89"/>
        <v>0</v>
      </c>
      <c r="AE67" s="90">
        <f t="shared" si="89"/>
        <v>0</v>
      </c>
      <c r="AF67" s="54">
        <f t="shared" si="77"/>
        <v>0</v>
      </c>
      <c r="AG67" s="2"/>
    </row>
    <row r="68" spans="1:33" ht="16" thickBot="1" x14ac:dyDescent="0.25">
      <c r="A68" s="148" t="s">
        <v>180</v>
      </c>
      <c r="B68" s="91" t="s">
        <v>177</v>
      </c>
      <c r="C68" s="92" t="s">
        <v>190</v>
      </c>
      <c r="D68" s="92" t="s">
        <v>168</v>
      </c>
      <c r="E68" s="94" t="s">
        <v>76</v>
      </c>
      <c r="F68" s="95"/>
      <c r="G68" s="142">
        <f t="shared" si="75"/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0">
        <f t="shared" ref="T68:AE68" si="90">H68*$F$43</f>
        <v>0</v>
      </c>
      <c r="U68" s="90">
        <f t="shared" si="90"/>
        <v>0</v>
      </c>
      <c r="V68" s="90">
        <f t="shared" si="90"/>
        <v>0</v>
      </c>
      <c r="W68" s="90">
        <f t="shared" si="90"/>
        <v>0</v>
      </c>
      <c r="X68" s="90">
        <f t="shared" si="90"/>
        <v>0</v>
      </c>
      <c r="Y68" s="90">
        <f t="shared" si="90"/>
        <v>0</v>
      </c>
      <c r="Z68" s="90">
        <f t="shared" si="90"/>
        <v>0</v>
      </c>
      <c r="AA68" s="90">
        <f t="shared" si="90"/>
        <v>0</v>
      </c>
      <c r="AB68" s="90">
        <f t="shared" si="90"/>
        <v>0</v>
      </c>
      <c r="AC68" s="90">
        <f t="shared" si="90"/>
        <v>0</v>
      </c>
      <c r="AD68" s="90">
        <f t="shared" si="90"/>
        <v>0</v>
      </c>
      <c r="AE68" s="90">
        <f t="shared" si="90"/>
        <v>0</v>
      </c>
      <c r="AF68" s="54">
        <f t="shared" si="77"/>
        <v>0</v>
      </c>
      <c r="AG68" s="2"/>
    </row>
    <row r="69" spans="1:33" ht="16" thickBot="1" x14ac:dyDescent="0.25">
      <c r="A69" s="148" t="s">
        <v>180</v>
      </c>
      <c r="B69" s="91" t="s">
        <v>177</v>
      </c>
      <c r="C69" s="92" t="s">
        <v>191</v>
      </c>
      <c r="D69" s="92" t="s">
        <v>168</v>
      </c>
      <c r="E69" s="94" t="s">
        <v>76</v>
      </c>
      <c r="F69" s="95"/>
      <c r="G69" s="142">
        <f t="shared" si="75"/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0">
        <f t="shared" ref="T69:AE69" si="91">H69*$F$44</f>
        <v>0</v>
      </c>
      <c r="U69" s="90">
        <f t="shared" si="91"/>
        <v>0</v>
      </c>
      <c r="V69" s="90">
        <f t="shared" si="91"/>
        <v>0</v>
      </c>
      <c r="W69" s="90">
        <f t="shared" si="91"/>
        <v>0</v>
      </c>
      <c r="X69" s="90">
        <f t="shared" si="91"/>
        <v>0</v>
      </c>
      <c r="Y69" s="90">
        <f t="shared" si="91"/>
        <v>0</v>
      </c>
      <c r="Z69" s="90">
        <f t="shared" si="91"/>
        <v>0</v>
      </c>
      <c r="AA69" s="90">
        <f t="shared" si="91"/>
        <v>0</v>
      </c>
      <c r="AB69" s="90">
        <f t="shared" si="91"/>
        <v>0</v>
      </c>
      <c r="AC69" s="90">
        <f t="shared" si="91"/>
        <v>0</v>
      </c>
      <c r="AD69" s="90">
        <f t="shared" si="91"/>
        <v>0</v>
      </c>
      <c r="AE69" s="90">
        <f t="shared" si="91"/>
        <v>0</v>
      </c>
      <c r="AF69" s="54">
        <f t="shared" si="77"/>
        <v>0</v>
      </c>
      <c r="AG69" s="2"/>
    </row>
    <row r="70" spans="1:33" ht="16" thickBot="1" x14ac:dyDescent="0.25">
      <c r="A70" s="148" t="s">
        <v>180</v>
      </c>
      <c r="B70" s="91" t="s">
        <v>177</v>
      </c>
      <c r="C70" s="92" t="s">
        <v>192</v>
      </c>
      <c r="D70" s="92" t="s">
        <v>168</v>
      </c>
      <c r="E70" s="94" t="s">
        <v>76</v>
      </c>
      <c r="F70" s="95"/>
      <c r="G70" s="142">
        <f t="shared" si="75"/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0">
        <f t="shared" ref="T70:AE70" si="92">H70*$F$45</f>
        <v>0</v>
      </c>
      <c r="U70" s="90">
        <f t="shared" si="92"/>
        <v>0</v>
      </c>
      <c r="V70" s="90">
        <f t="shared" si="92"/>
        <v>0</v>
      </c>
      <c r="W70" s="90">
        <f t="shared" si="92"/>
        <v>0</v>
      </c>
      <c r="X70" s="90">
        <f t="shared" si="92"/>
        <v>0</v>
      </c>
      <c r="Y70" s="90">
        <f t="shared" si="92"/>
        <v>0</v>
      </c>
      <c r="Z70" s="90">
        <f t="shared" si="92"/>
        <v>0</v>
      </c>
      <c r="AA70" s="90">
        <f t="shared" si="92"/>
        <v>0</v>
      </c>
      <c r="AB70" s="90">
        <f t="shared" si="92"/>
        <v>0</v>
      </c>
      <c r="AC70" s="90">
        <f t="shared" si="92"/>
        <v>0</v>
      </c>
      <c r="AD70" s="90">
        <f t="shared" si="92"/>
        <v>0</v>
      </c>
      <c r="AE70" s="90">
        <f t="shared" si="92"/>
        <v>0</v>
      </c>
      <c r="AF70" s="54">
        <f t="shared" si="77"/>
        <v>0</v>
      </c>
      <c r="AG70" s="2"/>
    </row>
    <row r="71" spans="1:33" ht="16" thickBot="1" x14ac:dyDescent="0.25">
      <c r="A71" s="148" t="s">
        <v>180</v>
      </c>
      <c r="B71" s="91" t="s">
        <v>177</v>
      </c>
      <c r="C71" s="92" t="s">
        <v>259</v>
      </c>
      <c r="D71" s="92" t="s">
        <v>168</v>
      </c>
      <c r="E71" s="94" t="s">
        <v>76</v>
      </c>
      <c r="F71" s="95"/>
      <c r="G71" s="142">
        <f t="shared" si="75"/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0">
        <f t="shared" ref="T71:AE71" si="93">H71*$F$46</f>
        <v>0</v>
      </c>
      <c r="U71" s="90">
        <f t="shared" si="93"/>
        <v>0</v>
      </c>
      <c r="V71" s="90">
        <f t="shared" si="93"/>
        <v>0</v>
      </c>
      <c r="W71" s="90">
        <f t="shared" si="93"/>
        <v>0</v>
      </c>
      <c r="X71" s="90">
        <f t="shared" si="93"/>
        <v>0</v>
      </c>
      <c r="Y71" s="90">
        <f t="shared" si="93"/>
        <v>0</v>
      </c>
      <c r="Z71" s="90">
        <f t="shared" si="93"/>
        <v>0</v>
      </c>
      <c r="AA71" s="90">
        <f t="shared" si="93"/>
        <v>0</v>
      </c>
      <c r="AB71" s="90">
        <f t="shared" si="93"/>
        <v>0</v>
      </c>
      <c r="AC71" s="90">
        <f t="shared" si="93"/>
        <v>0</v>
      </c>
      <c r="AD71" s="90">
        <f t="shared" si="93"/>
        <v>0</v>
      </c>
      <c r="AE71" s="90">
        <f t="shared" si="93"/>
        <v>0</v>
      </c>
      <c r="AF71" s="54">
        <f t="shared" si="77"/>
        <v>0</v>
      </c>
      <c r="AG71" s="2"/>
    </row>
    <row r="72" spans="1:33" ht="16" thickBot="1" x14ac:dyDescent="0.25">
      <c r="A72" s="148" t="s">
        <v>31</v>
      </c>
      <c r="B72" s="91" t="s">
        <v>177</v>
      </c>
      <c r="C72" s="92" t="s">
        <v>44</v>
      </c>
      <c r="D72" s="92" t="s">
        <v>45</v>
      </c>
      <c r="E72" s="94" t="s">
        <v>69</v>
      </c>
      <c r="F72" s="95"/>
      <c r="G72" s="142">
        <f t="shared" si="75"/>
        <v>0</v>
      </c>
      <c r="H72" s="93">
        <v>0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0">
        <f t="shared" ref="T72:AE72" si="94">H72*$F$16</f>
        <v>0</v>
      </c>
      <c r="U72" s="90">
        <f t="shared" si="94"/>
        <v>0</v>
      </c>
      <c r="V72" s="90">
        <f t="shared" si="94"/>
        <v>0</v>
      </c>
      <c r="W72" s="90">
        <f t="shared" si="94"/>
        <v>0</v>
      </c>
      <c r="X72" s="90">
        <f t="shared" si="94"/>
        <v>0</v>
      </c>
      <c r="Y72" s="90">
        <f t="shared" si="94"/>
        <v>0</v>
      </c>
      <c r="Z72" s="90">
        <f t="shared" si="94"/>
        <v>0</v>
      </c>
      <c r="AA72" s="90">
        <f t="shared" si="94"/>
        <v>0</v>
      </c>
      <c r="AB72" s="90">
        <f t="shared" si="94"/>
        <v>0</v>
      </c>
      <c r="AC72" s="90">
        <f t="shared" si="94"/>
        <v>0</v>
      </c>
      <c r="AD72" s="90">
        <f t="shared" si="94"/>
        <v>0</v>
      </c>
      <c r="AE72" s="90">
        <f t="shared" si="94"/>
        <v>0</v>
      </c>
      <c r="AF72" s="54">
        <f t="shared" si="77"/>
        <v>0</v>
      </c>
      <c r="AG72" s="2"/>
    </row>
    <row r="73" spans="1:33" ht="16" thickBot="1" x14ac:dyDescent="0.25">
      <c r="A73" s="148" t="s">
        <v>31</v>
      </c>
      <c r="B73" s="91" t="s">
        <v>177</v>
      </c>
      <c r="C73" s="92" t="s">
        <v>30</v>
      </c>
      <c r="D73" s="92" t="s">
        <v>30</v>
      </c>
      <c r="E73" s="94" t="s">
        <v>69</v>
      </c>
      <c r="F73" s="95"/>
      <c r="G73" s="142">
        <f t="shared" si="75"/>
        <v>1</v>
      </c>
      <c r="H73" s="93">
        <v>1</v>
      </c>
      <c r="I73" s="93">
        <v>1</v>
      </c>
      <c r="J73" s="93">
        <v>1</v>
      </c>
      <c r="K73" s="93">
        <v>1</v>
      </c>
      <c r="L73" s="93">
        <v>1</v>
      </c>
      <c r="M73" s="93">
        <v>1</v>
      </c>
      <c r="N73" s="93">
        <v>1</v>
      </c>
      <c r="O73" s="93">
        <v>1</v>
      </c>
      <c r="P73" s="93">
        <v>1</v>
      </c>
      <c r="Q73" s="93">
        <v>1</v>
      </c>
      <c r="R73" s="93">
        <v>1</v>
      </c>
      <c r="S73" s="93">
        <v>1</v>
      </c>
      <c r="T73" s="90">
        <f t="shared" ref="T73:AE73" si="95">H73*$F$15</f>
        <v>20000</v>
      </c>
      <c r="U73" s="90">
        <f t="shared" si="95"/>
        <v>20000</v>
      </c>
      <c r="V73" s="90">
        <f t="shared" si="95"/>
        <v>20000</v>
      </c>
      <c r="W73" s="90">
        <f t="shared" si="95"/>
        <v>20000</v>
      </c>
      <c r="X73" s="90">
        <f t="shared" si="95"/>
        <v>20000</v>
      </c>
      <c r="Y73" s="90">
        <f t="shared" si="95"/>
        <v>20000</v>
      </c>
      <c r="Z73" s="90">
        <f t="shared" si="95"/>
        <v>20000</v>
      </c>
      <c r="AA73" s="90">
        <f t="shared" si="95"/>
        <v>20000</v>
      </c>
      <c r="AB73" s="90">
        <f t="shared" si="95"/>
        <v>20000</v>
      </c>
      <c r="AC73" s="90">
        <f t="shared" si="95"/>
        <v>20000</v>
      </c>
      <c r="AD73" s="90">
        <f t="shared" si="95"/>
        <v>20000</v>
      </c>
      <c r="AE73" s="90">
        <f t="shared" si="95"/>
        <v>20000</v>
      </c>
      <c r="AF73" s="54">
        <f t="shared" si="77"/>
        <v>240000</v>
      </c>
      <c r="AG73" s="2"/>
    </row>
    <row r="74" spans="1:33" ht="16" thickBot="1" x14ac:dyDescent="0.25">
      <c r="A74" s="148" t="s">
        <v>180</v>
      </c>
      <c r="B74" s="91" t="s">
        <v>177</v>
      </c>
      <c r="C74" s="92" t="s">
        <v>181</v>
      </c>
      <c r="D74" s="92" t="s">
        <v>80</v>
      </c>
      <c r="E74" s="94" t="s">
        <v>76</v>
      </c>
      <c r="F74" s="95"/>
      <c r="G74" s="142">
        <f t="shared" si="75"/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0">
        <f t="shared" ref="T74:AE74" si="96">H74*$F$37</f>
        <v>0</v>
      </c>
      <c r="U74" s="90">
        <f t="shared" si="96"/>
        <v>0</v>
      </c>
      <c r="V74" s="90">
        <f t="shared" si="96"/>
        <v>0</v>
      </c>
      <c r="W74" s="90">
        <f t="shared" si="96"/>
        <v>0</v>
      </c>
      <c r="X74" s="90">
        <f t="shared" si="96"/>
        <v>0</v>
      </c>
      <c r="Y74" s="90">
        <f t="shared" si="96"/>
        <v>0</v>
      </c>
      <c r="Z74" s="90">
        <f t="shared" si="96"/>
        <v>0</v>
      </c>
      <c r="AA74" s="90">
        <f t="shared" si="96"/>
        <v>0</v>
      </c>
      <c r="AB74" s="90">
        <f t="shared" si="96"/>
        <v>0</v>
      </c>
      <c r="AC74" s="90">
        <f t="shared" si="96"/>
        <v>0</v>
      </c>
      <c r="AD74" s="90">
        <f t="shared" si="96"/>
        <v>0</v>
      </c>
      <c r="AE74" s="90">
        <f t="shared" si="96"/>
        <v>0</v>
      </c>
      <c r="AF74" s="54">
        <f t="shared" si="77"/>
        <v>0</v>
      </c>
      <c r="AG74" s="2"/>
    </row>
    <row r="75" spans="1:33" ht="16" thickBot="1" x14ac:dyDescent="0.25">
      <c r="A75" s="148" t="s">
        <v>180</v>
      </c>
      <c r="B75" s="91" t="s">
        <v>177</v>
      </c>
      <c r="C75" s="92" t="s">
        <v>182</v>
      </c>
      <c r="D75" s="92" t="s">
        <v>90</v>
      </c>
      <c r="E75" s="94" t="s">
        <v>76</v>
      </c>
      <c r="F75" s="95"/>
      <c r="G75" s="142">
        <f t="shared" si="75"/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0">
        <f t="shared" ref="T75:AE75" si="97">H75*$F$39</f>
        <v>0</v>
      </c>
      <c r="U75" s="90">
        <f t="shared" si="97"/>
        <v>0</v>
      </c>
      <c r="V75" s="90">
        <f t="shared" si="97"/>
        <v>0</v>
      </c>
      <c r="W75" s="90">
        <f t="shared" si="97"/>
        <v>0</v>
      </c>
      <c r="X75" s="90">
        <f t="shared" si="97"/>
        <v>0</v>
      </c>
      <c r="Y75" s="90">
        <f t="shared" si="97"/>
        <v>0</v>
      </c>
      <c r="Z75" s="90">
        <f t="shared" si="97"/>
        <v>0</v>
      </c>
      <c r="AA75" s="90">
        <f t="shared" si="97"/>
        <v>0</v>
      </c>
      <c r="AB75" s="90">
        <f t="shared" si="97"/>
        <v>0</v>
      </c>
      <c r="AC75" s="90">
        <f t="shared" si="97"/>
        <v>0</v>
      </c>
      <c r="AD75" s="90">
        <f t="shared" si="97"/>
        <v>0</v>
      </c>
      <c r="AE75" s="90">
        <f t="shared" si="97"/>
        <v>0</v>
      </c>
      <c r="AF75" s="54">
        <f t="shared" si="77"/>
        <v>0</v>
      </c>
      <c r="AG75" s="2"/>
    </row>
    <row r="76" spans="1:33" ht="16" thickBot="1" x14ac:dyDescent="0.25">
      <c r="A76" s="148" t="s">
        <v>180</v>
      </c>
      <c r="B76" s="91" t="s">
        <v>177</v>
      </c>
      <c r="C76" s="92" t="s">
        <v>187</v>
      </c>
      <c r="D76" s="92" t="s">
        <v>168</v>
      </c>
      <c r="E76" s="94" t="s">
        <v>76</v>
      </c>
      <c r="F76" s="95"/>
      <c r="G76" s="142">
        <f t="shared" si="75"/>
        <v>0</v>
      </c>
      <c r="H76" s="93">
        <v>0</v>
      </c>
      <c r="I76" s="93">
        <v>0</v>
      </c>
      <c r="J76" s="93">
        <v>0</v>
      </c>
      <c r="K76" s="93">
        <v>0</v>
      </c>
      <c r="L76" s="93">
        <v>0</v>
      </c>
      <c r="M76" s="93">
        <v>0</v>
      </c>
      <c r="N76" s="93">
        <v>0</v>
      </c>
      <c r="O76" s="93">
        <v>0</v>
      </c>
      <c r="P76" s="93">
        <v>0</v>
      </c>
      <c r="Q76" s="93">
        <v>0</v>
      </c>
      <c r="R76" s="93">
        <v>0</v>
      </c>
      <c r="S76" s="93">
        <v>0</v>
      </c>
      <c r="T76" s="90">
        <f t="shared" ref="T76:AE76" si="98">H76*$F$38</f>
        <v>0</v>
      </c>
      <c r="U76" s="90">
        <f t="shared" si="98"/>
        <v>0</v>
      </c>
      <c r="V76" s="90">
        <f t="shared" si="98"/>
        <v>0</v>
      </c>
      <c r="W76" s="90">
        <f t="shared" si="98"/>
        <v>0</v>
      </c>
      <c r="X76" s="90">
        <f t="shared" si="98"/>
        <v>0</v>
      </c>
      <c r="Y76" s="90">
        <f t="shared" si="98"/>
        <v>0</v>
      </c>
      <c r="Z76" s="90">
        <f t="shared" si="98"/>
        <v>0</v>
      </c>
      <c r="AA76" s="90">
        <f t="shared" si="98"/>
        <v>0</v>
      </c>
      <c r="AB76" s="90">
        <f t="shared" si="98"/>
        <v>0</v>
      </c>
      <c r="AC76" s="90">
        <f t="shared" si="98"/>
        <v>0</v>
      </c>
      <c r="AD76" s="90">
        <f t="shared" si="98"/>
        <v>0</v>
      </c>
      <c r="AE76" s="90">
        <f t="shared" si="98"/>
        <v>0</v>
      </c>
      <c r="AF76" s="54">
        <f t="shared" si="77"/>
        <v>0</v>
      </c>
      <c r="AG76" s="2"/>
    </row>
    <row r="77" spans="1:33" ht="16" thickBot="1" x14ac:dyDescent="0.25">
      <c r="A77" s="148" t="s">
        <v>163</v>
      </c>
      <c r="B77" s="91" t="s">
        <v>177</v>
      </c>
      <c r="C77" s="92" t="s">
        <v>115</v>
      </c>
      <c r="D77" s="92" t="s">
        <v>137</v>
      </c>
      <c r="E77" s="94" t="s">
        <v>76</v>
      </c>
      <c r="F77" s="95"/>
      <c r="G77" s="142">
        <f t="shared" si="75"/>
        <v>0</v>
      </c>
      <c r="H77" s="93">
        <v>0</v>
      </c>
      <c r="I77" s="93">
        <v>0</v>
      </c>
      <c r="J77" s="93">
        <v>0</v>
      </c>
      <c r="K77" s="93">
        <v>0</v>
      </c>
      <c r="L77" s="93">
        <v>0</v>
      </c>
      <c r="M77" s="93">
        <v>0</v>
      </c>
      <c r="N77" s="93">
        <v>0</v>
      </c>
      <c r="O77" s="93">
        <v>0</v>
      </c>
      <c r="P77" s="93">
        <v>0</v>
      </c>
      <c r="Q77" s="93">
        <v>0</v>
      </c>
      <c r="R77" s="93">
        <v>0</v>
      </c>
      <c r="S77" s="93">
        <v>0</v>
      </c>
      <c r="T77" s="90">
        <f t="shared" ref="T77:AE77" si="99">$F$5*H77</f>
        <v>0</v>
      </c>
      <c r="U77" s="90">
        <f t="shared" si="99"/>
        <v>0</v>
      </c>
      <c r="V77" s="90">
        <f t="shared" si="99"/>
        <v>0</v>
      </c>
      <c r="W77" s="90">
        <f t="shared" si="99"/>
        <v>0</v>
      </c>
      <c r="X77" s="90">
        <f t="shared" si="99"/>
        <v>0</v>
      </c>
      <c r="Y77" s="90">
        <f t="shared" si="99"/>
        <v>0</v>
      </c>
      <c r="Z77" s="90">
        <f t="shared" si="99"/>
        <v>0</v>
      </c>
      <c r="AA77" s="90">
        <f t="shared" si="99"/>
        <v>0</v>
      </c>
      <c r="AB77" s="90">
        <f t="shared" si="99"/>
        <v>0</v>
      </c>
      <c r="AC77" s="90">
        <f t="shared" si="99"/>
        <v>0</v>
      </c>
      <c r="AD77" s="90">
        <f t="shared" si="99"/>
        <v>0</v>
      </c>
      <c r="AE77" s="90">
        <f t="shared" si="99"/>
        <v>0</v>
      </c>
      <c r="AF77" s="54">
        <f t="shared" si="77"/>
        <v>0</v>
      </c>
      <c r="AG77" s="2"/>
    </row>
    <row r="78" spans="1:33" ht="16" thickBot="1" x14ac:dyDescent="0.25">
      <c r="A78" s="148" t="s">
        <v>68</v>
      </c>
      <c r="B78" s="91" t="s">
        <v>177</v>
      </c>
      <c r="C78" s="92" t="s">
        <v>29</v>
      </c>
      <c r="D78" s="92" t="s">
        <v>114</v>
      </c>
      <c r="E78" s="94" t="s">
        <v>198</v>
      </c>
      <c r="F78" s="95"/>
      <c r="G78" s="142">
        <f t="shared" si="75"/>
        <v>0.91666666666666663</v>
      </c>
      <c r="H78" s="93">
        <v>0.5</v>
      </c>
      <c r="I78" s="93">
        <v>0.5</v>
      </c>
      <c r="J78" s="93">
        <v>1</v>
      </c>
      <c r="K78" s="93">
        <v>1</v>
      </c>
      <c r="L78" s="93">
        <v>1</v>
      </c>
      <c r="M78" s="93">
        <v>1</v>
      </c>
      <c r="N78" s="93">
        <v>1</v>
      </c>
      <c r="O78" s="93">
        <v>1</v>
      </c>
      <c r="P78" s="93">
        <v>1</v>
      </c>
      <c r="Q78" s="93">
        <v>1</v>
      </c>
      <c r="R78" s="93">
        <v>1</v>
      </c>
      <c r="S78" s="93">
        <v>1</v>
      </c>
      <c r="T78" s="90">
        <f t="shared" ref="T78:AE78" si="100">$F$20*H78</f>
        <v>11100</v>
      </c>
      <c r="U78" s="90">
        <f t="shared" si="100"/>
        <v>11100</v>
      </c>
      <c r="V78" s="90">
        <f t="shared" si="100"/>
        <v>22200</v>
      </c>
      <c r="W78" s="90">
        <f t="shared" si="100"/>
        <v>22200</v>
      </c>
      <c r="X78" s="90">
        <f t="shared" si="100"/>
        <v>22200</v>
      </c>
      <c r="Y78" s="90">
        <f t="shared" si="100"/>
        <v>22200</v>
      </c>
      <c r="Z78" s="90">
        <f t="shared" si="100"/>
        <v>22200</v>
      </c>
      <c r="AA78" s="90">
        <f t="shared" si="100"/>
        <v>22200</v>
      </c>
      <c r="AB78" s="90">
        <f t="shared" si="100"/>
        <v>22200</v>
      </c>
      <c r="AC78" s="90">
        <f t="shared" si="100"/>
        <v>22200</v>
      </c>
      <c r="AD78" s="90">
        <f t="shared" si="100"/>
        <v>22200</v>
      </c>
      <c r="AE78" s="90">
        <f t="shared" si="100"/>
        <v>22200</v>
      </c>
      <c r="AF78" s="54">
        <f t="shared" si="77"/>
        <v>244200</v>
      </c>
      <c r="AG78" s="2"/>
    </row>
    <row r="79" spans="1:33" ht="16" thickBot="1" x14ac:dyDescent="0.25">
      <c r="A79" s="148" t="s">
        <v>68</v>
      </c>
      <c r="B79" s="91" t="s">
        <v>177</v>
      </c>
      <c r="C79" s="92" t="s">
        <v>178</v>
      </c>
      <c r="D79" s="92" t="s">
        <v>89</v>
      </c>
      <c r="E79" s="94" t="s">
        <v>69</v>
      </c>
      <c r="F79" s="95"/>
      <c r="G79" s="142">
        <f t="shared" si="75"/>
        <v>4.9999999999999996E-2</v>
      </c>
      <c r="H79" s="93">
        <v>0.05</v>
      </c>
      <c r="I79" s="93">
        <v>0.05</v>
      </c>
      <c r="J79" s="93">
        <v>0.05</v>
      </c>
      <c r="K79" s="93">
        <v>0.05</v>
      </c>
      <c r="L79" s="93">
        <v>0.05</v>
      </c>
      <c r="M79" s="93">
        <v>0.05</v>
      </c>
      <c r="N79" s="93">
        <v>0.05</v>
      </c>
      <c r="O79" s="93">
        <v>0.05</v>
      </c>
      <c r="P79" s="93">
        <v>0.05</v>
      </c>
      <c r="Q79" s="93">
        <v>0.05</v>
      </c>
      <c r="R79" s="93">
        <v>0.05</v>
      </c>
      <c r="S79" s="93">
        <v>0.05</v>
      </c>
      <c r="T79" s="90">
        <f t="shared" ref="T79:AE79" si="101">H79*$F$21</f>
        <v>2200</v>
      </c>
      <c r="U79" s="90">
        <f t="shared" si="101"/>
        <v>2200</v>
      </c>
      <c r="V79" s="90">
        <f t="shared" si="101"/>
        <v>2200</v>
      </c>
      <c r="W79" s="90">
        <f t="shared" si="101"/>
        <v>2200</v>
      </c>
      <c r="X79" s="90">
        <f t="shared" si="101"/>
        <v>2200</v>
      </c>
      <c r="Y79" s="90">
        <f t="shared" si="101"/>
        <v>2200</v>
      </c>
      <c r="Z79" s="90">
        <f t="shared" si="101"/>
        <v>2200</v>
      </c>
      <c r="AA79" s="90">
        <f t="shared" si="101"/>
        <v>2200</v>
      </c>
      <c r="AB79" s="90">
        <f t="shared" si="101"/>
        <v>2200</v>
      </c>
      <c r="AC79" s="90">
        <f t="shared" si="101"/>
        <v>2200</v>
      </c>
      <c r="AD79" s="90">
        <f t="shared" si="101"/>
        <v>2200</v>
      </c>
      <c r="AE79" s="90">
        <f t="shared" si="101"/>
        <v>2200</v>
      </c>
      <c r="AF79" s="54">
        <f t="shared" si="77"/>
        <v>26400</v>
      </c>
      <c r="AG79" s="2"/>
    </row>
    <row r="80" spans="1:33" ht="16" thickBot="1" x14ac:dyDescent="0.25">
      <c r="A80" s="148" t="s">
        <v>180</v>
      </c>
      <c r="B80" s="91" t="s">
        <v>177</v>
      </c>
      <c r="C80" s="92" t="s">
        <v>183</v>
      </c>
      <c r="D80" s="92" t="s">
        <v>77</v>
      </c>
      <c r="E80" s="94" t="s">
        <v>76</v>
      </c>
      <c r="F80" s="95"/>
      <c r="G80" s="142">
        <f t="shared" si="75"/>
        <v>0</v>
      </c>
      <c r="H80" s="93">
        <v>0</v>
      </c>
      <c r="I80" s="93">
        <v>0</v>
      </c>
      <c r="J80" s="93">
        <v>0</v>
      </c>
      <c r="K80" s="93">
        <v>0</v>
      </c>
      <c r="L80" s="93">
        <v>0</v>
      </c>
      <c r="M80" s="93">
        <v>0</v>
      </c>
      <c r="N80" s="93">
        <v>0</v>
      </c>
      <c r="O80" s="93">
        <v>0</v>
      </c>
      <c r="P80" s="93">
        <v>0</v>
      </c>
      <c r="Q80" s="93">
        <v>0</v>
      </c>
      <c r="R80" s="93">
        <v>0</v>
      </c>
      <c r="S80" s="93">
        <v>0</v>
      </c>
      <c r="T80" s="90">
        <f t="shared" ref="T80:AE80" si="102">H80*$F$34</f>
        <v>0</v>
      </c>
      <c r="U80" s="90">
        <f t="shared" si="102"/>
        <v>0</v>
      </c>
      <c r="V80" s="90">
        <f t="shared" si="102"/>
        <v>0</v>
      </c>
      <c r="W80" s="90">
        <f t="shared" si="102"/>
        <v>0</v>
      </c>
      <c r="X80" s="90">
        <f t="shared" si="102"/>
        <v>0</v>
      </c>
      <c r="Y80" s="90">
        <f t="shared" si="102"/>
        <v>0</v>
      </c>
      <c r="Z80" s="90">
        <f t="shared" si="102"/>
        <v>0</v>
      </c>
      <c r="AA80" s="90">
        <f t="shared" si="102"/>
        <v>0</v>
      </c>
      <c r="AB80" s="90">
        <f t="shared" si="102"/>
        <v>0</v>
      </c>
      <c r="AC80" s="90">
        <f t="shared" si="102"/>
        <v>0</v>
      </c>
      <c r="AD80" s="90">
        <f t="shared" si="102"/>
        <v>0</v>
      </c>
      <c r="AE80" s="90">
        <f t="shared" si="102"/>
        <v>0</v>
      </c>
      <c r="AF80" s="54">
        <f t="shared" si="77"/>
        <v>0</v>
      </c>
      <c r="AG80" s="2"/>
    </row>
    <row r="81" spans="1:33" ht="16" thickBot="1" x14ac:dyDescent="0.25">
      <c r="A81" s="148" t="s">
        <v>180</v>
      </c>
      <c r="B81" s="91" t="s">
        <v>177</v>
      </c>
      <c r="C81" s="92" t="s">
        <v>184</v>
      </c>
      <c r="D81" s="92" t="s">
        <v>168</v>
      </c>
      <c r="E81" s="94" t="s">
        <v>76</v>
      </c>
      <c r="F81" s="95"/>
      <c r="G81" s="142">
        <f t="shared" si="75"/>
        <v>0</v>
      </c>
      <c r="H81" s="93">
        <v>0</v>
      </c>
      <c r="I81" s="93">
        <v>0</v>
      </c>
      <c r="J81" s="93">
        <v>0</v>
      </c>
      <c r="K81" s="93">
        <v>0</v>
      </c>
      <c r="L81" s="93">
        <v>0</v>
      </c>
      <c r="M81" s="93">
        <v>0</v>
      </c>
      <c r="N81" s="93">
        <v>0</v>
      </c>
      <c r="O81" s="93">
        <v>0</v>
      </c>
      <c r="P81" s="93">
        <v>0</v>
      </c>
      <c r="Q81" s="93">
        <v>0</v>
      </c>
      <c r="R81" s="93">
        <v>0</v>
      </c>
      <c r="S81" s="93">
        <v>0</v>
      </c>
      <c r="T81" s="90">
        <f t="shared" ref="T81:AE81" si="103">H81*$F$40</f>
        <v>0</v>
      </c>
      <c r="U81" s="90">
        <f t="shared" si="103"/>
        <v>0</v>
      </c>
      <c r="V81" s="90">
        <f t="shared" si="103"/>
        <v>0</v>
      </c>
      <c r="W81" s="90">
        <f t="shared" si="103"/>
        <v>0</v>
      </c>
      <c r="X81" s="90">
        <f t="shared" si="103"/>
        <v>0</v>
      </c>
      <c r="Y81" s="90">
        <f t="shared" si="103"/>
        <v>0</v>
      </c>
      <c r="Z81" s="90">
        <f t="shared" si="103"/>
        <v>0</v>
      </c>
      <c r="AA81" s="90">
        <f t="shared" si="103"/>
        <v>0</v>
      </c>
      <c r="AB81" s="90">
        <f t="shared" si="103"/>
        <v>0</v>
      </c>
      <c r="AC81" s="90">
        <f t="shared" si="103"/>
        <v>0</v>
      </c>
      <c r="AD81" s="90">
        <f t="shared" si="103"/>
        <v>0</v>
      </c>
      <c r="AE81" s="90">
        <f t="shared" si="103"/>
        <v>0</v>
      </c>
      <c r="AF81" s="54">
        <f t="shared" si="77"/>
        <v>0</v>
      </c>
      <c r="AG81" s="2"/>
    </row>
    <row r="82" spans="1:33" ht="16" thickBot="1" x14ac:dyDescent="0.25">
      <c r="A82" s="148" t="s">
        <v>180</v>
      </c>
      <c r="B82" s="91" t="s">
        <v>177</v>
      </c>
      <c r="C82" s="92" t="s">
        <v>188</v>
      </c>
      <c r="D82" s="92" t="s">
        <v>168</v>
      </c>
      <c r="E82" s="94" t="s">
        <v>76</v>
      </c>
      <c r="F82" s="95"/>
      <c r="G82" s="142">
        <f t="shared" si="75"/>
        <v>0</v>
      </c>
      <c r="H82" s="93">
        <v>0</v>
      </c>
      <c r="I82" s="93">
        <v>0</v>
      </c>
      <c r="J82" s="93">
        <v>0</v>
      </c>
      <c r="K82" s="93">
        <v>0</v>
      </c>
      <c r="L82" s="93">
        <v>0</v>
      </c>
      <c r="M82" s="93">
        <v>0</v>
      </c>
      <c r="N82" s="93">
        <v>0</v>
      </c>
      <c r="O82" s="93">
        <v>0</v>
      </c>
      <c r="P82" s="93">
        <v>0</v>
      </c>
      <c r="Q82" s="93">
        <v>0</v>
      </c>
      <c r="R82" s="93">
        <v>0</v>
      </c>
      <c r="S82" s="93">
        <v>0</v>
      </c>
      <c r="T82" s="90">
        <f t="shared" ref="T82:AE82" si="104">H82*$F$41</f>
        <v>0</v>
      </c>
      <c r="U82" s="90">
        <f t="shared" si="104"/>
        <v>0</v>
      </c>
      <c r="V82" s="90">
        <f t="shared" si="104"/>
        <v>0</v>
      </c>
      <c r="W82" s="90">
        <f t="shared" si="104"/>
        <v>0</v>
      </c>
      <c r="X82" s="90">
        <f t="shared" si="104"/>
        <v>0</v>
      </c>
      <c r="Y82" s="90">
        <f t="shared" si="104"/>
        <v>0</v>
      </c>
      <c r="Z82" s="90">
        <f t="shared" si="104"/>
        <v>0</v>
      </c>
      <c r="AA82" s="90">
        <f t="shared" si="104"/>
        <v>0</v>
      </c>
      <c r="AB82" s="90">
        <f t="shared" si="104"/>
        <v>0</v>
      </c>
      <c r="AC82" s="90">
        <f t="shared" si="104"/>
        <v>0</v>
      </c>
      <c r="AD82" s="90">
        <f t="shared" si="104"/>
        <v>0</v>
      </c>
      <c r="AE82" s="90">
        <f t="shared" si="104"/>
        <v>0</v>
      </c>
      <c r="AF82" s="54">
        <f t="shared" si="77"/>
        <v>0</v>
      </c>
      <c r="AG82" s="2"/>
    </row>
    <row r="83" spans="1:33" ht="16" thickBot="1" x14ac:dyDescent="0.25">
      <c r="A83" s="148" t="s">
        <v>180</v>
      </c>
      <c r="B83" s="91" t="s">
        <v>177</v>
      </c>
      <c r="C83" s="92" t="s">
        <v>189</v>
      </c>
      <c r="D83" s="92" t="s">
        <v>168</v>
      </c>
      <c r="E83" s="94" t="s">
        <v>76</v>
      </c>
      <c r="F83" s="95"/>
      <c r="G83" s="142">
        <f t="shared" si="75"/>
        <v>0</v>
      </c>
      <c r="H83" s="93">
        <v>0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0">
        <f t="shared" ref="T83:AE83" si="105">H83*$F$42</f>
        <v>0</v>
      </c>
      <c r="U83" s="90">
        <f t="shared" si="105"/>
        <v>0</v>
      </c>
      <c r="V83" s="90">
        <f t="shared" si="105"/>
        <v>0</v>
      </c>
      <c r="W83" s="90">
        <f t="shared" si="105"/>
        <v>0</v>
      </c>
      <c r="X83" s="90">
        <f t="shared" si="105"/>
        <v>0</v>
      </c>
      <c r="Y83" s="90">
        <f t="shared" si="105"/>
        <v>0</v>
      </c>
      <c r="Z83" s="90">
        <f t="shared" si="105"/>
        <v>0</v>
      </c>
      <c r="AA83" s="90">
        <f t="shared" si="105"/>
        <v>0</v>
      </c>
      <c r="AB83" s="90">
        <f t="shared" si="105"/>
        <v>0</v>
      </c>
      <c r="AC83" s="90">
        <f t="shared" si="105"/>
        <v>0</v>
      </c>
      <c r="AD83" s="90">
        <f t="shared" si="105"/>
        <v>0</v>
      </c>
      <c r="AE83" s="90">
        <f t="shared" si="105"/>
        <v>0</v>
      </c>
      <c r="AF83" s="54">
        <f t="shared" si="77"/>
        <v>0</v>
      </c>
      <c r="AG83" s="2"/>
    </row>
    <row r="84" spans="1:33" ht="16" thickBot="1" x14ac:dyDescent="0.25">
      <c r="A84" s="148" t="s">
        <v>51</v>
      </c>
      <c r="B84" s="91" t="s">
        <v>177</v>
      </c>
      <c r="C84" s="92" t="s">
        <v>249</v>
      </c>
      <c r="D84" s="92" t="s">
        <v>168</v>
      </c>
      <c r="E84" s="94" t="s">
        <v>198</v>
      </c>
      <c r="F84" s="95"/>
      <c r="G84" s="142">
        <f t="shared" si="75"/>
        <v>0</v>
      </c>
      <c r="H84" s="93">
        <v>0</v>
      </c>
      <c r="I84" s="93">
        <v>0</v>
      </c>
      <c r="J84" s="93">
        <v>0</v>
      </c>
      <c r="K84" s="93">
        <v>0</v>
      </c>
      <c r="L84" s="93">
        <v>0</v>
      </c>
      <c r="M84" s="93">
        <v>0</v>
      </c>
      <c r="N84" s="93">
        <v>0</v>
      </c>
      <c r="O84" s="93">
        <v>0</v>
      </c>
      <c r="P84" s="93">
        <v>0</v>
      </c>
      <c r="Q84" s="93">
        <v>0</v>
      </c>
      <c r="R84" s="93">
        <v>0</v>
      </c>
      <c r="S84" s="93">
        <v>0</v>
      </c>
      <c r="T84" s="90">
        <f t="shared" ref="T84:AE84" si="106">H84*$F$24</f>
        <v>0</v>
      </c>
      <c r="U84" s="90">
        <f t="shared" si="106"/>
        <v>0</v>
      </c>
      <c r="V84" s="90">
        <f t="shared" si="106"/>
        <v>0</v>
      </c>
      <c r="W84" s="90">
        <f t="shared" si="106"/>
        <v>0</v>
      </c>
      <c r="X84" s="90">
        <f t="shared" si="106"/>
        <v>0</v>
      </c>
      <c r="Y84" s="90">
        <f t="shared" si="106"/>
        <v>0</v>
      </c>
      <c r="Z84" s="90">
        <f t="shared" si="106"/>
        <v>0</v>
      </c>
      <c r="AA84" s="90">
        <f t="shared" si="106"/>
        <v>0</v>
      </c>
      <c r="AB84" s="90">
        <f t="shared" si="106"/>
        <v>0</v>
      </c>
      <c r="AC84" s="90">
        <f t="shared" si="106"/>
        <v>0</v>
      </c>
      <c r="AD84" s="90">
        <f t="shared" si="106"/>
        <v>0</v>
      </c>
      <c r="AE84" s="90">
        <f t="shared" si="106"/>
        <v>0</v>
      </c>
      <c r="AF84" s="54">
        <f t="shared" si="77"/>
        <v>0</v>
      </c>
      <c r="AG84" s="2"/>
    </row>
    <row r="85" spans="1:33" ht="16" thickBot="1" x14ac:dyDescent="0.25">
      <c r="A85" s="148" t="s">
        <v>31</v>
      </c>
      <c r="B85" s="91" t="s">
        <v>177</v>
      </c>
      <c r="C85" s="92" t="s">
        <v>210</v>
      </c>
      <c r="D85" s="92" t="s">
        <v>168</v>
      </c>
      <c r="E85" s="94" t="s">
        <v>198</v>
      </c>
      <c r="F85" s="95"/>
      <c r="G85" s="142">
        <f t="shared" si="75"/>
        <v>0.16666666666666666</v>
      </c>
      <c r="H85" s="93">
        <v>0.1</v>
      </c>
      <c r="I85" s="93">
        <v>0.1</v>
      </c>
      <c r="J85" s="93">
        <v>0.1</v>
      </c>
      <c r="K85" s="93">
        <v>0.1</v>
      </c>
      <c r="L85" s="93">
        <v>0.2</v>
      </c>
      <c r="M85" s="93">
        <v>0.2</v>
      </c>
      <c r="N85" s="93">
        <v>0.2</v>
      </c>
      <c r="O85" s="93">
        <v>0.2</v>
      </c>
      <c r="P85" s="93">
        <v>0.2</v>
      </c>
      <c r="Q85" s="93">
        <v>0.2</v>
      </c>
      <c r="R85" s="93">
        <v>0.2</v>
      </c>
      <c r="S85" s="93">
        <v>0.2</v>
      </c>
      <c r="T85" s="90">
        <f>H85*$F$19</f>
        <v>6000</v>
      </c>
      <c r="U85" s="90">
        <f t="shared" ref="U85:AE85" si="107">I85*$F$19</f>
        <v>6000</v>
      </c>
      <c r="V85" s="90">
        <f t="shared" si="107"/>
        <v>6000</v>
      </c>
      <c r="W85" s="90">
        <f t="shared" si="107"/>
        <v>6000</v>
      </c>
      <c r="X85" s="90">
        <f t="shared" si="107"/>
        <v>12000</v>
      </c>
      <c r="Y85" s="90">
        <f t="shared" si="107"/>
        <v>12000</v>
      </c>
      <c r="Z85" s="90">
        <f t="shared" si="107"/>
        <v>12000</v>
      </c>
      <c r="AA85" s="90">
        <f t="shared" si="107"/>
        <v>12000</v>
      </c>
      <c r="AB85" s="90">
        <f t="shared" si="107"/>
        <v>12000</v>
      </c>
      <c r="AC85" s="90">
        <f t="shared" si="107"/>
        <v>12000</v>
      </c>
      <c r="AD85" s="90">
        <f t="shared" si="107"/>
        <v>12000</v>
      </c>
      <c r="AE85" s="90">
        <f t="shared" si="107"/>
        <v>12000</v>
      </c>
      <c r="AF85" s="54">
        <f t="shared" si="77"/>
        <v>120000</v>
      </c>
      <c r="AG85" s="2"/>
    </row>
    <row r="86" spans="1:33" ht="16" thickBot="1" x14ac:dyDescent="0.25">
      <c r="A86" s="148" t="s">
        <v>51</v>
      </c>
      <c r="B86" s="91" t="s">
        <v>2</v>
      </c>
      <c r="C86" s="92" t="s">
        <v>49</v>
      </c>
      <c r="D86" s="92" t="s">
        <v>50</v>
      </c>
      <c r="E86" s="94" t="s">
        <v>198</v>
      </c>
      <c r="F86" s="95"/>
      <c r="G86" s="142">
        <f t="shared" si="75"/>
        <v>0.5</v>
      </c>
      <c r="H86" s="93">
        <v>0.5</v>
      </c>
      <c r="I86" s="93">
        <v>0.5</v>
      </c>
      <c r="J86" s="93">
        <v>0.5</v>
      </c>
      <c r="K86" s="93">
        <v>0.5</v>
      </c>
      <c r="L86" s="93">
        <v>0.5</v>
      </c>
      <c r="M86" s="93">
        <v>0.5</v>
      </c>
      <c r="N86" s="93">
        <v>0.5</v>
      </c>
      <c r="O86" s="93">
        <v>0.5</v>
      </c>
      <c r="P86" s="93">
        <v>0.5</v>
      </c>
      <c r="Q86" s="93">
        <v>0.5</v>
      </c>
      <c r="R86" s="93">
        <v>0.5</v>
      </c>
      <c r="S86" s="93">
        <v>0.5</v>
      </c>
      <c r="T86" s="90">
        <f t="shared" ref="T86:AE86" si="108">H86*$F$22</f>
        <v>9898.0902000000006</v>
      </c>
      <c r="U86" s="90">
        <f t="shared" si="108"/>
        <v>9898.0902000000006</v>
      </c>
      <c r="V86" s="90">
        <f t="shared" si="108"/>
        <v>9898.0902000000006</v>
      </c>
      <c r="W86" s="90">
        <f t="shared" si="108"/>
        <v>9898.0902000000006</v>
      </c>
      <c r="X86" s="90">
        <f t="shared" si="108"/>
        <v>9898.0902000000006</v>
      </c>
      <c r="Y86" s="90">
        <f t="shared" si="108"/>
        <v>9898.0902000000006</v>
      </c>
      <c r="Z86" s="90">
        <f t="shared" si="108"/>
        <v>9898.0902000000006</v>
      </c>
      <c r="AA86" s="90">
        <f t="shared" si="108"/>
        <v>9898.0902000000006</v>
      </c>
      <c r="AB86" s="90">
        <f t="shared" si="108"/>
        <v>9898.0902000000006</v>
      </c>
      <c r="AC86" s="90">
        <f t="shared" si="108"/>
        <v>9898.0902000000006</v>
      </c>
      <c r="AD86" s="90">
        <f t="shared" si="108"/>
        <v>9898.0902000000006</v>
      </c>
      <c r="AE86" s="90">
        <f t="shared" si="108"/>
        <v>9898.0902000000006</v>
      </c>
      <c r="AF86" s="54">
        <f t="shared" si="77"/>
        <v>118777.08240000003</v>
      </c>
      <c r="AG86" s="2"/>
    </row>
    <row r="87" spans="1:33" ht="16" thickBot="1" x14ac:dyDescent="0.25">
      <c r="A87" s="148" t="s">
        <v>51</v>
      </c>
      <c r="B87" s="91" t="s">
        <v>2</v>
      </c>
      <c r="C87" s="92" t="s">
        <v>52</v>
      </c>
      <c r="D87" s="92" t="s">
        <v>53</v>
      </c>
      <c r="E87" s="94" t="s">
        <v>69</v>
      </c>
      <c r="F87" s="95"/>
      <c r="G87" s="142">
        <f t="shared" si="75"/>
        <v>0.5</v>
      </c>
      <c r="H87" s="93">
        <v>0.5</v>
      </c>
      <c r="I87" s="93">
        <v>0.5</v>
      </c>
      <c r="J87" s="93">
        <v>0.5</v>
      </c>
      <c r="K87" s="93">
        <v>0.5</v>
      </c>
      <c r="L87" s="93">
        <v>0.5</v>
      </c>
      <c r="M87" s="93">
        <v>0.5</v>
      </c>
      <c r="N87" s="93">
        <v>0.5</v>
      </c>
      <c r="O87" s="93">
        <v>0.5</v>
      </c>
      <c r="P87" s="93">
        <v>0.5</v>
      </c>
      <c r="Q87" s="93">
        <v>0.5</v>
      </c>
      <c r="R87" s="93">
        <v>0.5</v>
      </c>
      <c r="S87" s="93">
        <v>0.5</v>
      </c>
      <c r="T87" s="90">
        <f t="shared" ref="T87:AE87" si="109">$F$23*H87</f>
        <v>4500</v>
      </c>
      <c r="U87" s="90">
        <f t="shared" si="109"/>
        <v>4500</v>
      </c>
      <c r="V87" s="90">
        <f t="shared" si="109"/>
        <v>4500</v>
      </c>
      <c r="W87" s="90">
        <f t="shared" si="109"/>
        <v>4500</v>
      </c>
      <c r="X87" s="90">
        <f t="shared" si="109"/>
        <v>4500</v>
      </c>
      <c r="Y87" s="90">
        <f t="shared" si="109"/>
        <v>4500</v>
      </c>
      <c r="Z87" s="90">
        <f t="shared" si="109"/>
        <v>4500</v>
      </c>
      <c r="AA87" s="90">
        <f t="shared" si="109"/>
        <v>4500</v>
      </c>
      <c r="AB87" s="90">
        <f t="shared" si="109"/>
        <v>4500</v>
      </c>
      <c r="AC87" s="90">
        <f t="shared" si="109"/>
        <v>4500</v>
      </c>
      <c r="AD87" s="90">
        <f t="shared" si="109"/>
        <v>4500</v>
      </c>
      <c r="AE87" s="90">
        <f t="shared" si="109"/>
        <v>4500</v>
      </c>
      <c r="AF87" s="54">
        <f t="shared" si="77"/>
        <v>54000</v>
      </c>
      <c r="AG87" s="2"/>
    </row>
    <row r="88" spans="1:33" ht="16" thickBot="1" x14ac:dyDescent="0.25">
      <c r="A88" s="148" t="s">
        <v>164</v>
      </c>
      <c r="B88" s="91" t="s">
        <v>2</v>
      </c>
      <c r="C88" s="92" t="s">
        <v>46</v>
      </c>
      <c r="D88" s="92" t="s">
        <v>47</v>
      </c>
      <c r="E88" s="94" t="s">
        <v>198</v>
      </c>
      <c r="F88" s="95"/>
      <c r="G88" s="142">
        <f t="shared" si="75"/>
        <v>0</v>
      </c>
      <c r="H88" s="93">
        <v>0</v>
      </c>
      <c r="I88" s="93">
        <v>0</v>
      </c>
      <c r="J88" s="93">
        <v>0</v>
      </c>
      <c r="K88" s="93">
        <v>0</v>
      </c>
      <c r="L88" s="93">
        <v>0</v>
      </c>
      <c r="M88" s="93">
        <v>0</v>
      </c>
      <c r="N88" s="93">
        <v>0</v>
      </c>
      <c r="O88" s="93">
        <v>0</v>
      </c>
      <c r="P88" s="93">
        <v>0</v>
      </c>
      <c r="Q88" s="93">
        <v>0</v>
      </c>
      <c r="R88" s="93">
        <v>0</v>
      </c>
      <c r="S88" s="93">
        <v>0</v>
      </c>
      <c r="T88" s="90">
        <f t="shared" ref="T88:AE88" si="110">H88*$F$3</f>
        <v>0</v>
      </c>
      <c r="U88" s="90">
        <f t="shared" si="110"/>
        <v>0</v>
      </c>
      <c r="V88" s="90">
        <f t="shared" si="110"/>
        <v>0</v>
      </c>
      <c r="W88" s="90">
        <f t="shared" si="110"/>
        <v>0</v>
      </c>
      <c r="X88" s="90">
        <f t="shared" si="110"/>
        <v>0</v>
      </c>
      <c r="Y88" s="90">
        <f t="shared" si="110"/>
        <v>0</v>
      </c>
      <c r="Z88" s="90">
        <f t="shared" si="110"/>
        <v>0</v>
      </c>
      <c r="AA88" s="90">
        <f t="shared" si="110"/>
        <v>0</v>
      </c>
      <c r="AB88" s="90">
        <f t="shared" si="110"/>
        <v>0</v>
      </c>
      <c r="AC88" s="90">
        <f t="shared" si="110"/>
        <v>0</v>
      </c>
      <c r="AD88" s="90">
        <f t="shared" si="110"/>
        <v>0</v>
      </c>
      <c r="AE88" s="90">
        <f t="shared" si="110"/>
        <v>0</v>
      </c>
      <c r="AF88" s="54">
        <f t="shared" si="77"/>
        <v>0</v>
      </c>
      <c r="AG88" s="2"/>
    </row>
    <row r="89" spans="1:33" ht="16" thickBot="1" x14ac:dyDescent="0.25">
      <c r="A89" s="148" t="s">
        <v>31</v>
      </c>
      <c r="B89" s="91" t="s">
        <v>2</v>
      </c>
      <c r="C89" s="92" t="s">
        <v>195</v>
      </c>
      <c r="D89" s="92" t="s">
        <v>168</v>
      </c>
      <c r="E89" s="94" t="s">
        <v>198</v>
      </c>
      <c r="F89" s="95"/>
      <c r="G89" s="142">
        <f t="shared" si="75"/>
        <v>0</v>
      </c>
      <c r="H89" s="93">
        <v>0</v>
      </c>
      <c r="I89" s="93">
        <v>0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0">
        <f t="shared" ref="T89:AE89" si="111">H89*$F$18</f>
        <v>0</v>
      </c>
      <c r="U89" s="90">
        <f t="shared" si="111"/>
        <v>0</v>
      </c>
      <c r="V89" s="90">
        <f t="shared" si="111"/>
        <v>0</v>
      </c>
      <c r="W89" s="90">
        <f t="shared" si="111"/>
        <v>0</v>
      </c>
      <c r="X89" s="90">
        <f t="shared" si="111"/>
        <v>0</v>
      </c>
      <c r="Y89" s="90">
        <f t="shared" si="111"/>
        <v>0</v>
      </c>
      <c r="Z89" s="90">
        <f t="shared" si="111"/>
        <v>0</v>
      </c>
      <c r="AA89" s="90">
        <f t="shared" si="111"/>
        <v>0</v>
      </c>
      <c r="AB89" s="90">
        <f t="shared" si="111"/>
        <v>0</v>
      </c>
      <c r="AC89" s="90">
        <f t="shared" si="111"/>
        <v>0</v>
      </c>
      <c r="AD89" s="90">
        <f t="shared" si="111"/>
        <v>0</v>
      </c>
      <c r="AE89" s="90">
        <f t="shared" si="111"/>
        <v>0</v>
      </c>
      <c r="AF89" s="54">
        <f t="shared" si="77"/>
        <v>0</v>
      </c>
      <c r="AG89" s="2"/>
    </row>
    <row r="90" spans="1:33" ht="16" thickBot="1" x14ac:dyDescent="0.25">
      <c r="A90" s="148" t="s">
        <v>31</v>
      </c>
      <c r="B90" s="91" t="s">
        <v>2</v>
      </c>
      <c r="C90" s="92" t="s">
        <v>88</v>
      </c>
      <c r="D90" s="92" t="s">
        <v>41</v>
      </c>
      <c r="E90" s="94" t="s">
        <v>198</v>
      </c>
      <c r="F90" s="95"/>
      <c r="G90" s="142">
        <f t="shared" si="75"/>
        <v>0</v>
      </c>
      <c r="H90" s="93">
        <v>0</v>
      </c>
      <c r="I90" s="93">
        <v>0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0">
        <f t="shared" ref="T90:AE90" si="112">$F$17*H90</f>
        <v>0</v>
      </c>
      <c r="U90" s="90">
        <f t="shared" si="112"/>
        <v>0</v>
      </c>
      <c r="V90" s="90">
        <f t="shared" si="112"/>
        <v>0</v>
      </c>
      <c r="W90" s="90">
        <f t="shared" si="112"/>
        <v>0</v>
      </c>
      <c r="X90" s="90">
        <f t="shared" si="112"/>
        <v>0</v>
      </c>
      <c r="Y90" s="90">
        <f t="shared" si="112"/>
        <v>0</v>
      </c>
      <c r="Z90" s="90">
        <f t="shared" si="112"/>
        <v>0</v>
      </c>
      <c r="AA90" s="90">
        <f t="shared" si="112"/>
        <v>0</v>
      </c>
      <c r="AB90" s="90">
        <f t="shared" si="112"/>
        <v>0</v>
      </c>
      <c r="AC90" s="90">
        <f t="shared" si="112"/>
        <v>0</v>
      </c>
      <c r="AD90" s="90">
        <f t="shared" si="112"/>
        <v>0</v>
      </c>
      <c r="AE90" s="90">
        <f t="shared" si="112"/>
        <v>0</v>
      </c>
      <c r="AF90" s="54">
        <f t="shared" si="77"/>
        <v>0</v>
      </c>
      <c r="AG90" s="2"/>
    </row>
    <row r="91" spans="1:33" ht="16" thickBot="1" x14ac:dyDescent="0.25">
      <c r="A91" s="148" t="s">
        <v>164</v>
      </c>
      <c r="B91" s="91" t="s">
        <v>2</v>
      </c>
      <c r="C91" s="92" t="s">
        <v>167</v>
      </c>
      <c r="D91" s="92" t="s">
        <v>48</v>
      </c>
      <c r="E91" s="94" t="s">
        <v>198</v>
      </c>
      <c r="F91" s="95"/>
      <c r="G91" s="142">
        <f t="shared" si="75"/>
        <v>0</v>
      </c>
      <c r="H91" s="93">
        <v>0</v>
      </c>
      <c r="I91" s="93">
        <v>0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0">
        <f t="shared" ref="T91:AE91" si="113">$F$4*H91</f>
        <v>0</v>
      </c>
      <c r="U91" s="90">
        <f t="shared" si="113"/>
        <v>0</v>
      </c>
      <c r="V91" s="90">
        <f t="shared" si="113"/>
        <v>0</v>
      </c>
      <c r="W91" s="90">
        <f t="shared" si="113"/>
        <v>0</v>
      </c>
      <c r="X91" s="90">
        <f t="shared" si="113"/>
        <v>0</v>
      </c>
      <c r="Y91" s="90">
        <f t="shared" si="113"/>
        <v>0</v>
      </c>
      <c r="Z91" s="90">
        <f t="shared" si="113"/>
        <v>0</v>
      </c>
      <c r="AA91" s="90">
        <f t="shared" si="113"/>
        <v>0</v>
      </c>
      <c r="AB91" s="90">
        <f t="shared" si="113"/>
        <v>0</v>
      </c>
      <c r="AC91" s="90">
        <f t="shared" si="113"/>
        <v>0</v>
      </c>
      <c r="AD91" s="90">
        <f t="shared" si="113"/>
        <v>0</v>
      </c>
      <c r="AE91" s="90">
        <f t="shared" si="113"/>
        <v>0</v>
      </c>
      <c r="AF91" s="54">
        <f t="shared" si="77"/>
        <v>0</v>
      </c>
      <c r="AG91" s="2"/>
    </row>
    <row r="92" spans="1:33" ht="16" thickBot="1" x14ac:dyDescent="0.25">
      <c r="A92" s="148" t="s">
        <v>163</v>
      </c>
      <c r="B92" s="91" t="s">
        <v>2</v>
      </c>
      <c r="C92" s="92" t="s">
        <v>172</v>
      </c>
      <c r="D92" s="92" t="s">
        <v>168</v>
      </c>
      <c r="E92" s="94" t="s">
        <v>76</v>
      </c>
      <c r="F92" s="95"/>
      <c r="G92" s="142">
        <f t="shared" si="75"/>
        <v>0</v>
      </c>
      <c r="H92" s="93">
        <v>0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0">
        <f t="shared" ref="T92:AE92" si="114">$F$8*H92</f>
        <v>0</v>
      </c>
      <c r="U92" s="90">
        <f t="shared" si="114"/>
        <v>0</v>
      </c>
      <c r="V92" s="90">
        <f t="shared" si="114"/>
        <v>0</v>
      </c>
      <c r="W92" s="90">
        <f t="shared" si="114"/>
        <v>0</v>
      </c>
      <c r="X92" s="90">
        <f t="shared" si="114"/>
        <v>0</v>
      </c>
      <c r="Y92" s="90">
        <f t="shared" si="114"/>
        <v>0</v>
      </c>
      <c r="Z92" s="90">
        <f t="shared" si="114"/>
        <v>0</v>
      </c>
      <c r="AA92" s="90">
        <f t="shared" si="114"/>
        <v>0</v>
      </c>
      <c r="AB92" s="90">
        <f t="shared" si="114"/>
        <v>0</v>
      </c>
      <c r="AC92" s="90">
        <f t="shared" si="114"/>
        <v>0</v>
      </c>
      <c r="AD92" s="90">
        <f t="shared" si="114"/>
        <v>0</v>
      </c>
      <c r="AE92" s="90">
        <f t="shared" si="114"/>
        <v>0</v>
      </c>
      <c r="AF92" s="54">
        <f t="shared" si="77"/>
        <v>0</v>
      </c>
      <c r="AG92" s="2"/>
    </row>
    <row r="93" spans="1:33" ht="16" thickBot="1" x14ac:dyDescent="0.25">
      <c r="A93" s="148" t="s">
        <v>163</v>
      </c>
      <c r="B93" s="91" t="s">
        <v>2</v>
      </c>
      <c r="C93" s="92" t="s">
        <v>173</v>
      </c>
      <c r="D93" s="92" t="s">
        <v>168</v>
      </c>
      <c r="E93" s="94" t="s">
        <v>76</v>
      </c>
      <c r="F93" s="95"/>
      <c r="G93" s="142">
        <f t="shared" si="75"/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0</v>
      </c>
      <c r="P93" s="93">
        <v>0</v>
      </c>
      <c r="Q93" s="93">
        <v>0</v>
      </c>
      <c r="R93" s="93">
        <v>0</v>
      </c>
      <c r="S93" s="93">
        <v>0</v>
      </c>
      <c r="T93" s="90">
        <f t="shared" ref="T93:AE93" si="115">$F$9*H93</f>
        <v>0</v>
      </c>
      <c r="U93" s="90">
        <f t="shared" si="115"/>
        <v>0</v>
      </c>
      <c r="V93" s="90">
        <f t="shared" si="115"/>
        <v>0</v>
      </c>
      <c r="W93" s="90">
        <f t="shared" si="115"/>
        <v>0</v>
      </c>
      <c r="X93" s="90">
        <f t="shared" si="115"/>
        <v>0</v>
      </c>
      <c r="Y93" s="90">
        <f t="shared" si="115"/>
        <v>0</v>
      </c>
      <c r="Z93" s="90">
        <f t="shared" si="115"/>
        <v>0</v>
      </c>
      <c r="AA93" s="90">
        <f t="shared" si="115"/>
        <v>0</v>
      </c>
      <c r="AB93" s="90">
        <f t="shared" si="115"/>
        <v>0</v>
      </c>
      <c r="AC93" s="90">
        <f t="shared" si="115"/>
        <v>0</v>
      </c>
      <c r="AD93" s="90">
        <f t="shared" si="115"/>
        <v>0</v>
      </c>
      <c r="AE93" s="90">
        <f t="shared" si="115"/>
        <v>0</v>
      </c>
      <c r="AF93" s="54">
        <f t="shared" si="77"/>
        <v>0</v>
      </c>
      <c r="AG93" s="2"/>
    </row>
    <row r="94" spans="1:33" ht="16" thickBot="1" x14ac:dyDescent="0.25">
      <c r="A94" s="148" t="s">
        <v>163</v>
      </c>
      <c r="B94" s="91" t="s">
        <v>2</v>
      </c>
      <c r="C94" s="92" t="s">
        <v>171</v>
      </c>
      <c r="D94" s="92" t="s">
        <v>168</v>
      </c>
      <c r="E94" s="94" t="s">
        <v>76</v>
      </c>
      <c r="F94" s="95"/>
      <c r="G94" s="142">
        <f t="shared" si="75"/>
        <v>0</v>
      </c>
      <c r="H94" s="93">
        <v>0</v>
      </c>
      <c r="I94" s="93">
        <v>0</v>
      </c>
      <c r="J94" s="93">
        <v>0</v>
      </c>
      <c r="K94" s="93">
        <v>0</v>
      </c>
      <c r="L94" s="93">
        <v>0</v>
      </c>
      <c r="M94" s="93">
        <v>0</v>
      </c>
      <c r="N94" s="93">
        <v>0</v>
      </c>
      <c r="O94" s="93">
        <v>0</v>
      </c>
      <c r="P94" s="93">
        <v>0</v>
      </c>
      <c r="Q94" s="93">
        <v>0</v>
      </c>
      <c r="R94" s="93">
        <v>0</v>
      </c>
      <c r="S94" s="93">
        <v>0</v>
      </c>
      <c r="T94" s="90">
        <f t="shared" ref="T94:AE94" si="116">$F$10*H94</f>
        <v>0</v>
      </c>
      <c r="U94" s="90">
        <f t="shared" si="116"/>
        <v>0</v>
      </c>
      <c r="V94" s="90">
        <f t="shared" si="116"/>
        <v>0</v>
      </c>
      <c r="W94" s="90">
        <f t="shared" si="116"/>
        <v>0</v>
      </c>
      <c r="X94" s="90">
        <f t="shared" si="116"/>
        <v>0</v>
      </c>
      <c r="Y94" s="90">
        <f t="shared" si="116"/>
        <v>0</v>
      </c>
      <c r="Z94" s="90">
        <f t="shared" si="116"/>
        <v>0</v>
      </c>
      <c r="AA94" s="90">
        <f t="shared" si="116"/>
        <v>0</v>
      </c>
      <c r="AB94" s="90">
        <f t="shared" si="116"/>
        <v>0</v>
      </c>
      <c r="AC94" s="90">
        <f t="shared" si="116"/>
        <v>0</v>
      </c>
      <c r="AD94" s="90">
        <f t="shared" si="116"/>
        <v>0</v>
      </c>
      <c r="AE94" s="90">
        <f t="shared" si="116"/>
        <v>0</v>
      </c>
      <c r="AF94" s="54">
        <f t="shared" si="77"/>
        <v>0</v>
      </c>
      <c r="AG94" s="2"/>
    </row>
    <row r="95" spans="1:33" ht="16" thickBot="1" x14ac:dyDescent="0.25">
      <c r="A95" s="148" t="s">
        <v>180</v>
      </c>
      <c r="B95" s="91" t="s">
        <v>2</v>
      </c>
      <c r="C95" s="92" t="s">
        <v>185</v>
      </c>
      <c r="D95" s="92" t="s">
        <v>78</v>
      </c>
      <c r="E95" s="94" t="s">
        <v>76</v>
      </c>
      <c r="F95" s="95"/>
      <c r="G95" s="142">
        <f t="shared" si="75"/>
        <v>0</v>
      </c>
      <c r="H95" s="93">
        <v>0</v>
      </c>
      <c r="I95" s="93">
        <v>0</v>
      </c>
      <c r="J95" s="93">
        <v>0</v>
      </c>
      <c r="K95" s="93">
        <v>0</v>
      </c>
      <c r="L95" s="93">
        <v>0</v>
      </c>
      <c r="M95" s="93">
        <v>0</v>
      </c>
      <c r="N95" s="93">
        <v>0</v>
      </c>
      <c r="O95" s="93">
        <v>0</v>
      </c>
      <c r="P95" s="93">
        <v>0</v>
      </c>
      <c r="Q95" s="93">
        <v>0</v>
      </c>
      <c r="R95" s="93">
        <v>0</v>
      </c>
      <c r="S95" s="93">
        <v>0</v>
      </c>
      <c r="T95" s="90">
        <f t="shared" ref="T95:AE95" si="117">H95*$F$35</f>
        <v>0</v>
      </c>
      <c r="U95" s="90">
        <f t="shared" si="117"/>
        <v>0</v>
      </c>
      <c r="V95" s="90">
        <f t="shared" si="117"/>
        <v>0</v>
      </c>
      <c r="W95" s="90">
        <f t="shared" si="117"/>
        <v>0</v>
      </c>
      <c r="X95" s="90">
        <f t="shared" si="117"/>
        <v>0</v>
      </c>
      <c r="Y95" s="90">
        <f t="shared" si="117"/>
        <v>0</v>
      </c>
      <c r="Z95" s="90">
        <f t="shared" si="117"/>
        <v>0</v>
      </c>
      <c r="AA95" s="90">
        <f t="shared" si="117"/>
        <v>0</v>
      </c>
      <c r="AB95" s="90">
        <f t="shared" si="117"/>
        <v>0</v>
      </c>
      <c r="AC95" s="90">
        <f t="shared" si="117"/>
        <v>0</v>
      </c>
      <c r="AD95" s="90">
        <f t="shared" si="117"/>
        <v>0</v>
      </c>
      <c r="AE95" s="90">
        <f t="shared" si="117"/>
        <v>0</v>
      </c>
      <c r="AF95" s="54">
        <f t="shared" si="77"/>
        <v>0</v>
      </c>
      <c r="AG95" s="2"/>
    </row>
    <row r="96" spans="1:33" ht="16" thickBot="1" x14ac:dyDescent="0.25">
      <c r="A96" s="148" t="s">
        <v>180</v>
      </c>
      <c r="B96" s="91" t="s">
        <v>2</v>
      </c>
      <c r="C96" s="92" t="s">
        <v>186</v>
      </c>
      <c r="D96" s="92" t="s">
        <v>79</v>
      </c>
      <c r="E96" s="94" t="s">
        <v>76</v>
      </c>
      <c r="F96" s="95"/>
      <c r="G96" s="142">
        <f t="shared" si="75"/>
        <v>0</v>
      </c>
      <c r="H96" s="93">
        <v>0</v>
      </c>
      <c r="I96" s="93">
        <v>0</v>
      </c>
      <c r="J96" s="93">
        <v>0</v>
      </c>
      <c r="K96" s="93">
        <v>0</v>
      </c>
      <c r="L96" s="93">
        <v>0</v>
      </c>
      <c r="M96" s="93">
        <v>0</v>
      </c>
      <c r="N96" s="93">
        <v>0</v>
      </c>
      <c r="O96" s="93">
        <v>0</v>
      </c>
      <c r="P96" s="93">
        <v>0</v>
      </c>
      <c r="Q96" s="93">
        <v>0</v>
      </c>
      <c r="R96" s="93">
        <v>0</v>
      </c>
      <c r="S96" s="93">
        <v>0</v>
      </c>
      <c r="T96" s="90">
        <f t="shared" ref="T96:AE96" si="118">H96*$F$36</f>
        <v>0</v>
      </c>
      <c r="U96" s="90">
        <f t="shared" si="118"/>
        <v>0</v>
      </c>
      <c r="V96" s="90">
        <f t="shared" si="118"/>
        <v>0</v>
      </c>
      <c r="W96" s="90">
        <f t="shared" si="118"/>
        <v>0</v>
      </c>
      <c r="X96" s="90">
        <f t="shared" si="118"/>
        <v>0</v>
      </c>
      <c r="Y96" s="90">
        <f t="shared" si="118"/>
        <v>0</v>
      </c>
      <c r="Z96" s="90">
        <f t="shared" si="118"/>
        <v>0</v>
      </c>
      <c r="AA96" s="90">
        <f t="shared" si="118"/>
        <v>0</v>
      </c>
      <c r="AB96" s="90">
        <f t="shared" si="118"/>
        <v>0</v>
      </c>
      <c r="AC96" s="90">
        <f t="shared" si="118"/>
        <v>0</v>
      </c>
      <c r="AD96" s="90">
        <f t="shared" si="118"/>
        <v>0</v>
      </c>
      <c r="AE96" s="90">
        <f t="shared" si="118"/>
        <v>0</v>
      </c>
      <c r="AF96" s="54">
        <f t="shared" si="77"/>
        <v>0</v>
      </c>
      <c r="AG96" s="2"/>
    </row>
    <row r="97" spans="1:33" ht="16" thickBot="1" x14ac:dyDescent="0.25">
      <c r="A97" s="148" t="s">
        <v>180</v>
      </c>
      <c r="B97" s="91" t="s">
        <v>2</v>
      </c>
      <c r="C97" s="92" t="s">
        <v>190</v>
      </c>
      <c r="D97" s="92" t="s">
        <v>168</v>
      </c>
      <c r="E97" s="94" t="s">
        <v>76</v>
      </c>
      <c r="F97" s="95"/>
      <c r="G97" s="142">
        <f t="shared" si="75"/>
        <v>0</v>
      </c>
      <c r="H97" s="93">
        <v>0</v>
      </c>
      <c r="I97" s="93">
        <v>0</v>
      </c>
      <c r="J97" s="93">
        <v>0</v>
      </c>
      <c r="K97" s="93">
        <v>0</v>
      </c>
      <c r="L97" s="93">
        <v>0</v>
      </c>
      <c r="M97" s="93">
        <v>0</v>
      </c>
      <c r="N97" s="93">
        <v>0</v>
      </c>
      <c r="O97" s="93">
        <v>0</v>
      </c>
      <c r="P97" s="93">
        <v>0</v>
      </c>
      <c r="Q97" s="93">
        <v>0</v>
      </c>
      <c r="R97" s="93">
        <v>0</v>
      </c>
      <c r="S97" s="93">
        <v>0</v>
      </c>
      <c r="T97" s="90">
        <f t="shared" ref="T97:AE97" si="119">H97*$F$43</f>
        <v>0</v>
      </c>
      <c r="U97" s="90">
        <f t="shared" si="119"/>
        <v>0</v>
      </c>
      <c r="V97" s="90">
        <f t="shared" si="119"/>
        <v>0</v>
      </c>
      <c r="W97" s="90">
        <f t="shared" si="119"/>
        <v>0</v>
      </c>
      <c r="X97" s="90">
        <f t="shared" si="119"/>
        <v>0</v>
      </c>
      <c r="Y97" s="90">
        <f t="shared" si="119"/>
        <v>0</v>
      </c>
      <c r="Z97" s="90">
        <f t="shared" si="119"/>
        <v>0</v>
      </c>
      <c r="AA97" s="90">
        <f t="shared" si="119"/>
        <v>0</v>
      </c>
      <c r="AB97" s="90">
        <f t="shared" si="119"/>
        <v>0</v>
      </c>
      <c r="AC97" s="90">
        <f t="shared" si="119"/>
        <v>0</v>
      </c>
      <c r="AD97" s="90">
        <f t="shared" si="119"/>
        <v>0</v>
      </c>
      <c r="AE97" s="90">
        <f t="shared" si="119"/>
        <v>0</v>
      </c>
      <c r="AF97" s="54">
        <f t="shared" si="77"/>
        <v>0</v>
      </c>
      <c r="AG97" s="2"/>
    </row>
    <row r="98" spans="1:33" ht="16" thickBot="1" x14ac:dyDescent="0.25">
      <c r="A98" s="148" t="s">
        <v>180</v>
      </c>
      <c r="B98" s="91" t="s">
        <v>2</v>
      </c>
      <c r="C98" s="92" t="s">
        <v>191</v>
      </c>
      <c r="D98" s="92" t="s">
        <v>168</v>
      </c>
      <c r="E98" s="94" t="s">
        <v>76</v>
      </c>
      <c r="F98" s="95"/>
      <c r="G98" s="142">
        <f t="shared" si="75"/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0">
        <f t="shared" ref="T98:AE98" si="120">H98*$F$44</f>
        <v>0</v>
      </c>
      <c r="U98" s="90">
        <f t="shared" si="120"/>
        <v>0</v>
      </c>
      <c r="V98" s="90">
        <f t="shared" si="120"/>
        <v>0</v>
      </c>
      <c r="W98" s="90">
        <f t="shared" si="120"/>
        <v>0</v>
      </c>
      <c r="X98" s="90">
        <f t="shared" si="120"/>
        <v>0</v>
      </c>
      <c r="Y98" s="90">
        <f t="shared" si="120"/>
        <v>0</v>
      </c>
      <c r="Z98" s="90">
        <f t="shared" si="120"/>
        <v>0</v>
      </c>
      <c r="AA98" s="90">
        <f t="shared" si="120"/>
        <v>0</v>
      </c>
      <c r="AB98" s="90">
        <f t="shared" si="120"/>
        <v>0</v>
      </c>
      <c r="AC98" s="90">
        <f t="shared" si="120"/>
        <v>0</v>
      </c>
      <c r="AD98" s="90">
        <f t="shared" si="120"/>
        <v>0</v>
      </c>
      <c r="AE98" s="90">
        <f t="shared" si="120"/>
        <v>0</v>
      </c>
      <c r="AF98" s="54">
        <f t="shared" si="77"/>
        <v>0</v>
      </c>
      <c r="AG98" s="2"/>
    </row>
    <row r="99" spans="1:33" ht="16" thickBot="1" x14ac:dyDescent="0.25">
      <c r="A99" s="148" t="s">
        <v>180</v>
      </c>
      <c r="B99" s="91" t="s">
        <v>2</v>
      </c>
      <c r="C99" s="92" t="s">
        <v>192</v>
      </c>
      <c r="D99" s="92" t="s">
        <v>168</v>
      </c>
      <c r="E99" s="94" t="s">
        <v>76</v>
      </c>
      <c r="F99" s="95"/>
      <c r="G99" s="142">
        <f t="shared" si="75"/>
        <v>0</v>
      </c>
      <c r="H99" s="93">
        <v>0</v>
      </c>
      <c r="I99" s="93">
        <v>0</v>
      </c>
      <c r="J99" s="93">
        <v>0</v>
      </c>
      <c r="K99" s="93">
        <v>0</v>
      </c>
      <c r="L99" s="93">
        <v>0</v>
      </c>
      <c r="M99" s="93">
        <v>0</v>
      </c>
      <c r="N99" s="93">
        <v>0</v>
      </c>
      <c r="O99" s="93">
        <v>0</v>
      </c>
      <c r="P99" s="93">
        <v>0</v>
      </c>
      <c r="Q99" s="93">
        <v>0</v>
      </c>
      <c r="R99" s="93">
        <v>0</v>
      </c>
      <c r="S99" s="93">
        <v>0</v>
      </c>
      <c r="T99" s="90">
        <f t="shared" ref="T99:AE99" si="121">H99*$F$45</f>
        <v>0</v>
      </c>
      <c r="U99" s="90">
        <f t="shared" si="121"/>
        <v>0</v>
      </c>
      <c r="V99" s="90">
        <f t="shared" si="121"/>
        <v>0</v>
      </c>
      <c r="W99" s="90">
        <f t="shared" si="121"/>
        <v>0</v>
      </c>
      <c r="X99" s="90">
        <f t="shared" si="121"/>
        <v>0</v>
      </c>
      <c r="Y99" s="90">
        <f t="shared" si="121"/>
        <v>0</v>
      </c>
      <c r="Z99" s="90">
        <f t="shared" si="121"/>
        <v>0</v>
      </c>
      <c r="AA99" s="90">
        <f t="shared" si="121"/>
        <v>0</v>
      </c>
      <c r="AB99" s="90">
        <f t="shared" si="121"/>
        <v>0</v>
      </c>
      <c r="AC99" s="90">
        <f t="shared" si="121"/>
        <v>0</v>
      </c>
      <c r="AD99" s="90">
        <f t="shared" si="121"/>
        <v>0</v>
      </c>
      <c r="AE99" s="90">
        <f t="shared" si="121"/>
        <v>0</v>
      </c>
      <c r="AF99" s="54">
        <f t="shared" si="77"/>
        <v>0</v>
      </c>
      <c r="AG99" s="2"/>
    </row>
    <row r="100" spans="1:33" ht="16" thickBot="1" x14ac:dyDescent="0.25">
      <c r="A100" s="148" t="s">
        <v>180</v>
      </c>
      <c r="B100" s="91" t="s">
        <v>2</v>
      </c>
      <c r="C100" s="92" t="s">
        <v>259</v>
      </c>
      <c r="D100" s="92" t="s">
        <v>168</v>
      </c>
      <c r="E100" s="94" t="s">
        <v>76</v>
      </c>
      <c r="F100" s="95"/>
      <c r="G100" s="142">
        <f t="shared" si="75"/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3">
        <v>0</v>
      </c>
      <c r="S100" s="93">
        <v>0</v>
      </c>
      <c r="T100" s="90">
        <f t="shared" ref="T100:AE100" si="122">H100*$F$46</f>
        <v>0</v>
      </c>
      <c r="U100" s="90">
        <f t="shared" si="122"/>
        <v>0</v>
      </c>
      <c r="V100" s="90">
        <f t="shared" si="122"/>
        <v>0</v>
      </c>
      <c r="W100" s="90">
        <f t="shared" si="122"/>
        <v>0</v>
      </c>
      <c r="X100" s="90">
        <f t="shared" si="122"/>
        <v>0</v>
      </c>
      <c r="Y100" s="90">
        <f t="shared" si="122"/>
        <v>0</v>
      </c>
      <c r="Z100" s="90">
        <f t="shared" si="122"/>
        <v>0</v>
      </c>
      <c r="AA100" s="90">
        <f t="shared" si="122"/>
        <v>0</v>
      </c>
      <c r="AB100" s="90">
        <f t="shared" si="122"/>
        <v>0</v>
      </c>
      <c r="AC100" s="90">
        <f t="shared" si="122"/>
        <v>0</v>
      </c>
      <c r="AD100" s="90">
        <f t="shared" si="122"/>
        <v>0</v>
      </c>
      <c r="AE100" s="90">
        <f t="shared" si="122"/>
        <v>0</v>
      </c>
      <c r="AF100" s="54">
        <f t="shared" si="77"/>
        <v>0</v>
      </c>
      <c r="AG100" s="2"/>
    </row>
    <row r="101" spans="1:33" ht="16" thickBot="1" x14ac:dyDescent="0.25">
      <c r="A101" s="148" t="s">
        <v>31</v>
      </c>
      <c r="B101" s="91" t="s">
        <v>2</v>
      </c>
      <c r="C101" s="92" t="s">
        <v>44</v>
      </c>
      <c r="D101" s="92" t="s">
        <v>45</v>
      </c>
      <c r="E101" s="94" t="s">
        <v>69</v>
      </c>
      <c r="F101" s="95"/>
      <c r="G101" s="142">
        <f t="shared" si="75"/>
        <v>1</v>
      </c>
      <c r="H101" s="93">
        <v>1</v>
      </c>
      <c r="I101" s="93">
        <v>1</v>
      </c>
      <c r="J101" s="93">
        <v>1</v>
      </c>
      <c r="K101" s="93">
        <v>1</v>
      </c>
      <c r="L101" s="93">
        <v>1</v>
      </c>
      <c r="M101" s="93">
        <v>1</v>
      </c>
      <c r="N101" s="93">
        <v>1</v>
      </c>
      <c r="O101" s="93">
        <v>1</v>
      </c>
      <c r="P101" s="93">
        <v>1</v>
      </c>
      <c r="Q101" s="93">
        <v>1</v>
      </c>
      <c r="R101" s="93">
        <v>1</v>
      </c>
      <c r="S101" s="93">
        <v>1</v>
      </c>
      <c r="T101" s="90">
        <f t="shared" ref="T101:AE101" si="123">H101*$F$16</f>
        <v>3006</v>
      </c>
      <c r="U101" s="90">
        <f t="shared" si="123"/>
        <v>3006</v>
      </c>
      <c r="V101" s="90">
        <f t="shared" si="123"/>
        <v>3006</v>
      </c>
      <c r="W101" s="90">
        <f t="shared" si="123"/>
        <v>3006</v>
      </c>
      <c r="X101" s="90">
        <f t="shared" si="123"/>
        <v>3006</v>
      </c>
      <c r="Y101" s="90">
        <f t="shared" si="123"/>
        <v>3006</v>
      </c>
      <c r="Z101" s="90">
        <f t="shared" si="123"/>
        <v>3006</v>
      </c>
      <c r="AA101" s="90">
        <f t="shared" si="123"/>
        <v>3006</v>
      </c>
      <c r="AB101" s="90">
        <f t="shared" si="123"/>
        <v>3006</v>
      </c>
      <c r="AC101" s="90">
        <f t="shared" si="123"/>
        <v>3006</v>
      </c>
      <c r="AD101" s="90">
        <f t="shared" si="123"/>
        <v>3006</v>
      </c>
      <c r="AE101" s="90">
        <f t="shared" si="123"/>
        <v>3006</v>
      </c>
      <c r="AF101" s="54">
        <f t="shared" si="77"/>
        <v>36072</v>
      </c>
      <c r="AG101" s="2"/>
    </row>
    <row r="102" spans="1:33" ht="16" thickBot="1" x14ac:dyDescent="0.25">
      <c r="A102" s="148" t="s">
        <v>31</v>
      </c>
      <c r="B102" s="91" t="s">
        <v>2</v>
      </c>
      <c r="C102" s="92" t="s">
        <v>30</v>
      </c>
      <c r="D102" s="92" t="s">
        <v>30</v>
      </c>
      <c r="E102" s="94" t="s">
        <v>69</v>
      </c>
      <c r="F102" s="95"/>
      <c r="G102" s="142">
        <f t="shared" si="75"/>
        <v>0</v>
      </c>
      <c r="H102" s="93">
        <v>0</v>
      </c>
      <c r="I102" s="93">
        <v>0</v>
      </c>
      <c r="J102" s="93">
        <v>0</v>
      </c>
      <c r="K102" s="93">
        <v>0</v>
      </c>
      <c r="L102" s="93">
        <v>0</v>
      </c>
      <c r="M102" s="93">
        <v>0</v>
      </c>
      <c r="N102" s="93">
        <v>0</v>
      </c>
      <c r="O102" s="93">
        <v>0</v>
      </c>
      <c r="P102" s="93">
        <v>0</v>
      </c>
      <c r="Q102" s="93">
        <v>0</v>
      </c>
      <c r="R102" s="93">
        <v>0</v>
      </c>
      <c r="S102" s="93">
        <v>0</v>
      </c>
      <c r="T102" s="90">
        <f t="shared" ref="T102:AE102" si="124">H102*$F$15</f>
        <v>0</v>
      </c>
      <c r="U102" s="90">
        <f t="shared" si="124"/>
        <v>0</v>
      </c>
      <c r="V102" s="90">
        <f t="shared" si="124"/>
        <v>0</v>
      </c>
      <c r="W102" s="90">
        <f t="shared" si="124"/>
        <v>0</v>
      </c>
      <c r="X102" s="90">
        <f t="shared" si="124"/>
        <v>0</v>
      </c>
      <c r="Y102" s="90">
        <f t="shared" si="124"/>
        <v>0</v>
      </c>
      <c r="Z102" s="90">
        <f t="shared" si="124"/>
        <v>0</v>
      </c>
      <c r="AA102" s="90">
        <f t="shared" si="124"/>
        <v>0</v>
      </c>
      <c r="AB102" s="90">
        <f t="shared" si="124"/>
        <v>0</v>
      </c>
      <c r="AC102" s="90">
        <f t="shared" si="124"/>
        <v>0</v>
      </c>
      <c r="AD102" s="90">
        <f t="shared" si="124"/>
        <v>0</v>
      </c>
      <c r="AE102" s="90">
        <f t="shared" si="124"/>
        <v>0</v>
      </c>
      <c r="AF102" s="54">
        <f t="shared" si="77"/>
        <v>0</v>
      </c>
      <c r="AG102" s="2"/>
    </row>
    <row r="103" spans="1:33" ht="16" thickBot="1" x14ac:dyDescent="0.25">
      <c r="A103" s="148" t="s">
        <v>196</v>
      </c>
      <c r="B103" s="91" t="s">
        <v>2</v>
      </c>
      <c r="C103" s="92" t="s">
        <v>197</v>
      </c>
      <c r="D103" s="92" t="s">
        <v>168</v>
      </c>
      <c r="E103" s="94" t="s">
        <v>198</v>
      </c>
      <c r="F103" s="95"/>
      <c r="G103" s="142">
        <f t="shared" si="75"/>
        <v>0</v>
      </c>
      <c r="H103" s="93">
        <v>0</v>
      </c>
      <c r="I103" s="93">
        <v>0</v>
      </c>
      <c r="J103" s="93">
        <v>0</v>
      </c>
      <c r="K103" s="93">
        <v>0</v>
      </c>
      <c r="L103" s="93">
        <v>0</v>
      </c>
      <c r="M103" s="93">
        <v>0</v>
      </c>
      <c r="N103" s="93">
        <v>0</v>
      </c>
      <c r="O103" s="93">
        <v>0</v>
      </c>
      <c r="P103" s="93">
        <v>0</v>
      </c>
      <c r="Q103" s="93">
        <v>0</v>
      </c>
      <c r="R103" s="93">
        <v>0</v>
      </c>
      <c r="S103" s="93">
        <v>0</v>
      </c>
      <c r="T103" s="90">
        <f t="shared" ref="T103:AE103" si="125">H103*$F$49</f>
        <v>0</v>
      </c>
      <c r="U103" s="90">
        <f t="shared" si="125"/>
        <v>0</v>
      </c>
      <c r="V103" s="90">
        <f t="shared" si="125"/>
        <v>0</v>
      </c>
      <c r="W103" s="90">
        <f t="shared" si="125"/>
        <v>0</v>
      </c>
      <c r="X103" s="90">
        <f t="shared" si="125"/>
        <v>0</v>
      </c>
      <c r="Y103" s="90">
        <f t="shared" si="125"/>
        <v>0</v>
      </c>
      <c r="Z103" s="90">
        <f t="shared" si="125"/>
        <v>0</v>
      </c>
      <c r="AA103" s="90">
        <f t="shared" si="125"/>
        <v>0</v>
      </c>
      <c r="AB103" s="90">
        <f t="shared" si="125"/>
        <v>0</v>
      </c>
      <c r="AC103" s="90">
        <f t="shared" si="125"/>
        <v>0</v>
      </c>
      <c r="AD103" s="90">
        <f t="shared" si="125"/>
        <v>0</v>
      </c>
      <c r="AE103" s="90">
        <f t="shared" si="125"/>
        <v>0</v>
      </c>
      <c r="AF103" s="54">
        <f t="shared" si="77"/>
        <v>0</v>
      </c>
      <c r="AG103" s="2"/>
    </row>
    <row r="104" spans="1:33" ht="16" thickBot="1" x14ac:dyDescent="0.25">
      <c r="A104" s="148" t="s">
        <v>180</v>
      </c>
      <c r="B104" s="91" t="s">
        <v>2</v>
      </c>
      <c r="C104" s="92" t="s">
        <v>181</v>
      </c>
      <c r="D104" s="92" t="s">
        <v>80</v>
      </c>
      <c r="E104" s="94" t="s">
        <v>76</v>
      </c>
      <c r="F104" s="95"/>
      <c r="G104" s="142">
        <f t="shared" si="75"/>
        <v>0</v>
      </c>
      <c r="H104" s="93">
        <v>0</v>
      </c>
      <c r="I104" s="93">
        <v>0</v>
      </c>
      <c r="J104" s="93">
        <v>0</v>
      </c>
      <c r="K104" s="93">
        <v>0</v>
      </c>
      <c r="L104" s="93">
        <v>0</v>
      </c>
      <c r="M104" s="93">
        <v>0</v>
      </c>
      <c r="N104" s="93">
        <v>0</v>
      </c>
      <c r="O104" s="93">
        <v>0</v>
      </c>
      <c r="P104" s="93">
        <v>0</v>
      </c>
      <c r="Q104" s="93">
        <v>0</v>
      </c>
      <c r="R104" s="93">
        <v>0</v>
      </c>
      <c r="S104" s="93">
        <v>0</v>
      </c>
      <c r="T104" s="90">
        <f t="shared" ref="T104:AE104" si="126">H104*$F$37</f>
        <v>0</v>
      </c>
      <c r="U104" s="90">
        <f t="shared" si="126"/>
        <v>0</v>
      </c>
      <c r="V104" s="90">
        <f t="shared" si="126"/>
        <v>0</v>
      </c>
      <c r="W104" s="90">
        <f t="shared" si="126"/>
        <v>0</v>
      </c>
      <c r="X104" s="90">
        <f t="shared" si="126"/>
        <v>0</v>
      </c>
      <c r="Y104" s="90">
        <f t="shared" si="126"/>
        <v>0</v>
      </c>
      <c r="Z104" s="90">
        <f t="shared" si="126"/>
        <v>0</v>
      </c>
      <c r="AA104" s="90">
        <f t="shared" si="126"/>
        <v>0</v>
      </c>
      <c r="AB104" s="90">
        <f t="shared" si="126"/>
        <v>0</v>
      </c>
      <c r="AC104" s="90">
        <f t="shared" si="126"/>
        <v>0</v>
      </c>
      <c r="AD104" s="90">
        <f t="shared" si="126"/>
        <v>0</v>
      </c>
      <c r="AE104" s="90">
        <f t="shared" si="126"/>
        <v>0</v>
      </c>
      <c r="AF104" s="54">
        <f t="shared" si="77"/>
        <v>0</v>
      </c>
      <c r="AG104" s="2"/>
    </row>
    <row r="105" spans="1:33" ht="16" thickBot="1" x14ac:dyDescent="0.25">
      <c r="A105" s="148" t="s">
        <v>180</v>
      </c>
      <c r="B105" s="91" t="s">
        <v>2</v>
      </c>
      <c r="C105" s="92" t="s">
        <v>182</v>
      </c>
      <c r="D105" s="92" t="s">
        <v>90</v>
      </c>
      <c r="E105" s="94" t="s">
        <v>76</v>
      </c>
      <c r="F105" s="95"/>
      <c r="G105" s="142">
        <f t="shared" si="75"/>
        <v>0</v>
      </c>
      <c r="H105" s="93">
        <v>0</v>
      </c>
      <c r="I105" s="93">
        <v>0</v>
      </c>
      <c r="J105" s="93">
        <v>0</v>
      </c>
      <c r="K105" s="93">
        <v>0</v>
      </c>
      <c r="L105" s="93">
        <v>0</v>
      </c>
      <c r="M105" s="93">
        <v>0</v>
      </c>
      <c r="N105" s="93">
        <v>0</v>
      </c>
      <c r="O105" s="93">
        <v>0</v>
      </c>
      <c r="P105" s="93">
        <v>0</v>
      </c>
      <c r="Q105" s="93">
        <v>0</v>
      </c>
      <c r="R105" s="93">
        <v>0</v>
      </c>
      <c r="S105" s="93">
        <v>0</v>
      </c>
      <c r="T105" s="90">
        <f t="shared" ref="T105:AE105" si="127">H105*$F$39</f>
        <v>0</v>
      </c>
      <c r="U105" s="90">
        <f t="shared" si="127"/>
        <v>0</v>
      </c>
      <c r="V105" s="90">
        <f t="shared" si="127"/>
        <v>0</v>
      </c>
      <c r="W105" s="90">
        <f t="shared" si="127"/>
        <v>0</v>
      </c>
      <c r="X105" s="90">
        <f t="shared" si="127"/>
        <v>0</v>
      </c>
      <c r="Y105" s="90">
        <f t="shared" si="127"/>
        <v>0</v>
      </c>
      <c r="Z105" s="90">
        <f t="shared" si="127"/>
        <v>0</v>
      </c>
      <c r="AA105" s="90">
        <f t="shared" si="127"/>
        <v>0</v>
      </c>
      <c r="AB105" s="90">
        <f t="shared" si="127"/>
        <v>0</v>
      </c>
      <c r="AC105" s="90">
        <f t="shared" si="127"/>
        <v>0</v>
      </c>
      <c r="AD105" s="90">
        <f t="shared" si="127"/>
        <v>0</v>
      </c>
      <c r="AE105" s="90">
        <f t="shared" si="127"/>
        <v>0</v>
      </c>
      <c r="AF105" s="54">
        <f t="shared" si="77"/>
        <v>0</v>
      </c>
      <c r="AG105" s="2"/>
    </row>
    <row r="106" spans="1:33" ht="16" thickBot="1" x14ac:dyDescent="0.25">
      <c r="A106" s="148" t="s">
        <v>180</v>
      </c>
      <c r="B106" s="91" t="s">
        <v>2</v>
      </c>
      <c r="C106" s="92" t="s">
        <v>187</v>
      </c>
      <c r="D106" s="92" t="s">
        <v>168</v>
      </c>
      <c r="E106" s="94" t="s">
        <v>76</v>
      </c>
      <c r="F106" s="95"/>
      <c r="G106" s="142">
        <f t="shared" si="75"/>
        <v>0</v>
      </c>
      <c r="H106" s="93">
        <v>0</v>
      </c>
      <c r="I106" s="93">
        <v>0</v>
      </c>
      <c r="J106" s="93">
        <v>0</v>
      </c>
      <c r="K106" s="93">
        <v>0</v>
      </c>
      <c r="L106" s="93">
        <v>0</v>
      </c>
      <c r="M106" s="93">
        <v>0</v>
      </c>
      <c r="N106" s="93">
        <v>0</v>
      </c>
      <c r="O106" s="93">
        <v>0</v>
      </c>
      <c r="P106" s="93">
        <v>0</v>
      </c>
      <c r="Q106" s="93">
        <v>0</v>
      </c>
      <c r="R106" s="93">
        <v>0</v>
      </c>
      <c r="S106" s="93">
        <v>0</v>
      </c>
      <c r="T106" s="90">
        <f t="shared" ref="T106:AE106" si="128">H106*$F$38</f>
        <v>0</v>
      </c>
      <c r="U106" s="90">
        <f t="shared" si="128"/>
        <v>0</v>
      </c>
      <c r="V106" s="90">
        <f t="shared" si="128"/>
        <v>0</v>
      </c>
      <c r="W106" s="90">
        <f t="shared" si="128"/>
        <v>0</v>
      </c>
      <c r="X106" s="90">
        <f t="shared" si="128"/>
        <v>0</v>
      </c>
      <c r="Y106" s="90">
        <f t="shared" si="128"/>
        <v>0</v>
      </c>
      <c r="Z106" s="90">
        <f t="shared" si="128"/>
        <v>0</v>
      </c>
      <c r="AA106" s="90">
        <f t="shared" si="128"/>
        <v>0</v>
      </c>
      <c r="AB106" s="90">
        <f t="shared" si="128"/>
        <v>0</v>
      </c>
      <c r="AC106" s="90">
        <f t="shared" si="128"/>
        <v>0</v>
      </c>
      <c r="AD106" s="90">
        <f t="shared" si="128"/>
        <v>0</v>
      </c>
      <c r="AE106" s="90">
        <f t="shared" si="128"/>
        <v>0</v>
      </c>
      <c r="AF106" s="54">
        <f t="shared" si="77"/>
        <v>0</v>
      </c>
      <c r="AG106" s="2"/>
    </row>
    <row r="107" spans="1:33" ht="16" thickBot="1" x14ac:dyDescent="0.25">
      <c r="A107" s="148" t="s">
        <v>163</v>
      </c>
      <c r="B107" s="91" t="s">
        <v>2</v>
      </c>
      <c r="C107" s="92" t="s">
        <v>115</v>
      </c>
      <c r="D107" s="92" t="s">
        <v>137</v>
      </c>
      <c r="E107" s="94" t="s">
        <v>76</v>
      </c>
      <c r="F107" s="95"/>
      <c r="G107" s="142">
        <f t="shared" si="75"/>
        <v>0</v>
      </c>
      <c r="H107" s="93">
        <v>0</v>
      </c>
      <c r="I107" s="93">
        <v>0</v>
      </c>
      <c r="J107" s="93">
        <v>0</v>
      </c>
      <c r="K107" s="93">
        <v>0</v>
      </c>
      <c r="L107" s="93">
        <v>0</v>
      </c>
      <c r="M107" s="93">
        <v>0</v>
      </c>
      <c r="N107" s="93">
        <v>0</v>
      </c>
      <c r="O107" s="93">
        <v>0</v>
      </c>
      <c r="P107" s="93">
        <v>0</v>
      </c>
      <c r="Q107" s="93">
        <v>0</v>
      </c>
      <c r="R107" s="93">
        <v>0</v>
      </c>
      <c r="S107" s="93">
        <v>0</v>
      </c>
      <c r="T107" s="90">
        <f t="shared" ref="T107:AE107" si="129">$F$5*H107</f>
        <v>0</v>
      </c>
      <c r="U107" s="90">
        <f t="shared" si="129"/>
        <v>0</v>
      </c>
      <c r="V107" s="90">
        <f t="shared" si="129"/>
        <v>0</v>
      </c>
      <c r="W107" s="90">
        <f t="shared" si="129"/>
        <v>0</v>
      </c>
      <c r="X107" s="90">
        <f t="shared" si="129"/>
        <v>0</v>
      </c>
      <c r="Y107" s="90">
        <f t="shared" si="129"/>
        <v>0</v>
      </c>
      <c r="Z107" s="90">
        <f t="shared" si="129"/>
        <v>0</v>
      </c>
      <c r="AA107" s="90">
        <f t="shared" si="129"/>
        <v>0</v>
      </c>
      <c r="AB107" s="90">
        <f t="shared" si="129"/>
        <v>0</v>
      </c>
      <c r="AC107" s="90">
        <f t="shared" si="129"/>
        <v>0</v>
      </c>
      <c r="AD107" s="90">
        <f t="shared" si="129"/>
        <v>0</v>
      </c>
      <c r="AE107" s="90">
        <f t="shared" si="129"/>
        <v>0</v>
      </c>
      <c r="AF107" s="54">
        <f t="shared" si="77"/>
        <v>0</v>
      </c>
      <c r="AG107" s="2"/>
    </row>
    <row r="108" spans="1:33" ht="16" thickBot="1" x14ac:dyDescent="0.25">
      <c r="A108" s="148" t="s">
        <v>68</v>
      </c>
      <c r="B108" s="91" t="s">
        <v>2</v>
      </c>
      <c r="C108" s="92" t="s">
        <v>29</v>
      </c>
      <c r="D108" s="92" t="s">
        <v>114</v>
      </c>
      <c r="E108" s="94" t="s">
        <v>198</v>
      </c>
      <c r="F108" s="95"/>
      <c r="G108" s="142">
        <f t="shared" si="75"/>
        <v>0</v>
      </c>
      <c r="H108" s="93">
        <v>0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0">
        <f t="shared" ref="T108:AE108" si="130">$F$20*H108</f>
        <v>0</v>
      </c>
      <c r="U108" s="90">
        <f t="shared" si="130"/>
        <v>0</v>
      </c>
      <c r="V108" s="90">
        <f t="shared" si="130"/>
        <v>0</v>
      </c>
      <c r="W108" s="90">
        <f t="shared" si="130"/>
        <v>0</v>
      </c>
      <c r="X108" s="90">
        <f t="shared" si="130"/>
        <v>0</v>
      </c>
      <c r="Y108" s="90">
        <f t="shared" si="130"/>
        <v>0</v>
      </c>
      <c r="Z108" s="90">
        <f t="shared" si="130"/>
        <v>0</v>
      </c>
      <c r="AA108" s="90">
        <f t="shared" si="130"/>
        <v>0</v>
      </c>
      <c r="AB108" s="90">
        <f t="shared" si="130"/>
        <v>0</v>
      </c>
      <c r="AC108" s="90">
        <f t="shared" si="130"/>
        <v>0</v>
      </c>
      <c r="AD108" s="90">
        <f t="shared" si="130"/>
        <v>0</v>
      </c>
      <c r="AE108" s="90">
        <f t="shared" si="130"/>
        <v>0</v>
      </c>
      <c r="AF108" s="54">
        <f t="shared" si="77"/>
        <v>0</v>
      </c>
      <c r="AG108" s="2"/>
    </row>
    <row r="109" spans="1:33" ht="16" thickBot="1" x14ac:dyDescent="0.25">
      <c r="A109" s="148" t="s">
        <v>68</v>
      </c>
      <c r="B109" s="91" t="s">
        <v>2</v>
      </c>
      <c r="C109" s="92" t="s">
        <v>178</v>
      </c>
      <c r="D109" s="92" t="s">
        <v>89</v>
      </c>
      <c r="E109" s="94" t="s">
        <v>69</v>
      </c>
      <c r="F109" s="95"/>
      <c r="G109" s="142">
        <f t="shared" si="75"/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0">
        <f t="shared" ref="T109:AE109" si="131">H109*$F$21</f>
        <v>0</v>
      </c>
      <c r="U109" s="90">
        <f t="shared" si="131"/>
        <v>0</v>
      </c>
      <c r="V109" s="90">
        <f t="shared" si="131"/>
        <v>0</v>
      </c>
      <c r="W109" s="90">
        <f t="shared" si="131"/>
        <v>0</v>
      </c>
      <c r="X109" s="90">
        <f t="shared" si="131"/>
        <v>0</v>
      </c>
      <c r="Y109" s="90">
        <f t="shared" si="131"/>
        <v>0</v>
      </c>
      <c r="Z109" s="90">
        <f t="shared" si="131"/>
        <v>0</v>
      </c>
      <c r="AA109" s="90">
        <f t="shared" si="131"/>
        <v>0</v>
      </c>
      <c r="AB109" s="90">
        <f t="shared" si="131"/>
        <v>0</v>
      </c>
      <c r="AC109" s="90">
        <f t="shared" si="131"/>
        <v>0</v>
      </c>
      <c r="AD109" s="90">
        <f t="shared" si="131"/>
        <v>0</v>
      </c>
      <c r="AE109" s="90">
        <f t="shared" si="131"/>
        <v>0</v>
      </c>
      <c r="AF109" s="54">
        <f t="shared" si="77"/>
        <v>0</v>
      </c>
      <c r="AG109" s="2"/>
    </row>
    <row r="110" spans="1:33" ht="16" thickBot="1" x14ac:dyDescent="0.25">
      <c r="A110" s="148" t="s">
        <v>163</v>
      </c>
      <c r="B110" s="91" t="s">
        <v>2</v>
      </c>
      <c r="C110" s="92" t="s">
        <v>169</v>
      </c>
      <c r="D110" s="92" t="s">
        <v>168</v>
      </c>
      <c r="E110" s="94" t="s">
        <v>76</v>
      </c>
      <c r="F110" s="95"/>
      <c r="G110" s="142">
        <f t="shared" si="75"/>
        <v>0</v>
      </c>
      <c r="H110" s="93">
        <v>0</v>
      </c>
      <c r="I110" s="93">
        <v>0</v>
      </c>
      <c r="J110" s="93">
        <v>0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0">
        <f t="shared" ref="T110:AE110" si="132">H110*$F$6</f>
        <v>0</v>
      </c>
      <c r="U110" s="90">
        <f t="shared" si="132"/>
        <v>0</v>
      </c>
      <c r="V110" s="90">
        <f t="shared" si="132"/>
        <v>0</v>
      </c>
      <c r="W110" s="90">
        <f t="shared" si="132"/>
        <v>0</v>
      </c>
      <c r="X110" s="90">
        <f t="shared" si="132"/>
        <v>0</v>
      </c>
      <c r="Y110" s="90">
        <f t="shared" si="132"/>
        <v>0</v>
      </c>
      <c r="Z110" s="90">
        <f t="shared" si="132"/>
        <v>0</v>
      </c>
      <c r="AA110" s="90">
        <f t="shared" si="132"/>
        <v>0</v>
      </c>
      <c r="AB110" s="90">
        <f t="shared" si="132"/>
        <v>0</v>
      </c>
      <c r="AC110" s="90">
        <f t="shared" si="132"/>
        <v>0</v>
      </c>
      <c r="AD110" s="90">
        <f t="shared" si="132"/>
        <v>0</v>
      </c>
      <c r="AE110" s="90">
        <f t="shared" si="132"/>
        <v>0</v>
      </c>
      <c r="AF110" s="54">
        <f t="shared" si="77"/>
        <v>0</v>
      </c>
      <c r="AG110" s="2"/>
    </row>
    <row r="111" spans="1:33" ht="16" thickBot="1" x14ac:dyDescent="0.25">
      <c r="A111" s="148" t="s">
        <v>163</v>
      </c>
      <c r="B111" s="91" t="s">
        <v>2</v>
      </c>
      <c r="C111" s="92" t="s">
        <v>170</v>
      </c>
      <c r="D111" s="92" t="s">
        <v>168</v>
      </c>
      <c r="E111" s="94" t="s">
        <v>76</v>
      </c>
      <c r="F111" s="95"/>
      <c r="G111" s="142">
        <f t="shared" si="75"/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3">
        <v>0</v>
      </c>
      <c r="S111" s="93">
        <v>0</v>
      </c>
      <c r="T111" s="90">
        <f t="shared" ref="T111:AE111" si="133">H111*$F$7</f>
        <v>0</v>
      </c>
      <c r="U111" s="90">
        <f t="shared" si="133"/>
        <v>0</v>
      </c>
      <c r="V111" s="90">
        <f t="shared" si="133"/>
        <v>0</v>
      </c>
      <c r="W111" s="90">
        <f t="shared" si="133"/>
        <v>0</v>
      </c>
      <c r="X111" s="90">
        <f t="shared" si="133"/>
        <v>0</v>
      </c>
      <c r="Y111" s="90">
        <f t="shared" si="133"/>
        <v>0</v>
      </c>
      <c r="Z111" s="90">
        <f t="shared" si="133"/>
        <v>0</v>
      </c>
      <c r="AA111" s="90">
        <f t="shared" si="133"/>
        <v>0</v>
      </c>
      <c r="AB111" s="90">
        <f t="shared" si="133"/>
        <v>0</v>
      </c>
      <c r="AC111" s="90">
        <f t="shared" si="133"/>
        <v>0</v>
      </c>
      <c r="AD111" s="90">
        <f t="shared" si="133"/>
        <v>0</v>
      </c>
      <c r="AE111" s="90">
        <f t="shared" si="133"/>
        <v>0</v>
      </c>
      <c r="AF111" s="54">
        <f t="shared" si="77"/>
        <v>0</v>
      </c>
      <c r="AG111" s="2"/>
    </row>
    <row r="112" spans="1:33" ht="16" thickBot="1" x14ac:dyDescent="0.25">
      <c r="A112" s="148" t="s">
        <v>180</v>
      </c>
      <c r="B112" s="91" t="s">
        <v>2</v>
      </c>
      <c r="C112" s="92" t="s">
        <v>183</v>
      </c>
      <c r="D112" s="92" t="s">
        <v>77</v>
      </c>
      <c r="E112" s="94" t="s">
        <v>76</v>
      </c>
      <c r="F112" s="95"/>
      <c r="G112" s="142">
        <f t="shared" si="75"/>
        <v>0</v>
      </c>
      <c r="H112" s="93">
        <v>0</v>
      </c>
      <c r="I112" s="93">
        <v>0</v>
      </c>
      <c r="J112" s="93">
        <v>0</v>
      </c>
      <c r="K112" s="93">
        <v>0</v>
      </c>
      <c r="L112" s="93">
        <v>0</v>
      </c>
      <c r="M112" s="93">
        <v>0</v>
      </c>
      <c r="N112" s="93">
        <v>0</v>
      </c>
      <c r="O112" s="93">
        <v>0</v>
      </c>
      <c r="P112" s="93">
        <v>0</v>
      </c>
      <c r="Q112" s="93">
        <v>0</v>
      </c>
      <c r="R112" s="93">
        <v>0</v>
      </c>
      <c r="S112" s="93">
        <v>0</v>
      </c>
      <c r="T112" s="90">
        <f t="shared" ref="T112:AE112" si="134">H112*$F$34</f>
        <v>0</v>
      </c>
      <c r="U112" s="90">
        <f t="shared" si="134"/>
        <v>0</v>
      </c>
      <c r="V112" s="90">
        <f t="shared" si="134"/>
        <v>0</v>
      </c>
      <c r="W112" s="90">
        <f t="shared" si="134"/>
        <v>0</v>
      </c>
      <c r="X112" s="90">
        <f t="shared" si="134"/>
        <v>0</v>
      </c>
      <c r="Y112" s="90">
        <f t="shared" si="134"/>
        <v>0</v>
      </c>
      <c r="Z112" s="90">
        <f t="shared" si="134"/>
        <v>0</v>
      </c>
      <c r="AA112" s="90">
        <f t="shared" si="134"/>
        <v>0</v>
      </c>
      <c r="AB112" s="90">
        <f t="shared" si="134"/>
        <v>0</v>
      </c>
      <c r="AC112" s="90">
        <f t="shared" si="134"/>
        <v>0</v>
      </c>
      <c r="AD112" s="90">
        <f t="shared" si="134"/>
        <v>0</v>
      </c>
      <c r="AE112" s="90">
        <f t="shared" si="134"/>
        <v>0</v>
      </c>
      <c r="AF112" s="54">
        <f t="shared" si="77"/>
        <v>0</v>
      </c>
      <c r="AG112" s="2"/>
    </row>
    <row r="113" spans="1:33" ht="16" thickBot="1" x14ac:dyDescent="0.25">
      <c r="A113" s="148" t="s">
        <v>180</v>
      </c>
      <c r="B113" s="91" t="s">
        <v>2</v>
      </c>
      <c r="C113" s="92" t="s">
        <v>184</v>
      </c>
      <c r="D113" s="92" t="s">
        <v>168</v>
      </c>
      <c r="E113" s="94" t="s">
        <v>76</v>
      </c>
      <c r="F113" s="95"/>
      <c r="G113" s="142">
        <f t="shared" si="75"/>
        <v>0</v>
      </c>
      <c r="H113" s="93">
        <v>0</v>
      </c>
      <c r="I113" s="93">
        <v>0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0">
        <f t="shared" ref="T113:AE113" si="135">H113*$F$40</f>
        <v>0</v>
      </c>
      <c r="U113" s="90">
        <f t="shared" si="135"/>
        <v>0</v>
      </c>
      <c r="V113" s="90">
        <f t="shared" si="135"/>
        <v>0</v>
      </c>
      <c r="W113" s="90">
        <f t="shared" si="135"/>
        <v>0</v>
      </c>
      <c r="X113" s="90">
        <f t="shared" si="135"/>
        <v>0</v>
      </c>
      <c r="Y113" s="90">
        <f t="shared" si="135"/>
        <v>0</v>
      </c>
      <c r="Z113" s="90">
        <f t="shared" si="135"/>
        <v>0</v>
      </c>
      <c r="AA113" s="90">
        <f t="shared" si="135"/>
        <v>0</v>
      </c>
      <c r="AB113" s="90">
        <f t="shared" si="135"/>
        <v>0</v>
      </c>
      <c r="AC113" s="90">
        <f t="shared" si="135"/>
        <v>0</v>
      </c>
      <c r="AD113" s="90">
        <f t="shared" si="135"/>
        <v>0</v>
      </c>
      <c r="AE113" s="90">
        <f t="shared" si="135"/>
        <v>0</v>
      </c>
      <c r="AF113" s="54">
        <f t="shared" si="77"/>
        <v>0</v>
      </c>
      <c r="AG113" s="2"/>
    </row>
    <row r="114" spans="1:33" ht="16" thickBot="1" x14ac:dyDescent="0.25">
      <c r="A114" s="148" t="s">
        <v>180</v>
      </c>
      <c r="B114" s="91" t="s">
        <v>2</v>
      </c>
      <c r="C114" s="92" t="s">
        <v>188</v>
      </c>
      <c r="D114" s="92" t="s">
        <v>168</v>
      </c>
      <c r="E114" s="94" t="s">
        <v>76</v>
      </c>
      <c r="F114" s="95"/>
      <c r="G114" s="142">
        <f t="shared" si="75"/>
        <v>0</v>
      </c>
      <c r="H114" s="93">
        <v>0</v>
      </c>
      <c r="I114" s="93">
        <v>0</v>
      </c>
      <c r="J114" s="93">
        <v>0</v>
      </c>
      <c r="K114" s="93">
        <v>0</v>
      </c>
      <c r="L114" s="93">
        <v>0</v>
      </c>
      <c r="M114" s="93">
        <v>0</v>
      </c>
      <c r="N114" s="93">
        <v>0</v>
      </c>
      <c r="O114" s="93">
        <v>0</v>
      </c>
      <c r="P114" s="93">
        <v>0</v>
      </c>
      <c r="Q114" s="93">
        <v>0</v>
      </c>
      <c r="R114" s="93">
        <v>0</v>
      </c>
      <c r="S114" s="93">
        <v>0</v>
      </c>
      <c r="T114" s="90">
        <f t="shared" ref="T114:AE114" si="136">H114*$F$41</f>
        <v>0</v>
      </c>
      <c r="U114" s="90">
        <f t="shared" si="136"/>
        <v>0</v>
      </c>
      <c r="V114" s="90">
        <f t="shared" si="136"/>
        <v>0</v>
      </c>
      <c r="W114" s="90">
        <f t="shared" si="136"/>
        <v>0</v>
      </c>
      <c r="X114" s="90">
        <f t="shared" si="136"/>
        <v>0</v>
      </c>
      <c r="Y114" s="90">
        <f t="shared" si="136"/>
        <v>0</v>
      </c>
      <c r="Z114" s="90">
        <f t="shared" si="136"/>
        <v>0</v>
      </c>
      <c r="AA114" s="90">
        <f t="shared" si="136"/>
        <v>0</v>
      </c>
      <c r="AB114" s="90">
        <f t="shared" si="136"/>
        <v>0</v>
      </c>
      <c r="AC114" s="90">
        <f t="shared" si="136"/>
        <v>0</v>
      </c>
      <c r="AD114" s="90">
        <f t="shared" si="136"/>
        <v>0</v>
      </c>
      <c r="AE114" s="90">
        <f t="shared" si="136"/>
        <v>0</v>
      </c>
      <c r="AF114" s="54">
        <f t="shared" si="77"/>
        <v>0</v>
      </c>
      <c r="AG114" s="2"/>
    </row>
    <row r="115" spans="1:33" ht="16" thickBot="1" x14ac:dyDescent="0.25">
      <c r="A115" s="148" t="s">
        <v>180</v>
      </c>
      <c r="B115" s="91" t="s">
        <v>2</v>
      </c>
      <c r="C115" s="92" t="s">
        <v>189</v>
      </c>
      <c r="D115" s="92" t="s">
        <v>168</v>
      </c>
      <c r="E115" s="94" t="s">
        <v>76</v>
      </c>
      <c r="F115" s="95"/>
      <c r="G115" s="142">
        <f t="shared" si="75"/>
        <v>0</v>
      </c>
      <c r="H115" s="93">
        <v>0</v>
      </c>
      <c r="I115" s="93">
        <v>0</v>
      </c>
      <c r="J115" s="93">
        <v>0</v>
      </c>
      <c r="K115" s="93">
        <v>0</v>
      </c>
      <c r="L115" s="93">
        <v>0</v>
      </c>
      <c r="M115" s="93">
        <v>0</v>
      </c>
      <c r="N115" s="93">
        <v>0</v>
      </c>
      <c r="O115" s="93">
        <v>0</v>
      </c>
      <c r="P115" s="93">
        <v>0</v>
      </c>
      <c r="Q115" s="93">
        <v>0</v>
      </c>
      <c r="R115" s="93">
        <v>0</v>
      </c>
      <c r="S115" s="93">
        <v>0</v>
      </c>
      <c r="T115" s="90">
        <f t="shared" ref="T115:AE115" si="137">H115*$F$42</f>
        <v>0</v>
      </c>
      <c r="U115" s="90">
        <f t="shared" si="137"/>
        <v>0</v>
      </c>
      <c r="V115" s="90">
        <f t="shared" si="137"/>
        <v>0</v>
      </c>
      <c r="W115" s="90">
        <f t="shared" si="137"/>
        <v>0</v>
      </c>
      <c r="X115" s="90">
        <f t="shared" si="137"/>
        <v>0</v>
      </c>
      <c r="Y115" s="90">
        <f t="shared" si="137"/>
        <v>0</v>
      </c>
      <c r="Z115" s="90">
        <f t="shared" si="137"/>
        <v>0</v>
      </c>
      <c r="AA115" s="90">
        <f t="shared" si="137"/>
        <v>0</v>
      </c>
      <c r="AB115" s="90">
        <f t="shared" si="137"/>
        <v>0</v>
      </c>
      <c r="AC115" s="90">
        <f t="shared" si="137"/>
        <v>0</v>
      </c>
      <c r="AD115" s="90">
        <f t="shared" si="137"/>
        <v>0</v>
      </c>
      <c r="AE115" s="90">
        <f t="shared" si="137"/>
        <v>0</v>
      </c>
      <c r="AF115" s="54">
        <f t="shared" si="77"/>
        <v>0</v>
      </c>
      <c r="AG115" s="2"/>
    </row>
    <row r="116" spans="1:33" ht="16" thickBot="1" x14ac:dyDescent="0.25">
      <c r="A116" s="148" t="s">
        <v>51</v>
      </c>
      <c r="B116" s="91" t="s">
        <v>2</v>
      </c>
      <c r="C116" s="92" t="s">
        <v>249</v>
      </c>
      <c r="D116" s="92" t="s">
        <v>168</v>
      </c>
      <c r="E116" s="94" t="s">
        <v>198</v>
      </c>
      <c r="F116" s="95"/>
      <c r="G116" s="142">
        <f t="shared" si="75"/>
        <v>0.45833333333333331</v>
      </c>
      <c r="H116" s="93">
        <v>0</v>
      </c>
      <c r="I116" s="93">
        <v>0.5</v>
      </c>
      <c r="J116" s="93">
        <v>0.5</v>
      </c>
      <c r="K116" s="93">
        <v>0.5</v>
      </c>
      <c r="L116" s="93">
        <v>0.5</v>
      </c>
      <c r="M116" s="93">
        <v>0.5</v>
      </c>
      <c r="N116" s="93">
        <v>0.5</v>
      </c>
      <c r="O116" s="93">
        <v>0.5</v>
      </c>
      <c r="P116" s="93">
        <v>0.5</v>
      </c>
      <c r="Q116" s="93">
        <v>0.5</v>
      </c>
      <c r="R116" s="93">
        <v>0.5</v>
      </c>
      <c r="S116" s="93">
        <v>0.5</v>
      </c>
      <c r="T116" s="90">
        <f t="shared" ref="T116:AE116" si="138">H116*$F$24</f>
        <v>0</v>
      </c>
      <c r="U116" s="90">
        <f t="shared" si="138"/>
        <v>22550</v>
      </c>
      <c r="V116" s="90">
        <f t="shared" si="138"/>
        <v>22550</v>
      </c>
      <c r="W116" s="90">
        <f t="shared" si="138"/>
        <v>22550</v>
      </c>
      <c r="X116" s="90">
        <f t="shared" si="138"/>
        <v>22550</v>
      </c>
      <c r="Y116" s="90">
        <f t="shared" si="138"/>
        <v>22550</v>
      </c>
      <c r="Z116" s="90">
        <f t="shared" si="138"/>
        <v>22550</v>
      </c>
      <c r="AA116" s="90">
        <f t="shared" si="138"/>
        <v>22550</v>
      </c>
      <c r="AB116" s="90">
        <f t="shared" si="138"/>
        <v>22550</v>
      </c>
      <c r="AC116" s="90">
        <f t="shared" si="138"/>
        <v>22550</v>
      </c>
      <c r="AD116" s="90">
        <f t="shared" si="138"/>
        <v>22550</v>
      </c>
      <c r="AE116" s="90">
        <f t="shared" si="138"/>
        <v>22550</v>
      </c>
      <c r="AF116" s="54">
        <f t="shared" si="77"/>
        <v>248050</v>
      </c>
      <c r="AG116" s="2"/>
    </row>
    <row r="117" spans="1:33" ht="16" thickBot="1" x14ac:dyDescent="0.25">
      <c r="A117" s="148" t="s">
        <v>31</v>
      </c>
      <c r="B117" s="91" t="s">
        <v>2</v>
      </c>
      <c r="C117" s="92" t="s">
        <v>210</v>
      </c>
      <c r="D117" s="92" t="s">
        <v>168</v>
      </c>
      <c r="E117" s="94" t="s">
        <v>198</v>
      </c>
      <c r="F117" s="95"/>
      <c r="G117" s="142">
        <f t="shared" ref="G117:G178" si="139">AVERAGE(H117:S117)</f>
        <v>0</v>
      </c>
      <c r="H117" s="93">
        <v>0</v>
      </c>
      <c r="I117" s="93">
        <v>0</v>
      </c>
      <c r="J117" s="93">
        <v>0</v>
      </c>
      <c r="K117" s="93">
        <v>0</v>
      </c>
      <c r="L117" s="93">
        <v>0</v>
      </c>
      <c r="M117" s="93">
        <v>0</v>
      </c>
      <c r="N117" s="93">
        <v>0</v>
      </c>
      <c r="O117" s="93">
        <v>0</v>
      </c>
      <c r="P117" s="93">
        <v>0</v>
      </c>
      <c r="Q117" s="93">
        <v>0</v>
      </c>
      <c r="R117" s="93">
        <v>0</v>
      </c>
      <c r="S117" s="93">
        <v>0</v>
      </c>
      <c r="T117" s="90">
        <f>H117*$F$19</f>
        <v>0</v>
      </c>
      <c r="U117" s="90">
        <f t="shared" ref="U117:AE117" si="140">I117*$F$19</f>
        <v>0</v>
      </c>
      <c r="V117" s="90">
        <f t="shared" si="140"/>
        <v>0</v>
      </c>
      <c r="W117" s="90">
        <f t="shared" si="140"/>
        <v>0</v>
      </c>
      <c r="X117" s="90">
        <f t="shared" si="140"/>
        <v>0</v>
      </c>
      <c r="Y117" s="90">
        <f t="shared" si="140"/>
        <v>0</v>
      </c>
      <c r="Z117" s="90">
        <f t="shared" si="140"/>
        <v>0</v>
      </c>
      <c r="AA117" s="90">
        <f t="shared" si="140"/>
        <v>0</v>
      </c>
      <c r="AB117" s="90">
        <f t="shared" si="140"/>
        <v>0</v>
      </c>
      <c r="AC117" s="90">
        <f t="shared" si="140"/>
        <v>0</v>
      </c>
      <c r="AD117" s="90">
        <f t="shared" si="140"/>
        <v>0</v>
      </c>
      <c r="AE117" s="90">
        <f t="shared" si="140"/>
        <v>0</v>
      </c>
      <c r="AF117" s="54">
        <f t="shared" ref="AF117:AF178" si="141">SUM(T117:AE117)</f>
        <v>0</v>
      </c>
      <c r="AG117" s="2"/>
    </row>
    <row r="118" spans="1:33" ht="16" thickBot="1" x14ac:dyDescent="0.25">
      <c r="A118" s="148" t="s">
        <v>51</v>
      </c>
      <c r="B118" s="91" t="s">
        <v>3</v>
      </c>
      <c r="C118" s="92" t="s">
        <v>49</v>
      </c>
      <c r="D118" s="92" t="s">
        <v>50</v>
      </c>
      <c r="E118" s="94" t="s">
        <v>198</v>
      </c>
      <c r="F118" s="95"/>
      <c r="G118" s="142">
        <f t="shared" si="139"/>
        <v>0.5</v>
      </c>
      <c r="H118" s="93">
        <v>0.5</v>
      </c>
      <c r="I118" s="93">
        <v>0.5</v>
      </c>
      <c r="J118" s="93">
        <v>0.5</v>
      </c>
      <c r="K118" s="93">
        <v>0.5</v>
      </c>
      <c r="L118" s="93">
        <v>0.5</v>
      </c>
      <c r="M118" s="93">
        <v>0.5</v>
      </c>
      <c r="N118" s="93">
        <v>0.5</v>
      </c>
      <c r="O118" s="93">
        <v>0.5</v>
      </c>
      <c r="P118" s="93">
        <v>0.5</v>
      </c>
      <c r="Q118" s="93">
        <v>0.5</v>
      </c>
      <c r="R118" s="93">
        <v>0.5</v>
      </c>
      <c r="S118" s="93">
        <v>0.5</v>
      </c>
      <c r="T118" s="90">
        <f t="shared" ref="T118:AE118" si="142">H118*$F$22</f>
        <v>9898.0902000000006</v>
      </c>
      <c r="U118" s="90">
        <f t="shared" si="142"/>
        <v>9898.0902000000006</v>
      </c>
      <c r="V118" s="90">
        <f t="shared" si="142"/>
        <v>9898.0902000000006</v>
      </c>
      <c r="W118" s="90">
        <f t="shared" si="142"/>
        <v>9898.0902000000006</v>
      </c>
      <c r="X118" s="90">
        <f t="shared" si="142"/>
        <v>9898.0902000000006</v>
      </c>
      <c r="Y118" s="90">
        <f t="shared" si="142"/>
        <v>9898.0902000000006</v>
      </c>
      <c r="Z118" s="90">
        <f t="shared" si="142"/>
        <v>9898.0902000000006</v>
      </c>
      <c r="AA118" s="90">
        <f t="shared" si="142"/>
        <v>9898.0902000000006</v>
      </c>
      <c r="AB118" s="90">
        <f t="shared" si="142"/>
        <v>9898.0902000000006</v>
      </c>
      <c r="AC118" s="90">
        <f t="shared" si="142"/>
        <v>9898.0902000000006</v>
      </c>
      <c r="AD118" s="90">
        <f t="shared" si="142"/>
        <v>9898.0902000000006</v>
      </c>
      <c r="AE118" s="90">
        <f t="shared" si="142"/>
        <v>9898.0902000000006</v>
      </c>
      <c r="AF118" s="54">
        <f t="shared" si="141"/>
        <v>118777.08240000003</v>
      </c>
      <c r="AG118" s="2"/>
    </row>
    <row r="119" spans="1:33" ht="16" thickBot="1" x14ac:dyDescent="0.25">
      <c r="A119" s="148" t="s">
        <v>51</v>
      </c>
      <c r="B119" s="91" t="s">
        <v>3</v>
      </c>
      <c r="C119" s="92" t="s">
        <v>52</v>
      </c>
      <c r="D119" s="92" t="s">
        <v>53</v>
      </c>
      <c r="E119" s="94" t="s">
        <v>69</v>
      </c>
      <c r="F119" s="95"/>
      <c r="G119" s="142">
        <f t="shared" si="139"/>
        <v>0.5</v>
      </c>
      <c r="H119" s="93">
        <v>0.5</v>
      </c>
      <c r="I119" s="93">
        <v>0.5</v>
      </c>
      <c r="J119" s="93">
        <v>0.5</v>
      </c>
      <c r="K119" s="93">
        <v>0.5</v>
      </c>
      <c r="L119" s="93">
        <v>0.5</v>
      </c>
      <c r="M119" s="93">
        <v>0.5</v>
      </c>
      <c r="N119" s="93">
        <v>0.5</v>
      </c>
      <c r="O119" s="93">
        <v>0.5</v>
      </c>
      <c r="P119" s="93">
        <v>0.5</v>
      </c>
      <c r="Q119" s="93">
        <v>0.5</v>
      </c>
      <c r="R119" s="93">
        <v>0.5</v>
      </c>
      <c r="S119" s="93">
        <v>0.5</v>
      </c>
      <c r="T119" s="90">
        <f t="shared" ref="T119:AE119" si="143">$F$23*H119</f>
        <v>4500</v>
      </c>
      <c r="U119" s="90">
        <f t="shared" si="143"/>
        <v>4500</v>
      </c>
      <c r="V119" s="90">
        <f t="shared" si="143"/>
        <v>4500</v>
      </c>
      <c r="W119" s="90">
        <f t="shared" si="143"/>
        <v>4500</v>
      </c>
      <c r="X119" s="90">
        <f t="shared" si="143"/>
        <v>4500</v>
      </c>
      <c r="Y119" s="90">
        <f t="shared" si="143"/>
        <v>4500</v>
      </c>
      <c r="Z119" s="90">
        <f t="shared" si="143"/>
        <v>4500</v>
      </c>
      <c r="AA119" s="90">
        <f t="shared" si="143"/>
        <v>4500</v>
      </c>
      <c r="AB119" s="90">
        <f t="shared" si="143"/>
        <v>4500</v>
      </c>
      <c r="AC119" s="90">
        <f t="shared" si="143"/>
        <v>4500</v>
      </c>
      <c r="AD119" s="90">
        <f t="shared" si="143"/>
        <v>4500</v>
      </c>
      <c r="AE119" s="90">
        <f t="shared" si="143"/>
        <v>4500</v>
      </c>
      <c r="AF119" s="54">
        <f t="shared" si="141"/>
        <v>54000</v>
      </c>
      <c r="AG119" s="2"/>
    </row>
    <row r="120" spans="1:33" ht="16" thickBot="1" x14ac:dyDescent="0.25">
      <c r="A120" s="148" t="s">
        <v>164</v>
      </c>
      <c r="B120" s="91" t="s">
        <v>3</v>
      </c>
      <c r="C120" s="92" t="s">
        <v>46</v>
      </c>
      <c r="D120" s="92" t="s">
        <v>47</v>
      </c>
      <c r="E120" s="94" t="s">
        <v>198</v>
      </c>
      <c r="F120" s="95"/>
      <c r="G120" s="142">
        <f t="shared" si="139"/>
        <v>0</v>
      </c>
      <c r="H120" s="93">
        <v>0</v>
      </c>
      <c r="I120" s="93">
        <v>0</v>
      </c>
      <c r="J120" s="93">
        <v>0</v>
      </c>
      <c r="K120" s="93">
        <v>0</v>
      </c>
      <c r="L120" s="93">
        <v>0</v>
      </c>
      <c r="M120" s="93">
        <v>0</v>
      </c>
      <c r="N120" s="93">
        <v>0</v>
      </c>
      <c r="O120" s="93">
        <v>0</v>
      </c>
      <c r="P120" s="93">
        <v>0</v>
      </c>
      <c r="Q120" s="93">
        <v>0</v>
      </c>
      <c r="R120" s="93">
        <v>0</v>
      </c>
      <c r="S120" s="93">
        <v>0</v>
      </c>
      <c r="T120" s="90">
        <f t="shared" ref="T120:AE120" si="144">H120*$F$3</f>
        <v>0</v>
      </c>
      <c r="U120" s="90">
        <f t="shared" si="144"/>
        <v>0</v>
      </c>
      <c r="V120" s="90">
        <f t="shared" si="144"/>
        <v>0</v>
      </c>
      <c r="W120" s="90">
        <f t="shared" si="144"/>
        <v>0</v>
      </c>
      <c r="X120" s="90">
        <f t="shared" si="144"/>
        <v>0</v>
      </c>
      <c r="Y120" s="90">
        <f t="shared" si="144"/>
        <v>0</v>
      </c>
      <c r="Z120" s="90">
        <f t="shared" si="144"/>
        <v>0</v>
      </c>
      <c r="AA120" s="90">
        <f t="shared" si="144"/>
        <v>0</v>
      </c>
      <c r="AB120" s="90">
        <f t="shared" si="144"/>
        <v>0</v>
      </c>
      <c r="AC120" s="90">
        <f t="shared" si="144"/>
        <v>0</v>
      </c>
      <c r="AD120" s="90">
        <f t="shared" si="144"/>
        <v>0</v>
      </c>
      <c r="AE120" s="90">
        <f t="shared" si="144"/>
        <v>0</v>
      </c>
      <c r="AF120" s="54">
        <f t="shared" si="141"/>
        <v>0</v>
      </c>
      <c r="AG120" s="2"/>
    </row>
    <row r="121" spans="1:33" ht="16" thickBot="1" x14ac:dyDescent="0.25">
      <c r="A121" s="148" t="s">
        <v>31</v>
      </c>
      <c r="B121" s="91" t="s">
        <v>3</v>
      </c>
      <c r="C121" s="92" t="s">
        <v>195</v>
      </c>
      <c r="D121" s="92" t="s">
        <v>168</v>
      </c>
      <c r="E121" s="94" t="s">
        <v>198</v>
      </c>
      <c r="F121" s="95"/>
      <c r="G121" s="142">
        <f t="shared" si="139"/>
        <v>0</v>
      </c>
      <c r="H121" s="93">
        <v>0</v>
      </c>
      <c r="I121" s="93">
        <v>0</v>
      </c>
      <c r="J121" s="93">
        <v>0</v>
      </c>
      <c r="K121" s="93">
        <v>0</v>
      </c>
      <c r="L121" s="93">
        <v>0</v>
      </c>
      <c r="M121" s="93">
        <v>0</v>
      </c>
      <c r="N121" s="93">
        <v>0</v>
      </c>
      <c r="O121" s="93">
        <v>0</v>
      </c>
      <c r="P121" s="93">
        <v>0</v>
      </c>
      <c r="Q121" s="93">
        <v>0</v>
      </c>
      <c r="R121" s="93">
        <v>0</v>
      </c>
      <c r="S121" s="93">
        <v>0</v>
      </c>
      <c r="T121" s="90">
        <f t="shared" ref="T121:AE121" si="145">H121*$F$18</f>
        <v>0</v>
      </c>
      <c r="U121" s="90">
        <f t="shared" si="145"/>
        <v>0</v>
      </c>
      <c r="V121" s="90">
        <f t="shared" si="145"/>
        <v>0</v>
      </c>
      <c r="W121" s="90">
        <f t="shared" si="145"/>
        <v>0</v>
      </c>
      <c r="X121" s="90">
        <f t="shared" si="145"/>
        <v>0</v>
      </c>
      <c r="Y121" s="90">
        <f t="shared" si="145"/>
        <v>0</v>
      </c>
      <c r="Z121" s="90">
        <f t="shared" si="145"/>
        <v>0</v>
      </c>
      <c r="AA121" s="90">
        <f t="shared" si="145"/>
        <v>0</v>
      </c>
      <c r="AB121" s="90">
        <f t="shared" si="145"/>
        <v>0</v>
      </c>
      <c r="AC121" s="90">
        <f t="shared" si="145"/>
        <v>0</v>
      </c>
      <c r="AD121" s="90">
        <f t="shared" si="145"/>
        <v>0</v>
      </c>
      <c r="AE121" s="90">
        <f t="shared" si="145"/>
        <v>0</v>
      </c>
      <c r="AF121" s="54">
        <f t="shared" si="141"/>
        <v>0</v>
      </c>
      <c r="AG121" s="2"/>
    </row>
    <row r="122" spans="1:33" ht="16" thickBot="1" x14ac:dyDescent="0.25">
      <c r="A122" s="148" t="s">
        <v>31</v>
      </c>
      <c r="B122" s="91" t="s">
        <v>3</v>
      </c>
      <c r="C122" s="92" t="s">
        <v>88</v>
      </c>
      <c r="D122" s="92" t="s">
        <v>41</v>
      </c>
      <c r="E122" s="94" t="s">
        <v>198</v>
      </c>
      <c r="F122" s="95"/>
      <c r="G122" s="142">
        <f t="shared" si="139"/>
        <v>0</v>
      </c>
      <c r="H122" s="93">
        <v>0</v>
      </c>
      <c r="I122" s="93">
        <v>0</v>
      </c>
      <c r="J122" s="93">
        <v>0</v>
      </c>
      <c r="K122" s="93">
        <v>0</v>
      </c>
      <c r="L122" s="93">
        <v>0</v>
      </c>
      <c r="M122" s="93">
        <v>0</v>
      </c>
      <c r="N122" s="93">
        <v>0</v>
      </c>
      <c r="O122" s="93">
        <v>0</v>
      </c>
      <c r="P122" s="93">
        <v>0</v>
      </c>
      <c r="Q122" s="93">
        <v>0</v>
      </c>
      <c r="R122" s="93">
        <v>0</v>
      </c>
      <c r="S122" s="93">
        <v>0</v>
      </c>
      <c r="T122" s="90">
        <f t="shared" ref="T122:AE122" si="146">$F$17*H122</f>
        <v>0</v>
      </c>
      <c r="U122" s="90">
        <f t="shared" si="146"/>
        <v>0</v>
      </c>
      <c r="V122" s="90">
        <f t="shared" si="146"/>
        <v>0</v>
      </c>
      <c r="W122" s="90">
        <f t="shared" si="146"/>
        <v>0</v>
      </c>
      <c r="X122" s="90">
        <f t="shared" si="146"/>
        <v>0</v>
      </c>
      <c r="Y122" s="90">
        <f t="shared" si="146"/>
        <v>0</v>
      </c>
      <c r="Z122" s="90">
        <f t="shared" si="146"/>
        <v>0</v>
      </c>
      <c r="AA122" s="90">
        <f t="shared" si="146"/>
        <v>0</v>
      </c>
      <c r="AB122" s="90">
        <f t="shared" si="146"/>
        <v>0</v>
      </c>
      <c r="AC122" s="90">
        <f t="shared" si="146"/>
        <v>0</v>
      </c>
      <c r="AD122" s="90">
        <f t="shared" si="146"/>
        <v>0</v>
      </c>
      <c r="AE122" s="90">
        <f t="shared" si="146"/>
        <v>0</v>
      </c>
      <c r="AF122" s="54">
        <f t="shared" si="141"/>
        <v>0</v>
      </c>
      <c r="AG122" s="2"/>
    </row>
    <row r="123" spans="1:33" ht="16" thickBot="1" x14ac:dyDescent="0.25">
      <c r="A123" s="148" t="s">
        <v>164</v>
      </c>
      <c r="B123" s="91" t="s">
        <v>3</v>
      </c>
      <c r="C123" s="92" t="s">
        <v>167</v>
      </c>
      <c r="D123" s="92" t="s">
        <v>48</v>
      </c>
      <c r="E123" s="94" t="s">
        <v>198</v>
      </c>
      <c r="F123" s="95"/>
      <c r="G123" s="142">
        <f t="shared" si="139"/>
        <v>0</v>
      </c>
      <c r="H123" s="93">
        <v>0</v>
      </c>
      <c r="I123" s="93">
        <v>0</v>
      </c>
      <c r="J123" s="93">
        <v>0</v>
      </c>
      <c r="K123" s="93">
        <v>0</v>
      </c>
      <c r="L123" s="93">
        <v>0</v>
      </c>
      <c r="M123" s="93">
        <v>0</v>
      </c>
      <c r="N123" s="93">
        <v>0</v>
      </c>
      <c r="O123" s="93">
        <v>0</v>
      </c>
      <c r="P123" s="93">
        <v>0</v>
      </c>
      <c r="Q123" s="93">
        <v>0</v>
      </c>
      <c r="R123" s="93">
        <v>0</v>
      </c>
      <c r="S123" s="93">
        <v>0</v>
      </c>
      <c r="T123" s="90">
        <f t="shared" ref="T123:AE123" si="147">$F$4*H123</f>
        <v>0</v>
      </c>
      <c r="U123" s="90">
        <f t="shared" si="147"/>
        <v>0</v>
      </c>
      <c r="V123" s="90">
        <f t="shared" si="147"/>
        <v>0</v>
      </c>
      <c r="W123" s="90">
        <f t="shared" si="147"/>
        <v>0</v>
      </c>
      <c r="X123" s="90">
        <f t="shared" si="147"/>
        <v>0</v>
      </c>
      <c r="Y123" s="90">
        <f t="shared" si="147"/>
        <v>0</v>
      </c>
      <c r="Z123" s="90">
        <f t="shared" si="147"/>
        <v>0</v>
      </c>
      <c r="AA123" s="90">
        <f t="shared" si="147"/>
        <v>0</v>
      </c>
      <c r="AB123" s="90">
        <f t="shared" si="147"/>
        <v>0</v>
      </c>
      <c r="AC123" s="90">
        <f t="shared" si="147"/>
        <v>0</v>
      </c>
      <c r="AD123" s="90">
        <f t="shared" si="147"/>
        <v>0</v>
      </c>
      <c r="AE123" s="90">
        <f t="shared" si="147"/>
        <v>0</v>
      </c>
      <c r="AF123" s="54">
        <f t="shared" si="141"/>
        <v>0</v>
      </c>
      <c r="AG123" s="2"/>
    </row>
    <row r="124" spans="1:33" ht="16" thickBot="1" x14ac:dyDescent="0.25">
      <c r="A124" s="148" t="s">
        <v>163</v>
      </c>
      <c r="B124" s="91" t="s">
        <v>3</v>
      </c>
      <c r="C124" s="92" t="s">
        <v>172</v>
      </c>
      <c r="D124" s="92" t="s">
        <v>168</v>
      </c>
      <c r="E124" s="94" t="s">
        <v>76</v>
      </c>
      <c r="F124" s="95"/>
      <c r="G124" s="142">
        <f t="shared" si="139"/>
        <v>0</v>
      </c>
      <c r="H124" s="93">
        <v>0</v>
      </c>
      <c r="I124" s="93">
        <v>0</v>
      </c>
      <c r="J124" s="93">
        <v>0</v>
      </c>
      <c r="K124" s="93">
        <v>0</v>
      </c>
      <c r="L124" s="93">
        <v>0</v>
      </c>
      <c r="M124" s="93">
        <v>0</v>
      </c>
      <c r="N124" s="93">
        <v>0</v>
      </c>
      <c r="O124" s="93">
        <v>0</v>
      </c>
      <c r="P124" s="93">
        <v>0</v>
      </c>
      <c r="Q124" s="93">
        <v>0</v>
      </c>
      <c r="R124" s="93">
        <v>0</v>
      </c>
      <c r="S124" s="93">
        <v>0</v>
      </c>
      <c r="T124" s="90">
        <f t="shared" ref="T124:AE124" si="148">$F$8*H124</f>
        <v>0</v>
      </c>
      <c r="U124" s="90">
        <f t="shared" si="148"/>
        <v>0</v>
      </c>
      <c r="V124" s="90">
        <f t="shared" si="148"/>
        <v>0</v>
      </c>
      <c r="W124" s="90">
        <f t="shared" si="148"/>
        <v>0</v>
      </c>
      <c r="X124" s="90">
        <f t="shared" si="148"/>
        <v>0</v>
      </c>
      <c r="Y124" s="90">
        <f t="shared" si="148"/>
        <v>0</v>
      </c>
      <c r="Z124" s="90">
        <f t="shared" si="148"/>
        <v>0</v>
      </c>
      <c r="AA124" s="90">
        <f t="shared" si="148"/>
        <v>0</v>
      </c>
      <c r="AB124" s="90">
        <f t="shared" si="148"/>
        <v>0</v>
      </c>
      <c r="AC124" s="90">
        <f t="shared" si="148"/>
        <v>0</v>
      </c>
      <c r="AD124" s="90">
        <f t="shared" si="148"/>
        <v>0</v>
      </c>
      <c r="AE124" s="90">
        <f t="shared" si="148"/>
        <v>0</v>
      </c>
      <c r="AF124" s="54">
        <f t="shared" si="141"/>
        <v>0</v>
      </c>
      <c r="AG124" s="2"/>
    </row>
    <row r="125" spans="1:33" ht="16" thickBot="1" x14ac:dyDescent="0.25">
      <c r="A125" s="148" t="s">
        <v>163</v>
      </c>
      <c r="B125" s="91" t="s">
        <v>3</v>
      </c>
      <c r="C125" s="92" t="s">
        <v>173</v>
      </c>
      <c r="D125" s="92" t="s">
        <v>168</v>
      </c>
      <c r="E125" s="94" t="s">
        <v>76</v>
      </c>
      <c r="F125" s="95"/>
      <c r="G125" s="142">
        <f t="shared" si="139"/>
        <v>0</v>
      </c>
      <c r="H125" s="93">
        <v>0</v>
      </c>
      <c r="I125" s="93">
        <v>0</v>
      </c>
      <c r="J125" s="93">
        <v>0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0">
        <f t="shared" ref="T125:AE125" si="149">$F$9*H125</f>
        <v>0</v>
      </c>
      <c r="U125" s="90">
        <f t="shared" si="149"/>
        <v>0</v>
      </c>
      <c r="V125" s="90">
        <f t="shared" si="149"/>
        <v>0</v>
      </c>
      <c r="W125" s="90">
        <f t="shared" si="149"/>
        <v>0</v>
      </c>
      <c r="X125" s="90">
        <f t="shared" si="149"/>
        <v>0</v>
      </c>
      <c r="Y125" s="90">
        <f t="shared" si="149"/>
        <v>0</v>
      </c>
      <c r="Z125" s="90">
        <f t="shared" si="149"/>
        <v>0</v>
      </c>
      <c r="AA125" s="90">
        <f t="shared" si="149"/>
        <v>0</v>
      </c>
      <c r="AB125" s="90">
        <f t="shared" si="149"/>
        <v>0</v>
      </c>
      <c r="AC125" s="90">
        <f t="shared" si="149"/>
        <v>0</v>
      </c>
      <c r="AD125" s="90">
        <f t="shared" si="149"/>
        <v>0</v>
      </c>
      <c r="AE125" s="90">
        <f t="shared" si="149"/>
        <v>0</v>
      </c>
      <c r="AF125" s="54">
        <f t="shared" si="141"/>
        <v>0</v>
      </c>
      <c r="AG125" s="2"/>
    </row>
    <row r="126" spans="1:33" ht="16" thickBot="1" x14ac:dyDescent="0.25">
      <c r="A126" s="148" t="s">
        <v>163</v>
      </c>
      <c r="B126" s="91" t="s">
        <v>3</v>
      </c>
      <c r="C126" s="92" t="s">
        <v>171</v>
      </c>
      <c r="D126" s="92" t="s">
        <v>168</v>
      </c>
      <c r="E126" s="94" t="s">
        <v>76</v>
      </c>
      <c r="F126" s="95"/>
      <c r="G126" s="142">
        <f t="shared" si="139"/>
        <v>0</v>
      </c>
      <c r="H126" s="93">
        <v>0</v>
      </c>
      <c r="I126" s="93">
        <v>0</v>
      </c>
      <c r="J126" s="93">
        <v>0</v>
      </c>
      <c r="K126" s="93">
        <v>0</v>
      </c>
      <c r="L126" s="93">
        <v>0</v>
      </c>
      <c r="M126" s="93">
        <v>0</v>
      </c>
      <c r="N126" s="93">
        <v>0</v>
      </c>
      <c r="O126" s="93">
        <v>0</v>
      </c>
      <c r="P126" s="93">
        <v>0</v>
      </c>
      <c r="Q126" s="93">
        <v>0</v>
      </c>
      <c r="R126" s="93">
        <v>0</v>
      </c>
      <c r="S126" s="93">
        <v>0</v>
      </c>
      <c r="T126" s="90">
        <f t="shared" ref="T126:AE126" si="150">$F$10*H126</f>
        <v>0</v>
      </c>
      <c r="U126" s="90">
        <f t="shared" si="150"/>
        <v>0</v>
      </c>
      <c r="V126" s="90">
        <f t="shared" si="150"/>
        <v>0</v>
      </c>
      <c r="W126" s="90">
        <f t="shared" si="150"/>
        <v>0</v>
      </c>
      <c r="X126" s="90">
        <f t="shared" si="150"/>
        <v>0</v>
      </c>
      <c r="Y126" s="90">
        <f t="shared" si="150"/>
        <v>0</v>
      </c>
      <c r="Z126" s="90">
        <f t="shared" si="150"/>
        <v>0</v>
      </c>
      <c r="AA126" s="90">
        <f t="shared" si="150"/>
        <v>0</v>
      </c>
      <c r="AB126" s="90">
        <f t="shared" si="150"/>
        <v>0</v>
      </c>
      <c r="AC126" s="90">
        <f t="shared" si="150"/>
        <v>0</v>
      </c>
      <c r="AD126" s="90">
        <f t="shared" si="150"/>
        <v>0</v>
      </c>
      <c r="AE126" s="90">
        <f t="shared" si="150"/>
        <v>0</v>
      </c>
      <c r="AF126" s="54">
        <f t="shared" si="141"/>
        <v>0</v>
      </c>
      <c r="AG126" s="2"/>
    </row>
    <row r="127" spans="1:33" ht="16" thickBot="1" x14ac:dyDescent="0.25">
      <c r="A127" s="148" t="s">
        <v>180</v>
      </c>
      <c r="B127" s="91" t="s">
        <v>3</v>
      </c>
      <c r="C127" s="92" t="s">
        <v>185</v>
      </c>
      <c r="D127" s="92" t="s">
        <v>78</v>
      </c>
      <c r="E127" s="94" t="s">
        <v>76</v>
      </c>
      <c r="F127" s="95"/>
      <c r="G127" s="142">
        <f t="shared" si="139"/>
        <v>0</v>
      </c>
      <c r="H127" s="93">
        <v>0</v>
      </c>
      <c r="I127" s="93">
        <v>0</v>
      </c>
      <c r="J127" s="93">
        <v>0</v>
      </c>
      <c r="K127" s="93">
        <v>0</v>
      </c>
      <c r="L127" s="93">
        <v>0</v>
      </c>
      <c r="M127" s="93">
        <v>0</v>
      </c>
      <c r="N127" s="93">
        <v>0</v>
      </c>
      <c r="O127" s="93">
        <v>0</v>
      </c>
      <c r="P127" s="93">
        <v>0</v>
      </c>
      <c r="Q127" s="93">
        <v>0</v>
      </c>
      <c r="R127" s="93">
        <v>0</v>
      </c>
      <c r="S127" s="93">
        <v>0</v>
      </c>
      <c r="T127" s="90">
        <f t="shared" ref="T127:AE127" si="151">H127*$F$35</f>
        <v>0</v>
      </c>
      <c r="U127" s="90">
        <f t="shared" si="151"/>
        <v>0</v>
      </c>
      <c r="V127" s="90">
        <f t="shared" si="151"/>
        <v>0</v>
      </c>
      <c r="W127" s="90">
        <f t="shared" si="151"/>
        <v>0</v>
      </c>
      <c r="X127" s="90">
        <f t="shared" si="151"/>
        <v>0</v>
      </c>
      <c r="Y127" s="90">
        <f t="shared" si="151"/>
        <v>0</v>
      </c>
      <c r="Z127" s="90">
        <f t="shared" si="151"/>
        <v>0</v>
      </c>
      <c r="AA127" s="90">
        <f t="shared" si="151"/>
        <v>0</v>
      </c>
      <c r="AB127" s="90">
        <f t="shared" si="151"/>
        <v>0</v>
      </c>
      <c r="AC127" s="90">
        <f t="shared" si="151"/>
        <v>0</v>
      </c>
      <c r="AD127" s="90">
        <f t="shared" si="151"/>
        <v>0</v>
      </c>
      <c r="AE127" s="90">
        <f t="shared" si="151"/>
        <v>0</v>
      </c>
      <c r="AF127" s="54">
        <f t="shared" si="141"/>
        <v>0</v>
      </c>
      <c r="AG127" s="2"/>
    </row>
    <row r="128" spans="1:33" ht="16" thickBot="1" x14ac:dyDescent="0.25">
      <c r="A128" s="148" t="s">
        <v>180</v>
      </c>
      <c r="B128" s="91" t="s">
        <v>3</v>
      </c>
      <c r="C128" s="92" t="s">
        <v>186</v>
      </c>
      <c r="D128" s="92" t="s">
        <v>79</v>
      </c>
      <c r="E128" s="94" t="s">
        <v>76</v>
      </c>
      <c r="F128" s="95"/>
      <c r="G128" s="142">
        <f t="shared" si="139"/>
        <v>0</v>
      </c>
      <c r="H128" s="93">
        <v>0</v>
      </c>
      <c r="I128" s="93">
        <v>0</v>
      </c>
      <c r="J128" s="93">
        <v>0</v>
      </c>
      <c r="K128" s="93">
        <v>0</v>
      </c>
      <c r="L128" s="93">
        <v>0</v>
      </c>
      <c r="M128" s="93">
        <v>0</v>
      </c>
      <c r="N128" s="93">
        <v>0</v>
      </c>
      <c r="O128" s="93">
        <v>0</v>
      </c>
      <c r="P128" s="93">
        <v>0</v>
      </c>
      <c r="Q128" s="93">
        <v>0</v>
      </c>
      <c r="R128" s="93">
        <v>0</v>
      </c>
      <c r="S128" s="93">
        <v>0</v>
      </c>
      <c r="T128" s="90">
        <f t="shared" ref="T128:AE128" si="152">H128*$F$36</f>
        <v>0</v>
      </c>
      <c r="U128" s="90">
        <f t="shared" si="152"/>
        <v>0</v>
      </c>
      <c r="V128" s="90">
        <f t="shared" si="152"/>
        <v>0</v>
      </c>
      <c r="W128" s="90">
        <f t="shared" si="152"/>
        <v>0</v>
      </c>
      <c r="X128" s="90">
        <f t="shared" si="152"/>
        <v>0</v>
      </c>
      <c r="Y128" s="90">
        <f t="shared" si="152"/>
        <v>0</v>
      </c>
      <c r="Z128" s="90">
        <f t="shared" si="152"/>
        <v>0</v>
      </c>
      <c r="AA128" s="90">
        <f t="shared" si="152"/>
        <v>0</v>
      </c>
      <c r="AB128" s="90">
        <f t="shared" si="152"/>
        <v>0</v>
      </c>
      <c r="AC128" s="90">
        <f t="shared" si="152"/>
        <v>0</v>
      </c>
      <c r="AD128" s="90">
        <f t="shared" si="152"/>
        <v>0</v>
      </c>
      <c r="AE128" s="90">
        <f t="shared" si="152"/>
        <v>0</v>
      </c>
      <c r="AF128" s="54">
        <f t="shared" si="141"/>
        <v>0</v>
      </c>
      <c r="AG128" s="2"/>
    </row>
    <row r="129" spans="1:33" ht="16" thickBot="1" x14ac:dyDescent="0.25">
      <c r="A129" s="148" t="s">
        <v>180</v>
      </c>
      <c r="B129" s="91" t="s">
        <v>3</v>
      </c>
      <c r="C129" s="92" t="s">
        <v>190</v>
      </c>
      <c r="D129" s="92" t="s">
        <v>168</v>
      </c>
      <c r="E129" s="94" t="s">
        <v>76</v>
      </c>
      <c r="F129" s="95"/>
      <c r="G129" s="142">
        <f t="shared" si="139"/>
        <v>0</v>
      </c>
      <c r="H129" s="93">
        <v>0</v>
      </c>
      <c r="I129" s="93">
        <v>0</v>
      </c>
      <c r="J129" s="93">
        <v>0</v>
      </c>
      <c r="K129" s="93">
        <v>0</v>
      </c>
      <c r="L129" s="93">
        <v>0</v>
      </c>
      <c r="M129" s="93">
        <v>0</v>
      </c>
      <c r="N129" s="93">
        <v>0</v>
      </c>
      <c r="O129" s="93">
        <v>0</v>
      </c>
      <c r="P129" s="93">
        <v>0</v>
      </c>
      <c r="Q129" s="93">
        <v>0</v>
      </c>
      <c r="R129" s="93">
        <v>0</v>
      </c>
      <c r="S129" s="93">
        <v>0</v>
      </c>
      <c r="T129" s="90">
        <f t="shared" ref="T129:AE129" si="153">H129*$F$43</f>
        <v>0</v>
      </c>
      <c r="U129" s="90">
        <f t="shared" si="153"/>
        <v>0</v>
      </c>
      <c r="V129" s="90">
        <f t="shared" si="153"/>
        <v>0</v>
      </c>
      <c r="W129" s="90">
        <f t="shared" si="153"/>
        <v>0</v>
      </c>
      <c r="X129" s="90">
        <f t="shared" si="153"/>
        <v>0</v>
      </c>
      <c r="Y129" s="90">
        <f t="shared" si="153"/>
        <v>0</v>
      </c>
      <c r="Z129" s="90">
        <f t="shared" si="153"/>
        <v>0</v>
      </c>
      <c r="AA129" s="90">
        <f t="shared" si="153"/>
        <v>0</v>
      </c>
      <c r="AB129" s="90">
        <f t="shared" si="153"/>
        <v>0</v>
      </c>
      <c r="AC129" s="90">
        <f t="shared" si="153"/>
        <v>0</v>
      </c>
      <c r="AD129" s="90">
        <f t="shared" si="153"/>
        <v>0</v>
      </c>
      <c r="AE129" s="90">
        <f t="shared" si="153"/>
        <v>0</v>
      </c>
      <c r="AF129" s="54">
        <f t="shared" si="141"/>
        <v>0</v>
      </c>
      <c r="AG129" s="2"/>
    </row>
    <row r="130" spans="1:33" ht="16" thickBot="1" x14ac:dyDescent="0.25">
      <c r="A130" s="148" t="s">
        <v>180</v>
      </c>
      <c r="B130" s="91" t="s">
        <v>3</v>
      </c>
      <c r="C130" s="92" t="s">
        <v>191</v>
      </c>
      <c r="D130" s="92" t="s">
        <v>168</v>
      </c>
      <c r="E130" s="94" t="s">
        <v>76</v>
      </c>
      <c r="F130" s="95"/>
      <c r="G130" s="142">
        <f t="shared" si="139"/>
        <v>0</v>
      </c>
      <c r="H130" s="93">
        <v>0</v>
      </c>
      <c r="I130" s="93">
        <v>0</v>
      </c>
      <c r="J130" s="93">
        <v>0</v>
      </c>
      <c r="K130" s="93">
        <v>0</v>
      </c>
      <c r="L130" s="93">
        <v>0</v>
      </c>
      <c r="M130" s="93">
        <v>0</v>
      </c>
      <c r="N130" s="93">
        <v>0</v>
      </c>
      <c r="O130" s="93">
        <v>0</v>
      </c>
      <c r="P130" s="93">
        <v>0</v>
      </c>
      <c r="Q130" s="93">
        <v>0</v>
      </c>
      <c r="R130" s="93">
        <v>0</v>
      </c>
      <c r="S130" s="93">
        <v>0</v>
      </c>
      <c r="T130" s="90">
        <f t="shared" ref="T130:AE130" si="154">H130*$F$44</f>
        <v>0</v>
      </c>
      <c r="U130" s="90">
        <f t="shared" si="154"/>
        <v>0</v>
      </c>
      <c r="V130" s="90">
        <f t="shared" si="154"/>
        <v>0</v>
      </c>
      <c r="W130" s="90">
        <f t="shared" si="154"/>
        <v>0</v>
      </c>
      <c r="X130" s="90">
        <f t="shared" si="154"/>
        <v>0</v>
      </c>
      <c r="Y130" s="90">
        <f t="shared" si="154"/>
        <v>0</v>
      </c>
      <c r="Z130" s="90">
        <f t="shared" si="154"/>
        <v>0</v>
      </c>
      <c r="AA130" s="90">
        <f t="shared" si="154"/>
        <v>0</v>
      </c>
      <c r="AB130" s="90">
        <f t="shared" si="154"/>
        <v>0</v>
      </c>
      <c r="AC130" s="90">
        <f t="shared" si="154"/>
        <v>0</v>
      </c>
      <c r="AD130" s="90">
        <f t="shared" si="154"/>
        <v>0</v>
      </c>
      <c r="AE130" s="90">
        <f t="shared" si="154"/>
        <v>0</v>
      </c>
      <c r="AF130" s="54">
        <f t="shared" si="141"/>
        <v>0</v>
      </c>
      <c r="AG130" s="2"/>
    </row>
    <row r="131" spans="1:33" ht="16" thickBot="1" x14ac:dyDescent="0.25">
      <c r="A131" s="148" t="s">
        <v>180</v>
      </c>
      <c r="B131" s="91" t="s">
        <v>3</v>
      </c>
      <c r="C131" s="92" t="s">
        <v>192</v>
      </c>
      <c r="D131" s="92" t="s">
        <v>168</v>
      </c>
      <c r="E131" s="94" t="s">
        <v>76</v>
      </c>
      <c r="F131" s="95"/>
      <c r="G131" s="142">
        <f t="shared" si="139"/>
        <v>0</v>
      </c>
      <c r="H131" s="93">
        <v>0</v>
      </c>
      <c r="I131" s="93">
        <v>0</v>
      </c>
      <c r="J131" s="93">
        <v>0</v>
      </c>
      <c r="K131" s="93">
        <v>0</v>
      </c>
      <c r="L131" s="93">
        <v>0</v>
      </c>
      <c r="M131" s="93">
        <v>0</v>
      </c>
      <c r="N131" s="93">
        <v>0</v>
      </c>
      <c r="O131" s="93">
        <v>0</v>
      </c>
      <c r="P131" s="93">
        <v>0</v>
      </c>
      <c r="Q131" s="93">
        <v>0</v>
      </c>
      <c r="R131" s="93">
        <v>0</v>
      </c>
      <c r="S131" s="93">
        <v>0</v>
      </c>
      <c r="T131" s="90">
        <f t="shared" ref="T131:AE131" si="155">H131*$F$45</f>
        <v>0</v>
      </c>
      <c r="U131" s="90">
        <f t="shared" si="155"/>
        <v>0</v>
      </c>
      <c r="V131" s="90">
        <f t="shared" si="155"/>
        <v>0</v>
      </c>
      <c r="W131" s="90">
        <f t="shared" si="155"/>
        <v>0</v>
      </c>
      <c r="X131" s="90">
        <f t="shared" si="155"/>
        <v>0</v>
      </c>
      <c r="Y131" s="90">
        <f t="shared" si="155"/>
        <v>0</v>
      </c>
      <c r="Z131" s="90">
        <f t="shared" si="155"/>
        <v>0</v>
      </c>
      <c r="AA131" s="90">
        <f t="shared" si="155"/>
        <v>0</v>
      </c>
      <c r="AB131" s="90">
        <f t="shared" si="155"/>
        <v>0</v>
      </c>
      <c r="AC131" s="90">
        <f t="shared" si="155"/>
        <v>0</v>
      </c>
      <c r="AD131" s="90">
        <f t="shared" si="155"/>
        <v>0</v>
      </c>
      <c r="AE131" s="90">
        <f t="shared" si="155"/>
        <v>0</v>
      </c>
      <c r="AF131" s="54">
        <f t="shared" si="141"/>
        <v>0</v>
      </c>
      <c r="AG131" s="2"/>
    </row>
    <row r="132" spans="1:33" ht="16" thickBot="1" x14ac:dyDescent="0.25">
      <c r="A132" s="148" t="s">
        <v>180</v>
      </c>
      <c r="B132" s="91" t="s">
        <v>3</v>
      </c>
      <c r="C132" s="92" t="s">
        <v>259</v>
      </c>
      <c r="D132" s="92" t="s">
        <v>168</v>
      </c>
      <c r="E132" s="94" t="s">
        <v>76</v>
      </c>
      <c r="F132" s="95"/>
      <c r="G132" s="142">
        <f t="shared" si="139"/>
        <v>0</v>
      </c>
      <c r="H132" s="93">
        <v>0</v>
      </c>
      <c r="I132" s="93">
        <v>0</v>
      </c>
      <c r="J132" s="93">
        <v>0</v>
      </c>
      <c r="K132" s="93">
        <v>0</v>
      </c>
      <c r="L132" s="93">
        <v>0</v>
      </c>
      <c r="M132" s="93">
        <v>0</v>
      </c>
      <c r="N132" s="93">
        <v>0</v>
      </c>
      <c r="O132" s="93">
        <v>0</v>
      </c>
      <c r="P132" s="93">
        <v>0</v>
      </c>
      <c r="Q132" s="93">
        <v>0</v>
      </c>
      <c r="R132" s="93">
        <v>0</v>
      </c>
      <c r="S132" s="93">
        <v>0</v>
      </c>
      <c r="T132" s="90">
        <f t="shared" ref="T132:AE132" si="156">H132*$F$46</f>
        <v>0</v>
      </c>
      <c r="U132" s="90">
        <f t="shared" si="156"/>
        <v>0</v>
      </c>
      <c r="V132" s="90">
        <f t="shared" si="156"/>
        <v>0</v>
      </c>
      <c r="W132" s="90">
        <f t="shared" si="156"/>
        <v>0</v>
      </c>
      <c r="X132" s="90">
        <f t="shared" si="156"/>
        <v>0</v>
      </c>
      <c r="Y132" s="90">
        <f t="shared" si="156"/>
        <v>0</v>
      </c>
      <c r="Z132" s="90">
        <f t="shared" si="156"/>
        <v>0</v>
      </c>
      <c r="AA132" s="90">
        <f t="shared" si="156"/>
        <v>0</v>
      </c>
      <c r="AB132" s="90">
        <f t="shared" si="156"/>
        <v>0</v>
      </c>
      <c r="AC132" s="90">
        <f t="shared" si="156"/>
        <v>0</v>
      </c>
      <c r="AD132" s="90">
        <f t="shared" si="156"/>
        <v>0</v>
      </c>
      <c r="AE132" s="90">
        <f t="shared" si="156"/>
        <v>0</v>
      </c>
      <c r="AF132" s="54">
        <f t="shared" si="141"/>
        <v>0</v>
      </c>
      <c r="AG132" s="2"/>
    </row>
    <row r="133" spans="1:33" ht="16" thickBot="1" x14ac:dyDescent="0.25">
      <c r="A133" s="148" t="s">
        <v>31</v>
      </c>
      <c r="B133" s="91" t="s">
        <v>3</v>
      </c>
      <c r="C133" s="92" t="s">
        <v>44</v>
      </c>
      <c r="D133" s="92" t="s">
        <v>45</v>
      </c>
      <c r="E133" s="94" t="s">
        <v>69</v>
      </c>
      <c r="F133" s="95"/>
      <c r="G133" s="142">
        <f t="shared" si="139"/>
        <v>0</v>
      </c>
      <c r="H133" s="93">
        <v>0</v>
      </c>
      <c r="I133" s="93">
        <v>0</v>
      </c>
      <c r="J133" s="93">
        <v>0</v>
      </c>
      <c r="K133" s="93">
        <v>0</v>
      </c>
      <c r="L133" s="93">
        <v>0</v>
      </c>
      <c r="M133" s="93">
        <v>0</v>
      </c>
      <c r="N133" s="93">
        <v>0</v>
      </c>
      <c r="O133" s="93">
        <v>0</v>
      </c>
      <c r="P133" s="93">
        <v>0</v>
      </c>
      <c r="Q133" s="93">
        <v>0</v>
      </c>
      <c r="R133" s="93">
        <v>0</v>
      </c>
      <c r="S133" s="93">
        <v>0</v>
      </c>
      <c r="T133" s="90">
        <f t="shared" ref="T133:AE133" si="157">H133*$F$16</f>
        <v>0</v>
      </c>
      <c r="U133" s="90">
        <f t="shared" si="157"/>
        <v>0</v>
      </c>
      <c r="V133" s="90">
        <f t="shared" si="157"/>
        <v>0</v>
      </c>
      <c r="W133" s="90">
        <f t="shared" si="157"/>
        <v>0</v>
      </c>
      <c r="X133" s="90">
        <f t="shared" si="157"/>
        <v>0</v>
      </c>
      <c r="Y133" s="90">
        <f t="shared" si="157"/>
        <v>0</v>
      </c>
      <c r="Z133" s="90">
        <f t="shared" si="157"/>
        <v>0</v>
      </c>
      <c r="AA133" s="90">
        <f t="shared" si="157"/>
        <v>0</v>
      </c>
      <c r="AB133" s="90">
        <f t="shared" si="157"/>
        <v>0</v>
      </c>
      <c r="AC133" s="90">
        <f t="shared" si="157"/>
        <v>0</v>
      </c>
      <c r="AD133" s="90">
        <f t="shared" si="157"/>
        <v>0</v>
      </c>
      <c r="AE133" s="90">
        <f t="shared" si="157"/>
        <v>0</v>
      </c>
      <c r="AF133" s="54">
        <f t="shared" si="141"/>
        <v>0</v>
      </c>
      <c r="AG133" s="2"/>
    </row>
    <row r="134" spans="1:33" ht="16" thickBot="1" x14ac:dyDescent="0.25">
      <c r="A134" s="148" t="s">
        <v>31</v>
      </c>
      <c r="B134" s="91" t="s">
        <v>3</v>
      </c>
      <c r="C134" s="92" t="s">
        <v>30</v>
      </c>
      <c r="D134" s="92" t="s">
        <v>30</v>
      </c>
      <c r="E134" s="94" t="s">
        <v>69</v>
      </c>
      <c r="F134" s="95"/>
      <c r="G134" s="142">
        <f t="shared" si="139"/>
        <v>0</v>
      </c>
      <c r="H134" s="93">
        <v>0</v>
      </c>
      <c r="I134" s="93">
        <v>0</v>
      </c>
      <c r="J134" s="93">
        <v>0</v>
      </c>
      <c r="K134" s="93">
        <v>0</v>
      </c>
      <c r="L134" s="93">
        <v>0</v>
      </c>
      <c r="M134" s="93">
        <v>0</v>
      </c>
      <c r="N134" s="93">
        <v>0</v>
      </c>
      <c r="O134" s="93">
        <v>0</v>
      </c>
      <c r="P134" s="93">
        <v>0</v>
      </c>
      <c r="Q134" s="93">
        <v>0</v>
      </c>
      <c r="R134" s="93">
        <v>0</v>
      </c>
      <c r="S134" s="93">
        <v>0</v>
      </c>
      <c r="T134" s="90">
        <f t="shared" ref="T134:AE134" si="158">H134*$F$15</f>
        <v>0</v>
      </c>
      <c r="U134" s="90">
        <f t="shared" si="158"/>
        <v>0</v>
      </c>
      <c r="V134" s="90">
        <f t="shared" si="158"/>
        <v>0</v>
      </c>
      <c r="W134" s="90">
        <f t="shared" si="158"/>
        <v>0</v>
      </c>
      <c r="X134" s="90">
        <f t="shared" si="158"/>
        <v>0</v>
      </c>
      <c r="Y134" s="90">
        <f t="shared" si="158"/>
        <v>0</v>
      </c>
      <c r="Z134" s="90">
        <f t="shared" si="158"/>
        <v>0</v>
      </c>
      <c r="AA134" s="90">
        <f t="shared" si="158"/>
        <v>0</v>
      </c>
      <c r="AB134" s="90">
        <f t="shared" si="158"/>
        <v>0</v>
      </c>
      <c r="AC134" s="90">
        <f t="shared" si="158"/>
        <v>0</v>
      </c>
      <c r="AD134" s="90">
        <f t="shared" si="158"/>
        <v>0</v>
      </c>
      <c r="AE134" s="90">
        <f t="shared" si="158"/>
        <v>0</v>
      </c>
      <c r="AF134" s="54">
        <f t="shared" si="141"/>
        <v>0</v>
      </c>
      <c r="AG134" s="2"/>
    </row>
    <row r="135" spans="1:33" ht="16" thickBot="1" x14ac:dyDescent="0.25">
      <c r="A135" s="148" t="s">
        <v>196</v>
      </c>
      <c r="B135" s="91" t="s">
        <v>3</v>
      </c>
      <c r="C135" s="92" t="s">
        <v>197</v>
      </c>
      <c r="D135" s="92" t="s">
        <v>168</v>
      </c>
      <c r="E135" s="94" t="s">
        <v>198</v>
      </c>
      <c r="F135" s="95"/>
      <c r="G135" s="142">
        <f t="shared" si="139"/>
        <v>0</v>
      </c>
      <c r="H135" s="93">
        <v>0</v>
      </c>
      <c r="I135" s="93">
        <v>0</v>
      </c>
      <c r="J135" s="93">
        <v>0</v>
      </c>
      <c r="K135" s="93">
        <v>0</v>
      </c>
      <c r="L135" s="93">
        <v>0</v>
      </c>
      <c r="M135" s="93">
        <v>0</v>
      </c>
      <c r="N135" s="93">
        <v>0</v>
      </c>
      <c r="O135" s="93">
        <v>0</v>
      </c>
      <c r="P135" s="93">
        <v>0</v>
      </c>
      <c r="Q135" s="93">
        <v>0</v>
      </c>
      <c r="R135" s="93">
        <v>0</v>
      </c>
      <c r="S135" s="93">
        <v>0</v>
      </c>
      <c r="T135" s="90">
        <f t="shared" ref="T135:AE135" si="159">H135*$F$49</f>
        <v>0</v>
      </c>
      <c r="U135" s="90">
        <f t="shared" si="159"/>
        <v>0</v>
      </c>
      <c r="V135" s="90">
        <f t="shared" si="159"/>
        <v>0</v>
      </c>
      <c r="W135" s="90">
        <f t="shared" si="159"/>
        <v>0</v>
      </c>
      <c r="X135" s="90">
        <f t="shared" si="159"/>
        <v>0</v>
      </c>
      <c r="Y135" s="90">
        <f t="shared" si="159"/>
        <v>0</v>
      </c>
      <c r="Z135" s="90">
        <f t="shared" si="159"/>
        <v>0</v>
      </c>
      <c r="AA135" s="90">
        <f t="shared" si="159"/>
        <v>0</v>
      </c>
      <c r="AB135" s="90">
        <f t="shared" si="159"/>
        <v>0</v>
      </c>
      <c r="AC135" s="90">
        <f t="shared" si="159"/>
        <v>0</v>
      </c>
      <c r="AD135" s="90">
        <f t="shared" si="159"/>
        <v>0</v>
      </c>
      <c r="AE135" s="90">
        <f t="shared" si="159"/>
        <v>0</v>
      </c>
      <c r="AF135" s="54">
        <f t="shared" si="141"/>
        <v>0</v>
      </c>
      <c r="AG135" s="2"/>
    </row>
    <row r="136" spans="1:33" ht="16" thickBot="1" x14ac:dyDescent="0.25">
      <c r="A136" s="148" t="s">
        <v>180</v>
      </c>
      <c r="B136" s="91" t="s">
        <v>3</v>
      </c>
      <c r="C136" s="92" t="s">
        <v>181</v>
      </c>
      <c r="D136" s="92" t="s">
        <v>80</v>
      </c>
      <c r="E136" s="94" t="s">
        <v>76</v>
      </c>
      <c r="F136" s="95"/>
      <c r="G136" s="142">
        <f t="shared" si="139"/>
        <v>0</v>
      </c>
      <c r="H136" s="93">
        <v>0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0">
        <f t="shared" ref="T136:AE136" si="160">H136*$F$37</f>
        <v>0</v>
      </c>
      <c r="U136" s="90">
        <f t="shared" si="160"/>
        <v>0</v>
      </c>
      <c r="V136" s="90">
        <f t="shared" si="160"/>
        <v>0</v>
      </c>
      <c r="W136" s="90">
        <f t="shared" si="160"/>
        <v>0</v>
      </c>
      <c r="X136" s="90">
        <f t="shared" si="160"/>
        <v>0</v>
      </c>
      <c r="Y136" s="90">
        <f t="shared" si="160"/>
        <v>0</v>
      </c>
      <c r="Z136" s="90">
        <f t="shared" si="160"/>
        <v>0</v>
      </c>
      <c r="AA136" s="90">
        <f t="shared" si="160"/>
        <v>0</v>
      </c>
      <c r="AB136" s="90">
        <f t="shared" si="160"/>
        <v>0</v>
      </c>
      <c r="AC136" s="90">
        <f t="shared" si="160"/>
        <v>0</v>
      </c>
      <c r="AD136" s="90">
        <f t="shared" si="160"/>
        <v>0</v>
      </c>
      <c r="AE136" s="90">
        <f t="shared" si="160"/>
        <v>0</v>
      </c>
      <c r="AF136" s="54">
        <f t="shared" si="141"/>
        <v>0</v>
      </c>
      <c r="AG136" s="2"/>
    </row>
    <row r="137" spans="1:33" ht="16" thickBot="1" x14ac:dyDescent="0.25">
      <c r="A137" s="148" t="s">
        <v>180</v>
      </c>
      <c r="B137" s="91" t="s">
        <v>3</v>
      </c>
      <c r="C137" s="92" t="s">
        <v>182</v>
      </c>
      <c r="D137" s="92" t="s">
        <v>90</v>
      </c>
      <c r="E137" s="94" t="s">
        <v>76</v>
      </c>
      <c r="F137" s="95"/>
      <c r="G137" s="142">
        <f t="shared" si="139"/>
        <v>0</v>
      </c>
      <c r="H137" s="93">
        <v>0</v>
      </c>
      <c r="I137" s="93">
        <v>0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0">
        <f t="shared" ref="T137:AE137" si="161">H137*$F$39</f>
        <v>0</v>
      </c>
      <c r="U137" s="90">
        <f t="shared" si="161"/>
        <v>0</v>
      </c>
      <c r="V137" s="90">
        <f t="shared" si="161"/>
        <v>0</v>
      </c>
      <c r="W137" s="90">
        <f t="shared" si="161"/>
        <v>0</v>
      </c>
      <c r="X137" s="90">
        <f t="shared" si="161"/>
        <v>0</v>
      </c>
      <c r="Y137" s="90">
        <f t="shared" si="161"/>
        <v>0</v>
      </c>
      <c r="Z137" s="90">
        <f t="shared" si="161"/>
        <v>0</v>
      </c>
      <c r="AA137" s="90">
        <f t="shared" si="161"/>
        <v>0</v>
      </c>
      <c r="AB137" s="90">
        <f t="shared" si="161"/>
        <v>0</v>
      </c>
      <c r="AC137" s="90">
        <f t="shared" si="161"/>
        <v>0</v>
      </c>
      <c r="AD137" s="90">
        <f t="shared" si="161"/>
        <v>0</v>
      </c>
      <c r="AE137" s="90">
        <f t="shared" si="161"/>
        <v>0</v>
      </c>
      <c r="AF137" s="54">
        <f t="shared" si="141"/>
        <v>0</v>
      </c>
      <c r="AG137" s="2"/>
    </row>
    <row r="138" spans="1:33" ht="16" thickBot="1" x14ac:dyDescent="0.25">
      <c r="A138" s="148" t="s">
        <v>180</v>
      </c>
      <c r="B138" s="91" t="s">
        <v>3</v>
      </c>
      <c r="C138" s="92" t="s">
        <v>187</v>
      </c>
      <c r="D138" s="92" t="s">
        <v>168</v>
      </c>
      <c r="E138" s="94" t="s">
        <v>76</v>
      </c>
      <c r="F138" s="95"/>
      <c r="G138" s="142">
        <f t="shared" si="139"/>
        <v>0</v>
      </c>
      <c r="H138" s="93">
        <v>0</v>
      </c>
      <c r="I138" s="93">
        <v>0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0">
        <f t="shared" ref="T138:AE138" si="162">H138*$F$38</f>
        <v>0</v>
      </c>
      <c r="U138" s="90">
        <f t="shared" si="162"/>
        <v>0</v>
      </c>
      <c r="V138" s="90">
        <f t="shared" si="162"/>
        <v>0</v>
      </c>
      <c r="W138" s="90">
        <f t="shared" si="162"/>
        <v>0</v>
      </c>
      <c r="X138" s="90">
        <f t="shared" si="162"/>
        <v>0</v>
      </c>
      <c r="Y138" s="90">
        <f t="shared" si="162"/>
        <v>0</v>
      </c>
      <c r="Z138" s="90">
        <f t="shared" si="162"/>
        <v>0</v>
      </c>
      <c r="AA138" s="90">
        <f t="shared" si="162"/>
        <v>0</v>
      </c>
      <c r="AB138" s="90">
        <f t="shared" si="162"/>
        <v>0</v>
      </c>
      <c r="AC138" s="90">
        <f t="shared" si="162"/>
        <v>0</v>
      </c>
      <c r="AD138" s="90">
        <f t="shared" si="162"/>
        <v>0</v>
      </c>
      <c r="AE138" s="90">
        <f t="shared" si="162"/>
        <v>0</v>
      </c>
      <c r="AF138" s="54">
        <f t="shared" si="141"/>
        <v>0</v>
      </c>
      <c r="AG138" s="2"/>
    </row>
    <row r="139" spans="1:33" ht="16" thickBot="1" x14ac:dyDescent="0.25">
      <c r="A139" s="148" t="s">
        <v>163</v>
      </c>
      <c r="B139" s="91" t="s">
        <v>3</v>
      </c>
      <c r="C139" s="92" t="s">
        <v>115</v>
      </c>
      <c r="D139" s="92" t="s">
        <v>137</v>
      </c>
      <c r="E139" s="94" t="s">
        <v>76</v>
      </c>
      <c r="F139" s="95"/>
      <c r="G139" s="142">
        <f t="shared" si="139"/>
        <v>0</v>
      </c>
      <c r="H139" s="93">
        <v>0</v>
      </c>
      <c r="I139" s="93">
        <v>0</v>
      </c>
      <c r="J139" s="93">
        <v>0</v>
      </c>
      <c r="K139" s="93">
        <v>0</v>
      </c>
      <c r="L139" s="93">
        <v>0</v>
      </c>
      <c r="M139" s="93">
        <v>0</v>
      </c>
      <c r="N139" s="93">
        <v>0</v>
      </c>
      <c r="O139" s="93">
        <v>0</v>
      </c>
      <c r="P139" s="93">
        <v>0</v>
      </c>
      <c r="Q139" s="93">
        <v>0</v>
      </c>
      <c r="R139" s="93">
        <v>0</v>
      </c>
      <c r="S139" s="93">
        <v>0</v>
      </c>
      <c r="T139" s="90">
        <f t="shared" ref="T139:AE139" si="163">$F$5*H139</f>
        <v>0</v>
      </c>
      <c r="U139" s="90">
        <f t="shared" si="163"/>
        <v>0</v>
      </c>
      <c r="V139" s="90">
        <f t="shared" si="163"/>
        <v>0</v>
      </c>
      <c r="W139" s="90">
        <f t="shared" si="163"/>
        <v>0</v>
      </c>
      <c r="X139" s="90">
        <f t="shared" si="163"/>
        <v>0</v>
      </c>
      <c r="Y139" s="90">
        <f t="shared" si="163"/>
        <v>0</v>
      </c>
      <c r="Z139" s="90">
        <f t="shared" si="163"/>
        <v>0</v>
      </c>
      <c r="AA139" s="90">
        <f t="shared" si="163"/>
        <v>0</v>
      </c>
      <c r="AB139" s="90">
        <f t="shared" si="163"/>
        <v>0</v>
      </c>
      <c r="AC139" s="90">
        <f t="shared" si="163"/>
        <v>0</v>
      </c>
      <c r="AD139" s="90">
        <f t="shared" si="163"/>
        <v>0</v>
      </c>
      <c r="AE139" s="90">
        <f t="shared" si="163"/>
        <v>0</v>
      </c>
      <c r="AF139" s="54">
        <f t="shared" si="141"/>
        <v>0</v>
      </c>
      <c r="AG139" s="2"/>
    </row>
    <row r="140" spans="1:33" ht="16" thickBot="1" x14ac:dyDescent="0.25">
      <c r="A140" s="148" t="s">
        <v>68</v>
      </c>
      <c r="B140" s="91" t="s">
        <v>3</v>
      </c>
      <c r="C140" s="92" t="s">
        <v>29</v>
      </c>
      <c r="D140" s="92" t="s">
        <v>114</v>
      </c>
      <c r="E140" s="94" t="s">
        <v>198</v>
      </c>
      <c r="F140" s="95"/>
      <c r="G140" s="142">
        <f t="shared" si="139"/>
        <v>0</v>
      </c>
      <c r="H140" s="93">
        <v>0</v>
      </c>
      <c r="I140" s="93">
        <v>0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0">
        <f t="shared" ref="T140:AE140" si="164">$F$20*H140</f>
        <v>0</v>
      </c>
      <c r="U140" s="90">
        <f t="shared" si="164"/>
        <v>0</v>
      </c>
      <c r="V140" s="90">
        <f t="shared" si="164"/>
        <v>0</v>
      </c>
      <c r="W140" s="90">
        <f t="shared" si="164"/>
        <v>0</v>
      </c>
      <c r="X140" s="90">
        <f t="shared" si="164"/>
        <v>0</v>
      </c>
      <c r="Y140" s="90">
        <f t="shared" si="164"/>
        <v>0</v>
      </c>
      <c r="Z140" s="90">
        <f t="shared" si="164"/>
        <v>0</v>
      </c>
      <c r="AA140" s="90">
        <f t="shared" si="164"/>
        <v>0</v>
      </c>
      <c r="AB140" s="90">
        <f t="shared" si="164"/>
        <v>0</v>
      </c>
      <c r="AC140" s="90">
        <f t="shared" si="164"/>
        <v>0</v>
      </c>
      <c r="AD140" s="90">
        <f t="shared" si="164"/>
        <v>0</v>
      </c>
      <c r="AE140" s="90">
        <f t="shared" si="164"/>
        <v>0</v>
      </c>
      <c r="AF140" s="54">
        <f t="shared" si="141"/>
        <v>0</v>
      </c>
      <c r="AG140" s="2"/>
    </row>
    <row r="141" spans="1:33" ht="16" thickBot="1" x14ac:dyDescent="0.25">
      <c r="A141" s="148" t="s">
        <v>68</v>
      </c>
      <c r="B141" s="91" t="s">
        <v>3</v>
      </c>
      <c r="C141" s="92" t="s">
        <v>178</v>
      </c>
      <c r="D141" s="92" t="s">
        <v>89</v>
      </c>
      <c r="E141" s="94" t="s">
        <v>69</v>
      </c>
      <c r="F141" s="95"/>
      <c r="G141" s="142">
        <f t="shared" si="139"/>
        <v>0</v>
      </c>
      <c r="H141" s="93">
        <v>0</v>
      </c>
      <c r="I141" s="93">
        <v>0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0">
        <f t="shared" ref="T141:AE141" si="165">H141*$F$21</f>
        <v>0</v>
      </c>
      <c r="U141" s="90">
        <f t="shared" si="165"/>
        <v>0</v>
      </c>
      <c r="V141" s="90">
        <f t="shared" si="165"/>
        <v>0</v>
      </c>
      <c r="W141" s="90">
        <f t="shared" si="165"/>
        <v>0</v>
      </c>
      <c r="X141" s="90">
        <f t="shared" si="165"/>
        <v>0</v>
      </c>
      <c r="Y141" s="90">
        <f t="shared" si="165"/>
        <v>0</v>
      </c>
      <c r="Z141" s="90">
        <f t="shared" si="165"/>
        <v>0</v>
      </c>
      <c r="AA141" s="90">
        <f t="shared" si="165"/>
        <v>0</v>
      </c>
      <c r="AB141" s="90">
        <f t="shared" si="165"/>
        <v>0</v>
      </c>
      <c r="AC141" s="90">
        <f t="shared" si="165"/>
        <v>0</v>
      </c>
      <c r="AD141" s="90">
        <f t="shared" si="165"/>
        <v>0</v>
      </c>
      <c r="AE141" s="90">
        <f t="shared" si="165"/>
        <v>0</v>
      </c>
      <c r="AF141" s="54">
        <f t="shared" si="141"/>
        <v>0</v>
      </c>
      <c r="AG141" s="2"/>
    </row>
    <row r="142" spans="1:33" ht="16" thickBot="1" x14ac:dyDescent="0.25">
      <c r="A142" s="148" t="s">
        <v>163</v>
      </c>
      <c r="B142" s="91" t="s">
        <v>3</v>
      </c>
      <c r="C142" s="92" t="s">
        <v>169</v>
      </c>
      <c r="D142" s="92" t="s">
        <v>168</v>
      </c>
      <c r="E142" s="94" t="s">
        <v>76</v>
      </c>
      <c r="F142" s="95"/>
      <c r="G142" s="142">
        <f t="shared" si="139"/>
        <v>0</v>
      </c>
      <c r="H142" s="93">
        <v>0</v>
      </c>
      <c r="I142" s="93">
        <v>0</v>
      </c>
      <c r="J142" s="93">
        <v>0</v>
      </c>
      <c r="K142" s="93">
        <v>0</v>
      </c>
      <c r="L142" s="93">
        <v>0</v>
      </c>
      <c r="M142" s="93">
        <v>0</v>
      </c>
      <c r="N142" s="93">
        <v>0</v>
      </c>
      <c r="O142" s="93">
        <v>0</v>
      </c>
      <c r="P142" s="93">
        <v>0</v>
      </c>
      <c r="Q142" s="93">
        <v>0</v>
      </c>
      <c r="R142" s="93">
        <v>0</v>
      </c>
      <c r="S142" s="93">
        <v>0</v>
      </c>
      <c r="T142" s="90">
        <f t="shared" ref="T142:AE142" si="166">H142*$F$6</f>
        <v>0</v>
      </c>
      <c r="U142" s="90">
        <f t="shared" si="166"/>
        <v>0</v>
      </c>
      <c r="V142" s="90">
        <f t="shared" si="166"/>
        <v>0</v>
      </c>
      <c r="W142" s="90">
        <f t="shared" si="166"/>
        <v>0</v>
      </c>
      <c r="X142" s="90">
        <f t="shared" si="166"/>
        <v>0</v>
      </c>
      <c r="Y142" s="90">
        <f t="shared" si="166"/>
        <v>0</v>
      </c>
      <c r="Z142" s="90">
        <f t="shared" si="166"/>
        <v>0</v>
      </c>
      <c r="AA142" s="90">
        <f t="shared" si="166"/>
        <v>0</v>
      </c>
      <c r="AB142" s="90">
        <f t="shared" si="166"/>
        <v>0</v>
      </c>
      <c r="AC142" s="90">
        <f t="shared" si="166"/>
        <v>0</v>
      </c>
      <c r="AD142" s="90">
        <f t="shared" si="166"/>
        <v>0</v>
      </c>
      <c r="AE142" s="90">
        <f t="shared" si="166"/>
        <v>0</v>
      </c>
      <c r="AF142" s="54">
        <f t="shared" si="141"/>
        <v>0</v>
      </c>
      <c r="AG142" s="2"/>
    </row>
    <row r="143" spans="1:33" ht="16" thickBot="1" x14ac:dyDescent="0.25">
      <c r="A143" s="148" t="s">
        <v>163</v>
      </c>
      <c r="B143" s="91" t="s">
        <v>3</v>
      </c>
      <c r="C143" s="92" t="s">
        <v>170</v>
      </c>
      <c r="D143" s="92" t="s">
        <v>168</v>
      </c>
      <c r="E143" s="94" t="s">
        <v>76</v>
      </c>
      <c r="F143" s="95"/>
      <c r="G143" s="142">
        <f t="shared" si="139"/>
        <v>0</v>
      </c>
      <c r="H143" s="93">
        <v>0</v>
      </c>
      <c r="I143" s="93">
        <v>0</v>
      </c>
      <c r="J143" s="93">
        <v>0</v>
      </c>
      <c r="K143" s="93">
        <v>0</v>
      </c>
      <c r="L143" s="93">
        <v>0</v>
      </c>
      <c r="M143" s="93">
        <v>0</v>
      </c>
      <c r="N143" s="93">
        <v>0</v>
      </c>
      <c r="O143" s="93">
        <v>0</v>
      </c>
      <c r="P143" s="93">
        <v>0</v>
      </c>
      <c r="Q143" s="93">
        <v>0</v>
      </c>
      <c r="R143" s="93">
        <v>0</v>
      </c>
      <c r="S143" s="93">
        <v>0</v>
      </c>
      <c r="T143" s="90">
        <f t="shared" ref="T143:AE143" si="167">H143*$F$7</f>
        <v>0</v>
      </c>
      <c r="U143" s="90">
        <f t="shared" si="167"/>
        <v>0</v>
      </c>
      <c r="V143" s="90">
        <f t="shared" si="167"/>
        <v>0</v>
      </c>
      <c r="W143" s="90">
        <f t="shared" si="167"/>
        <v>0</v>
      </c>
      <c r="X143" s="90">
        <f t="shared" si="167"/>
        <v>0</v>
      </c>
      <c r="Y143" s="90">
        <f t="shared" si="167"/>
        <v>0</v>
      </c>
      <c r="Z143" s="90">
        <f t="shared" si="167"/>
        <v>0</v>
      </c>
      <c r="AA143" s="90">
        <f t="shared" si="167"/>
        <v>0</v>
      </c>
      <c r="AB143" s="90">
        <f t="shared" si="167"/>
        <v>0</v>
      </c>
      <c r="AC143" s="90">
        <f t="shared" si="167"/>
        <v>0</v>
      </c>
      <c r="AD143" s="90">
        <f t="shared" si="167"/>
        <v>0</v>
      </c>
      <c r="AE143" s="90">
        <f t="shared" si="167"/>
        <v>0</v>
      </c>
      <c r="AF143" s="54">
        <f t="shared" si="141"/>
        <v>0</v>
      </c>
      <c r="AG143" s="2"/>
    </row>
    <row r="144" spans="1:33" ht="16" thickBot="1" x14ac:dyDescent="0.25">
      <c r="A144" s="148" t="s">
        <v>180</v>
      </c>
      <c r="B144" s="91" t="s">
        <v>3</v>
      </c>
      <c r="C144" s="92" t="s">
        <v>183</v>
      </c>
      <c r="D144" s="92" t="s">
        <v>77</v>
      </c>
      <c r="E144" s="94" t="s">
        <v>76</v>
      </c>
      <c r="F144" s="95"/>
      <c r="G144" s="142">
        <f t="shared" si="139"/>
        <v>0</v>
      </c>
      <c r="H144" s="93">
        <v>0</v>
      </c>
      <c r="I144" s="93">
        <v>0</v>
      </c>
      <c r="J144" s="93">
        <v>0</v>
      </c>
      <c r="K144" s="93">
        <v>0</v>
      </c>
      <c r="L144" s="93">
        <v>0</v>
      </c>
      <c r="M144" s="93">
        <v>0</v>
      </c>
      <c r="N144" s="93">
        <v>0</v>
      </c>
      <c r="O144" s="93">
        <v>0</v>
      </c>
      <c r="P144" s="93">
        <v>0</v>
      </c>
      <c r="Q144" s="93">
        <v>0</v>
      </c>
      <c r="R144" s="93">
        <v>0</v>
      </c>
      <c r="S144" s="93">
        <v>0</v>
      </c>
      <c r="T144" s="90">
        <f t="shared" ref="T144:AE144" si="168">H144*$F$34</f>
        <v>0</v>
      </c>
      <c r="U144" s="90">
        <f t="shared" si="168"/>
        <v>0</v>
      </c>
      <c r="V144" s="90">
        <f t="shared" si="168"/>
        <v>0</v>
      </c>
      <c r="W144" s="90">
        <f t="shared" si="168"/>
        <v>0</v>
      </c>
      <c r="X144" s="90">
        <f t="shared" si="168"/>
        <v>0</v>
      </c>
      <c r="Y144" s="90">
        <f t="shared" si="168"/>
        <v>0</v>
      </c>
      <c r="Z144" s="90">
        <f t="shared" si="168"/>
        <v>0</v>
      </c>
      <c r="AA144" s="90">
        <f t="shared" si="168"/>
        <v>0</v>
      </c>
      <c r="AB144" s="90">
        <f t="shared" si="168"/>
        <v>0</v>
      </c>
      <c r="AC144" s="90">
        <f t="shared" si="168"/>
        <v>0</v>
      </c>
      <c r="AD144" s="90">
        <f t="shared" si="168"/>
        <v>0</v>
      </c>
      <c r="AE144" s="90">
        <f t="shared" si="168"/>
        <v>0</v>
      </c>
      <c r="AF144" s="54">
        <f t="shared" si="141"/>
        <v>0</v>
      </c>
      <c r="AG144" s="2"/>
    </row>
    <row r="145" spans="1:33" ht="16" thickBot="1" x14ac:dyDescent="0.25">
      <c r="A145" s="148" t="s">
        <v>180</v>
      </c>
      <c r="B145" s="91" t="s">
        <v>3</v>
      </c>
      <c r="C145" s="92" t="s">
        <v>184</v>
      </c>
      <c r="D145" s="92" t="s">
        <v>168</v>
      </c>
      <c r="E145" s="94" t="s">
        <v>76</v>
      </c>
      <c r="F145" s="95"/>
      <c r="G145" s="142">
        <f t="shared" si="139"/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0">
        <f t="shared" ref="T145:AE145" si="169">H145*$F$40</f>
        <v>0</v>
      </c>
      <c r="U145" s="90">
        <f t="shared" si="169"/>
        <v>0</v>
      </c>
      <c r="V145" s="90">
        <f t="shared" si="169"/>
        <v>0</v>
      </c>
      <c r="W145" s="90">
        <f t="shared" si="169"/>
        <v>0</v>
      </c>
      <c r="X145" s="90">
        <f t="shared" si="169"/>
        <v>0</v>
      </c>
      <c r="Y145" s="90">
        <f t="shared" si="169"/>
        <v>0</v>
      </c>
      <c r="Z145" s="90">
        <f t="shared" si="169"/>
        <v>0</v>
      </c>
      <c r="AA145" s="90">
        <f t="shared" si="169"/>
        <v>0</v>
      </c>
      <c r="AB145" s="90">
        <f t="shared" si="169"/>
        <v>0</v>
      </c>
      <c r="AC145" s="90">
        <f t="shared" si="169"/>
        <v>0</v>
      </c>
      <c r="AD145" s="90">
        <f t="shared" si="169"/>
        <v>0</v>
      </c>
      <c r="AE145" s="90">
        <f t="shared" si="169"/>
        <v>0</v>
      </c>
      <c r="AF145" s="54">
        <f t="shared" si="141"/>
        <v>0</v>
      </c>
      <c r="AG145" s="2"/>
    </row>
    <row r="146" spans="1:33" ht="16" thickBot="1" x14ac:dyDescent="0.25">
      <c r="A146" s="148" t="s">
        <v>180</v>
      </c>
      <c r="B146" s="91" t="s">
        <v>3</v>
      </c>
      <c r="C146" s="92" t="s">
        <v>188</v>
      </c>
      <c r="D146" s="92" t="s">
        <v>168</v>
      </c>
      <c r="E146" s="94" t="s">
        <v>76</v>
      </c>
      <c r="F146" s="95"/>
      <c r="G146" s="142">
        <f t="shared" si="139"/>
        <v>0</v>
      </c>
      <c r="H146" s="93">
        <v>0</v>
      </c>
      <c r="I146" s="93">
        <v>0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0">
        <f t="shared" ref="T146:AE146" si="170">H146*$F$41</f>
        <v>0</v>
      </c>
      <c r="U146" s="90">
        <f t="shared" si="170"/>
        <v>0</v>
      </c>
      <c r="V146" s="90">
        <f t="shared" si="170"/>
        <v>0</v>
      </c>
      <c r="W146" s="90">
        <f t="shared" si="170"/>
        <v>0</v>
      </c>
      <c r="X146" s="90">
        <f t="shared" si="170"/>
        <v>0</v>
      </c>
      <c r="Y146" s="90">
        <f t="shared" si="170"/>
        <v>0</v>
      </c>
      <c r="Z146" s="90">
        <f t="shared" si="170"/>
        <v>0</v>
      </c>
      <c r="AA146" s="90">
        <f t="shared" si="170"/>
        <v>0</v>
      </c>
      <c r="AB146" s="90">
        <f t="shared" si="170"/>
        <v>0</v>
      </c>
      <c r="AC146" s="90">
        <f t="shared" si="170"/>
        <v>0</v>
      </c>
      <c r="AD146" s="90">
        <f t="shared" si="170"/>
        <v>0</v>
      </c>
      <c r="AE146" s="90">
        <f t="shared" si="170"/>
        <v>0</v>
      </c>
      <c r="AF146" s="54">
        <f t="shared" si="141"/>
        <v>0</v>
      </c>
      <c r="AG146" s="2"/>
    </row>
    <row r="147" spans="1:33" ht="16" thickBot="1" x14ac:dyDescent="0.25">
      <c r="A147" s="148" t="s">
        <v>180</v>
      </c>
      <c r="B147" s="91" t="s">
        <v>3</v>
      </c>
      <c r="C147" s="92" t="s">
        <v>189</v>
      </c>
      <c r="D147" s="92" t="s">
        <v>168</v>
      </c>
      <c r="E147" s="94" t="s">
        <v>76</v>
      </c>
      <c r="F147" s="95"/>
      <c r="G147" s="142">
        <f t="shared" si="139"/>
        <v>0</v>
      </c>
      <c r="H147" s="93">
        <v>0</v>
      </c>
      <c r="I147" s="93">
        <v>0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0">
        <f t="shared" ref="T147:AE147" si="171">H147*$F$42</f>
        <v>0</v>
      </c>
      <c r="U147" s="90">
        <f t="shared" si="171"/>
        <v>0</v>
      </c>
      <c r="V147" s="90">
        <f t="shared" si="171"/>
        <v>0</v>
      </c>
      <c r="W147" s="90">
        <f t="shared" si="171"/>
        <v>0</v>
      </c>
      <c r="X147" s="90">
        <f t="shared" si="171"/>
        <v>0</v>
      </c>
      <c r="Y147" s="90">
        <f t="shared" si="171"/>
        <v>0</v>
      </c>
      <c r="Z147" s="90">
        <f t="shared" si="171"/>
        <v>0</v>
      </c>
      <c r="AA147" s="90">
        <f t="shared" si="171"/>
        <v>0</v>
      </c>
      <c r="AB147" s="90">
        <f t="shared" si="171"/>
        <v>0</v>
      </c>
      <c r="AC147" s="90">
        <f t="shared" si="171"/>
        <v>0</v>
      </c>
      <c r="AD147" s="90">
        <f t="shared" si="171"/>
        <v>0</v>
      </c>
      <c r="AE147" s="90">
        <f t="shared" si="171"/>
        <v>0</v>
      </c>
      <c r="AF147" s="54">
        <f t="shared" si="141"/>
        <v>0</v>
      </c>
      <c r="AG147" s="2"/>
    </row>
    <row r="148" spans="1:33" ht="16" thickBot="1" x14ac:dyDescent="0.25">
      <c r="A148" s="148" t="s">
        <v>51</v>
      </c>
      <c r="B148" s="91" t="s">
        <v>3</v>
      </c>
      <c r="C148" s="92" t="s">
        <v>249</v>
      </c>
      <c r="D148" s="92" t="s">
        <v>168</v>
      </c>
      <c r="E148" s="94" t="s">
        <v>198</v>
      </c>
      <c r="F148" s="95"/>
      <c r="G148" s="142">
        <f t="shared" si="139"/>
        <v>0.45833333333333331</v>
      </c>
      <c r="H148" s="93">
        <v>0</v>
      </c>
      <c r="I148" s="93">
        <v>0.5</v>
      </c>
      <c r="J148" s="93">
        <v>0.5</v>
      </c>
      <c r="K148" s="93">
        <v>0.5</v>
      </c>
      <c r="L148" s="93">
        <v>0.5</v>
      </c>
      <c r="M148" s="93">
        <v>0.5</v>
      </c>
      <c r="N148" s="93">
        <v>0.5</v>
      </c>
      <c r="O148" s="93">
        <v>0.5</v>
      </c>
      <c r="P148" s="93">
        <v>0.5</v>
      </c>
      <c r="Q148" s="93">
        <v>0.5</v>
      </c>
      <c r="R148" s="93">
        <v>0.5</v>
      </c>
      <c r="S148" s="93">
        <v>0.5</v>
      </c>
      <c r="T148" s="90">
        <f t="shared" ref="T148:AE148" si="172">H148*$F$24</f>
        <v>0</v>
      </c>
      <c r="U148" s="90">
        <f t="shared" si="172"/>
        <v>22550</v>
      </c>
      <c r="V148" s="90">
        <f t="shared" si="172"/>
        <v>22550</v>
      </c>
      <c r="W148" s="90">
        <f t="shared" si="172"/>
        <v>22550</v>
      </c>
      <c r="X148" s="90">
        <f t="shared" si="172"/>
        <v>22550</v>
      </c>
      <c r="Y148" s="90">
        <f t="shared" si="172"/>
        <v>22550</v>
      </c>
      <c r="Z148" s="90">
        <f t="shared" si="172"/>
        <v>22550</v>
      </c>
      <c r="AA148" s="90">
        <f t="shared" si="172"/>
        <v>22550</v>
      </c>
      <c r="AB148" s="90">
        <f t="shared" si="172"/>
        <v>22550</v>
      </c>
      <c r="AC148" s="90">
        <f t="shared" si="172"/>
        <v>22550</v>
      </c>
      <c r="AD148" s="90">
        <f t="shared" si="172"/>
        <v>22550</v>
      </c>
      <c r="AE148" s="90">
        <f t="shared" si="172"/>
        <v>22550</v>
      </c>
      <c r="AF148" s="54">
        <f t="shared" si="141"/>
        <v>248050</v>
      </c>
      <c r="AG148" s="2"/>
    </row>
    <row r="149" spans="1:33" ht="16" thickBot="1" x14ac:dyDescent="0.25">
      <c r="A149" s="148" t="s">
        <v>31</v>
      </c>
      <c r="B149" s="91" t="s">
        <v>3</v>
      </c>
      <c r="C149" s="92" t="s">
        <v>210</v>
      </c>
      <c r="D149" s="92" t="s">
        <v>168</v>
      </c>
      <c r="E149" s="94" t="s">
        <v>198</v>
      </c>
      <c r="F149" s="95"/>
      <c r="G149" s="142">
        <f t="shared" si="139"/>
        <v>0</v>
      </c>
      <c r="H149" s="93">
        <v>0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0">
        <f>H149*$F$19</f>
        <v>0</v>
      </c>
      <c r="U149" s="90">
        <f t="shared" ref="U149:AE149" si="173">I149*$F$19</f>
        <v>0</v>
      </c>
      <c r="V149" s="90">
        <f t="shared" si="173"/>
        <v>0</v>
      </c>
      <c r="W149" s="90">
        <f t="shared" si="173"/>
        <v>0</v>
      </c>
      <c r="X149" s="90">
        <f t="shared" si="173"/>
        <v>0</v>
      </c>
      <c r="Y149" s="90">
        <f t="shared" si="173"/>
        <v>0</v>
      </c>
      <c r="Z149" s="90">
        <f t="shared" si="173"/>
        <v>0</v>
      </c>
      <c r="AA149" s="90">
        <f t="shared" si="173"/>
        <v>0</v>
      </c>
      <c r="AB149" s="90">
        <f t="shared" si="173"/>
        <v>0</v>
      </c>
      <c r="AC149" s="90">
        <f t="shared" si="173"/>
        <v>0</v>
      </c>
      <c r="AD149" s="90">
        <f t="shared" si="173"/>
        <v>0</v>
      </c>
      <c r="AE149" s="90">
        <f t="shared" si="173"/>
        <v>0</v>
      </c>
      <c r="AF149" s="54">
        <f t="shared" si="141"/>
        <v>0</v>
      </c>
      <c r="AG149" s="2"/>
    </row>
    <row r="150" spans="1:33" ht="16" thickBot="1" x14ac:dyDescent="0.25">
      <c r="A150" s="148" t="s">
        <v>51</v>
      </c>
      <c r="B150" s="91" t="s">
        <v>4</v>
      </c>
      <c r="C150" s="92" t="s">
        <v>49</v>
      </c>
      <c r="D150" s="92" t="s">
        <v>50</v>
      </c>
      <c r="E150" s="94" t="s">
        <v>198</v>
      </c>
      <c r="F150" s="95"/>
      <c r="G150" s="142">
        <f t="shared" si="139"/>
        <v>0</v>
      </c>
      <c r="H150" s="93">
        <v>0</v>
      </c>
      <c r="I150" s="93">
        <v>0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0">
        <f t="shared" ref="T150:AE150" si="174">H150*$F$22</f>
        <v>0</v>
      </c>
      <c r="U150" s="90">
        <f t="shared" si="174"/>
        <v>0</v>
      </c>
      <c r="V150" s="90">
        <f t="shared" si="174"/>
        <v>0</v>
      </c>
      <c r="W150" s="90">
        <f t="shared" si="174"/>
        <v>0</v>
      </c>
      <c r="X150" s="90">
        <f t="shared" si="174"/>
        <v>0</v>
      </c>
      <c r="Y150" s="90">
        <f t="shared" si="174"/>
        <v>0</v>
      </c>
      <c r="Z150" s="90">
        <f t="shared" si="174"/>
        <v>0</v>
      </c>
      <c r="AA150" s="90">
        <f t="shared" si="174"/>
        <v>0</v>
      </c>
      <c r="AB150" s="90">
        <f t="shared" si="174"/>
        <v>0</v>
      </c>
      <c r="AC150" s="90">
        <f t="shared" si="174"/>
        <v>0</v>
      </c>
      <c r="AD150" s="90">
        <f t="shared" si="174"/>
        <v>0</v>
      </c>
      <c r="AE150" s="90">
        <f t="shared" si="174"/>
        <v>0</v>
      </c>
      <c r="AF150" s="54">
        <f t="shared" si="141"/>
        <v>0</v>
      </c>
      <c r="AG150" s="2"/>
    </row>
    <row r="151" spans="1:33" ht="16" thickBot="1" x14ac:dyDescent="0.25">
      <c r="A151" s="148" t="s">
        <v>51</v>
      </c>
      <c r="B151" s="91" t="s">
        <v>4</v>
      </c>
      <c r="C151" s="92" t="s">
        <v>52</v>
      </c>
      <c r="D151" s="92" t="s">
        <v>53</v>
      </c>
      <c r="E151" s="94" t="s">
        <v>69</v>
      </c>
      <c r="F151" s="95"/>
      <c r="G151" s="142">
        <f t="shared" si="139"/>
        <v>0</v>
      </c>
      <c r="H151" s="93">
        <v>0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0">
        <f t="shared" ref="T151:AE151" si="175">$F$23*H151</f>
        <v>0</v>
      </c>
      <c r="U151" s="90">
        <f t="shared" si="175"/>
        <v>0</v>
      </c>
      <c r="V151" s="90">
        <f t="shared" si="175"/>
        <v>0</v>
      </c>
      <c r="W151" s="90">
        <f t="shared" si="175"/>
        <v>0</v>
      </c>
      <c r="X151" s="90">
        <f t="shared" si="175"/>
        <v>0</v>
      </c>
      <c r="Y151" s="90">
        <f t="shared" si="175"/>
        <v>0</v>
      </c>
      <c r="Z151" s="90">
        <f t="shared" si="175"/>
        <v>0</v>
      </c>
      <c r="AA151" s="90">
        <f t="shared" si="175"/>
        <v>0</v>
      </c>
      <c r="AB151" s="90">
        <f t="shared" si="175"/>
        <v>0</v>
      </c>
      <c r="AC151" s="90">
        <f t="shared" si="175"/>
        <v>0</v>
      </c>
      <c r="AD151" s="90">
        <f t="shared" si="175"/>
        <v>0</v>
      </c>
      <c r="AE151" s="90">
        <f t="shared" si="175"/>
        <v>0</v>
      </c>
      <c r="AF151" s="54">
        <f t="shared" si="141"/>
        <v>0</v>
      </c>
      <c r="AG151" s="2"/>
    </row>
    <row r="152" spans="1:33" ht="16" thickBot="1" x14ac:dyDescent="0.25">
      <c r="A152" s="148" t="s">
        <v>164</v>
      </c>
      <c r="B152" s="91" t="s">
        <v>4</v>
      </c>
      <c r="C152" s="92" t="s">
        <v>46</v>
      </c>
      <c r="D152" s="92" t="s">
        <v>47</v>
      </c>
      <c r="E152" s="94" t="s">
        <v>198</v>
      </c>
      <c r="F152" s="95"/>
      <c r="G152" s="142">
        <f t="shared" si="139"/>
        <v>0</v>
      </c>
      <c r="H152" s="93">
        <v>0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0">
        <f t="shared" ref="T152:AE152" si="176">H152*$F$3</f>
        <v>0</v>
      </c>
      <c r="U152" s="90">
        <f t="shared" si="176"/>
        <v>0</v>
      </c>
      <c r="V152" s="90">
        <f t="shared" si="176"/>
        <v>0</v>
      </c>
      <c r="W152" s="90">
        <f t="shared" si="176"/>
        <v>0</v>
      </c>
      <c r="X152" s="90">
        <f t="shared" si="176"/>
        <v>0</v>
      </c>
      <c r="Y152" s="90">
        <f t="shared" si="176"/>
        <v>0</v>
      </c>
      <c r="Z152" s="90">
        <f t="shared" si="176"/>
        <v>0</v>
      </c>
      <c r="AA152" s="90">
        <f t="shared" si="176"/>
        <v>0</v>
      </c>
      <c r="AB152" s="90">
        <f t="shared" si="176"/>
        <v>0</v>
      </c>
      <c r="AC152" s="90">
        <f t="shared" si="176"/>
        <v>0</v>
      </c>
      <c r="AD152" s="90">
        <f t="shared" si="176"/>
        <v>0</v>
      </c>
      <c r="AE152" s="90">
        <f t="shared" si="176"/>
        <v>0</v>
      </c>
      <c r="AF152" s="54">
        <f t="shared" si="141"/>
        <v>0</v>
      </c>
      <c r="AG152" s="2"/>
    </row>
    <row r="153" spans="1:33" ht="16" thickBot="1" x14ac:dyDescent="0.25">
      <c r="A153" s="148" t="s">
        <v>31</v>
      </c>
      <c r="B153" s="91" t="s">
        <v>4</v>
      </c>
      <c r="C153" s="92" t="s">
        <v>195</v>
      </c>
      <c r="D153" s="92" t="s">
        <v>168</v>
      </c>
      <c r="E153" s="94" t="s">
        <v>198</v>
      </c>
      <c r="F153" s="95"/>
      <c r="G153" s="142">
        <f t="shared" si="139"/>
        <v>0</v>
      </c>
      <c r="H153" s="93">
        <v>0</v>
      </c>
      <c r="I153" s="93">
        <v>0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0">
        <f t="shared" ref="T153:AE153" si="177">H153*$F$18</f>
        <v>0</v>
      </c>
      <c r="U153" s="90">
        <f t="shared" si="177"/>
        <v>0</v>
      </c>
      <c r="V153" s="90">
        <f t="shared" si="177"/>
        <v>0</v>
      </c>
      <c r="W153" s="90">
        <f t="shared" si="177"/>
        <v>0</v>
      </c>
      <c r="X153" s="90">
        <f t="shared" si="177"/>
        <v>0</v>
      </c>
      <c r="Y153" s="90">
        <f t="shared" si="177"/>
        <v>0</v>
      </c>
      <c r="Z153" s="90">
        <f t="shared" si="177"/>
        <v>0</v>
      </c>
      <c r="AA153" s="90">
        <f t="shared" si="177"/>
        <v>0</v>
      </c>
      <c r="AB153" s="90">
        <f t="shared" si="177"/>
        <v>0</v>
      </c>
      <c r="AC153" s="90">
        <f t="shared" si="177"/>
        <v>0</v>
      </c>
      <c r="AD153" s="90">
        <f t="shared" si="177"/>
        <v>0</v>
      </c>
      <c r="AE153" s="90">
        <f t="shared" si="177"/>
        <v>0</v>
      </c>
      <c r="AF153" s="54">
        <f t="shared" si="141"/>
        <v>0</v>
      </c>
      <c r="AG153" s="2"/>
    </row>
    <row r="154" spans="1:33" ht="16" thickBot="1" x14ac:dyDescent="0.25">
      <c r="A154" s="148" t="s">
        <v>31</v>
      </c>
      <c r="B154" s="91" t="s">
        <v>4</v>
      </c>
      <c r="C154" s="92" t="s">
        <v>88</v>
      </c>
      <c r="D154" s="92" t="s">
        <v>41</v>
      </c>
      <c r="E154" s="94" t="s">
        <v>198</v>
      </c>
      <c r="F154" s="95"/>
      <c r="G154" s="142">
        <f t="shared" si="139"/>
        <v>0</v>
      </c>
      <c r="H154" s="93">
        <v>0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0">
        <f t="shared" ref="T154:AE154" si="178">$F$17*H154</f>
        <v>0</v>
      </c>
      <c r="U154" s="90">
        <f t="shared" si="178"/>
        <v>0</v>
      </c>
      <c r="V154" s="90">
        <f t="shared" si="178"/>
        <v>0</v>
      </c>
      <c r="W154" s="90">
        <f t="shared" si="178"/>
        <v>0</v>
      </c>
      <c r="X154" s="90">
        <f t="shared" si="178"/>
        <v>0</v>
      </c>
      <c r="Y154" s="90">
        <f t="shared" si="178"/>
        <v>0</v>
      </c>
      <c r="Z154" s="90">
        <f t="shared" si="178"/>
        <v>0</v>
      </c>
      <c r="AA154" s="90">
        <f t="shared" si="178"/>
        <v>0</v>
      </c>
      <c r="AB154" s="90">
        <f t="shared" si="178"/>
        <v>0</v>
      </c>
      <c r="AC154" s="90">
        <f t="shared" si="178"/>
        <v>0</v>
      </c>
      <c r="AD154" s="90">
        <f t="shared" si="178"/>
        <v>0</v>
      </c>
      <c r="AE154" s="90">
        <f t="shared" si="178"/>
        <v>0</v>
      </c>
      <c r="AF154" s="54">
        <f t="shared" si="141"/>
        <v>0</v>
      </c>
      <c r="AG154" s="2"/>
    </row>
    <row r="155" spans="1:33" ht="16" thickBot="1" x14ac:dyDescent="0.25">
      <c r="A155" s="148" t="s">
        <v>164</v>
      </c>
      <c r="B155" s="91" t="s">
        <v>4</v>
      </c>
      <c r="C155" s="92" t="s">
        <v>167</v>
      </c>
      <c r="D155" s="92" t="s">
        <v>48</v>
      </c>
      <c r="E155" s="94" t="s">
        <v>198</v>
      </c>
      <c r="F155" s="95"/>
      <c r="G155" s="142">
        <f t="shared" si="139"/>
        <v>0</v>
      </c>
      <c r="H155" s="93">
        <v>0</v>
      </c>
      <c r="I155" s="93">
        <v>0</v>
      </c>
      <c r="J155" s="93">
        <v>0</v>
      </c>
      <c r="K155" s="93">
        <v>0</v>
      </c>
      <c r="L155" s="93">
        <v>0</v>
      </c>
      <c r="M155" s="93">
        <v>0</v>
      </c>
      <c r="N155" s="93">
        <v>0</v>
      </c>
      <c r="O155" s="93">
        <v>0</v>
      </c>
      <c r="P155" s="93">
        <v>0</v>
      </c>
      <c r="Q155" s="93">
        <v>0</v>
      </c>
      <c r="R155" s="93">
        <v>0</v>
      </c>
      <c r="S155" s="93">
        <v>0</v>
      </c>
      <c r="T155" s="90">
        <f t="shared" ref="T155:AE155" si="179">$F$4*H155</f>
        <v>0</v>
      </c>
      <c r="U155" s="90">
        <f t="shared" si="179"/>
        <v>0</v>
      </c>
      <c r="V155" s="90">
        <f t="shared" si="179"/>
        <v>0</v>
      </c>
      <c r="W155" s="90">
        <f t="shared" si="179"/>
        <v>0</v>
      </c>
      <c r="X155" s="90">
        <f t="shared" si="179"/>
        <v>0</v>
      </c>
      <c r="Y155" s="90">
        <f t="shared" si="179"/>
        <v>0</v>
      </c>
      <c r="Z155" s="90">
        <f t="shared" si="179"/>
        <v>0</v>
      </c>
      <c r="AA155" s="90">
        <f t="shared" si="179"/>
        <v>0</v>
      </c>
      <c r="AB155" s="90">
        <f t="shared" si="179"/>
        <v>0</v>
      </c>
      <c r="AC155" s="90">
        <f t="shared" si="179"/>
        <v>0</v>
      </c>
      <c r="AD155" s="90">
        <f t="shared" si="179"/>
        <v>0</v>
      </c>
      <c r="AE155" s="90">
        <f t="shared" si="179"/>
        <v>0</v>
      </c>
      <c r="AF155" s="54">
        <f t="shared" si="141"/>
        <v>0</v>
      </c>
      <c r="AG155" s="2"/>
    </row>
    <row r="156" spans="1:33" ht="16" thickBot="1" x14ac:dyDescent="0.25">
      <c r="A156" s="148" t="s">
        <v>163</v>
      </c>
      <c r="B156" s="91" t="s">
        <v>4</v>
      </c>
      <c r="C156" s="92" t="s">
        <v>172</v>
      </c>
      <c r="D156" s="92" t="s">
        <v>168</v>
      </c>
      <c r="E156" s="94" t="s">
        <v>76</v>
      </c>
      <c r="F156" s="95"/>
      <c r="G156" s="142">
        <f t="shared" si="139"/>
        <v>0.20833333333333334</v>
      </c>
      <c r="H156" s="93">
        <v>0</v>
      </c>
      <c r="I156" s="93">
        <v>0</v>
      </c>
      <c r="J156" s="93">
        <v>0</v>
      </c>
      <c r="K156" s="93">
        <v>0</v>
      </c>
      <c r="L156" s="93">
        <v>0</v>
      </c>
      <c r="M156" s="93">
        <v>0</v>
      </c>
      <c r="N156" s="93">
        <v>0</v>
      </c>
      <c r="O156" s="93">
        <v>0.5</v>
      </c>
      <c r="P156" s="93">
        <v>0.5</v>
      </c>
      <c r="Q156" s="93">
        <v>0.5</v>
      </c>
      <c r="R156" s="93">
        <v>0.5</v>
      </c>
      <c r="S156" s="93">
        <v>0.5</v>
      </c>
      <c r="T156" s="90">
        <f t="shared" ref="T156:AE156" si="180">$F$8*H156</f>
        <v>0</v>
      </c>
      <c r="U156" s="90">
        <f t="shared" si="180"/>
        <v>0</v>
      </c>
      <c r="V156" s="90">
        <f t="shared" si="180"/>
        <v>0</v>
      </c>
      <c r="W156" s="90">
        <f t="shared" si="180"/>
        <v>0</v>
      </c>
      <c r="X156" s="90">
        <f t="shared" si="180"/>
        <v>0</v>
      </c>
      <c r="Y156" s="90">
        <f t="shared" si="180"/>
        <v>0</v>
      </c>
      <c r="Z156" s="90">
        <f t="shared" si="180"/>
        <v>0</v>
      </c>
      <c r="AA156" s="90">
        <f t="shared" si="180"/>
        <v>9625</v>
      </c>
      <c r="AB156" s="90">
        <f t="shared" si="180"/>
        <v>9625</v>
      </c>
      <c r="AC156" s="90">
        <f t="shared" si="180"/>
        <v>9625</v>
      </c>
      <c r="AD156" s="90">
        <f t="shared" si="180"/>
        <v>9625</v>
      </c>
      <c r="AE156" s="90">
        <f t="shared" si="180"/>
        <v>9625</v>
      </c>
      <c r="AF156" s="54">
        <f t="shared" si="141"/>
        <v>48125</v>
      </c>
      <c r="AG156" s="2"/>
    </row>
    <row r="157" spans="1:33" ht="16" thickBot="1" x14ac:dyDescent="0.25">
      <c r="A157" s="148" t="s">
        <v>163</v>
      </c>
      <c r="B157" s="91" t="s">
        <v>4</v>
      </c>
      <c r="C157" s="92" t="s">
        <v>173</v>
      </c>
      <c r="D157" s="92" t="s">
        <v>168</v>
      </c>
      <c r="E157" s="94" t="s">
        <v>76</v>
      </c>
      <c r="F157" s="95"/>
      <c r="G157" s="142">
        <f t="shared" si="139"/>
        <v>0.20833333333333334</v>
      </c>
      <c r="H157" s="93">
        <v>0</v>
      </c>
      <c r="I157" s="93">
        <v>0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93">
        <v>0.5</v>
      </c>
      <c r="P157" s="93">
        <v>0.5</v>
      </c>
      <c r="Q157" s="93">
        <v>0.5</v>
      </c>
      <c r="R157" s="93">
        <v>0.5</v>
      </c>
      <c r="S157" s="93">
        <v>0.5</v>
      </c>
      <c r="T157" s="90">
        <f t="shared" ref="T157:AE157" si="181">$F$9*H157</f>
        <v>0</v>
      </c>
      <c r="U157" s="90">
        <f t="shared" si="181"/>
        <v>0</v>
      </c>
      <c r="V157" s="90">
        <f t="shared" si="181"/>
        <v>0</v>
      </c>
      <c r="W157" s="90">
        <f t="shared" si="181"/>
        <v>0</v>
      </c>
      <c r="X157" s="90">
        <f t="shared" si="181"/>
        <v>0</v>
      </c>
      <c r="Y157" s="90">
        <f t="shared" si="181"/>
        <v>0</v>
      </c>
      <c r="Z157" s="90">
        <f t="shared" si="181"/>
        <v>0</v>
      </c>
      <c r="AA157" s="90">
        <f t="shared" si="181"/>
        <v>9625</v>
      </c>
      <c r="AB157" s="90">
        <f t="shared" si="181"/>
        <v>9625</v>
      </c>
      <c r="AC157" s="90">
        <f t="shared" si="181"/>
        <v>9625</v>
      </c>
      <c r="AD157" s="90">
        <f t="shared" si="181"/>
        <v>9625</v>
      </c>
      <c r="AE157" s="90">
        <f t="shared" si="181"/>
        <v>9625</v>
      </c>
      <c r="AF157" s="54">
        <f t="shared" si="141"/>
        <v>48125</v>
      </c>
      <c r="AG157" s="2"/>
    </row>
    <row r="158" spans="1:33" ht="16" thickBot="1" x14ac:dyDescent="0.25">
      <c r="A158" s="148" t="s">
        <v>163</v>
      </c>
      <c r="B158" s="91" t="s">
        <v>4</v>
      </c>
      <c r="C158" s="92" t="s">
        <v>171</v>
      </c>
      <c r="D158" s="92" t="s">
        <v>168</v>
      </c>
      <c r="E158" s="94" t="s">
        <v>76</v>
      </c>
      <c r="F158" s="95"/>
      <c r="G158" s="142">
        <f t="shared" si="139"/>
        <v>0.41666666666666669</v>
      </c>
      <c r="H158" s="93">
        <v>0</v>
      </c>
      <c r="I158" s="93">
        <v>0</v>
      </c>
      <c r="J158" s="93">
        <v>0</v>
      </c>
      <c r="K158" s="93">
        <v>0</v>
      </c>
      <c r="L158" s="93">
        <v>0</v>
      </c>
      <c r="M158" s="93">
        <v>0</v>
      </c>
      <c r="N158" s="93">
        <v>0</v>
      </c>
      <c r="O158" s="93">
        <v>1</v>
      </c>
      <c r="P158" s="93">
        <v>1</v>
      </c>
      <c r="Q158" s="93">
        <v>1</v>
      </c>
      <c r="R158" s="93">
        <v>1</v>
      </c>
      <c r="S158" s="93">
        <v>1</v>
      </c>
      <c r="T158" s="90">
        <f t="shared" ref="T158:AE158" si="182">$F$10*H158</f>
        <v>0</v>
      </c>
      <c r="U158" s="90">
        <f t="shared" si="182"/>
        <v>0</v>
      </c>
      <c r="V158" s="90">
        <f t="shared" si="182"/>
        <v>0</v>
      </c>
      <c r="W158" s="90">
        <f t="shared" si="182"/>
        <v>0</v>
      </c>
      <c r="X158" s="90">
        <f t="shared" si="182"/>
        <v>0</v>
      </c>
      <c r="Y158" s="90">
        <f t="shared" si="182"/>
        <v>0</v>
      </c>
      <c r="Z158" s="90">
        <f t="shared" si="182"/>
        <v>0</v>
      </c>
      <c r="AA158" s="90">
        <f t="shared" si="182"/>
        <v>19250</v>
      </c>
      <c r="AB158" s="90">
        <f t="shared" si="182"/>
        <v>19250</v>
      </c>
      <c r="AC158" s="90">
        <f t="shared" si="182"/>
        <v>19250</v>
      </c>
      <c r="AD158" s="90">
        <f t="shared" si="182"/>
        <v>19250</v>
      </c>
      <c r="AE158" s="90">
        <f t="shared" si="182"/>
        <v>19250</v>
      </c>
      <c r="AF158" s="54">
        <f t="shared" si="141"/>
        <v>96250</v>
      </c>
      <c r="AG158" s="2"/>
    </row>
    <row r="159" spans="1:33" ht="16" thickBot="1" x14ac:dyDescent="0.25">
      <c r="A159" s="148" t="s">
        <v>180</v>
      </c>
      <c r="B159" s="91" t="s">
        <v>4</v>
      </c>
      <c r="C159" s="92" t="s">
        <v>185</v>
      </c>
      <c r="D159" s="92" t="s">
        <v>78</v>
      </c>
      <c r="E159" s="94" t="s">
        <v>76</v>
      </c>
      <c r="F159" s="95"/>
      <c r="G159" s="142">
        <f t="shared" si="139"/>
        <v>1</v>
      </c>
      <c r="H159" s="93">
        <v>1</v>
      </c>
      <c r="I159" s="93">
        <v>1</v>
      </c>
      <c r="J159" s="93">
        <v>1</v>
      </c>
      <c r="K159" s="93">
        <v>1</v>
      </c>
      <c r="L159" s="93">
        <v>1</v>
      </c>
      <c r="M159" s="93">
        <v>1</v>
      </c>
      <c r="N159" s="93">
        <v>1</v>
      </c>
      <c r="O159" s="93">
        <v>1</v>
      </c>
      <c r="P159" s="93">
        <v>1</v>
      </c>
      <c r="Q159" s="93">
        <v>1</v>
      </c>
      <c r="R159" s="93">
        <v>1</v>
      </c>
      <c r="S159" s="93">
        <v>1</v>
      </c>
      <c r="T159" s="90">
        <f t="shared" ref="T159:AE159" si="183">H159*$F$35</f>
        <v>19250</v>
      </c>
      <c r="U159" s="90">
        <f t="shared" si="183"/>
        <v>19250</v>
      </c>
      <c r="V159" s="90">
        <f t="shared" si="183"/>
        <v>19250</v>
      </c>
      <c r="W159" s="90">
        <f t="shared" si="183"/>
        <v>19250</v>
      </c>
      <c r="X159" s="90">
        <f t="shared" si="183"/>
        <v>19250</v>
      </c>
      <c r="Y159" s="90">
        <f t="shared" si="183"/>
        <v>19250</v>
      </c>
      <c r="Z159" s="90">
        <f t="shared" si="183"/>
        <v>19250</v>
      </c>
      <c r="AA159" s="90">
        <f t="shared" si="183"/>
        <v>19250</v>
      </c>
      <c r="AB159" s="90">
        <f t="shared" si="183"/>
        <v>19250</v>
      </c>
      <c r="AC159" s="90">
        <f t="shared" si="183"/>
        <v>19250</v>
      </c>
      <c r="AD159" s="90">
        <f t="shared" si="183"/>
        <v>19250</v>
      </c>
      <c r="AE159" s="90">
        <f t="shared" si="183"/>
        <v>19250</v>
      </c>
      <c r="AF159" s="54">
        <f t="shared" si="141"/>
        <v>231000</v>
      </c>
      <c r="AG159" s="2"/>
    </row>
    <row r="160" spans="1:33" ht="16" thickBot="1" x14ac:dyDescent="0.25">
      <c r="A160" s="148" t="s">
        <v>180</v>
      </c>
      <c r="B160" s="91" t="s">
        <v>4</v>
      </c>
      <c r="C160" s="92" t="s">
        <v>186</v>
      </c>
      <c r="D160" s="92" t="s">
        <v>79</v>
      </c>
      <c r="E160" s="94" t="s">
        <v>76</v>
      </c>
      <c r="F160" s="95"/>
      <c r="G160" s="142">
        <f t="shared" si="139"/>
        <v>1</v>
      </c>
      <c r="H160" s="93">
        <v>1</v>
      </c>
      <c r="I160" s="93">
        <v>1</v>
      </c>
      <c r="J160" s="93">
        <v>1</v>
      </c>
      <c r="K160" s="93">
        <v>1</v>
      </c>
      <c r="L160" s="93">
        <v>1</v>
      </c>
      <c r="M160" s="93">
        <v>1</v>
      </c>
      <c r="N160" s="93">
        <v>1</v>
      </c>
      <c r="O160" s="93">
        <v>1</v>
      </c>
      <c r="P160" s="93">
        <v>1</v>
      </c>
      <c r="Q160" s="93">
        <v>1</v>
      </c>
      <c r="R160" s="93">
        <v>1</v>
      </c>
      <c r="S160" s="93">
        <v>1</v>
      </c>
      <c r="T160" s="90">
        <f t="shared" ref="T160:AE160" si="184">H160*$F$36</f>
        <v>13782.6072</v>
      </c>
      <c r="U160" s="90">
        <f t="shared" si="184"/>
        <v>13782.6072</v>
      </c>
      <c r="V160" s="90">
        <f t="shared" si="184"/>
        <v>13782.6072</v>
      </c>
      <c r="W160" s="90">
        <f t="shared" si="184"/>
        <v>13782.6072</v>
      </c>
      <c r="X160" s="90">
        <f t="shared" si="184"/>
        <v>13782.6072</v>
      </c>
      <c r="Y160" s="90">
        <f t="shared" si="184"/>
        <v>13782.6072</v>
      </c>
      <c r="Z160" s="90">
        <f t="shared" si="184"/>
        <v>13782.6072</v>
      </c>
      <c r="AA160" s="90">
        <f t="shared" si="184"/>
        <v>13782.6072</v>
      </c>
      <c r="AB160" s="90">
        <f t="shared" si="184"/>
        <v>13782.6072</v>
      </c>
      <c r="AC160" s="90">
        <f t="shared" si="184"/>
        <v>13782.6072</v>
      </c>
      <c r="AD160" s="90">
        <f t="shared" si="184"/>
        <v>13782.6072</v>
      </c>
      <c r="AE160" s="90">
        <f t="shared" si="184"/>
        <v>13782.6072</v>
      </c>
      <c r="AF160" s="54">
        <f t="shared" si="141"/>
        <v>165391.28640000001</v>
      </c>
      <c r="AG160" s="2"/>
    </row>
    <row r="161" spans="1:33" ht="16" thickBot="1" x14ac:dyDescent="0.25">
      <c r="A161" s="148" t="s">
        <v>180</v>
      </c>
      <c r="B161" s="91" t="s">
        <v>4</v>
      </c>
      <c r="C161" s="92" t="s">
        <v>190</v>
      </c>
      <c r="D161" s="92" t="s">
        <v>168</v>
      </c>
      <c r="E161" s="94" t="s">
        <v>76</v>
      </c>
      <c r="F161" s="95"/>
      <c r="G161" s="142">
        <f t="shared" si="139"/>
        <v>0.33333333333333331</v>
      </c>
      <c r="H161" s="93">
        <v>0</v>
      </c>
      <c r="I161" s="210">
        <v>0</v>
      </c>
      <c r="J161" s="210">
        <v>0</v>
      </c>
      <c r="K161" s="93">
        <v>1</v>
      </c>
      <c r="L161" s="93">
        <v>1</v>
      </c>
      <c r="M161" s="93">
        <v>1</v>
      </c>
      <c r="N161" s="93">
        <v>0</v>
      </c>
      <c r="O161" s="93">
        <v>0</v>
      </c>
      <c r="P161" s="93">
        <v>0</v>
      </c>
      <c r="Q161" s="93">
        <v>0</v>
      </c>
      <c r="R161" s="93">
        <v>0</v>
      </c>
      <c r="S161" s="93">
        <v>1</v>
      </c>
      <c r="T161" s="90">
        <f t="shared" ref="T161:AE161" si="185">H161*$F$43</f>
        <v>0</v>
      </c>
      <c r="U161" s="90">
        <f t="shared" si="185"/>
        <v>0</v>
      </c>
      <c r="V161" s="90">
        <f t="shared" si="185"/>
        <v>0</v>
      </c>
      <c r="W161" s="90">
        <f t="shared" si="185"/>
        <v>16500</v>
      </c>
      <c r="X161" s="90">
        <f t="shared" si="185"/>
        <v>16500</v>
      </c>
      <c r="Y161" s="90">
        <f t="shared" si="185"/>
        <v>16500</v>
      </c>
      <c r="Z161" s="90">
        <f t="shared" si="185"/>
        <v>0</v>
      </c>
      <c r="AA161" s="90">
        <f t="shared" si="185"/>
        <v>0</v>
      </c>
      <c r="AB161" s="90">
        <f t="shared" si="185"/>
        <v>0</v>
      </c>
      <c r="AC161" s="90">
        <f t="shared" si="185"/>
        <v>0</v>
      </c>
      <c r="AD161" s="90">
        <f t="shared" si="185"/>
        <v>0</v>
      </c>
      <c r="AE161" s="90">
        <f t="shared" si="185"/>
        <v>16500</v>
      </c>
      <c r="AF161" s="54">
        <f t="shared" si="141"/>
        <v>66000</v>
      </c>
      <c r="AG161" s="2"/>
    </row>
    <row r="162" spans="1:33" ht="16" thickBot="1" x14ac:dyDescent="0.25">
      <c r="A162" s="148" t="s">
        <v>180</v>
      </c>
      <c r="B162" s="91" t="s">
        <v>4</v>
      </c>
      <c r="C162" s="92" t="s">
        <v>191</v>
      </c>
      <c r="D162" s="92" t="s">
        <v>168</v>
      </c>
      <c r="E162" s="94" t="s">
        <v>76</v>
      </c>
      <c r="F162" s="95"/>
      <c r="G162" s="142">
        <f t="shared" si="139"/>
        <v>0</v>
      </c>
      <c r="H162" s="93">
        <v>0</v>
      </c>
      <c r="I162" s="93">
        <v>0</v>
      </c>
      <c r="J162" s="93">
        <v>0</v>
      </c>
      <c r="K162" s="93">
        <v>0</v>
      </c>
      <c r="L162" s="93">
        <v>0</v>
      </c>
      <c r="M162" s="93">
        <v>0</v>
      </c>
      <c r="N162" s="93">
        <v>0</v>
      </c>
      <c r="O162" s="93">
        <v>0</v>
      </c>
      <c r="P162" s="93">
        <v>0</v>
      </c>
      <c r="Q162" s="93">
        <v>0</v>
      </c>
      <c r="R162" s="93">
        <v>0</v>
      </c>
      <c r="S162" s="93">
        <v>0</v>
      </c>
      <c r="T162" s="90">
        <f t="shared" ref="T162:AE162" si="186">H162*$F$44</f>
        <v>0</v>
      </c>
      <c r="U162" s="90">
        <f t="shared" si="186"/>
        <v>0</v>
      </c>
      <c r="V162" s="90">
        <f t="shared" si="186"/>
        <v>0</v>
      </c>
      <c r="W162" s="90">
        <f t="shared" si="186"/>
        <v>0</v>
      </c>
      <c r="X162" s="90">
        <f t="shared" si="186"/>
        <v>0</v>
      </c>
      <c r="Y162" s="90">
        <f t="shared" si="186"/>
        <v>0</v>
      </c>
      <c r="Z162" s="90">
        <f t="shared" si="186"/>
        <v>0</v>
      </c>
      <c r="AA162" s="90">
        <f t="shared" si="186"/>
        <v>0</v>
      </c>
      <c r="AB162" s="90">
        <f t="shared" si="186"/>
        <v>0</v>
      </c>
      <c r="AC162" s="90">
        <f t="shared" si="186"/>
        <v>0</v>
      </c>
      <c r="AD162" s="90">
        <f t="shared" si="186"/>
        <v>0</v>
      </c>
      <c r="AE162" s="90">
        <f t="shared" si="186"/>
        <v>0</v>
      </c>
      <c r="AF162" s="54">
        <f t="shared" si="141"/>
        <v>0</v>
      </c>
      <c r="AG162" s="2"/>
    </row>
    <row r="163" spans="1:33" ht="16" thickBot="1" x14ac:dyDescent="0.25">
      <c r="A163" s="148" t="s">
        <v>180</v>
      </c>
      <c r="B163" s="91" t="s">
        <v>4</v>
      </c>
      <c r="C163" s="92" t="s">
        <v>192</v>
      </c>
      <c r="D163" s="92" t="s">
        <v>168</v>
      </c>
      <c r="E163" s="94" t="s">
        <v>76</v>
      </c>
      <c r="F163" s="95"/>
      <c r="G163" s="142">
        <f t="shared" si="139"/>
        <v>0</v>
      </c>
      <c r="H163" s="93">
        <v>0</v>
      </c>
      <c r="I163" s="93">
        <v>0</v>
      </c>
      <c r="J163" s="93">
        <v>0</v>
      </c>
      <c r="K163" s="93">
        <v>0</v>
      </c>
      <c r="L163" s="93">
        <v>0</v>
      </c>
      <c r="M163" s="93">
        <v>0</v>
      </c>
      <c r="N163" s="93">
        <v>0</v>
      </c>
      <c r="O163" s="93">
        <v>0</v>
      </c>
      <c r="P163" s="93">
        <v>0</v>
      </c>
      <c r="Q163" s="93">
        <v>0</v>
      </c>
      <c r="R163" s="93">
        <v>0</v>
      </c>
      <c r="S163" s="93">
        <v>0</v>
      </c>
      <c r="T163" s="90">
        <f t="shared" ref="T163:AE163" si="187">H163*$F$45</f>
        <v>0</v>
      </c>
      <c r="U163" s="90">
        <f t="shared" si="187"/>
        <v>0</v>
      </c>
      <c r="V163" s="90">
        <f t="shared" si="187"/>
        <v>0</v>
      </c>
      <c r="W163" s="90">
        <f t="shared" si="187"/>
        <v>0</v>
      </c>
      <c r="X163" s="90">
        <f t="shared" si="187"/>
        <v>0</v>
      </c>
      <c r="Y163" s="90">
        <f t="shared" si="187"/>
        <v>0</v>
      </c>
      <c r="Z163" s="90">
        <f t="shared" si="187"/>
        <v>0</v>
      </c>
      <c r="AA163" s="90">
        <f t="shared" si="187"/>
        <v>0</v>
      </c>
      <c r="AB163" s="90">
        <f t="shared" si="187"/>
        <v>0</v>
      </c>
      <c r="AC163" s="90">
        <f t="shared" si="187"/>
        <v>0</v>
      </c>
      <c r="AD163" s="90">
        <f t="shared" si="187"/>
        <v>0</v>
      </c>
      <c r="AE163" s="90">
        <f t="shared" si="187"/>
        <v>0</v>
      </c>
      <c r="AF163" s="54">
        <f t="shared" si="141"/>
        <v>0</v>
      </c>
      <c r="AG163" s="2"/>
    </row>
    <row r="164" spans="1:33" ht="16" thickBot="1" x14ac:dyDescent="0.25">
      <c r="A164" s="148" t="s">
        <v>180</v>
      </c>
      <c r="B164" s="91" t="s">
        <v>4</v>
      </c>
      <c r="C164" s="92" t="s">
        <v>259</v>
      </c>
      <c r="D164" s="92" t="s">
        <v>168</v>
      </c>
      <c r="E164" s="94" t="s">
        <v>76</v>
      </c>
      <c r="F164" s="95"/>
      <c r="G164" s="142">
        <f t="shared" si="139"/>
        <v>0</v>
      </c>
      <c r="H164" s="93">
        <v>0</v>
      </c>
      <c r="I164" s="93">
        <v>0</v>
      </c>
      <c r="J164" s="93">
        <v>0</v>
      </c>
      <c r="K164" s="93">
        <v>0</v>
      </c>
      <c r="L164" s="93">
        <v>0</v>
      </c>
      <c r="M164" s="93">
        <v>0</v>
      </c>
      <c r="N164" s="93">
        <v>0</v>
      </c>
      <c r="O164" s="93">
        <v>0</v>
      </c>
      <c r="P164" s="93">
        <v>0</v>
      </c>
      <c r="Q164" s="93">
        <v>0</v>
      </c>
      <c r="R164" s="93">
        <v>0</v>
      </c>
      <c r="S164" s="93">
        <v>0</v>
      </c>
      <c r="T164" s="90">
        <f t="shared" ref="T164:AE164" si="188">H164*$F$46</f>
        <v>0</v>
      </c>
      <c r="U164" s="90">
        <f t="shared" si="188"/>
        <v>0</v>
      </c>
      <c r="V164" s="90">
        <f t="shared" si="188"/>
        <v>0</v>
      </c>
      <c r="W164" s="90">
        <f t="shared" si="188"/>
        <v>0</v>
      </c>
      <c r="X164" s="90">
        <f t="shared" si="188"/>
        <v>0</v>
      </c>
      <c r="Y164" s="90">
        <f t="shared" si="188"/>
        <v>0</v>
      </c>
      <c r="Z164" s="90">
        <f t="shared" si="188"/>
        <v>0</v>
      </c>
      <c r="AA164" s="90">
        <f t="shared" si="188"/>
        <v>0</v>
      </c>
      <c r="AB164" s="90">
        <f t="shared" si="188"/>
        <v>0</v>
      </c>
      <c r="AC164" s="90">
        <f t="shared" si="188"/>
        <v>0</v>
      </c>
      <c r="AD164" s="90">
        <f t="shared" si="188"/>
        <v>0</v>
      </c>
      <c r="AE164" s="90">
        <f t="shared" si="188"/>
        <v>0</v>
      </c>
      <c r="AF164" s="54">
        <f t="shared" si="141"/>
        <v>0</v>
      </c>
      <c r="AG164" s="2"/>
    </row>
    <row r="165" spans="1:33" ht="16" thickBot="1" x14ac:dyDescent="0.25">
      <c r="A165" s="148" t="s">
        <v>31</v>
      </c>
      <c r="B165" s="91" t="s">
        <v>4</v>
      </c>
      <c r="C165" s="92" t="s">
        <v>44</v>
      </c>
      <c r="D165" s="92" t="s">
        <v>45</v>
      </c>
      <c r="E165" s="94" t="s">
        <v>69</v>
      </c>
      <c r="F165" s="95"/>
      <c r="G165" s="142">
        <f t="shared" si="139"/>
        <v>0</v>
      </c>
      <c r="H165" s="93">
        <v>0</v>
      </c>
      <c r="I165" s="93">
        <v>0</v>
      </c>
      <c r="J165" s="93">
        <v>0</v>
      </c>
      <c r="K165" s="93">
        <v>0</v>
      </c>
      <c r="L165" s="93">
        <v>0</v>
      </c>
      <c r="M165" s="93">
        <v>0</v>
      </c>
      <c r="N165" s="93">
        <v>0</v>
      </c>
      <c r="O165" s="93">
        <v>0</v>
      </c>
      <c r="P165" s="93">
        <v>0</v>
      </c>
      <c r="Q165" s="93">
        <v>0</v>
      </c>
      <c r="R165" s="93">
        <v>0</v>
      </c>
      <c r="S165" s="93">
        <v>0</v>
      </c>
      <c r="T165" s="90">
        <f t="shared" ref="T165:AE165" si="189">H165*$F$16</f>
        <v>0</v>
      </c>
      <c r="U165" s="90">
        <f t="shared" si="189"/>
        <v>0</v>
      </c>
      <c r="V165" s="90">
        <f t="shared" si="189"/>
        <v>0</v>
      </c>
      <c r="W165" s="90">
        <f t="shared" si="189"/>
        <v>0</v>
      </c>
      <c r="X165" s="90">
        <f t="shared" si="189"/>
        <v>0</v>
      </c>
      <c r="Y165" s="90">
        <f t="shared" si="189"/>
        <v>0</v>
      </c>
      <c r="Z165" s="90">
        <f t="shared" si="189"/>
        <v>0</v>
      </c>
      <c r="AA165" s="90">
        <f t="shared" si="189"/>
        <v>0</v>
      </c>
      <c r="AB165" s="90">
        <f t="shared" si="189"/>
        <v>0</v>
      </c>
      <c r="AC165" s="90">
        <f t="shared" si="189"/>
        <v>0</v>
      </c>
      <c r="AD165" s="90">
        <f t="shared" si="189"/>
        <v>0</v>
      </c>
      <c r="AE165" s="90">
        <f t="shared" si="189"/>
        <v>0</v>
      </c>
      <c r="AF165" s="54">
        <f t="shared" si="141"/>
        <v>0</v>
      </c>
      <c r="AG165" s="2"/>
    </row>
    <row r="166" spans="1:33" ht="16" thickBot="1" x14ac:dyDescent="0.25">
      <c r="A166" s="148" t="s">
        <v>31</v>
      </c>
      <c r="B166" s="91" t="s">
        <v>4</v>
      </c>
      <c r="C166" s="92" t="s">
        <v>30</v>
      </c>
      <c r="D166" s="92" t="s">
        <v>30</v>
      </c>
      <c r="E166" s="94" t="s">
        <v>69</v>
      </c>
      <c r="F166" s="95"/>
      <c r="G166" s="142">
        <f t="shared" si="139"/>
        <v>0</v>
      </c>
      <c r="H166" s="93">
        <v>0</v>
      </c>
      <c r="I166" s="93">
        <v>0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0">
        <f t="shared" ref="T166:AE166" si="190">H166*$F$15</f>
        <v>0</v>
      </c>
      <c r="U166" s="90">
        <f t="shared" si="190"/>
        <v>0</v>
      </c>
      <c r="V166" s="90">
        <f t="shared" si="190"/>
        <v>0</v>
      </c>
      <c r="W166" s="90">
        <f t="shared" si="190"/>
        <v>0</v>
      </c>
      <c r="X166" s="90">
        <f t="shared" si="190"/>
        <v>0</v>
      </c>
      <c r="Y166" s="90">
        <f t="shared" si="190"/>
        <v>0</v>
      </c>
      <c r="Z166" s="90">
        <f t="shared" si="190"/>
        <v>0</v>
      </c>
      <c r="AA166" s="90">
        <f t="shared" si="190"/>
        <v>0</v>
      </c>
      <c r="AB166" s="90">
        <f t="shared" si="190"/>
        <v>0</v>
      </c>
      <c r="AC166" s="90">
        <f t="shared" si="190"/>
        <v>0</v>
      </c>
      <c r="AD166" s="90">
        <f t="shared" si="190"/>
        <v>0</v>
      </c>
      <c r="AE166" s="90">
        <f t="shared" si="190"/>
        <v>0</v>
      </c>
      <c r="AF166" s="54">
        <f t="shared" si="141"/>
        <v>0</v>
      </c>
      <c r="AG166" s="2"/>
    </row>
    <row r="167" spans="1:33" ht="16" thickBot="1" x14ac:dyDescent="0.25">
      <c r="A167" s="148" t="s">
        <v>196</v>
      </c>
      <c r="B167" s="91" t="s">
        <v>4</v>
      </c>
      <c r="C167" s="92" t="s">
        <v>197</v>
      </c>
      <c r="D167" s="92" t="s">
        <v>168</v>
      </c>
      <c r="E167" s="94" t="s">
        <v>198</v>
      </c>
      <c r="F167" s="95"/>
      <c r="G167" s="142">
        <f t="shared" si="139"/>
        <v>0.41666666666666669</v>
      </c>
      <c r="H167" s="93">
        <v>0</v>
      </c>
      <c r="I167" s="93">
        <v>0.25</v>
      </c>
      <c r="J167" s="93">
        <v>0.25</v>
      </c>
      <c r="K167" s="93">
        <v>0.5</v>
      </c>
      <c r="L167" s="93">
        <v>0.5</v>
      </c>
      <c r="M167" s="93">
        <v>0.5</v>
      </c>
      <c r="N167" s="93">
        <v>0.5</v>
      </c>
      <c r="O167" s="93">
        <v>0.5</v>
      </c>
      <c r="P167" s="93">
        <v>0.5</v>
      </c>
      <c r="Q167" s="93">
        <v>0.5</v>
      </c>
      <c r="R167" s="93">
        <v>0.5</v>
      </c>
      <c r="S167" s="93">
        <v>0.5</v>
      </c>
      <c r="T167" s="90">
        <f t="shared" ref="T167:AE167" si="191">H167*$F$49</f>
        <v>0</v>
      </c>
      <c r="U167" s="90">
        <f t="shared" si="191"/>
        <v>2750</v>
      </c>
      <c r="V167" s="90">
        <f t="shared" si="191"/>
        <v>2750</v>
      </c>
      <c r="W167" s="90">
        <f t="shared" si="191"/>
        <v>5500</v>
      </c>
      <c r="X167" s="90">
        <f t="shared" si="191"/>
        <v>5500</v>
      </c>
      <c r="Y167" s="90">
        <f t="shared" si="191"/>
        <v>5500</v>
      </c>
      <c r="Z167" s="90">
        <f t="shared" si="191"/>
        <v>5500</v>
      </c>
      <c r="AA167" s="90">
        <f t="shared" si="191"/>
        <v>5500</v>
      </c>
      <c r="AB167" s="90">
        <f t="shared" si="191"/>
        <v>5500</v>
      </c>
      <c r="AC167" s="90">
        <f t="shared" si="191"/>
        <v>5500</v>
      </c>
      <c r="AD167" s="90">
        <f t="shared" si="191"/>
        <v>5500</v>
      </c>
      <c r="AE167" s="90">
        <f t="shared" si="191"/>
        <v>5500</v>
      </c>
      <c r="AF167" s="54">
        <f t="shared" si="141"/>
        <v>55000</v>
      </c>
      <c r="AG167" s="2"/>
    </row>
    <row r="168" spans="1:33" ht="16" thickBot="1" x14ac:dyDescent="0.25">
      <c r="A168" s="148" t="s">
        <v>180</v>
      </c>
      <c r="B168" s="91" t="s">
        <v>4</v>
      </c>
      <c r="C168" s="92" t="s">
        <v>200</v>
      </c>
      <c r="D168" s="92"/>
      <c r="E168" s="94" t="s">
        <v>69</v>
      </c>
      <c r="F168" s="95"/>
      <c r="G168" s="142">
        <f t="shared" si="139"/>
        <v>0.6000000000000002</v>
      </c>
      <c r="H168" s="93">
        <v>1</v>
      </c>
      <c r="I168" s="93">
        <v>1</v>
      </c>
      <c r="J168" s="93">
        <v>1</v>
      </c>
      <c r="K168" s="93">
        <v>1</v>
      </c>
      <c r="L168" s="93">
        <f t="shared" ref="L168:S168" si="192">30/75</f>
        <v>0.4</v>
      </c>
      <c r="M168" s="93">
        <f t="shared" si="192"/>
        <v>0.4</v>
      </c>
      <c r="N168" s="93">
        <f t="shared" si="192"/>
        <v>0.4</v>
      </c>
      <c r="O168" s="93">
        <f t="shared" si="192"/>
        <v>0.4</v>
      </c>
      <c r="P168" s="93">
        <f t="shared" si="192"/>
        <v>0.4</v>
      </c>
      <c r="Q168" s="93">
        <f t="shared" si="192"/>
        <v>0.4</v>
      </c>
      <c r="R168" s="93">
        <f t="shared" si="192"/>
        <v>0.4</v>
      </c>
      <c r="S168" s="93">
        <f t="shared" si="192"/>
        <v>0.4</v>
      </c>
      <c r="T168" s="90">
        <f t="shared" ref="T168:AE168" si="193">H168*$F$48</f>
        <v>75000</v>
      </c>
      <c r="U168" s="90">
        <f t="shared" si="193"/>
        <v>75000</v>
      </c>
      <c r="V168" s="90">
        <f t="shared" si="193"/>
        <v>75000</v>
      </c>
      <c r="W168" s="90">
        <f t="shared" si="193"/>
        <v>75000</v>
      </c>
      <c r="X168" s="90">
        <f t="shared" si="193"/>
        <v>30000</v>
      </c>
      <c r="Y168" s="90">
        <f t="shared" si="193"/>
        <v>30000</v>
      </c>
      <c r="Z168" s="90">
        <f t="shared" si="193"/>
        <v>30000</v>
      </c>
      <c r="AA168" s="90">
        <f t="shared" si="193"/>
        <v>30000</v>
      </c>
      <c r="AB168" s="90">
        <f t="shared" si="193"/>
        <v>30000</v>
      </c>
      <c r="AC168" s="90">
        <f t="shared" si="193"/>
        <v>30000</v>
      </c>
      <c r="AD168" s="90">
        <f t="shared" si="193"/>
        <v>30000</v>
      </c>
      <c r="AE168" s="90">
        <f t="shared" si="193"/>
        <v>30000</v>
      </c>
      <c r="AF168" s="54">
        <f t="shared" si="141"/>
        <v>540000</v>
      </c>
      <c r="AG168" s="2"/>
    </row>
    <row r="169" spans="1:33" ht="16" thickBot="1" x14ac:dyDescent="0.25">
      <c r="A169" s="148" t="s">
        <v>180</v>
      </c>
      <c r="B169" s="91" t="s">
        <v>4</v>
      </c>
      <c r="C169" s="92" t="s">
        <v>181</v>
      </c>
      <c r="D169" s="92" t="s">
        <v>80</v>
      </c>
      <c r="E169" s="94" t="s">
        <v>76</v>
      </c>
      <c r="F169" s="95"/>
      <c r="G169" s="142">
        <f t="shared" si="139"/>
        <v>0.95833333333333337</v>
      </c>
      <c r="H169" s="93">
        <v>1</v>
      </c>
      <c r="I169" s="93">
        <v>1</v>
      </c>
      <c r="J169" s="93">
        <v>0.75</v>
      </c>
      <c r="K169" s="93">
        <v>0.75</v>
      </c>
      <c r="L169" s="93">
        <v>1</v>
      </c>
      <c r="M169" s="93">
        <v>1</v>
      </c>
      <c r="N169" s="93">
        <v>1</v>
      </c>
      <c r="O169" s="93">
        <v>1</v>
      </c>
      <c r="P169" s="93">
        <v>1</v>
      </c>
      <c r="Q169" s="93">
        <v>1</v>
      </c>
      <c r="R169" s="93">
        <v>1</v>
      </c>
      <c r="S169" s="93">
        <v>1</v>
      </c>
      <c r="T169" s="90">
        <f t="shared" ref="T169:AE169" si="194">H169*$F$37</f>
        <v>18853.180199999999</v>
      </c>
      <c r="U169" s="90">
        <f t="shared" si="194"/>
        <v>18853.180199999999</v>
      </c>
      <c r="V169" s="90">
        <f t="shared" si="194"/>
        <v>14139.885149999998</v>
      </c>
      <c r="W169" s="90">
        <f t="shared" si="194"/>
        <v>14139.885149999998</v>
      </c>
      <c r="X169" s="90">
        <f t="shared" si="194"/>
        <v>18853.180199999999</v>
      </c>
      <c r="Y169" s="90">
        <f t="shared" si="194"/>
        <v>18853.180199999999</v>
      </c>
      <c r="Z169" s="90">
        <f t="shared" si="194"/>
        <v>18853.180199999999</v>
      </c>
      <c r="AA169" s="90">
        <f t="shared" si="194"/>
        <v>18853.180199999999</v>
      </c>
      <c r="AB169" s="90">
        <f t="shared" si="194"/>
        <v>18853.180199999999</v>
      </c>
      <c r="AC169" s="90">
        <f t="shared" si="194"/>
        <v>18853.180199999999</v>
      </c>
      <c r="AD169" s="90">
        <f t="shared" si="194"/>
        <v>18853.180199999999</v>
      </c>
      <c r="AE169" s="90">
        <f t="shared" si="194"/>
        <v>18853.180199999999</v>
      </c>
      <c r="AF169" s="54">
        <f t="shared" si="141"/>
        <v>216811.5723</v>
      </c>
      <c r="AG169" s="2"/>
    </row>
    <row r="170" spans="1:33" ht="16" thickBot="1" x14ac:dyDescent="0.25">
      <c r="A170" s="148" t="s">
        <v>180</v>
      </c>
      <c r="B170" s="91" t="s">
        <v>4</v>
      </c>
      <c r="C170" s="92" t="s">
        <v>182</v>
      </c>
      <c r="D170" s="92" t="s">
        <v>90</v>
      </c>
      <c r="E170" s="94" t="s">
        <v>76</v>
      </c>
      <c r="F170" s="95"/>
      <c r="G170" s="142">
        <f t="shared" si="139"/>
        <v>1</v>
      </c>
      <c r="H170" s="93">
        <v>1</v>
      </c>
      <c r="I170" s="93">
        <v>1</v>
      </c>
      <c r="J170" s="93">
        <v>1</v>
      </c>
      <c r="K170" s="93">
        <v>1</v>
      </c>
      <c r="L170" s="93">
        <v>1</v>
      </c>
      <c r="M170" s="93">
        <v>1</v>
      </c>
      <c r="N170" s="93">
        <v>1</v>
      </c>
      <c r="O170" s="93">
        <v>1</v>
      </c>
      <c r="P170" s="93">
        <v>1</v>
      </c>
      <c r="Q170" s="93">
        <v>1</v>
      </c>
      <c r="R170" s="93">
        <v>1</v>
      </c>
      <c r="S170" s="93">
        <v>1</v>
      </c>
      <c r="T170" s="90">
        <f t="shared" ref="T170:AE170" si="195">H170*$F$39</f>
        <v>15793.118999999999</v>
      </c>
      <c r="U170" s="90">
        <f t="shared" si="195"/>
        <v>15793.118999999999</v>
      </c>
      <c r="V170" s="90">
        <f t="shared" si="195"/>
        <v>15793.118999999999</v>
      </c>
      <c r="W170" s="90">
        <f t="shared" si="195"/>
        <v>15793.118999999999</v>
      </c>
      <c r="X170" s="90">
        <f t="shared" si="195"/>
        <v>15793.118999999999</v>
      </c>
      <c r="Y170" s="90">
        <f t="shared" si="195"/>
        <v>15793.118999999999</v>
      </c>
      <c r="Z170" s="90">
        <f t="shared" si="195"/>
        <v>15793.118999999999</v>
      </c>
      <c r="AA170" s="90">
        <f t="shared" si="195"/>
        <v>15793.118999999999</v>
      </c>
      <c r="AB170" s="90">
        <f t="shared" si="195"/>
        <v>15793.118999999999</v>
      </c>
      <c r="AC170" s="90">
        <f t="shared" si="195"/>
        <v>15793.118999999999</v>
      </c>
      <c r="AD170" s="90">
        <f t="shared" si="195"/>
        <v>15793.118999999999</v>
      </c>
      <c r="AE170" s="90">
        <f t="shared" si="195"/>
        <v>15793.118999999999</v>
      </c>
      <c r="AF170" s="54">
        <f t="shared" si="141"/>
        <v>189517.42800000004</v>
      </c>
      <c r="AG170" s="2"/>
    </row>
    <row r="171" spans="1:33" ht="16" thickBot="1" x14ac:dyDescent="0.25">
      <c r="A171" s="148" t="s">
        <v>180</v>
      </c>
      <c r="B171" s="91" t="s">
        <v>4</v>
      </c>
      <c r="C171" s="92" t="s">
        <v>187</v>
      </c>
      <c r="D171" s="92" t="s">
        <v>168</v>
      </c>
      <c r="E171" s="94" t="s">
        <v>76</v>
      </c>
      <c r="F171" s="95"/>
      <c r="G171" s="142">
        <f t="shared" si="139"/>
        <v>0</v>
      </c>
      <c r="H171" s="93">
        <v>0</v>
      </c>
      <c r="I171" s="93">
        <v>0</v>
      </c>
      <c r="J171" s="93">
        <v>0</v>
      </c>
      <c r="K171" s="93">
        <v>0</v>
      </c>
      <c r="L171" s="93">
        <v>0</v>
      </c>
      <c r="M171" s="93">
        <v>0</v>
      </c>
      <c r="N171" s="93">
        <v>0</v>
      </c>
      <c r="O171" s="93">
        <v>0</v>
      </c>
      <c r="P171" s="93">
        <v>0</v>
      </c>
      <c r="Q171" s="93">
        <v>0</v>
      </c>
      <c r="R171" s="93">
        <v>0</v>
      </c>
      <c r="S171" s="93">
        <v>0</v>
      </c>
      <c r="T171" s="90">
        <f t="shared" ref="T171:AE171" si="196">H171*$F$38</f>
        <v>0</v>
      </c>
      <c r="U171" s="90">
        <f t="shared" si="196"/>
        <v>0</v>
      </c>
      <c r="V171" s="90">
        <f t="shared" si="196"/>
        <v>0</v>
      </c>
      <c r="W171" s="90">
        <f t="shared" si="196"/>
        <v>0</v>
      </c>
      <c r="X171" s="90">
        <f t="shared" si="196"/>
        <v>0</v>
      </c>
      <c r="Y171" s="90">
        <f t="shared" si="196"/>
        <v>0</v>
      </c>
      <c r="Z171" s="90">
        <f t="shared" si="196"/>
        <v>0</v>
      </c>
      <c r="AA171" s="90">
        <f t="shared" si="196"/>
        <v>0</v>
      </c>
      <c r="AB171" s="90">
        <f t="shared" si="196"/>
        <v>0</v>
      </c>
      <c r="AC171" s="90">
        <f t="shared" si="196"/>
        <v>0</v>
      </c>
      <c r="AD171" s="90">
        <f t="shared" si="196"/>
        <v>0</v>
      </c>
      <c r="AE171" s="90">
        <f t="shared" si="196"/>
        <v>0</v>
      </c>
      <c r="AF171" s="54">
        <f t="shared" si="141"/>
        <v>0</v>
      </c>
      <c r="AG171" s="2"/>
    </row>
    <row r="172" spans="1:33" ht="16" thickBot="1" x14ac:dyDescent="0.25">
      <c r="A172" s="148" t="s">
        <v>163</v>
      </c>
      <c r="B172" s="91" t="s">
        <v>4</v>
      </c>
      <c r="C172" s="92" t="s">
        <v>115</v>
      </c>
      <c r="D172" s="92" t="s">
        <v>137</v>
      </c>
      <c r="E172" s="94" t="s">
        <v>76</v>
      </c>
      <c r="F172" s="95"/>
      <c r="G172" s="142">
        <f t="shared" si="139"/>
        <v>0</v>
      </c>
      <c r="H172" s="93">
        <v>0</v>
      </c>
      <c r="I172" s="93">
        <v>0</v>
      </c>
      <c r="J172" s="93">
        <v>0</v>
      </c>
      <c r="K172" s="93">
        <v>0</v>
      </c>
      <c r="L172" s="93">
        <v>0</v>
      </c>
      <c r="M172" s="93">
        <v>0</v>
      </c>
      <c r="N172" s="93">
        <v>0</v>
      </c>
      <c r="O172" s="93">
        <v>0</v>
      </c>
      <c r="P172" s="93">
        <v>0</v>
      </c>
      <c r="Q172" s="93">
        <v>0</v>
      </c>
      <c r="R172" s="93">
        <v>0</v>
      </c>
      <c r="S172" s="93">
        <v>0</v>
      </c>
      <c r="T172" s="90">
        <f t="shared" ref="T172:AE172" si="197">$F$5*H172</f>
        <v>0</v>
      </c>
      <c r="U172" s="90">
        <f t="shared" si="197"/>
        <v>0</v>
      </c>
      <c r="V172" s="90">
        <f t="shared" si="197"/>
        <v>0</v>
      </c>
      <c r="W172" s="90">
        <f t="shared" si="197"/>
        <v>0</v>
      </c>
      <c r="X172" s="90">
        <f t="shared" si="197"/>
        <v>0</v>
      </c>
      <c r="Y172" s="90">
        <f t="shared" si="197"/>
        <v>0</v>
      </c>
      <c r="Z172" s="90">
        <f t="shared" si="197"/>
        <v>0</v>
      </c>
      <c r="AA172" s="90">
        <f t="shared" si="197"/>
        <v>0</v>
      </c>
      <c r="AB172" s="90">
        <f t="shared" si="197"/>
        <v>0</v>
      </c>
      <c r="AC172" s="90">
        <f t="shared" si="197"/>
        <v>0</v>
      </c>
      <c r="AD172" s="90">
        <f t="shared" si="197"/>
        <v>0</v>
      </c>
      <c r="AE172" s="90">
        <f t="shared" si="197"/>
        <v>0</v>
      </c>
      <c r="AF172" s="54">
        <f t="shared" si="141"/>
        <v>0</v>
      </c>
      <c r="AG172" s="2"/>
    </row>
    <row r="173" spans="1:33" ht="16" thickBot="1" x14ac:dyDescent="0.25">
      <c r="A173" s="148" t="s">
        <v>68</v>
      </c>
      <c r="B173" s="91" t="s">
        <v>4</v>
      </c>
      <c r="C173" s="92" t="s">
        <v>29</v>
      </c>
      <c r="D173" s="92" t="s">
        <v>114</v>
      </c>
      <c r="E173" s="94" t="s">
        <v>198</v>
      </c>
      <c r="F173" s="95"/>
      <c r="G173" s="142">
        <f t="shared" si="139"/>
        <v>0</v>
      </c>
      <c r="H173" s="93">
        <v>0</v>
      </c>
      <c r="I173" s="93">
        <v>0</v>
      </c>
      <c r="J173" s="93">
        <v>0</v>
      </c>
      <c r="K173" s="93">
        <v>0</v>
      </c>
      <c r="L173" s="93">
        <v>0</v>
      </c>
      <c r="M173" s="93">
        <v>0</v>
      </c>
      <c r="N173" s="93">
        <v>0</v>
      </c>
      <c r="O173" s="93">
        <v>0</v>
      </c>
      <c r="P173" s="93">
        <v>0</v>
      </c>
      <c r="Q173" s="93">
        <v>0</v>
      </c>
      <c r="R173" s="93">
        <v>0</v>
      </c>
      <c r="S173" s="93">
        <v>0</v>
      </c>
      <c r="T173" s="90">
        <f t="shared" ref="T173:AE173" si="198">$F$20*H173</f>
        <v>0</v>
      </c>
      <c r="U173" s="90">
        <f t="shared" si="198"/>
        <v>0</v>
      </c>
      <c r="V173" s="90">
        <f t="shared" si="198"/>
        <v>0</v>
      </c>
      <c r="W173" s="90">
        <f t="shared" si="198"/>
        <v>0</v>
      </c>
      <c r="X173" s="90">
        <f t="shared" si="198"/>
        <v>0</v>
      </c>
      <c r="Y173" s="90">
        <f t="shared" si="198"/>
        <v>0</v>
      </c>
      <c r="Z173" s="90">
        <f t="shared" si="198"/>
        <v>0</v>
      </c>
      <c r="AA173" s="90">
        <f t="shared" si="198"/>
        <v>0</v>
      </c>
      <c r="AB173" s="90">
        <f t="shared" si="198"/>
        <v>0</v>
      </c>
      <c r="AC173" s="90">
        <f t="shared" si="198"/>
        <v>0</v>
      </c>
      <c r="AD173" s="90">
        <f t="shared" si="198"/>
        <v>0</v>
      </c>
      <c r="AE173" s="90">
        <f t="shared" si="198"/>
        <v>0</v>
      </c>
      <c r="AF173" s="54">
        <f t="shared" si="141"/>
        <v>0</v>
      </c>
      <c r="AG173" s="2"/>
    </row>
    <row r="174" spans="1:33" ht="16" thickBot="1" x14ac:dyDescent="0.25">
      <c r="A174" s="148" t="s">
        <v>68</v>
      </c>
      <c r="B174" s="91" t="s">
        <v>4</v>
      </c>
      <c r="C174" s="92" t="s">
        <v>178</v>
      </c>
      <c r="D174" s="92" t="s">
        <v>89</v>
      </c>
      <c r="E174" s="94" t="s">
        <v>69</v>
      </c>
      <c r="F174" s="95"/>
      <c r="G174" s="142">
        <f t="shared" si="139"/>
        <v>0</v>
      </c>
      <c r="H174" s="93">
        <v>0</v>
      </c>
      <c r="I174" s="93">
        <v>0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0">
        <f t="shared" ref="T174:AE174" si="199">H174*$F$21</f>
        <v>0</v>
      </c>
      <c r="U174" s="90">
        <f t="shared" si="199"/>
        <v>0</v>
      </c>
      <c r="V174" s="90">
        <f t="shared" si="199"/>
        <v>0</v>
      </c>
      <c r="W174" s="90">
        <f t="shared" si="199"/>
        <v>0</v>
      </c>
      <c r="X174" s="90">
        <f t="shared" si="199"/>
        <v>0</v>
      </c>
      <c r="Y174" s="90">
        <f t="shared" si="199"/>
        <v>0</v>
      </c>
      <c r="Z174" s="90">
        <f t="shared" si="199"/>
        <v>0</v>
      </c>
      <c r="AA174" s="90">
        <f t="shared" si="199"/>
        <v>0</v>
      </c>
      <c r="AB174" s="90">
        <f t="shared" si="199"/>
        <v>0</v>
      </c>
      <c r="AC174" s="90">
        <f t="shared" si="199"/>
        <v>0</v>
      </c>
      <c r="AD174" s="90">
        <f t="shared" si="199"/>
        <v>0</v>
      </c>
      <c r="AE174" s="90">
        <f t="shared" si="199"/>
        <v>0</v>
      </c>
      <c r="AF174" s="54">
        <f t="shared" si="141"/>
        <v>0</v>
      </c>
      <c r="AG174" s="2"/>
    </row>
    <row r="175" spans="1:33" ht="16" thickBot="1" x14ac:dyDescent="0.25">
      <c r="A175" s="148" t="s">
        <v>163</v>
      </c>
      <c r="B175" s="91" t="s">
        <v>4</v>
      </c>
      <c r="C175" s="92" t="s">
        <v>169</v>
      </c>
      <c r="D175" s="92" t="s">
        <v>168</v>
      </c>
      <c r="E175" s="94" t="s">
        <v>76</v>
      </c>
      <c r="F175" s="95"/>
      <c r="G175" s="142">
        <f t="shared" si="139"/>
        <v>0</v>
      </c>
      <c r="H175" s="93">
        <v>0</v>
      </c>
      <c r="I175" s="93">
        <v>0</v>
      </c>
      <c r="J175" s="93">
        <v>0</v>
      </c>
      <c r="K175" s="93">
        <v>0</v>
      </c>
      <c r="L175" s="93">
        <v>0</v>
      </c>
      <c r="M175" s="93">
        <v>0</v>
      </c>
      <c r="N175" s="93">
        <v>0</v>
      </c>
      <c r="O175" s="93">
        <v>0</v>
      </c>
      <c r="P175" s="93">
        <v>0</v>
      </c>
      <c r="Q175" s="93">
        <v>0</v>
      </c>
      <c r="R175" s="93">
        <v>0</v>
      </c>
      <c r="S175" s="93">
        <v>0</v>
      </c>
      <c r="T175" s="90">
        <f t="shared" ref="T175:AE175" si="200">H175*$F$6</f>
        <v>0</v>
      </c>
      <c r="U175" s="90">
        <f t="shared" si="200"/>
        <v>0</v>
      </c>
      <c r="V175" s="90">
        <f t="shared" si="200"/>
        <v>0</v>
      </c>
      <c r="W175" s="90">
        <f t="shared" si="200"/>
        <v>0</v>
      </c>
      <c r="X175" s="90">
        <f t="shared" si="200"/>
        <v>0</v>
      </c>
      <c r="Y175" s="90">
        <f t="shared" si="200"/>
        <v>0</v>
      </c>
      <c r="Z175" s="90">
        <f t="shared" si="200"/>
        <v>0</v>
      </c>
      <c r="AA175" s="90">
        <f t="shared" si="200"/>
        <v>0</v>
      </c>
      <c r="AB175" s="90">
        <f t="shared" si="200"/>
        <v>0</v>
      </c>
      <c r="AC175" s="90">
        <f t="shared" si="200"/>
        <v>0</v>
      </c>
      <c r="AD175" s="90">
        <f t="shared" si="200"/>
        <v>0</v>
      </c>
      <c r="AE175" s="90">
        <f t="shared" si="200"/>
        <v>0</v>
      </c>
      <c r="AF175" s="54">
        <f t="shared" si="141"/>
        <v>0</v>
      </c>
      <c r="AG175" s="2"/>
    </row>
    <row r="176" spans="1:33" ht="16" thickBot="1" x14ac:dyDescent="0.25">
      <c r="A176" s="148" t="s">
        <v>163</v>
      </c>
      <c r="B176" s="91" t="s">
        <v>4</v>
      </c>
      <c r="C176" s="92" t="s">
        <v>170</v>
      </c>
      <c r="D176" s="92" t="s">
        <v>168</v>
      </c>
      <c r="E176" s="94" t="s">
        <v>76</v>
      </c>
      <c r="F176" s="95"/>
      <c r="G176" s="142">
        <f t="shared" si="139"/>
        <v>0.41666666666666669</v>
      </c>
      <c r="H176" s="93">
        <v>0</v>
      </c>
      <c r="I176" s="93">
        <v>0</v>
      </c>
      <c r="J176" s="93">
        <v>0</v>
      </c>
      <c r="K176" s="93">
        <v>1</v>
      </c>
      <c r="L176" s="93">
        <v>1</v>
      </c>
      <c r="M176" s="93">
        <v>1</v>
      </c>
      <c r="N176" s="93">
        <v>0</v>
      </c>
      <c r="O176" s="93">
        <v>0</v>
      </c>
      <c r="P176" s="93">
        <v>0.5</v>
      </c>
      <c r="Q176" s="93">
        <v>0.5</v>
      </c>
      <c r="R176" s="93">
        <v>0.5</v>
      </c>
      <c r="S176" s="93">
        <v>0.5</v>
      </c>
      <c r="T176" s="90">
        <f t="shared" ref="T176:AE176" si="201">H176*$F$7</f>
        <v>0</v>
      </c>
      <c r="U176" s="90">
        <f t="shared" si="201"/>
        <v>0</v>
      </c>
      <c r="V176" s="90">
        <f t="shared" si="201"/>
        <v>0</v>
      </c>
      <c r="W176" s="90">
        <f t="shared" si="201"/>
        <v>30250</v>
      </c>
      <c r="X176" s="90">
        <f t="shared" si="201"/>
        <v>30250</v>
      </c>
      <c r="Y176" s="90">
        <f t="shared" si="201"/>
        <v>30250</v>
      </c>
      <c r="Z176" s="90">
        <f t="shared" si="201"/>
        <v>0</v>
      </c>
      <c r="AA176" s="90">
        <f t="shared" si="201"/>
        <v>0</v>
      </c>
      <c r="AB176" s="90">
        <f t="shared" si="201"/>
        <v>15125</v>
      </c>
      <c r="AC176" s="90">
        <f t="shared" si="201"/>
        <v>15125</v>
      </c>
      <c r="AD176" s="90">
        <f t="shared" si="201"/>
        <v>15125</v>
      </c>
      <c r="AE176" s="90">
        <f t="shared" si="201"/>
        <v>15125</v>
      </c>
      <c r="AF176" s="54">
        <f t="shared" si="141"/>
        <v>151250</v>
      </c>
      <c r="AG176" s="2"/>
    </row>
    <row r="177" spans="1:33" ht="16" thickBot="1" x14ac:dyDescent="0.25">
      <c r="A177" s="148" t="s">
        <v>180</v>
      </c>
      <c r="B177" s="91" t="s">
        <v>4</v>
      </c>
      <c r="C177" s="92" t="s">
        <v>183</v>
      </c>
      <c r="D177" s="92" t="s">
        <v>77</v>
      </c>
      <c r="E177" s="94" t="s">
        <v>76</v>
      </c>
      <c r="F177" s="95"/>
      <c r="G177" s="142">
        <f t="shared" si="139"/>
        <v>1</v>
      </c>
      <c r="H177" s="93">
        <v>1</v>
      </c>
      <c r="I177" s="93">
        <v>1</v>
      </c>
      <c r="J177" s="93">
        <v>1</v>
      </c>
      <c r="K177" s="93">
        <v>1</v>
      </c>
      <c r="L177" s="93">
        <v>1</v>
      </c>
      <c r="M177" s="93">
        <v>1</v>
      </c>
      <c r="N177" s="93">
        <v>1</v>
      </c>
      <c r="O177" s="93">
        <v>1</v>
      </c>
      <c r="P177" s="93">
        <v>1</v>
      </c>
      <c r="Q177" s="93">
        <v>1</v>
      </c>
      <c r="R177" s="93">
        <v>1</v>
      </c>
      <c r="S177" s="93">
        <v>1</v>
      </c>
      <c r="T177" s="90">
        <f t="shared" ref="T177:AE177" si="202">H177*$F$34</f>
        <v>33000</v>
      </c>
      <c r="U177" s="90">
        <f t="shared" si="202"/>
        <v>33000</v>
      </c>
      <c r="V177" s="90">
        <f t="shared" si="202"/>
        <v>33000</v>
      </c>
      <c r="W177" s="90">
        <f t="shared" si="202"/>
        <v>33000</v>
      </c>
      <c r="X177" s="90">
        <f t="shared" si="202"/>
        <v>33000</v>
      </c>
      <c r="Y177" s="90">
        <f t="shared" si="202"/>
        <v>33000</v>
      </c>
      <c r="Z177" s="90">
        <f t="shared" si="202"/>
        <v>33000</v>
      </c>
      <c r="AA177" s="90">
        <f t="shared" si="202"/>
        <v>33000</v>
      </c>
      <c r="AB177" s="90">
        <f t="shared" si="202"/>
        <v>33000</v>
      </c>
      <c r="AC177" s="90">
        <f t="shared" si="202"/>
        <v>33000</v>
      </c>
      <c r="AD177" s="90">
        <f t="shared" si="202"/>
        <v>33000</v>
      </c>
      <c r="AE177" s="90">
        <f t="shared" si="202"/>
        <v>33000</v>
      </c>
      <c r="AF177" s="54">
        <f t="shared" si="141"/>
        <v>396000</v>
      </c>
      <c r="AG177" s="2"/>
    </row>
    <row r="178" spans="1:33" ht="16" thickBot="1" x14ac:dyDescent="0.25">
      <c r="A178" s="148" t="s">
        <v>180</v>
      </c>
      <c r="B178" s="91" t="s">
        <v>4</v>
      </c>
      <c r="C178" s="92" t="s">
        <v>184</v>
      </c>
      <c r="D178" s="92" t="s">
        <v>168</v>
      </c>
      <c r="E178" s="94" t="s">
        <v>76</v>
      </c>
      <c r="F178" s="95"/>
      <c r="G178" s="142">
        <f t="shared" si="139"/>
        <v>0.33333333333333331</v>
      </c>
      <c r="H178" s="93">
        <v>0</v>
      </c>
      <c r="I178" s="210">
        <v>0</v>
      </c>
      <c r="J178" s="210">
        <v>0</v>
      </c>
      <c r="K178" s="93">
        <v>1</v>
      </c>
      <c r="L178" s="93">
        <v>1</v>
      </c>
      <c r="M178" s="93">
        <v>1</v>
      </c>
      <c r="N178" s="93">
        <v>0</v>
      </c>
      <c r="O178" s="93">
        <v>0</v>
      </c>
      <c r="P178" s="93">
        <v>0</v>
      </c>
      <c r="Q178" s="93">
        <v>0</v>
      </c>
      <c r="R178" s="93">
        <v>0</v>
      </c>
      <c r="S178" s="93">
        <v>1</v>
      </c>
      <c r="T178" s="90">
        <f t="shared" ref="T178:AE178" si="203">H178*$F$40</f>
        <v>0</v>
      </c>
      <c r="U178" s="90">
        <f t="shared" si="203"/>
        <v>0</v>
      </c>
      <c r="V178" s="90">
        <f t="shared" si="203"/>
        <v>0</v>
      </c>
      <c r="W178" s="90">
        <f t="shared" si="203"/>
        <v>30250</v>
      </c>
      <c r="X178" s="90">
        <f t="shared" si="203"/>
        <v>30250</v>
      </c>
      <c r="Y178" s="90">
        <f t="shared" si="203"/>
        <v>30250</v>
      </c>
      <c r="Z178" s="90">
        <f t="shared" si="203"/>
        <v>0</v>
      </c>
      <c r="AA178" s="90">
        <f t="shared" si="203"/>
        <v>0</v>
      </c>
      <c r="AB178" s="90">
        <f t="shared" si="203"/>
        <v>0</v>
      </c>
      <c r="AC178" s="90">
        <f t="shared" si="203"/>
        <v>0</v>
      </c>
      <c r="AD178" s="90">
        <f t="shared" si="203"/>
        <v>0</v>
      </c>
      <c r="AE178" s="90">
        <f t="shared" si="203"/>
        <v>30250</v>
      </c>
      <c r="AF178" s="54">
        <f t="shared" si="141"/>
        <v>121000</v>
      </c>
      <c r="AG178" s="2"/>
    </row>
    <row r="179" spans="1:33" ht="16" thickBot="1" x14ac:dyDescent="0.25">
      <c r="A179" s="148" t="s">
        <v>180</v>
      </c>
      <c r="B179" s="91" t="s">
        <v>4</v>
      </c>
      <c r="C179" s="92" t="s">
        <v>188</v>
      </c>
      <c r="D179" s="92" t="s">
        <v>168</v>
      </c>
      <c r="E179" s="94" t="s">
        <v>76</v>
      </c>
      <c r="F179" s="95"/>
      <c r="G179" s="142">
        <f t="shared" ref="G179:G240" si="204">AVERAGE(H179:S179)</f>
        <v>8.3333333333333329E-2</v>
      </c>
      <c r="H179" s="93">
        <v>0</v>
      </c>
      <c r="I179" s="210">
        <v>0</v>
      </c>
      <c r="J179" s="93">
        <v>0</v>
      </c>
      <c r="K179" s="93">
        <v>0</v>
      </c>
      <c r="L179" s="93">
        <v>1</v>
      </c>
      <c r="M179" s="93">
        <v>0</v>
      </c>
      <c r="N179" s="93">
        <v>0</v>
      </c>
      <c r="O179" s="93">
        <v>0</v>
      </c>
      <c r="P179" s="93">
        <v>0</v>
      </c>
      <c r="Q179" s="93">
        <v>0</v>
      </c>
      <c r="R179" s="93">
        <v>0</v>
      </c>
      <c r="S179" s="93">
        <v>0</v>
      </c>
      <c r="T179" s="90">
        <f t="shared" ref="T179:AE179" si="205">H179*$F$41</f>
        <v>0</v>
      </c>
      <c r="U179" s="90">
        <f t="shared" si="205"/>
        <v>0</v>
      </c>
      <c r="V179" s="90">
        <f t="shared" si="205"/>
        <v>0</v>
      </c>
      <c r="W179" s="90">
        <f t="shared" si="205"/>
        <v>0</v>
      </c>
      <c r="X179" s="90">
        <f t="shared" si="205"/>
        <v>30250</v>
      </c>
      <c r="Y179" s="90">
        <f t="shared" si="205"/>
        <v>0</v>
      </c>
      <c r="Z179" s="90">
        <f t="shared" si="205"/>
        <v>0</v>
      </c>
      <c r="AA179" s="90">
        <f t="shared" si="205"/>
        <v>0</v>
      </c>
      <c r="AB179" s="90">
        <f t="shared" si="205"/>
        <v>0</v>
      </c>
      <c r="AC179" s="90">
        <f t="shared" si="205"/>
        <v>0</v>
      </c>
      <c r="AD179" s="90">
        <f t="shared" si="205"/>
        <v>0</v>
      </c>
      <c r="AE179" s="90">
        <f t="shared" si="205"/>
        <v>0</v>
      </c>
      <c r="AF179" s="54">
        <f t="shared" ref="AF179:AF240" si="206">SUM(T179:AE179)</f>
        <v>30250</v>
      </c>
      <c r="AG179" s="2"/>
    </row>
    <row r="180" spans="1:33" ht="16" thickBot="1" x14ac:dyDescent="0.25">
      <c r="A180" s="148" t="s">
        <v>180</v>
      </c>
      <c r="B180" s="91" t="s">
        <v>4</v>
      </c>
      <c r="C180" s="92" t="s">
        <v>189</v>
      </c>
      <c r="D180" s="92" t="s">
        <v>168</v>
      </c>
      <c r="E180" s="94" t="s">
        <v>76</v>
      </c>
      <c r="F180" s="95"/>
      <c r="G180" s="142">
        <f t="shared" si="204"/>
        <v>0</v>
      </c>
      <c r="H180" s="93">
        <v>0</v>
      </c>
      <c r="I180" s="93">
        <v>0</v>
      </c>
      <c r="J180" s="93">
        <v>0</v>
      </c>
      <c r="K180" s="93">
        <v>0</v>
      </c>
      <c r="L180" s="93">
        <v>0</v>
      </c>
      <c r="M180" s="93">
        <v>0</v>
      </c>
      <c r="N180" s="93">
        <v>0</v>
      </c>
      <c r="O180" s="93">
        <v>0</v>
      </c>
      <c r="P180" s="93">
        <v>0</v>
      </c>
      <c r="Q180" s="93">
        <v>0</v>
      </c>
      <c r="R180" s="93">
        <v>0</v>
      </c>
      <c r="S180" s="93">
        <v>0</v>
      </c>
      <c r="T180" s="90">
        <f t="shared" ref="T180:AE180" si="207">H180*$F$42</f>
        <v>0</v>
      </c>
      <c r="U180" s="90">
        <f t="shared" si="207"/>
        <v>0</v>
      </c>
      <c r="V180" s="90">
        <f t="shared" si="207"/>
        <v>0</v>
      </c>
      <c r="W180" s="90">
        <f t="shared" si="207"/>
        <v>0</v>
      </c>
      <c r="X180" s="90">
        <f t="shared" si="207"/>
        <v>0</v>
      </c>
      <c r="Y180" s="90">
        <f t="shared" si="207"/>
        <v>0</v>
      </c>
      <c r="Z180" s="90">
        <f t="shared" si="207"/>
        <v>0</v>
      </c>
      <c r="AA180" s="90">
        <f t="shared" si="207"/>
        <v>0</v>
      </c>
      <c r="AB180" s="90">
        <f t="shared" si="207"/>
        <v>0</v>
      </c>
      <c r="AC180" s="90">
        <f t="shared" si="207"/>
        <v>0</v>
      </c>
      <c r="AD180" s="90">
        <f t="shared" si="207"/>
        <v>0</v>
      </c>
      <c r="AE180" s="90">
        <f t="shared" si="207"/>
        <v>0</v>
      </c>
      <c r="AF180" s="54">
        <f t="shared" si="206"/>
        <v>0</v>
      </c>
      <c r="AG180" s="2"/>
    </row>
    <row r="181" spans="1:33" ht="16" thickBot="1" x14ac:dyDescent="0.25">
      <c r="A181" s="148" t="s">
        <v>51</v>
      </c>
      <c r="B181" s="91" t="s">
        <v>4</v>
      </c>
      <c r="C181" s="92" t="s">
        <v>249</v>
      </c>
      <c r="D181" s="92" t="s">
        <v>168</v>
      </c>
      <c r="E181" s="94" t="s">
        <v>198</v>
      </c>
      <c r="F181" s="95"/>
      <c r="G181" s="142">
        <f t="shared" si="204"/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0</v>
      </c>
      <c r="Q181" s="93">
        <v>0</v>
      </c>
      <c r="R181" s="93">
        <v>0</v>
      </c>
      <c r="S181" s="93">
        <v>0</v>
      </c>
      <c r="T181" s="90">
        <f t="shared" ref="T181:AE181" si="208">H181*$F$24</f>
        <v>0</v>
      </c>
      <c r="U181" s="90">
        <f t="shared" si="208"/>
        <v>0</v>
      </c>
      <c r="V181" s="90">
        <f t="shared" si="208"/>
        <v>0</v>
      </c>
      <c r="W181" s="90">
        <f t="shared" si="208"/>
        <v>0</v>
      </c>
      <c r="X181" s="90">
        <f t="shared" si="208"/>
        <v>0</v>
      </c>
      <c r="Y181" s="90">
        <f t="shared" si="208"/>
        <v>0</v>
      </c>
      <c r="Z181" s="90">
        <f t="shared" si="208"/>
        <v>0</v>
      </c>
      <c r="AA181" s="90">
        <f t="shared" si="208"/>
        <v>0</v>
      </c>
      <c r="AB181" s="90">
        <f t="shared" si="208"/>
        <v>0</v>
      </c>
      <c r="AC181" s="90">
        <f t="shared" si="208"/>
        <v>0</v>
      </c>
      <c r="AD181" s="90">
        <f t="shared" si="208"/>
        <v>0</v>
      </c>
      <c r="AE181" s="90">
        <f t="shared" si="208"/>
        <v>0</v>
      </c>
      <c r="AF181" s="54">
        <f t="shared" si="206"/>
        <v>0</v>
      </c>
      <c r="AG181" s="2"/>
    </row>
    <row r="182" spans="1:33" ht="16" thickBot="1" x14ac:dyDescent="0.25">
      <c r="A182" s="148" t="s">
        <v>31</v>
      </c>
      <c r="B182" s="91" t="s">
        <v>4</v>
      </c>
      <c r="C182" s="92" t="s">
        <v>210</v>
      </c>
      <c r="D182" s="92" t="s">
        <v>168</v>
      </c>
      <c r="E182" s="94" t="s">
        <v>198</v>
      </c>
      <c r="F182" s="95"/>
      <c r="G182" s="142">
        <f t="shared" si="204"/>
        <v>0</v>
      </c>
      <c r="H182" s="93">
        <v>0</v>
      </c>
      <c r="I182" s="93">
        <v>0</v>
      </c>
      <c r="J182" s="93">
        <v>0</v>
      </c>
      <c r="K182" s="93">
        <v>0</v>
      </c>
      <c r="L182" s="93">
        <v>0</v>
      </c>
      <c r="M182" s="93">
        <v>0</v>
      </c>
      <c r="N182" s="93">
        <v>0</v>
      </c>
      <c r="O182" s="93">
        <v>0</v>
      </c>
      <c r="P182" s="93">
        <v>0</v>
      </c>
      <c r="Q182" s="93">
        <v>0</v>
      </c>
      <c r="R182" s="93">
        <v>0</v>
      </c>
      <c r="S182" s="93">
        <v>0</v>
      </c>
      <c r="T182" s="90">
        <f>H182*$F$19</f>
        <v>0</v>
      </c>
      <c r="U182" s="90">
        <f t="shared" ref="U182:AE182" si="209">I182*$F$19</f>
        <v>0</v>
      </c>
      <c r="V182" s="90">
        <f t="shared" si="209"/>
        <v>0</v>
      </c>
      <c r="W182" s="90">
        <f t="shared" si="209"/>
        <v>0</v>
      </c>
      <c r="X182" s="90">
        <f t="shared" si="209"/>
        <v>0</v>
      </c>
      <c r="Y182" s="90">
        <f t="shared" si="209"/>
        <v>0</v>
      </c>
      <c r="Z182" s="90">
        <f t="shared" si="209"/>
        <v>0</v>
      </c>
      <c r="AA182" s="90">
        <f t="shared" si="209"/>
        <v>0</v>
      </c>
      <c r="AB182" s="90">
        <f t="shared" si="209"/>
        <v>0</v>
      </c>
      <c r="AC182" s="90">
        <f t="shared" si="209"/>
        <v>0</v>
      </c>
      <c r="AD182" s="90">
        <f t="shared" si="209"/>
        <v>0</v>
      </c>
      <c r="AE182" s="90">
        <f t="shared" si="209"/>
        <v>0</v>
      </c>
      <c r="AF182" s="54">
        <f t="shared" si="206"/>
        <v>0</v>
      </c>
      <c r="AG182" s="2"/>
    </row>
    <row r="183" spans="1:33" ht="16" thickBot="1" x14ac:dyDescent="0.25">
      <c r="A183" s="148" t="s">
        <v>51</v>
      </c>
      <c r="B183" s="91" t="s">
        <v>5</v>
      </c>
      <c r="C183" s="92" t="s">
        <v>49</v>
      </c>
      <c r="D183" s="92" t="s">
        <v>50</v>
      </c>
      <c r="E183" s="94" t="s">
        <v>198</v>
      </c>
      <c r="F183" s="95"/>
      <c r="G183" s="142">
        <f t="shared" si="204"/>
        <v>0</v>
      </c>
      <c r="H183" s="93">
        <v>0</v>
      </c>
      <c r="I183" s="93">
        <v>0</v>
      </c>
      <c r="J183" s="93">
        <v>0</v>
      </c>
      <c r="K183" s="93">
        <v>0</v>
      </c>
      <c r="L183" s="93">
        <v>0</v>
      </c>
      <c r="M183" s="93">
        <v>0</v>
      </c>
      <c r="N183" s="93">
        <v>0</v>
      </c>
      <c r="O183" s="93">
        <v>0</v>
      </c>
      <c r="P183" s="93">
        <v>0</v>
      </c>
      <c r="Q183" s="93">
        <v>0</v>
      </c>
      <c r="R183" s="93">
        <v>0</v>
      </c>
      <c r="S183" s="93">
        <v>0</v>
      </c>
      <c r="T183" s="90">
        <f t="shared" ref="T183:AE183" si="210">H183*$F$22</f>
        <v>0</v>
      </c>
      <c r="U183" s="90">
        <f t="shared" si="210"/>
        <v>0</v>
      </c>
      <c r="V183" s="90">
        <f t="shared" si="210"/>
        <v>0</v>
      </c>
      <c r="W183" s="90">
        <f t="shared" si="210"/>
        <v>0</v>
      </c>
      <c r="X183" s="90">
        <f t="shared" si="210"/>
        <v>0</v>
      </c>
      <c r="Y183" s="90">
        <f t="shared" si="210"/>
        <v>0</v>
      </c>
      <c r="Z183" s="90">
        <f t="shared" si="210"/>
        <v>0</v>
      </c>
      <c r="AA183" s="90">
        <f t="shared" si="210"/>
        <v>0</v>
      </c>
      <c r="AB183" s="90">
        <f t="shared" si="210"/>
        <v>0</v>
      </c>
      <c r="AC183" s="90">
        <f t="shared" si="210"/>
        <v>0</v>
      </c>
      <c r="AD183" s="90">
        <f t="shared" si="210"/>
        <v>0</v>
      </c>
      <c r="AE183" s="90">
        <f t="shared" si="210"/>
        <v>0</v>
      </c>
      <c r="AF183" s="54">
        <f t="shared" si="206"/>
        <v>0</v>
      </c>
      <c r="AG183" s="2"/>
    </row>
    <row r="184" spans="1:33" ht="16" thickBot="1" x14ac:dyDescent="0.25">
      <c r="A184" s="148" t="s">
        <v>51</v>
      </c>
      <c r="B184" s="91" t="s">
        <v>5</v>
      </c>
      <c r="C184" s="92" t="s">
        <v>52</v>
      </c>
      <c r="D184" s="92" t="s">
        <v>53</v>
      </c>
      <c r="E184" s="94" t="s">
        <v>69</v>
      </c>
      <c r="F184" s="95"/>
      <c r="G184" s="142">
        <f t="shared" si="204"/>
        <v>0</v>
      </c>
      <c r="H184" s="93">
        <v>0</v>
      </c>
      <c r="I184" s="93">
        <v>0</v>
      </c>
      <c r="J184" s="93">
        <v>0</v>
      </c>
      <c r="K184" s="93">
        <v>0</v>
      </c>
      <c r="L184" s="93">
        <v>0</v>
      </c>
      <c r="M184" s="93">
        <v>0</v>
      </c>
      <c r="N184" s="93">
        <v>0</v>
      </c>
      <c r="O184" s="93">
        <v>0</v>
      </c>
      <c r="P184" s="93">
        <v>0</v>
      </c>
      <c r="Q184" s="93">
        <v>0</v>
      </c>
      <c r="R184" s="93">
        <v>0</v>
      </c>
      <c r="S184" s="93">
        <v>0</v>
      </c>
      <c r="T184" s="90">
        <f t="shared" ref="T184:AE184" si="211">$F$23*H184</f>
        <v>0</v>
      </c>
      <c r="U184" s="90">
        <f t="shared" si="211"/>
        <v>0</v>
      </c>
      <c r="V184" s="90">
        <f t="shared" si="211"/>
        <v>0</v>
      </c>
      <c r="W184" s="90">
        <f t="shared" si="211"/>
        <v>0</v>
      </c>
      <c r="X184" s="90">
        <f t="shared" si="211"/>
        <v>0</v>
      </c>
      <c r="Y184" s="90">
        <f t="shared" si="211"/>
        <v>0</v>
      </c>
      <c r="Z184" s="90">
        <f t="shared" si="211"/>
        <v>0</v>
      </c>
      <c r="AA184" s="90">
        <f t="shared" si="211"/>
        <v>0</v>
      </c>
      <c r="AB184" s="90">
        <f t="shared" si="211"/>
        <v>0</v>
      </c>
      <c r="AC184" s="90">
        <f t="shared" si="211"/>
        <v>0</v>
      </c>
      <c r="AD184" s="90">
        <f t="shared" si="211"/>
        <v>0</v>
      </c>
      <c r="AE184" s="90">
        <f t="shared" si="211"/>
        <v>0</v>
      </c>
      <c r="AF184" s="54">
        <f t="shared" si="206"/>
        <v>0</v>
      </c>
      <c r="AG184" s="2"/>
    </row>
    <row r="185" spans="1:33" ht="16" thickBot="1" x14ac:dyDescent="0.25">
      <c r="A185" s="148" t="s">
        <v>164</v>
      </c>
      <c r="B185" s="91" t="s">
        <v>5</v>
      </c>
      <c r="C185" s="92" t="s">
        <v>46</v>
      </c>
      <c r="D185" s="92" t="s">
        <v>47</v>
      </c>
      <c r="E185" s="94" t="s">
        <v>198</v>
      </c>
      <c r="F185" s="95"/>
      <c r="G185" s="142">
        <f t="shared" si="204"/>
        <v>0</v>
      </c>
      <c r="H185" s="93">
        <v>0</v>
      </c>
      <c r="I185" s="93">
        <v>0</v>
      </c>
      <c r="J185" s="93">
        <v>0</v>
      </c>
      <c r="K185" s="93">
        <v>0</v>
      </c>
      <c r="L185" s="93">
        <v>0</v>
      </c>
      <c r="M185" s="93">
        <v>0</v>
      </c>
      <c r="N185" s="93">
        <v>0</v>
      </c>
      <c r="O185" s="93">
        <v>0</v>
      </c>
      <c r="P185" s="93">
        <v>0</v>
      </c>
      <c r="Q185" s="93">
        <v>0</v>
      </c>
      <c r="R185" s="93">
        <v>0</v>
      </c>
      <c r="S185" s="93">
        <v>0</v>
      </c>
      <c r="T185" s="90">
        <f t="shared" ref="T185:AE185" si="212">H185*$F$3</f>
        <v>0</v>
      </c>
      <c r="U185" s="90">
        <f t="shared" si="212"/>
        <v>0</v>
      </c>
      <c r="V185" s="90">
        <f t="shared" si="212"/>
        <v>0</v>
      </c>
      <c r="W185" s="90">
        <f t="shared" si="212"/>
        <v>0</v>
      </c>
      <c r="X185" s="90">
        <f t="shared" si="212"/>
        <v>0</v>
      </c>
      <c r="Y185" s="90">
        <f t="shared" si="212"/>
        <v>0</v>
      </c>
      <c r="Z185" s="90">
        <f t="shared" si="212"/>
        <v>0</v>
      </c>
      <c r="AA185" s="90">
        <f t="shared" si="212"/>
        <v>0</v>
      </c>
      <c r="AB185" s="90">
        <f t="shared" si="212"/>
        <v>0</v>
      </c>
      <c r="AC185" s="90">
        <f t="shared" si="212"/>
        <v>0</v>
      </c>
      <c r="AD185" s="90">
        <f t="shared" si="212"/>
        <v>0</v>
      </c>
      <c r="AE185" s="90">
        <f t="shared" si="212"/>
        <v>0</v>
      </c>
      <c r="AF185" s="54">
        <f t="shared" si="206"/>
        <v>0</v>
      </c>
      <c r="AG185" s="2"/>
    </row>
    <row r="186" spans="1:33" ht="16" thickBot="1" x14ac:dyDescent="0.25">
      <c r="A186" s="148" t="s">
        <v>31</v>
      </c>
      <c r="B186" s="91" t="s">
        <v>5</v>
      </c>
      <c r="C186" s="92" t="s">
        <v>195</v>
      </c>
      <c r="D186" s="92" t="s">
        <v>168</v>
      </c>
      <c r="E186" s="94" t="s">
        <v>198</v>
      </c>
      <c r="F186" s="95"/>
      <c r="G186" s="142">
        <f t="shared" si="204"/>
        <v>8.3333333333333329E-2</v>
      </c>
      <c r="H186" s="93">
        <v>0.25</v>
      </c>
      <c r="I186" s="93">
        <v>0.25</v>
      </c>
      <c r="J186" s="93">
        <v>0.25</v>
      </c>
      <c r="K186" s="93">
        <v>0.25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0">
        <f t="shared" ref="T186:AE186" si="213">H186*$F$18</f>
        <v>11250</v>
      </c>
      <c r="U186" s="90">
        <f t="shared" si="213"/>
        <v>11250</v>
      </c>
      <c r="V186" s="90">
        <f t="shared" si="213"/>
        <v>11250</v>
      </c>
      <c r="W186" s="90">
        <f t="shared" si="213"/>
        <v>11250</v>
      </c>
      <c r="X186" s="90">
        <f t="shared" si="213"/>
        <v>0</v>
      </c>
      <c r="Y186" s="90">
        <f t="shared" si="213"/>
        <v>0</v>
      </c>
      <c r="Z186" s="90">
        <f t="shared" si="213"/>
        <v>0</v>
      </c>
      <c r="AA186" s="90">
        <f t="shared" si="213"/>
        <v>0</v>
      </c>
      <c r="AB186" s="90">
        <f t="shared" si="213"/>
        <v>0</v>
      </c>
      <c r="AC186" s="90">
        <f t="shared" si="213"/>
        <v>0</v>
      </c>
      <c r="AD186" s="90">
        <f t="shared" si="213"/>
        <v>0</v>
      </c>
      <c r="AE186" s="90">
        <f t="shared" si="213"/>
        <v>0</v>
      </c>
      <c r="AF186" s="54">
        <f t="shared" si="206"/>
        <v>45000</v>
      </c>
      <c r="AG186" s="2"/>
    </row>
    <row r="187" spans="1:33" ht="16" thickBot="1" x14ac:dyDescent="0.25">
      <c r="A187" s="148" t="s">
        <v>31</v>
      </c>
      <c r="B187" s="91" t="s">
        <v>5</v>
      </c>
      <c r="C187" s="92" t="s">
        <v>88</v>
      </c>
      <c r="D187" s="92" t="s">
        <v>41</v>
      </c>
      <c r="E187" s="94" t="s">
        <v>198</v>
      </c>
      <c r="F187" s="95"/>
      <c r="G187" s="142">
        <f t="shared" si="204"/>
        <v>0</v>
      </c>
      <c r="H187" s="93">
        <v>0</v>
      </c>
      <c r="I187" s="93">
        <v>0</v>
      </c>
      <c r="J187" s="93">
        <v>0</v>
      </c>
      <c r="K187" s="93">
        <v>0</v>
      </c>
      <c r="L187" s="93">
        <v>0</v>
      </c>
      <c r="M187" s="93">
        <v>0</v>
      </c>
      <c r="N187" s="93">
        <v>0</v>
      </c>
      <c r="O187" s="93">
        <v>0</v>
      </c>
      <c r="P187" s="93">
        <v>0</v>
      </c>
      <c r="Q187" s="93">
        <v>0</v>
      </c>
      <c r="R187" s="93">
        <v>0</v>
      </c>
      <c r="S187" s="93">
        <v>0</v>
      </c>
      <c r="T187" s="90">
        <f t="shared" ref="T187:AE187" si="214">$F$17*H187</f>
        <v>0</v>
      </c>
      <c r="U187" s="90">
        <f t="shared" si="214"/>
        <v>0</v>
      </c>
      <c r="V187" s="90">
        <f t="shared" si="214"/>
        <v>0</v>
      </c>
      <c r="W187" s="90">
        <f t="shared" si="214"/>
        <v>0</v>
      </c>
      <c r="X187" s="90">
        <f t="shared" si="214"/>
        <v>0</v>
      </c>
      <c r="Y187" s="90">
        <f t="shared" si="214"/>
        <v>0</v>
      </c>
      <c r="Z187" s="90">
        <f t="shared" si="214"/>
        <v>0</v>
      </c>
      <c r="AA187" s="90">
        <f t="shared" si="214"/>
        <v>0</v>
      </c>
      <c r="AB187" s="90">
        <f t="shared" si="214"/>
        <v>0</v>
      </c>
      <c r="AC187" s="90">
        <f t="shared" si="214"/>
        <v>0</v>
      </c>
      <c r="AD187" s="90">
        <f t="shared" si="214"/>
        <v>0</v>
      </c>
      <c r="AE187" s="90">
        <f t="shared" si="214"/>
        <v>0</v>
      </c>
      <c r="AF187" s="54">
        <f t="shared" si="206"/>
        <v>0</v>
      </c>
      <c r="AG187" s="2"/>
    </row>
    <row r="188" spans="1:33" ht="16" thickBot="1" x14ac:dyDescent="0.25">
      <c r="A188" s="148" t="s">
        <v>164</v>
      </c>
      <c r="B188" s="91" t="s">
        <v>5</v>
      </c>
      <c r="C188" s="92" t="s">
        <v>167</v>
      </c>
      <c r="D188" s="92" t="s">
        <v>48</v>
      </c>
      <c r="E188" s="94" t="s">
        <v>198</v>
      </c>
      <c r="F188" s="95"/>
      <c r="G188" s="142">
        <f t="shared" si="204"/>
        <v>0</v>
      </c>
      <c r="H188" s="93">
        <v>0</v>
      </c>
      <c r="I188" s="93">
        <v>0</v>
      </c>
      <c r="J188" s="93">
        <v>0</v>
      </c>
      <c r="K188" s="93">
        <v>0</v>
      </c>
      <c r="L188" s="93">
        <v>0</v>
      </c>
      <c r="M188" s="93">
        <v>0</v>
      </c>
      <c r="N188" s="93">
        <v>0</v>
      </c>
      <c r="O188" s="93">
        <v>0</v>
      </c>
      <c r="P188" s="93">
        <v>0</v>
      </c>
      <c r="Q188" s="93">
        <v>0</v>
      </c>
      <c r="R188" s="93">
        <v>0</v>
      </c>
      <c r="S188" s="93">
        <v>0</v>
      </c>
      <c r="T188" s="90">
        <f t="shared" ref="T188:AE188" si="215">$F$4*H188</f>
        <v>0</v>
      </c>
      <c r="U188" s="90">
        <f t="shared" si="215"/>
        <v>0</v>
      </c>
      <c r="V188" s="90">
        <f t="shared" si="215"/>
        <v>0</v>
      </c>
      <c r="W188" s="90">
        <f t="shared" si="215"/>
        <v>0</v>
      </c>
      <c r="X188" s="90">
        <f t="shared" si="215"/>
        <v>0</v>
      </c>
      <c r="Y188" s="90">
        <f t="shared" si="215"/>
        <v>0</v>
      </c>
      <c r="Z188" s="90">
        <f t="shared" si="215"/>
        <v>0</v>
      </c>
      <c r="AA188" s="90">
        <f t="shared" si="215"/>
        <v>0</v>
      </c>
      <c r="AB188" s="90">
        <f t="shared" si="215"/>
        <v>0</v>
      </c>
      <c r="AC188" s="90">
        <f t="shared" si="215"/>
        <v>0</v>
      </c>
      <c r="AD188" s="90">
        <f t="shared" si="215"/>
        <v>0</v>
      </c>
      <c r="AE188" s="90">
        <f t="shared" si="215"/>
        <v>0</v>
      </c>
      <c r="AF188" s="54">
        <f t="shared" si="206"/>
        <v>0</v>
      </c>
      <c r="AG188" s="2"/>
    </row>
    <row r="189" spans="1:33" ht="16" thickBot="1" x14ac:dyDescent="0.25">
      <c r="A189" s="148" t="s">
        <v>163</v>
      </c>
      <c r="B189" s="91" t="s">
        <v>5</v>
      </c>
      <c r="C189" s="92" t="s">
        <v>172</v>
      </c>
      <c r="D189" s="92" t="s">
        <v>168</v>
      </c>
      <c r="E189" s="94" t="s">
        <v>76</v>
      </c>
      <c r="F189" s="95"/>
      <c r="G189" s="142">
        <f t="shared" si="204"/>
        <v>0.20833333333333334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0.5</v>
      </c>
      <c r="P189" s="93">
        <v>0.5</v>
      </c>
      <c r="Q189" s="93">
        <v>0.5</v>
      </c>
      <c r="R189" s="93">
        <v>0.5</v>
      </c>
      <c r="S189" s="93">
        <v>0.5</v>
      </c>
      <c r="T189" s="90">
        <f t="shared" ref="T189:AE189" si="216">$F$8*H189</f>
        <v>0</v>
      </c>
      <c r="U189" s="90">
        <f t="shared" si="216"/>
        <v>0</v>
      </c>
      <c r="V189" s="90">
        <f t="shared" si="216"/>
        <v>0</v>
      </c>
      <c r="W189" s="90">
        <f t="shared" si="216"/>
        <v>0</v>
      </c>
      <c r="X189" s="90">
        <f t="shared" si="216"/>
        <v>0</v>
      </c>
      <c r="Y189" s="90">
        <f t="shared" si="216"/>
        <v>0</v>
      </c>
      <c r="Z189" s="90">
        <f t="shared" si="216"/>
        <v>0</v>
      </c>
      <c r="AA189" s="90">
        <f t="shared" si="216"/>
        <v>9625</v>
      </c>
      <c r="AB189" s="90">
        <f t="shared" si="216"/>
        <v>9625</v>
      </c>
      <c r="AC189" s="90">
        <f t="shared" si="216"/>
        <v>9625</v>
      </c>
      <c r="AD189" s="90">
        <f t="shared" si="216"/>
        <v>9625</v>
      </c>
      <c r="AE189" s="90">
        <f t="shared" si="216"/>
        <v>9625</v>
      </c>
      <c r="AF189" s="54">
        <f t="shared" si="206"/>
        <v>48125</v>
      </c>
      <c r="AG189" s="2"/>
    </row>
    <row r="190" spans="1:33" ht="16" thickBot="1" x14ac:dyDescent="0.25">
      <c r="A190" s="148" t="s">
        <v>163</v>
      </c>
      <c r="B190" s="91" t="s">
        <v>5</v>
      </c>
      <c r="C190" s="92" t="s">
        <v>173</v>
      </c>
      <c r="D190" s="92" t="s">
        <v>168</v>
      </c>
      <c r="E190" s="94" t="s">
        <v>76</v>
      </c>
      <c r="F190" s="95"/>
      <c r="G190" s="142">
        <f t="shared" si="204"/>
        <v>0.20833333333333334</v>
      </c>
      <c r="H190" s="93">
        <v>0</v>
      </c>
      <c r="I190" s="93">
        <v>0</v>
      </c>
      <c r="J190" s="93">
        <v>0</v>
      </c>
      <c r="K190" s="93">
        <v>0</v>
      </c>
      <c r="L190" s="93">
        <v>0</v>
      </c>
      <c r="M190" s="93">
        <v>0</v>
      </c>
      <c r="N190" s="93">
        <v>0</v>
      </c>
      <c r="O190" s="93">
        <v>0.5</v>
      </c>
      <c r="P190" s="93">
        <v>0.5</v>
      </c>
      <c r="Q190" s="93">
        <v>0.5</v>
      </c>
      <c r="R190" s="93">
        <v>0.5</v>
      </c>
      <c r="S190" s="93">
        <v>0.5</v>
      </c>
      <c r="T190" s="90">
        <f t="shared" ref="T190:AE190" si="217">$F$9*H190</f>
        <v>0</v>
      </c>
      <c r="U190" s="90">
        <f t="shared" si="217"/>
        <v>0</v>
      </c>
      <c r="V190" s="90">
        <f t="shared" si="217"/>
        <v>0</v>
      </c>
      <c r="W190" s="90">
        <f t="shared" si="217"/>
        <v>0</v>
      </c>
      <c r="X190" s="90">
        <f t="shared" si="217"/>
        <v>0</v>
      </c>
      <c r="Y190" s="90">
        <f t="shared" si="217"/>
        <v>0</v>
      </c>
      <c r="Z190" s="90">
        <f t="shared" si="217"/>
        <v>0</v>
      </c>
      <c r="AA190" s="90">
        <f t="shared" si="217"/>
        <v>9625</v>
      </c>
      <c r="AB190" s="90">
        <f t="shared" si="217"/>
        <v>9625</v>
      </c>
      <c r="AC190" s="90">
        <f t="shared" si="217"/>
        <v>9625</v>
      </c>
      <c r="AD190" s="90">
        <f t="shared" si="217"/>
        <v>9625</v>
      </c>
      <c r="AE190" s="90">
        <f t="shared" si="217"/>
        <v>9625</v>
      </c>
      <c r="AF190" s="54">
        <f t="shared" si="206"/>
        <v>48125</v>
      </c>
      <c r="AG190" s="2"/>
    </row>
    <row r="191" spans="1:33" ht="16" thickBot="1" x14ac:dyDescent="0.25">
      <c r="A191" s="148" t="s">
        <v>163</v>
      </c>
      <c r="B191" s="91" t="s">
        <v>5</v>
      </c>
      <c r="C191" s="92" t="s">
        <v>171</v>
      </c>
      <c r="D191" s="92" t="s">
        <v>168</v>
      </c>
      <c r="E191" s="94" t="s">
        <v>76</v>
      </c>
      <c r="F191" s="95"/>
      <c r="G191" s="142">
        <f t="shared" si="204"/>
        <v>0</v>
      </c>
      <c r="H191" s="93">
        <v>0</v>
      </c>
      <c r="I191" s="93">
        <v>0</v>
      </c>
      <c r="J191" s="93">
        <v>0</v>
      </c>
      <c r="K191" s="93">
        <v>0</v>
      </c>
      <c r="L191" s="93">
        <v>0</v>
      </c>
      <c r="M191" s="93">
        <v>0</v>
      </c>
      <c r="N191" s="93">
        <v>0</v>
      </c>
      <c r="O191" s="93">
        <v>0</v>
      </c>
      <c r="P191" s="93">
        <v>0</v>
      </c>
      <c r="Q191" s="93">
        <v>0</v>
      </c>
      <c r="R191" s="93">
        <v>0</v>
      </c>
      <c r="S191" s="93">
        <v>0</v>
      </c>
      <c r="T191" s="90">
        <f t="shared" ref="T191:AE191" si="218">$F$10*H191</f>
        <v>0</v>
      </c>
      <c r="U191" s="90">
        <f t="shared" si="218"/>
        <v>0</v>
      </c>
      <c r="V191" s="90">
        <f t="shared" si="218"/>
        <v>0</v>
      </c>
      <c r="W191" s="90">
        <f t="shared" si="218"/>
        <v>0</v>
      </c>
      <c r="X191" s="90">
        <f t="shared" si="218"/>
        <v>0</v>
      </c>
      <c r="Y191" s="90">
        <f t="shared" si="218"/>
        <v>0</v>
      </c>
      <c r="Z191" s="90">
        <f t="shared" si="218"/>
        <v>0</v>
      </c>
      <c r="AA191" s="90">
        <f t="shared" si="218"/>
        <v>0</v>
      </c>
      <c r="AB191" s="90">
        <f t="shared" si="218"/>
        <v>0</v>
      </c>
      <c r="AC191" s="90">
        <f t="shared" si="218"/>
        <v>0</v>
      </c>
      <c r="AD191" s="90">
        <f t="shared" si="218"/>
        <v>0</v>
      </c>
      <c r="AE191" s="90">
        <f t="shared" si="218"/>
        <v>0</v>
      </c>
      <c r="AF191" s="54">
        <f t="shared" si="206"/>
        <v>0</v>
      </c>
      <c r="AG191" s="2"/>
    </row>
    <row r="192" spans="1:33" ht="16" thickBot="1" x14ac:dyDescent="0.25">
      <c r="A192" s="148" t="s">
        <v>180</v>
      </c>
      <c r="B192" s="91" t="s">
        <v>5</v>
      </c>
      <c r="C192" s="92" t="s">
        <v>185</v>
      </c>
      <c r="D192" s="92" t="s">
        <v>78</v>
      </c>
      <c r="E192" s="94" t="s">
        <v>76</v>
      </c>
      <c r="F192" s="95"/>
      <c r="G192" s="142">
        <f t="shared" si="204"/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0">
        <f t="shared" ref="T192:AE192" si="219">H192*$F$35</f>
        <v>0</v>
      </c>
      <c r="U192" s="90">
        <f t="shared" si="219"/>
        <v>0</v>
      </c>
      <c r="V192" s="90">
        <f t="shared" si="219"/>
        <v>0</v>
      </c>
      <c r="W192" s="90">
        <f t="shared" si="219"/>
        <v>0</v>
      </c>
      <c r="X192" s="90">
        <f t="shared" si="219"/>
        <v>0</v>
      </c>
      <c r="Y192" s="90">
        <f t="shared" si="219"/>
        <v>0</v>
      </c>
      <c r="Z192" s="90">
        <f t="shared" si="219"/>
        <v>0</v>
      </c>
      <c r="AA192" s="90">
        <f t="shared" si="219"/>
        <v>0</v>
      </c>
      <c r="AB192" s="90">
        <f t="shared" si="219"/>
        <v>0</v>
      </c>
      <c r="AC192" s="90">
        <f t="shared" si="219"/>
        <v>0</v>
      </c>
      <c r="AD192" s="90">
        <f t="shared" si="219"/>
        <v>0</v>
      </c>
      <c r="AE192" s="90">
        <f t="shared" si="219"/>
        <v>0</v>
      </c>
      <c r="AF192" s="54">
        <f t="shared" si="206"/>
        <v>0</v>
      </c>
      <c r="AG192" s="2"/>
    </row>
    <row r="193" spans="1:33" ht="16" thickBot="1" x14ac:dyDescent="0.25">
      <c r="A193" s="148" t="s">
        <v>180</v>
      </c>
      <c r="B193" s="91" t="s">
        <v>5</v>
      </c>
      <c r="C193" s="92" t="s">
        <v>186</v>
      </c>
      <c r="D193" s="92" t="s">
        <v>79</v>
      </c>
      <c r="E193" s="94" t="s">
        <v>76</v>
      </c>
      <c r="F193" s="95"/>
      <c r="G193" s="142">
        <f t="shared" si="204"/>
        <v>0</v>
      </c>
      <c r="H193" s="93">
        <v>0</v>
      </c>
      <c r="I193" s="93">
        <v>0</v>
      </c>
      <c r="J193" s="93">
        <v>0</v>
      </c>
      <c r="K193" s="93">
        <v>0</v>
      </c>
      <c r="L193" s="93">
        <v>0</v>
      </c>
      <c r="M193" s="93">
        <v>0</v>
      </c>
      <c r="N193" s="93">
        <v>0</v>
      </c>
      <c r="O193" s="93">
        <v>0</v>
      </c>
      <c r="P193" s="93">
        <v>0</v>
      </c>
      <c r="Q193" s="93">
        <v>0</v>
      </c>
      <c r="R193" s="93">
        <v>0</v>
      </c>
      <c r="S193" s="93">
        <v>0</v>
      </c>
      <c r="T193" s="90">
        <f t="shared" ref="T193:AE193" si="220">H193*$F$36</f>
        <v>0</v>
      </c>
      <c r="U193" s="90">
        <f t="shared" si="220"/>
        <v>0</v>
      </c>
      <c r="V193" s="90">
        <f t="shared" si="220"/>
        <v>0</v>
      </c>
      <c r="W193" s="90">
        <f t="shared" si="220"/>
        <v>0</v>
      </c>
      <c r="X193" s="90">
        <f t="shared" si="220"/>
        <v>0</v>
      </c>
      <c r="Y193" s="90">
        <f t="shared" si="220"/>
        <v>0</v>
      </c>
      <c r="Z193" s="90">
        <f t="shared" si="220"/>
        <v>0</v>
      </c>
      <c r="AA193" s="90">
        <f t="shared" si="220"/>
        <v>0</v>
      </c>
      <c r="AB193" s="90">
        <f t="shared" si="220"/>
        <v>0</v>
      </c>
      <c r="AC193" s="90">
        <f t="shared" si="220"/>
        <v>0</v>
      </c>
      <c r="AD193" s="90">
        <f t="shared" si="220"/>
        <v>0</v>
      </c>
      <c r="AE193" s="90">
        <f t="shared" si="220"/>
        <v>0</v>
      </c>
      <c r="AF193" s="54">
        <f t="shared" si="206"/>
        <v>0</v>
      </c>
      <c r="AG193" s="2"/>
    </row>
    <row r="194" spans="1:33" ht="16" thickBot="1" x14ac:dyDescent="0.25">
      <c r="A194" s="148" t="s">
        <v>180</v>
      </c>
      <c r="B194" s="91" t="s">
        <v>5</v>
      </c>
      <c r="C194" s="92" t="s">
        <v>190</v>
      </c>
      <c r="D194" s="92" t="s">
        <v>168</v>
      </c>
      <c r="E194" s="94" t="s">
        <v>76</v>
      </c>
      <c r="F194" s="95"/>
      <c r="G194" s="142">
        <f t="shared" si="204"/>
        <v>0</v>
      </c>
      <c r="H194" s="93">
        <v>0</v>
      </c>
      <c r="I194" s="93">
        <v>0</v>
      </c>
      <c r="J194" s="93">
        <v>0</v>
      </c>
      <c r="K194" s="93">
        <v>0</v>
      </c>
      <c r="L194" s="93">
        <v>0</v>
      </c>
      <c r="M194" s="93">
        <v>0</v>
      </c>
      <c r="N194" s="93">
        <v>0</v>
      </c>
      <c r="O194" s="93">
        <v>0</v>
      </c>
      <c r="P194" s="93">
        <v>0</v>
      </c>
      <c r="Q194" s="93">
        <v>0</v>
      </c>
      <c r="R194" s="93">
        <v>0</v>
      </c>
      <c r="S194" s="93">
        <v>0</v>
      </c>
      <c r="T194" s="90">
        <f t="shared" ref="T194:AE194" si="221">H194*$F$43</f>
        <v>0</v>
      </c>
      <c r="U194" s="90">
        <f t="shared" si="221"/>
        <v>0</v>
      </c>
      <c r="V194" s="90">
        <f t="shared" si="221"/>
        <v>0</v>
      </c>
      <c r="W194" s="90">
        <f t="shared" si="221"/>
        <v>0</v>
      </c>
      <c r="X194" s="90">
        <f t="shared" si="221"/>
        <v>0</v>
      </c>
      <c r="Y194" s="90">
        <f t="shared" si="221"/>
        <v>0</v>
      </c>
      <c r="Z194" s="90">
        <f t="shared" si="221"/>
        <v>0</v>
      </c>
      <c r="AA194" s="90">
        <f t="shared" si="221"/>
        <v>0</v>
      </c>
      <c r="AB194" s="90">
        <f t="shared" si="221"/>
        <v>0</v>
      </c>
      <c r="AC194" s="90">
        <f t="shared" si="221"/>
        <v>0</v>
      </c>
      <c r="AD194" s="90">
        <f t="shared" si="221"/>
        <v>0</v>
      </c>
      <c r="AE194" s="90">
        <f t="shared" si="221"/>
        <v>0</v>
      </c>
      <c r="AF194" s="54">
        <f t="shared" si="206"/>
        <v>0</v>
      </c>
      <c r="AG194" s="2"/>
    </row>
    <row r="195" spans="1:33" ht="16" thickBot="1" x14ac:dyDescent="0.25">
      <c r="A195" s="148" t="s">
        <v>180</v>
      </c>
      <c r="B195" s="91" t="s">
        <v>5</v>
      </c>
      <c r="C195" s="92" t="s">
        <v>191</v>
      </c>
      <c r="D195" s="92" t="s">
        <v>168</v>
      </c>
      <c r="E195" s="94" t="s">
        <v>76</v>
      </c>
      <c r="F195" s="95"/>
      <c r="G195" s="142">
        <f t="shared" si="204"/>
        <v>0</v>
      </c>
      <c r="H195" s="93">
        <v>0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0">
        <f t="shared" ref="T195:AE195" si="222">H195*$F$44</f>
        <v>0</v>
      </c>
      <c r="U195" s="90">
        <f t="shared" si="222"/>
        <v>0</v>
      </c>
      <c r="V195" s="90">
        <f t="shared" si="222"/>
        <v>0</v>
      </c>
      <c r="W195" s="90">
        <f t="shared" si="222"/>
        <v>0</v>
      </c>
      <c r="X195" s="90">
        <f t="shared" si="222"/>
        <v>0</v>
      </c>
      <c r="Y195" s="90">
        <f t="shared" si="222"/>
        <v>0</v>
      </c>
      <c r="Z195" s="90">
        <f t="shared" si="222"/>
        <v>0</v>
      </c>
      <c r="AA195" s="90">
        <f t="shared" si="222"/>
        <v>0</v>
      </c>
      <c r="AB195" s="90">
        <f t="shared" si="222"/>
        <v>0</v>
      </c>
      <c r="AC195" s="90">
        <f t="shared" si="222"/>
        <v>0</v>
      </c>
      <c r="AD195" s="90">
        <f t="shared" si="222"/>
        <v>0</v>
      </c>
      <c r="AE195" s="90">
        <f t="shared" si="222"/>
        <v>0</v>
      </c>
      <c r="AF195" s="54">
        <f t="shared" si="206"/>
        <v>0</v>
      </c>
      <c r="AG195" s="2"/>
    </row>
    <row r="196" spans="1:33" ht="16" thickBot="1" x14ac:dyDescent="0.25">
      <c r="A196" s="148" t="s">
        <v>180</v>
      </c>
      <c r="B196" s="91" t="s">
        <v>5</v>
      </c>
      <c r="C196" s="92" t="s">
        <v>192</v>
      </c>
      <c r="D196" s="92" t="s">
        <v>168</v>
      </c>
      <c r="E196" s="94" t="s">
        <v>76</v>
      </c>
      <c r="F196" s="95"/>
      <c r="G196" s="142">
        <f t="shared" si="204"/>
        <v>0</v>
      </c>
      <c r="H196" s="93">
        <v>0</v>
      </c>
      <c r="I196" s="93">
        <v>0</v>
      </c>
      <c r="J196" s="93">
        <v>0</v>
      </c>
      <c r="K196" s="93">
        <v>0</v>
      </c>
      <c r="L196" s="93">
        <v>0</v>
      </c>
      <c r="M196" s="93">
        <v>0</v>
      </c>
      <c r="N196" s="93">
        <v>0</v>
      </c>
      <c r="O196" s="93">
        <v>0</v>
      </c>
      <c r="P196" s="93">
        <v>0</v>
      </c>
      <c r="Q196" s="93">
        <v>0</v>
      </c>
      <c r="R196" s="93">
        <v>0</v>
      </c>
      <c r="S196" s="93">
        <v>0</v>
      </c>
      <c r="T196" s="90">
        <f t="shared" ref="T196:AE196" si="223">H196*$F$45</f>
        <v>0</v>
      </c>
      <c r="U196" s="90">
        <f t="shared" si="223"/>
        <v>0</v>
      </c>
      <c r="V196" s="90">
        <f t="shared" si="223"/>
        <v>0</v>
      </c>
      <c r="W196" s="90">
        <f t="shared" si="223"/>
        <v>0</v>
      </c>
      <c r="X196" s="90">
        <f t="shared" si="223"/>
        <v>0</v>
      </c>
      <c r="Y196" s="90">
        <f t="shared" si="223"/>
        <v>0</v>
      </c>
      <c r="Z196" s="90">
        <f t="shared" si="223"/>
        <v>0</v>
      </c>
      <c r="AA196" s="90">
        <f t="shared" si="223"/>
        <v>0</v>
      </c>
      <c r="AB196" s="90">
        <f t="shared" si="223"/>
        <v>0</v>
      </c>
      <c r="AC196" s="90">
        <f t="shared" si="223"/>
        <v>0</v>
      </c>
      <c r="AD196" s="90">
        <f t="shared" si="223"/>
        <v>0</v>
      </c>
      <c r="AE196" s="90">
        <f t="shared" si="223"/>
        <v>0</v>
      </c>
      <c r="AF196" s="54">
        <f t="shared" si="206"/>
        <v>0</v>
      </c>
      <c r="AG196" s="2"/>
    </row>
    <row r="197" spans="1:33" ht="16" thickBot="1" x14ac:dyDescent="0.25">
      <c r="A197" s="148" t="s">
        <v>180</v>
      </c>
      <c r="B197" s="91" t="s">
        <v>5</v>
      </c>
      <c r="C197" s="92" t="s">
        <v>259</v>
      </c>
      <c r="D197" s="92" t="s">
        <v>168</v>
      </c>
      <c r="E197" s="94" t="s">
        <v>76</v>
      </c>
      <c r="F197" s="95"/>
      <c r="G197" s="142">
        <f t="shared" si="204"/>
        <v>0</v>
      </c>
      <c r="H197" s="93">
        <v>0</v>
      </c>
      <c r="I197" s="93">
        <v>0</v>
      </c>
      <c r="J197" s="93">
        <v>0</v>
      </c>
      <c r="K197" s="93">
        <v>0</v>
      </c>
      <c r="L197" s="93">
        <v>0</v>
      </c>
      <c r="M197" s="93">
        <v>0</v>
      </c>
      <c r="N197" s="93">
        <v>0</v>
      </c>
      <c r="O197" s="93">
        <v>0</v>
      </c>
      <c r="P197" s="93">
        <v>0</v>
      </c>
      <c r="Q197" s="93">
        <v>0</v>
      </c>
      <c r="R197" s="93">
        <v>0</v>
      </c>
      <c r="S197" s="93">
        <v>0</v>
      </c>
      <c r="T197" s="90">
        <f t="shared" ref="T197:AE197" si="224">H197*$F$46</f>
        <v>0</v>
      </c>
      <c r="U197" s="90">
        <f t="shared" si="224"/>
        <v>0</v>
      </c>
      <c r="V197" s="90">
        <f t="shared" si="224"/>
        <v>0</v>
      </c>
      <c r="W197" s="90">
        <f t="shared" si="224"/>
        <v>0</v>
      </c>
      <c r="X197" s="90">
        <f t="shared" si="224"/>
        <v>0</v>
      </c>
      <c r="Y197" s="90">
        <f t="shared" si="224"/>
        <v>0</v>
      </c>
      <c r="Z197" s="90">
        <f t="shared" si="224"/>
        <v>0</v>
      </c>
      <c r="AA197" s="90">
        <f t="shared" si="224"/>
        <v>0</v>
      </c>
      <c r="AB197" s="90">
        <f t="shared" si="224"/>
        <v>0</v>
      </c>
      <c r="AC197" s="90">
        <f t="shared" si="224"/>
        <v>0</v>
      </c>
      <c r="AD197" s="90">
        <f t="shared" si="224"/>
        <v>0</v>
      </c>
      <c r="AE197" s="90">
        <f t="shared" si="224"/>
        <v>0</v>
      </c>
      <c r="AF197" s="54">
        <f t="shared" si="206"/>
        <v>0</v>
      </c>
      <c r="AG197" s="2"/>
    </row>
    <row r="198" spans="1:33" ht="16" thickBot="1" x14ac:dyDescent="0.25">
      <c r="A198" s="148" t="s">
        <v>31</v>
      </c>
      <c r="B198" s="91" t="s">
        <v>5</v>
      </c>
      <c r="C198" s="92" t="s">
        <v>44</v>
      </c>
      <c r="D198" s="92" t="s">
        <v>45</v>
      </c>
      <c r="E198" s="94" t="s">
        <v>69</v>
      </c>
      <c r="F198" s="95"/>
      <c r="G198" s="142">
        <f t="shared" si="204"/>
        <v>0</v>
      </c>
      <c r="H198" s="93">
        <v>0</v>
      </c>
      <c r="I198" s="93">
        <v>0</v>
      </c>
      <c r="J198" s="93">
        <v>0</v>
      </c>
      <c r="K198" s="93">
        <v>0</v>
      </c>
      <c r="L198" s="93">
        <v>0</v>
      </c>
      <c r="M198" s="93">
        <v>0</v>
      </c>
      <c r="N198" s="93">
        <v>0</v>
      </c>
      <c r="O198" s="93">
        <v>0</v>
      </c>
      <c r="P198" s="93">
        <v>0</v>
      </c>
      <c r="Q198" s="93">
        <v>0</v>
      </c>
      <c r="R198" s="93">
        <v>0</v>
      </c>
      <c r="S198" s="93">
        <v>0</v>
      </c>
      <c r="T198" s="90">
        <f t="shared" ref="T198:AE198" si="225">H198*$F$16</f>
        <v>0</v>
      </c>
      <c r="U198" s="90">
        <f t="shared" si="225"/>
        <v>0</v>
      </c>
      <c r="V198" s="90">
        <f t="shared" si="225"/>
        <v>0</v>
      </c>
      <c r="W198" s="90">
        <f t="shared" si="225"/>
        <v>0</v>
      </c>
      <c r="X198" s="90">
        <f t="shared" si="225"/>
        <v>0</v>
      </c>
      <c r="Y198" s="90">
        <f t="shared" si="225"/>
        <v>0</v>
      </c>
      <c r="Z198" s="90">
        <f t="shared" si="225"/>
        <v>0</v>
      </c>
      <c r="AA198" s="90">
        <f t="shared" si="225"/>
        <v>0</v>
      </c>
      <c r="AB198" s="90">
        <f t="shared" si="225"/>
        <v>0</v>
      </c>
      <c r="AC198" s="90">
        <f t="shared" si="225"/>
        <v>0</v>
      </c>
      <c r="AD198" s="90">
        <f t="shared" si="225"/>
        <v>0</v>
      </c>
      <c r="AE198" s="90">
        <f t="shared" si="225"/>
        <v>0</v>
      </c>
      <c r="AF198" s="54">
        <f t="shared" si="206"/>
        <v>0</v>
      </c>
      <c r="AG198" s="2"/>
    </row>
    <row r="199" spans="1:33" ht="16" thickBot="1" x14ac:dyDescent="0.25">
      <c r="A199" s="148" t="s">
        <v>31</v>
      </c>
      <c r="B199" s="91" t="s">
        <v>5</v>
      </c>
      <c r="C199" s="92" t="s">
        <v>30</v>
      </c>
      <c r="D199" s="92" t="s">
        <v>30</v>
      </c>
      <c r="E199" s="94" t="s">
        <v>69</v>
      </c>
      <c r="F199" s="95"/>
      <c r="G199" s="142">
        <f t="shared" si="204"/>
        <v>0</v>
      </c>
      <c r="H199" s="93">
        <v>0</v>
      </c>
      <c r="I199" s="93">
        <v>0</v>
      </c>
      <c r="J199" s="93">
        <v>0</v>
      </c>
      <c r="K199" s="93">
        <v>0</v>
      </c>
      <c r="L199" s="93">
        <v>0</v>
      </c>
      <c r="M199" s="93">
        <v>0</v>
      </c>
      <c r="N199" s="93">
        <v>0</v>
      </c>
      <c r="O199" s="93">
        <v>0</v>
      </c>
      <c r="P199" s="93">
        <v>0</v>
      </c>
      <c r="Q199" s="93">
        <v>0</v>
      </c>
      <c r="R199" s="93">
        <v>0</v>
      </c>
      <c r="S199" s="93">
        <v>0</v>
      </c>
      <c r="T199" s="90">
        <f t="shared" ref="T199:AE199" si="226">H199*$F$15</f>
        <v>0</v>
      </c>
      <c r="U199" s="90">
        <f t="shared" si="226"/>
        <v>0</v>
      </c>
      <c r="V199" s="90">
        <f t="shared" si="226"/>
        <v>0</v>
      </c>
      <c r="W199" s="90">
        <f t="shared" si="226"/>
        <v>0</v>
      </c>
      <c r="X199" s="90">
        <f t="shared" si="226"/>
        <v>0</v>
      </c>
      <c r="Y199" s="90">
        <f t="shared" si="226"/>
        <v>0</v>
      </c>
      <c r="Z199" s="90">
        <f t="shared" si="226"/>
        <v>0</v>
      </c>
      <c r="AA199" s="90">
        <f t="shared" si="226"/>
        <v>0</v>
      </c>
      <c r="AB199" s="90">
        <f t="shared" si="226"/>
        <v>0</v>
      </c>
      <c r="AC199" s="90">
        <f t="shared" si="226"/>
        <v>0</v>
      </c>
      <c r="AD199" s="90">
        <f t="shared" si="226"/>
        <v>0</v>
      </c>
      <c r="AE199" s="90">
        <f t="shared" si="226"/>
        <v>0</v>
      </c>
      <c r="AF199" s="54">
        <f t="shared" si="206"/>
        <v>0</v>
      </c>
      <c r="AG199" s="2"/>
    </row>
    <row r="200" spans="1:33" ht="16" thickBot="1" x14ac:dyDescent="0.25">
      <c r="A200" s="148" t="s">
        <v>180</v>
      </c>
      <c r="B200" s="91" t="s">
        <v>5</v>
      </c>
      <c r="C200" s="92" t="s">
        <v>181</v>
      </c>
      <c r="D200" s="92" t="s">
        <v>80</v>
      </c>
      <c r="E200" s="94" t="s">
        <v>76</v>
      </c>
      <c r="F200" s="95"/>
      <c r="G200" s="142">
        <f t="shared" si="204"/>
        <v>4.1666666666666664E-2</v>
      </c>
      <c r="H200" s="93">
        <v>0</v>
      </c>
      <c r="I200" s="93">
        <v>0</v>
      </c>
      <c r="J200" s="93">
        <v>0.25</v>
      </c>
      <c r="K200" s="93">
        <v>0.25</v>
      </c>
      <c r="L200" s="93">
        <v>0</v>
      </c>
      <c r="M200" s="93">
        <v>0</v>
      </c>
      <c r="N200" s="93">
        <v>0</v>
      </c>
      <c r="O200" s="93">
        <v>0</v>
      </c>
      <c r="P200" s="93">
        <v>0</v>
      </c>
      <c r="Q200" s="93">
        <v>0</v>
      </c>
      <c r="R200" s="93">
        <v>0</v>
      </c>
      <c r="S200" s="93">
        <v>0</v>
      </c>
      <c r="T200" s="90">
        <f t="shared" ref="T200:AE200" si="227">H200*$F$37</f>
        <v>0</v>
      </c>
      <c r="U200" s="90">
        <f t="shared" si="227"/>
        <v>0</v>
      </c>
      <c r="V200" s="90">
        <f t="shared" si="227"/>
        <v>4713.2950499999997</v>
      </c>
      <c r="W200" s="90">
        <f t="shared" si="227"/>
        <v>4713.2950499999997</v>
      </c>
      <c r="X200" s="90">
        <f t="shared" si="227"/>
        <v>0</v>
      </c>
      <c r="Y200" s="90">
        <f t="shared" si="227"/>
        <v>0</v>
      </c>
      <c r="Z200" s="90">
        <f t="shared" si="227"/>
        <v>0</v>
      </c>
      <c r="AA200" s="90">
        <f t="shared" si="227"/>
        <v>0</v>
      </c>
      <c r="AB200" s="90">
        <f t="shared" si="227"/>
        <v>0</v>
      </c>
      <c r="AC200" s="90">
        <f t="shared" si="227"/>
        <v>0</v>
      </c>
      <c r="AD200" s="90">
        <f t="shared" si="227"/>
        <v>0</v>
      </c>
      <c r="AE200" s="90">
        <f t="shared" si="227"/>
        <v>0</v>
      </c>
      <c r="AF200" s="54">
        <f t="shared" si="206"/>
        <v>9426.5900999999994</v>
      </c>
      <c r="AG200" s="2"/>
    </row>
    <row r="201" spans="1:33" ht="16" thickBot="1" x14ac:dyDescent="0.25">
      <c r="A201" s="148" t="s">
        <v>180</v>
      </c>
      <c r="B201" s="91" t="s">
        <v>5</v>
      </c>
      <c r="C201" s="92" t="s">
        <v>182</v>
      </c>
      <c r="D201" s="92" t="s">
        <v>90</v>
      </c>
      <c r="E201" s="94" t="s">
        <v>76</v>
      </c>
      <c r="F201" s="95"/>
      <c r="G201" s="142">
        <f t="shared" si="204"/>
        <v>0</v>
      </c>
      <c r="H201" s="93">
        <v>0</v>
      </c>
      <c r="I201" s="93">
        <v>0</v>
      </c>
      <c r="J201" s="93">
        <v>0</v>
      </c>
      <c r="K201" s="93">
        <v>0</v>
      </c>
      <c r="L201" s="93">
        <v>0</v>
      </c>
      <c r="M201" s="93">
        <v>0</v>
      </c>
      <c r="N201" s="93">
        <v>0</v>
      </c>
      <c r="O201" s="93">
        <v>0</v>
      </c>
      <c r="P201" s="93">
        <v>0</v>
      </c>
      <c r="Q201" s="93">
        <v>0</v>
      </c>
      <c r="R201" s="93">
        <v>0</v>
      </c>
      <c r="S201" s="93">
        <v>0</v>
      </c>
      <c r="T201" s="90">
        <f t="shared" ref="T201:AE201" si="228">H201*$F$39</f>
        <v>0</v>
      </c>
      <c r="U201" s="90">
        <f t="shared" si="228"/>
        <v>0</v>
      </c>
      <c r="V201" s="90">
        <f t="shared" si="228"/>
        <v>0</v>
      </c>
      <c r="W201" s="90">
        <f t="shared" si="228"/>
        <v>0</v>
      </c>
      <c r="X201" s="90">
        <f t="shared" si="228"/>
        <v>0</v>
      </c>
      <c r="Y201" s="90">
        <f t="shared" si="228"/>
        <v>0</v>
      </c>
      <c r="Z201" s="90">
        <f t="shared" si="228"/>
        <v>0</v>
      </c>
      <c r="AA201" s="90">
        <f t="shared" si="228"/>
        <v>0</v>
      </c>
      <c r="AB201" s="90">
        <f t="shared" si="228"/>
        <v>0</v>
      </c>
      <c r="AC201" s="90">
        <f t="shared" si="228"/>
        <v>0</v>
      </c>
      <c r="AD201" s="90">
        <f t="shared" si="228"/>
        <v>0</v>
      </c>
      <c r="AE201" s="90">
        <f t="shared" si="228"/>
        <v>0</v>
      </c>
      <c r="AF201" s="54">
        <f t="shared" si="206"/>
        <v>0</v>
      </c>
      <c r="AG201" s="2"/>
    </row>
    <row r="202" spans="1:33" ht="16" thickBot="1" x14ac:dyDescent="0.25">
      <c r="A202" s="148" t="s">
        <v>180</v>
      </c>
      <c r="B202" s="91" t="s">
        <v>5</v>
      </c>
      <c r="C202" s="92" t="s">
        <v>187</v>
      </c>
      <c r="D202" s="92" t="s">
        <v>168</v>
      </c>
      <c r="E202" s="94" t="s">
        <v>76</v>
      </c>
      <c r="F202" s="95"/>
      <c r="G202" s="142">
        <f t="shared" si="204"/>
        <v>0.41666666666666669</v>
      </c>
      <c r="H202" s="93">
        <v>0</v>
      </c>
      <c r="I202" s="210">
        <v>0</v>
      </c>
      <c r="J202" s="210">
        <v>0</v>
      </c>
      <c r="K202" s="93">
        <v>1</v>
      </c>
      <c r="L202" s="93">
        <v>1</v>
      </c>
      <c r="M202" s="93">
        <v>1</v>
      </c>
      <c r="N202" s="93">
        <v>1</v>
      </c>
      <c r="O202" s="93">
        <v>1</v>
      </c>
      <c r="P202" s="93">
        <v>0</v>
      </c>
      <c r="Q202" s="93">
        <v>0</v>
      </c>
      <c r="R202" s="93">
        <v>0</v>
      </c>
      <c r="S202" s="93">
        <v>0</v>
      </c>
      <c r="T202" s="90">
        <f t="shared" ref="T202:AE202" si="229">H202*$F$38</f>
        <v>0</v>
      </c>
      <c r="U202" s="90">
        <f t="shared" si="229"/>
        <v>0</v>
      </c>
      <c r="V202" s="90">
        <f t="shared" si="229"/>
        <v>0</v>
      </c>
      <c r="W202" s="90">
        <f t="shared" si="229"/>
        <v>30000</v>
      </c>
      <c r="X202" s="90">
        <f t="shared" si="229"/>
        <v>30000</v>
      </c>
      <c r="Y202" s="90">
        <f t="shared" si="229"/>
        <v>30000</v>
      </c>
      <c r="Z202" s="90">
        <f t="shared" si="229"/>
        <v>30000</v>
      </c>
      <c r="AA202" s="90">
        <f t="shared" si="229"/>
        <v>30000</v>
      </c>
      <c r="AB202" s="90">
        <f t="shared" si="229"/>
        <v>0</v>
      </c>
      <c r="AC202" s="90">
        <f t="shared" si="229"/>
        <v>0</v>
      </c>
      <c r="AD202" s="90">
        <f t="shared" si="229"/>
        <v>0</v>
      </c>
      <c r="AE202" s="90">
        <f t="shared" si="229"/>
        <v>0</v>
      </c>
      <c r="AF202" s="54">
        <f t="shared" si="206"/>
        <v>150000</v>
      </c>
      <c r="AG202" s="2"/>
    </row>
    <row r="203" spans="1:33" ht="16" thickBot="1" x14ac:dyDescent="0.25">
      <c r="A203" s="148" t="s">
        <v>163</v>
      </c>
      <c r="B203" s="91" t="s">
        <v>5</v>
      </c>
      <c r="C203" s="92" t="s">
        <v>115</v>
      </c>
      <c r="D203" s="92" t="s">
        <v>137</v>
      </c>
      <c r="E203" s="94" t="s">
        <v>76</v>
      </c>
      <c r="F203" s="95"/>
      <c r="G203" s="142">
        <f t="shared" si="204"/>
        <v>0</v>
      </c>
      <c r="H203" s="93">
        <v>0</v>
      </c>
      <c r="I203" s="93">
        <v>0</v>
      </c>
      <c r="J203" s="93">
        <v>0</v>
      </c>
      <c r="K203" s="93">
        <v>0</v>
      </c>
      <c r="L203" s="93">
        <v>0</v>
      </c>
      <c r="M203" s="93">
        <v>0</v>
      </c>
      <c r="N203" s="93">
        <v>0</v>
      </c>
      <c r="O203" s="93">
        <v>0</v>
      </c>
      <c r="P203" s="93">
        <v>0</v>
      </c>
      <c r="Q203" s="93">
        <v>0</v>
      </c>
      <c r="R203" s="93">
        <v>0</v>
      </c>
      <c r="S203" s="93">
        <v>0</v>
      </c>
      <c r="T203" s="90">
        <f t="shared" ref="T203:AE203" si="230">$F$5*H203</f>
        <v>0</v>
      </c>
      <c r="U203" s="90">
        <f t="shared" si="230"/>
        <v>0</v>
      </c>
      <c r="V203" s="90">
        <f t="shared" si="230"/>
        <v>0</v>
      </c>
      <c r="W203" s="90">
        <f t="shared" si="230"/>
        <v>0</v>
      </c>
      <c r="X203" s="90">
        <f t="shared" si="230"/>
        <v>0</v>
      </c>
      <c r="Y203" s="90">
        <f t="shared" si="230"/>
        <v>0</v>
      </c>
      <c r="Z203" s="90">
        <f t="shared" si="230"/>
        <v>0</v>
      </c>
      <c r="AA203" s="90">
        <f t="shared" si="230"/>
        <v>0</v>
      </c>
      <c r="AB203" s="90">
        <f t="shared" si="230"/>
        <v>0</v>
      </c>
      <c r="AC203" s="90">
        <f t="shared" si="230"/>
        <v>0</v>
      </c>
      <c r="AD203" s="90">
        <f t="shared" si="230"/>
        <v>0</v>
      </c>
      <c r="AE203" s="90">
        <f t="shared" si="230"/>
        <v>0</v>
      </c>
      <c r="AF203" s="54">
        <f t="shared" si="206"/>
        <v>0</v>
      </c>
      <c r="AG203" s="2"/>
    </row>
    <row r="204" spans="1:33" ht="16" thickBot="1" x14ac:dyDescent="0.25">
      <c r="A204" s="148" t="s">
        <v>68</v>
      </c>
      <c r="B204" s="91" t="s">
        <v>5</v>
      </c>
      <c r="C204" s="92" t="s">
        <v>29</v>
      </c>
      <c r="D204" s="92" t="s">
        <v>114</v>
      </c>
      <c r="E204" s="94" t="s">
        <v>198</v>
      </c>
      <c r="F204" s="95"/>
      <c r="G204" s="142">
        <f t="shared" si="204"/>
        <v>0</v>
      </c>
      <c r="H204" s="93">
        <v>0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0">
        <f t="shared" ref="T204:AE204" si="231">$F$20*H204</f>
        <v>0</v>
      </c>
      <c r="U204" s="90">
        <f t="shared" si="231"/>
        <v>0</v>
      </c>
      <c r="V204" s="90">
        <f t="shared" si="231"/>
        <v>0</v>
      </c>
      <c r="W204" s="90">
        <f t="shared" si="231"/>
        <v>0</v>
      </c>
      <c r="X204" s="90">
        <f t="shared" si="231"/>
        <v>0</v>
      </c>
      <c r="Y204" s="90">
        <f t="shared" si="231"/>
        <v>0</v>
      </c>
      <c r="Z204" s="90">
        <f t="shared" si="231"/>
        <v>0</v>
      </c>
      <c r="AA204" s="90">
        <f t="shared" si="231"/>
        <v>0</v>
      </c>
      <c r="AB204" s="90">
        <f t="shared" si="231"/>
        <v>0</v>
      </c>
      <c r="AC204" s="90">
        <f t="shared" si="231"/>
        <v>0</v>
      </c>
      <c r="AD204" s="90">
        <f t="shared" si="231"/>
        <v>0</v>
      </c>
      <c r="AE204" s="90">
        <f t="shared" si="231"/>
        <v>0</v>
      </c>
      <c r="AF204" s="54">
        <f t="shared" si="206"/>
        <v>0</v>
      </c>
      <c r="AG204" s="2"/>
    </row>
    <row r="205" spans="1:33" ht="16" thickBot="1" x14ac:dyDescent="0.25">
      <c r="A205" s="148" t="s">
        <v>68</v>
      </c>
      <c r="B205" s="91" t="s">
        <v>5</v>
      </c>
      <c r="C205" s="92" t="s">
        <v>178</v>
      </c>
      <c r="D205" s="92" t="s">
        <v>89</v>
      </c>
      <c r="E205" s="94" t="s">
        <v>69</v>
      </c>
      <c r="F205" s="95"/>
      <c r="G205" s="142">
        <f t="shared" si="204"/>
        <v>0</v>
      </c>
      <c r="H205" s="93">
        <v>0</v>
      </c>
      <c r="I205" s="93">
        <v>0</v>
      </c>
      <c r="J205" s="93">
        <v>0</v>
      </c>
      <c r="K205" s="93">
        <v>0</v>
      </c>
      <c r="L205" s="93">
        <v>0</v>
      </c>
      <c r="M205" s="93">
        <v>0</v>
      </c>
      <c r="N205" s="93">
        <v>0</v>
      </c>
      <c r="O205" s="93">
        <v>0</v>
      </c>
      <c r="P205" s="93">
        <v>0</v>
      </c>
      <c r="Q205" s="93">
        <v>0</v>
      </c>
      <c r="R205" s="93">
        <v>0</v>
      </c>
      <c r="S205" s="93">
        <v>0</v>
      </c>
      <c r="T205" s="90">
        <f t="shared" ref="T205:AE205" si="232">H205*$F$21</f>
        <v>0</v>
      </c>
      <c r="U205" s="90">
        <f t="shared" si="232"/>
        <v>0</v>
      </c>
      <c r="V205" s="90">
        <f t="shared" si="232"/>
        <v>0</v>
      </c>
      <c r="W205" s="90">
        <f t="shared" si="232"/>
        <v>0</v>
      </c>
      <c r="X205" s="90">
        <f t="shared" si="232"/>
        <v>0</v>
      </c>
      <c r="Y205" s="90">
        <f t="shared" si="232"/>
        <v>0</v>
      </c>
      <c r="Z205" s="90">
        <f t="shared" si="232"/>
        <v>0</v>
      </c>
      <c r="AA205" s="90">
        <f t="shared" si="232"/>
        <v>0</v>
      </c>
      <c r="AB205" s="90">
        <f t="shared" si="232"/>
        <v>0</v>
      </c>
      <c r="AC205" s="90">
        <f t="shared" si="232"/>
        <v>0</v>
      </c>
      <c r="AD205" s="90">
        <f t="shared" si="232"/>
        <v>0</v>
      </c>
      <c r="AE205" s="90">
        <f t="shared" si="232"/>
        <v>0</v>
      </c>
      <c r="AF205" s="54">
        <f t="shared" si="206"/>
        <v>0</v>
      </c>
      <c r="AG205" s="2"/>
    </row>
    <row r="206" spans="1:33" ht="16" thickBot="1" x14ac:dyDescent="0.25">
      <c r="A206" s="148" t="s">
        <v>163</v>
      </c>
      <c r="B206" s="91" t="s">
        <v>5</v>
      </c>
      <c r="C206" s="92" t="s">
        <v>169</v>
      </c>
      <c r="D206" s="92" t="s">
        <v>168</v>
      </c>
      <c r="E206" s="94" t="s">
        <v>76</v>
      </c>
      <c r="F206" s="95"/>
      <c r="G206" s="142">
        <f t="shared" si="204"/>
        <v>0.91666666666666663</v>
      </c>
      <c r="H206" s="93">
        <v>0</v>
      </c>
      <c r="I206" s="93">
        <v>1</v>
      </c>
      <c r="J206" s="93">
        <v>1</v>
      </c>
      <c r="K206" s="93">
        <v>1</v>
      </c>
      <c r="L206" s="93">
        <v>1</v>
      </c>
      <c r="M206" s="93">
        <v>1</v>
      </c>
      <c r="N206" s="93">
        <v>1</v>
      </c>
      <c r="O206" s="93">
        <v>1</v>
      </c>
      <c r="P206" s="93">
        <v>1</v>
      </c>
      <c r="Q206" s="93">
        <v>1</v>
      </c>
      <c r="R206" s="93">
        <v>1</v>
      </c>
      <c r="S206" s="93">
        <v>1</v>
      </c>
      <c r="T206" s="90">
        <f t="shared" ref="T206:AE206" si="233">H206*$F$6</f>
        <v>0</v>
      </c>
      <c r="U206" s="90">
        <f t="shared" si="233"/>
        <v>30250</v>
      </c>
      <c r="V206" s="90">
        <f t="shared" si="233"/>
        <v>30250</v>
      </c>
      <c r="W206" s="90">
        <f t="shared" si="233"/>
        <v>30250</v>
      </c>
      <c r="X206" s="90">
        <f t="shared" si="233"/>
        <v>30250</v>
      </c>
      <c r="Y206" s="90">
        <f t="shared" si="233"/>
        <v>30250</v>
      </c>
      <c r="Z206" s="90">
        <f t="shared" si="233"/>
        <v>30250</v>
      </c>
      <c r="AA206" s="90">
        <f t="shared" si="233"/>
        <v>30250</v>
      </c>
      <c r="AB206" s="90">
        <f t="shared" si="233"/>
        <v>30250</v>
      </c>
      <c r="AC206" s="90">
        <f t="shared" si="233"/>
        <v>30250</v>
      </c>
      <c r="AD206" s="90">
        <f t="shared" si="233"/>
        <v>30250</v>
      </c>
      <c r="AE206" s="90">
        <f t="shared" si="233"/>
        <v>30250</v>
      </c>
      <c r="AF206" s="54">
        <f t="shared" si="206"/>
        <v>332750</v>
      </c>
      <c r="AG206" s="2"/>
    </row>
    <row r="207" spans="1:33" ht="16" thickBot="1" x14ac:dyDescent="0.25">
      <c r="A207" s="148" t="s">
        <v>163</v>
      </c>
      <c r="B207" s="91" t="s">
        <v>5</v>
      </c>
      <c r="C207" s="92" t="s">
        <v>170</v>
      </c>
      <c r="D207" s="92" t="s">
        <v>168</v>
      </c>
      <c r="E207" s="94" t="s">
        <v>76</v>
      </c>
      <c r="F207" s="95"/>
      <c r="G207" s="142">
        <f t="shared" si="204"/>
        <v>0.33333333333333331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1</v>
      </c>
      <c r="O207" s="93">
        <v>1</v>
      </c>
      <c r="P207" s="93">
        <v>0.5</v>
      </c>
      <c r="Q207" s="93">
        <v>0.5</v>
      </c>
      <c r="R207" s="93">
        <v>0.5</v>
      </c>
      <c r="S207" s="93">
        <v>0.5</v>
      </c>
      <c r="T207" s="90">
        <f t="shared" ref="T207:AE207" si="234">H207*$F$7</f>
        <v>0</v>
      </c>
      <c r="U207" s="90">
        <f t="shared" si="234"/>
        <v>0</v>
      </c>
      <c r="V207" s="90">
        <f t="shared" si="234"/>
        <v>0</v>
      </c>
      <c r="W207" s="90">
        <f t="shared" si="234"/>
        <v>0</v>
      </c>
      <c r="X207" s="90">
        <f t="shared" si="234"/>
        <v>0</v>
      </c>
      <c r="Y207" s="90">
        <f t="shared" si="234"/>
        <v>0</v>
      </c>
      <c r="Z207" s="90">
        <f t="shared" si="234"/>
        <v>30250</v>
      </c>
      <c r="AA207" s="90">
        <f t="shared" si="234"/>
        <v>30250</v>
      </c>
      <c r="AB207" s="90">
        <f t="shared" si="234"/>
        <v>15125</v>
      </c>
      <c r="AC207" s="90">
        <f t="shared" si="234"/>
        <v>15125</v>
      </c>
      <c r="AD207" s="90">
        <f t="shared" si="234"/>
        <v>15125</v>
      </c>
      <c r="AE207" s="90">
        <f t="shared" si="234"/>
        <v>15125</v>
      </c>
      <c r="AF207" s="54">
        <f t="shared" si="206"/>
        <v>121000</v>
      </c>
      <c r="AG207" s="2"/>
    </row>
    <row r="208" spans="1:33" ht="16" thickBot="1" x14ac:dyDescent="0.25">
      <c r="A208" s="148" t="s">
        <v>180</v>
      </c>
      <c r="B208" s="91" t="s">
        <v>5</v>
      </c>
      <c r="C208" s="92" t="s">
        <v>183</v>
      </c>
      <c r="D208" s="92" t="s">
        <v>77</v>
      </c>
      <c r="E208" s="94" t="s">
        <v>76</v>
      </c>
      <c r="F208" s="95"/>
      <c r="G208" s="142">
        <f t="shared" si="204"/>
        <v>0</v>
      </c>
      <c r="H208" s="93">
        <v>0</v>
      </c>
      <c r="I208" s="93">
        <v>0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0">
        <f t="shared" ref="T208:AE208" si="235">H208*$F$34</f>
        <v>0</v>
      </c>
      <c r="U208" s="90">
        <f t="shared" si="235"/>
        <v>0</v>
      </c>
      <c r="V208" s="90">
        <f t="shared" si="235"/>
        <v>0</v>
      </c>
      <c r="W208" s="90">
        <f t="shared" si="235"/>
        <v>0</v>
      </c>
      <c r="X208" s="90">
        <f t="shared" si="235"/>
        <v>0</v>
      </c>
      <c r="Y208" s="90">
        <f t="shared" si="235"/>
        <v>0</v>
      </c>
      <c r="Z208" s="90">
        <f t="shared" si="235"/>
        <v>0</v>
      </c>
      <c r="AA208" s="90">
        <f t="shared" si="235"/>
        <v>0</v>
      </c>
      <c r="AB208" s="90">
        <f t="shared" si="235"/>
        <v>0</v>
      </c>
      <c r="AC208" s="90">
        <f t="shared" si="235"/>
        <v>0</v>
      </c>
      <c r="AD208" s="90">
        <f t="shared" si="235"/>
        <v>0</v>
      </c>
      <c r="AE208" s="90">
        <f t="shared" si="235"/>
        <v>0</v>
      </c>
      <c r="AF208" s="54">
        <f t="shared" si="206"/>
        <v>0</v>
      </c>
      <c r="AG208" s="2"/>
    </row>
    <row r="209" spans="1:33" ht="16" thickBot="1" x14ac:dyDescent="0.25">
      <c r="A209" s="148" t="s">
        <v>180</v>
      </c>
      <c r="B209" s="91" t="s">
        <v>5</v>
      </c>
      <c r="C209" s="92" t="s">
        <v>184</v>
      </c>
      <c r="D209" s="92" t="s">
        <v>168</v>
      </c>
      <c r="E209" s="94" t="s">
        <v>76</v>
      </c>
      <c r="F209" s="95"/>
      <c r="G209" s="142">
        <f t="shared" si="204"/>
        <v>0</v>
      </c>
      <c r="H209" s="93">
        <v>0</v>
      </c>
      <c r="I209" s="93">
        <v>0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0">
        <f t="shared" ref="T209:AE209" si="236">H209*$F$40</f>
        <v>0</v>
      </c>
      <c r="U209" s="90">
        <f t="shared" si="236"/>
        <v>0</v>
      </c>
      <c r="V209" s="90">
        <f t="shared" si="236"/>
        <v>0</v>
      </c>
      <c r="W209" s="90">
        <f t="shared" si="236"/>
        <v>0</v>
      </c>
      <c r="X209" s="90">
        <f t="shared" si="236"/>
        <v>0</v>
      </c>
      <c r="Y209" s="90">
        <f t="shared" si="236"/>
        <v>0</v>
      </c>
      <c r="Z209" s="90">
        <f t="shared" si="236"/>
        <v>0</v>
      </c>
      <c r="AA209" s="90">
        <f t="shared" si="236"/>
        <v>0</v>
      </c>
      <c r="AB209" s="90">
        <f t="shared" si="236"/>
        <v>0</v>
      </c>
      <c r="AC209" s="90">
        <f t="shared" si="236"/>
        <v>0</v>
      </c>
      <c r="AD209" s="90">
        <f t="shared" si="236"/>
        <v>0</v>
      </c>
      <c r="AE209" s="90">
        <f t="shared" si="236"/>
        <v>0</v>
      </c>
      <c r="AF209" s="54">
        <f t="shared" si="206"/>
        <v>0</v>
      </c>
      <c r="AG209" s="2"/>
    </row>
    <row r="210" spans="1:33" ht="16" thickBot="1" x14ac:dyDescent="0.25">
      <c r="A210" s="148" t="s">
        <v>180</v>
      </c>
      <c r="B210" s="91" t="s">
        <v>5</v>
      </c>
      <c r="C210" s="92" t="s">
        <v>188</v>
      </c>
      <c r="D210" s="92" t="s">
        <v>168</v>
      </c>
      <c r="E210" s="94" t="s">
        <v>76</v>
      </c>
      <c r="F210" s="95"/>
      <c r="G210" s="142">
        <f t="shared" si="204"/>
        <v>0</v>
      </c>
      <c r="H210" s="93">
        <v>0</v>
      </c>
      <c r="I210" s="93">
        <v>0</v>
      </c>
      <c r="J210" s="93">
        <v>0</v>
      </c>
      <c r="K210" s="93">
        <v>0</v>
      </c>
      <c r="L210" s="93">
        <v>0</v>
      </c>
      <c r="M210" s="93">
        <v>0</v>
      </c>
      <c r="N210" s="93">
        <v>0</v>
      </c>
      <c r="O210" s="93">
        <v>0</v>
      </c>
      <c r="P210" s="93">
        <v>0</v>
      </c>
      <c r="Q210" s="93">
        <v>0</v>
      </c>
      <c r="R210" s="93">
        <v>0</v>
      </c>
      <c r="S210" s="93">
        <v>0</v>
      </c>
      <c r="T210" s="90">
        <f t="shared" ref="T210:AE210" si="237">H210*$F$41</f>
        <v>0</v>
      </c>
      <c r="U210" s="90">
        <f t="shared" si="237"/>
        <v>0</v>
      </c>
      <c r="V210" s="90">
        <f t="shared" si="237"/>
        <v>0</v>
      </c>
      <c r="W210" s="90">
        <f t="shared" si="237"/>
        <v>0</v>
      </c>
      <c r="X210" s="90">
        <f t="shared" si="237"/>
        <v>0</v>
      </c>
      <c r="Y210" s="90">
        <f t="shared" si="237"/>
        <v>0</v>
      </c>
      <c r="Z210" s="90">
        <f t="shared" si="237"/>
        <v>0</v>
      </c>
      <c r="AA210" s="90">
        <f t="shared" si="237"/>
        <v>0</v>
      </c>
      <c r="AB210" s="90">
        <f t="shared" si="237"/>
        <v>0</v>
      </c>
      <c r="AC210" s="90">
        <f t="shared" si="237"/>
        <v>0</v>
      </c>
      <c r="AD210" s="90">
        <f t="shared" si="237"/>
        <v>0</v>
      </c>
      <c r="AE210" s="90">
        <f t="shared" si="237"/>
        <v>0</v>
      </c>
      <c r="AF210" s="54">
        <f t="shared" si="206"/>
        <v>0</v>
      </c>
      <c r="AG210" s="2"/>
    </row>
    <row r="211" spans="1:33" ht="16" thickBot="1" x14ac:dyDescent="0.25">
      <c r="A211" s="148" t="s">
        <v>180</v>
      </c>
      <c r="B211" s="91" t="s">
        <v>5</v>
      </c>
      <c r="C211" s="92" t="s">
        <v>189</v>
      </c>
      <c r="D211" s="92" t="s">
        <v>168</v>
      </c>
      <c r="E211" s="94" t="s">
        <v>76</v>
      </c>
      <c r="F211" s="95"/>
      <c r="G211" s="142">
        <f t="shared" si="204"/>
        <v>0</v>
      </c>
      <c r="H211" s="93">
        <v>0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0">
        <f t="shared" ref="T211:AE211" si="238">H211*$F$42</f>
        <v>0</v>
      </c>
      <c r="U211" s="90">
        <f t="shared" si="238"/>
        <v>0</v>
      </c>
      <c r="V211" s="90">
        <f t="shared" si="238"/>
        <v>0</v>
      </c>
      <c r="W211" s="90">
        <f t="shared" si="238"/>
        <v>0</v>
      </c>
      <c r="X211" s="90">
        <f t="shared" si="238"/>
        <v>0</v>
      </c>
      <c r="Y211" s="90">
        <f t="shared" si="238"/>
        <v>0</v>
      </c>
      <c r="Z211" s="90">
        <f t="shared" si="238"/>
        <v>0</v>
      </c>
      <c r="AA211" s="90">
        <f t="shared" si="238"/>
        <v>0</v>
      </c>
      <c r="AB211" s="90">
        <f t="shared" si="238"/>
        <v>0</v>
      </c>
      <c r="AC211" s="90">
        <f t="shared" si="238"/>
        <v>0</v>
      </c>
      <c r="AD211" s="90">
        <f t="shared" si="238"/>
        <v>0</v>
      </c>
      <c r="AE211" s="90">
        <f t="shared" si="238"/>
        <v>0</v>
      </c>
      <c r="AF211" s="54">
        <f t="shared" si="206"/>
        <v>0</v>
      </c>
      <c r="AG211" s="2"/>
    </row>
    <row r="212" spans="1:33" ht="16" thickBot="1" x14ac:dyDescent="0.25">
      <c r="A212" s="148" t="s">
        <v>51</v>
      </c>
      <c r="B212" s="91" t="s">
        <v>5</v>
      </c>
      <c r="C212" s="92" t="s">
        <v>249</v>
      </c>
      <c r="D212" s="92" t="s">
        <v>168</v>
      </c>
      <c r="E212" s="94" t="s">
        <v>198</v>
      </c>
      <c r="F212" s="95"/>
      <c r="G212" s="142">
        <f t="shared" si="204"/>
        <v>0</v>
      </c>
      <c r="H212" s="93">
        <v>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0">
        <f t="shared" ref="T212:AE212" si="239">H212*$F$24</f>
        <v>0</v>
      </c>
      <c r="U212" s="90">
        <f t="shared" si="239"/>
        <v>0</v>
      </c>
      <c r="V212" s="90">
        <f t="shared" si="239"/>
        <v>0</v>
      </c>
      <c r="W212" s="90">
        <f t="shared" si="239"/>
        <v>0</v>
      </c>
      <c r="X212" s="90">
        <f t="shared" si="239"/>
        <v>0</v>
      </c>
      <c r="Y212" s="90">
        <f t="shared" si="239"/>
        <v>0</v>
      </c>
      <c r="Z212" s="90">
        <f t="shared" si="239"/>
        <v>0</v>
      </c>
      <c r="AA212" s="90">
        <f t="shared" si="239"/>
        <v>0</v>
      </c>
      <c r="AB212" s="90">
        <f t="shared" si="239"/>
        <v>0</v>
      </c>
      <c r="AC212" s="90">
        <f t="shared" si="239"/>
        <v>0</v>
      </c>
      <c r="AD212" s="90">
        <f t="shared" si="239"/>
        <v>0</v>
      </c>
      <c r="AE212" s="90">
        <f t="shared" si="239"/>
        <v>0</v>
      </c>
      <c r="AF212" s="54">
        <f t="shared" si="206"/>
        <v>0</v>
      </c>
      <c r="AG212" s="2"/>
    </row>
    <row r="213" spans="1:33" ht="16" thickBot="1" x14ac:dyDescent="0.25">
      <c r="A213" s="148" t="s">
        <v>196</v>
      </c>
      <c r="B213" s="91" t="s">
        <v>5</v>
      </c>
      <c r="C213" s="92" t="s">
        <v>197</v>
      </c>
      <c r="D213" s="92" t="s">
        <v>168</v>
      </c>
      <c r="E213" s="94" t="s">
        <v>198</v>
      </c>
      <c r="F213" s="95"/>
      <c r="G213" s="142">
        <f t="shared" si="204"/>
        <v>0</v>
      </c>
      <c r="H213" s="93">
        <v>0</v>
      </c>
      <c r="I213" s="93">
        <v>0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0">
        <f t="shared" ref="T213:AE213" si="240">H213*$F$49</f>
        <v>0</v>
      </c>
      <c r="U213" s="90">
        <f t="shared" si="240"/>
        <v>0</v>
      </c>
      <c r="V213" s="90">
        <f t="shared" si="240"/>
        <v>0</v>
      </c>
      <c r="W213" s="90">
        <f t="shared" si="240"/>
        <v>0</v>
      </c>
      <c r="X213" s="90">
        <f t="shared" si="240"/>
        <v>0</v>
      </c>
      <c r="Y213" s="90">
        <f t="shared" si="240"/>
        <v>0</v>
      </c>
      <c r="Z213" s="90">
        <f t="shared" si="240"/>
        <v>0</v>
      </c>
      <c r="AA213" s="90">
        <f t="shared" si="240"/>
        <v>0</v>
      </c>
      <c r="AB213" s="90">
        <f t="shared" si="240"/>
        <v>0</v>
      </c>
      <c r="AC213" s="90">
        <f t="shared" si="240"/>
        <v>0</v>
      </c>
      <c r="AD213" s="90">
        <f t="shared" si="240"/>
        <v>0</v>
      </c>
      <c r="AE213" s="90">
        <f t="shared" si="240"/>
        <v>0</v>
      </c>
      <c r="AF213" s="54">
        <f t="shared" si="206"/>
        <v>0</v>
      </c>
      <c r="AG213" s="2"/>
    </row>
    <row r="214" spans="1:33" ht="16" thickBot="1" x14ac:dyDescent="0.25">
      <c r="A214" s="148" t="s">
        <v>31</v>
      </c>
      <c r="B214" s="91" t="s">
        <v>5</v>
      </c>
      <c r="C214" s="92" t="s">
        <v>210</v>
      </c>
      <c r="D214" s="92" t="s">
        <v>168</v>
      </c>
      <c r="E214" s="94" t="s">
        <v>198</v>
      </c>
      <c r="F214" s="95"/>
      <c r="G214" s="142">
        <f t="shared" si="204"/>
        <v>0</v>
      </c>
      <c r="H214" s="93">
        <v>0</v>
      </c>
      <c r="I214" s="93">
        <v>0</v>
      </c>
      <c r="J214" s="93">
        <v>0</v>
      </c>
      <c r="K214" s="93">
        <v>0</v>
      </c>
      <c r="L214" s="93">
        <v>0</v>
      </c>
      <c r="M214" s="93">
        <v>0</v>
      </c>
      <c r="N214" s="93">
        <v>0</v>
      </c>
      <c r="O214" s="93">
        <v>0</v>
      </c>
      <c r="P214" s="93">
        <v>0</v>
      </c>
      <c r="Q214" s="93">
        <v>0</v>
      </c>
      <c r="R214" s="93">
        <v>0</v>
      </c>
      <c r="S214" s="93">
        <v>0</v>
      </c>
      <c r="T214" s="90">
        <f>H214*$F$19</f>
        <v>0</v>
      </c>
      <c r="U214" s="90">
        <f t="shared" ref="U214:AE214" si="241">I214*$F$19</f>
        <v>0</v>
      </c>
      <c r="V214" s="90">
        <f t="shared" si="241"/>
        <v>0</v>
      </c>
      <c r="W214" s="90">
        <f t="shared" si="241"/>
        <v>0</v>
      </c>
      <c r="X214" s="90">
        <f t="shared" si="241"/>
        <v>0</v>
      </c>
      <c r="Y214" s="90">
        <f t="shared" si="241"/>
        <v>0</v>
      </c>
      <c r="Z214" s="90">
        <f t="shared" si="241"/>
        <v>0</v>
      </c>
      <c r="AA214" s="90">
        <f t="shared" si="241"/>
        <v>0</v>
      </c>
      <c r="AB214" s="90">
        <f t="shared" si="241"/>
        <v>0</v>
      </c>
      <c r="AC214" s="90">
        <f t="shared" si="241"/>
        <v>0</v>
      </c>
      <c r="AD214" s="90">
        <f t="shared" si="241"/>
        <v>0</v>
      </c>
      <c r="AE214" s="90">
        <f t="shared" si="241"/>
        <v>0</v>
      </c>
      <c r="AF214" s="54">
        <f t="shared" si="206"/>
        <v>0</v>
      </c>
      <c r="AG214" s="2"/>
    </row>
    <row r="215" spans="1:33" ht="16" thickBot="1" x14ac:dyDescent="0.25">
      <c r="A215" s="148" t="s">
        <v>51</v>
      </c>
      <c r="B215" s="91" t="s">
        <v>9</v>
      </c>
      <c r="C215" s="92" t="s">
        <v>49</v>
      </c>
      <c r="D215" s="92" t="s">
        <v>50</v>
      </c>
      <c r="E215" s="94" t="s">
        <v>198</v>
      </c>
      <c r="F215" s="95"/>
      <c r="G215" s="142">
        <f t="shared" si="204"/>
        <v>0</v>
      </c>
      <c r="H215" s="93">
        <v>0</v>
      </c>
      <c r="I215" s="93">
        <v>0</v>
      </c>
      <c r="J215" s="93">
        <v>0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0">
        <f t="shared" ref="T215:AE215" si="242">H215*$F$22</f>
        <v>0</v>
      </c>
      <c r="U215" s="90">
        <f t="shared" si="242"/>
        <v>0</v>
      </c>
      <c r="V215" s="90">
        <f t="shared" si="242"/>
        <v>0</v>
      </c>
      <c r="W215" s="90">
        <f t="shared" si="242"/>
        <v>0</v>
      </c>
      <c r="X215" s="90">
        <f t="shared" si="242"/>
        <v>0</v>
      </c>
      <c r="Y215" s="90">
        <f t="shared" si="242"/>
        <v>0</v>
      </c>
      <c r="Z215" s="90">
        <f t="shared" si="242"/>
        <v>0</v>
      </c>
      <c r="AA215" s="90">
        <f t="shared" si="242"/>
        <v>0</v>
      </c>
      <c r="AB215" s="90">
        <f t="shared" si="242"/>
        <v>0</v>
      </c>
      <c r="AC215" s="90">
        <f t="shared" si="242"/>
        <v>0</v>
      </c>
      <c r="AD215" s="90">
        <f t="shared" si="242"/>
        <v>0</v>
      </c>
      <c r="AE215" s="90">
        <f t="shared" si="242"/>
        <v>0</v>
      </c>
      <c r="AF215" s="54">
        <f t="shared" si="206"/>
        <v>0</v>
      </c>
      <c r="AG215" s="2"/>
    </row>
    <row r="216" spans="1:33" ht="16" thickBot="1" x14ac:dyDescent="0.25">
      <c r="A216" s="148" t="s">
        <v>51</v>
      </c>
      <c r="B216" s="91" t="s">
        <v>9</v>
      </c>
      <c r="C216" s="92" t="s">
        <v>52</v>
      </c>
      <c r="D216" s="92" t="s">
        <v>53</v>
      </c>
      <c r="E216" s="94" t="s">
        <v>69</v>
      </c>
      <c r="F216" s="95"/>
      <c r="G216" s="142">
        <f t="shared" si="204"/>
        <v>0</v>
      </c>
      <c r="H216" s="93">
        <v>0</v>
      </c>
      <c r="I216" s="93">
        <v>0</v>
      </c>
      <c r="J216" s="93">
        <v>0</v>
      </c>
      <c r="K216" s="93">
        <v>0</v>
      </c>
      <c r="L216" s="93">
        <v>0</v>
      </c>
      <c r="M216" s="93">
        <v>0</v>
      </c>
      <c r="N216" s="93">
        <v>0</v>
      </c>
      <c r="O216" s="93">
        <v>0</v>
      </c>
      <c r="P216" s="93">
        <v>0</v>
      </c>
      <c r="Q216" s="93">
        <v>0</v>
      </c>
      <c r="R216" s="93">
        <v>0</v>
      </c>
      <c r="S216" s="93">
        <v>0</v>
      </c>
      <c r="T216" s="90">
        <f t="shared" ref="T216:AE216" si="243">$F$23*H216</f>
        <v>0</v>
      </c>
      <c r="U216" s="90">
        <f t="shared" si="243"/>
        <v>0</v>
      </c>
      <c r="V216" s="90">
        <f t="shared" si="243"/>
        <v>0</v>
      </c>
      <c r="W216" s="90">
        <f t="shared" si="243"/>
        <v>0</v>
      </c>
      <c r="X216" s="90">
        <f t="shared" si="243"/>
        <v>0</v>
      </c>
      <c r="Y216" s="90">
        <f t="shared" si="243"/>
        <v>0</v>
      </c>
      <c r="Z216" s="90">
        <f t="shared" si="243"/>
        <v>0</v>
      </c>
      <c r="AA216" s="90">
        <f t="shared" si="243"/>
        <v>0</v>
      </c>
      <c r="AB216" s="90">
        <f t="shared" si="243"/>
        <v>0</v>
      </c>
      <c r="AC216" s="90">
        <f t="shared" si="243"/>
        <v>0</v>
      </c>
      <c r="AD216" s="90">
        <f t="shared" si="243"/>
        <v>0</v>
      </c>
      <c r="AE216" s="90">
        <f t="shared" si="243"/>
        <v>0</v>
      </c>
      <c r="AF216" s="54">
        <f t="shared" si="206"/>
        <v>0</v>
      </c>
      <c r="AG216" s="2"/>
    </row>
    <row r="217" spans="1:33" ht="16" thickBot="1" x14ac:dyDescent="0.25">
      <c r="A217" s="148" t="s">
        <v>164</v>
      </c>
      <c r="B217" s="91" t="s">
        <v>9</v>
      </c>
      <c r="C217" s="92" t="s">
        <v>46</v>
      </c>
      <c r="D217" s="92" t="s">
        <v>47</v>
      </c>
      <c r="E217" s="94" t="s">
        <v>198</v>
      </c>
      <c r="F217" s="95"/>
      <c r="G217" s="142">
        <f t="shared" si="204"/>
        <v>0</v>
      </c>
      <c r="H217" s="93">
        <v>0</v>
      </c>
      <c r="I217" s="93">
        <v>0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0">
        <f t="shared" ref="T217:AE217" si="244">H217*$F$3</f>
        <v>0</v>
      </c>
      <c r="U217" s="90">
        <f t="shared" si="244"/>
        <v>0</v>
      </c>
      <c r="V217" s="90">
        <f t="shared" si="244"/>
        <v>0</v>
      </c>
      <c r="W217" s="90">
        <f t="shared" si="244"/>
        <v>0</v>
      </c>
      <c r="X217" s="90">
        <f t="shared" si="244"/>
        <v>0</v>
      </c>
      <c r="Y217" s="90">
        <f t="shared" si="244"/>
        <v>0</v>
      </c>
      <c r="Z217" s="90">
        <f t="shared" si="244"/>
        <v>0</v>
      </c>
      <c r="AA217" s="90">
        <f t="shared" si="244"/>
        <v>0</v>
      </c>
      <c r="AB217" s="90">
        <f t="shared" si="244"/>
        <v>0</v>
      </c>
      <c r="AC217" s="90">
        <f t="shared" si="244"/>
        <v>0</v>
      </c>
      <c r="AD217" s="90">
        <f t="shared" si="244"/>
        <v>0</v>
      </c>
      <c r="AE217" s="90">
        <f t="shared" si="244"/>
        <v>0</v>
      </c>
      <c r="AF217" s="54">
        <f t="shared" si="206"/>
        <v>0</v>
      </c>
      <c r="AG217" s="2"/>
    </row>
    <row r="218" spans="1:33" ht="16" thickBot="1" x14ac:dyDescent="0.25">
      <c r="A218" s="148" t="s">
        <v>31</v>
      </c>
      <c r="B218" s="91" t="s">
        <v>9</v>
      </c>
      <c r="C218" s="92" t="s">
        <v>195</v>
      </c>
      <c r="D218" s="92" t="s">
        <v>168</v>
      </c>
      <c r="E218" s="94" t="s">
        <v>198</v>
      </c>
      <c r="F218" s="95"/>
      <c r="G218" s="142">
        <f t="shared" si="204"/>
        <v>0</v>
      </c>
      <c r="H218" s="93">
        <v>0</v>
      </c>
      <c r="I218" s="93">
        <v>0</v>
      </c>
      <c r="J218" s="93">
        <v>0</v>
      </c>
      <c r="K218" s="93">
        <v>0</v>
      </c>
      <c r="L218" s="93">
        <v>0</v>
      </c>
      <c r="M218" s="93">
        <v>0</v>
      </c>
      <c r="N218" s="93">
        <v>0</v>
      </c>
      <c r="O218" s="93">
        <v>0</v>
      </c>
      <c r="P218" s="93">
        <v>0</v>
      </c>
      <c r="Q218" s="93">
        <v>0</v>
      </c>
      <c r="R218" s="93">
        <v>0</v>
      </c>
      <c r="S218" s="93">
        <v>0</v>
      </c>
      <c r="T218" s="90">
        <f t="shared" ref="T218:AE218" si="245">H218*$F$18</f>
        <v>0</v>
      </c>
      <c r="U218" s="90">
        <f t="shared" si="245"/>
        <v>0</v>
      </c>
      <c r="V218" s="90">
        <f t="shared" si="245"/>
        <v>0</v>
      </c>
      <c r="W218" s="90">
        <f t="shared" si="245"/>
        <v>0</v>
      </c>
      <c r="X218" s="90">
        <f t="shared" si="245"/>
        <v>0</v>
      </c>
      <c r="Y218" s="90">
        <f t="shared" si="245"/>
        <v>0</v>
      </c>
      <c r="Z218" s="90">
        <f t="shared" si="245"/>
        <v>0</v>
      </c>
      <c r="AA218" s="90">
        <f t="shared" si="245"/>
        <v>0</v>
      </c>
      <c r="AB218" s="90">
        <f t="shared" si="245"/>
        <v>0</v>
      </c>
      <c r="AC218" s="90">
        <f t="shared" si="245"/>
        <v>0</v>
      </c>
      <c r="AD218" s="90">
        <f t="shared" si="245"/>
        <v>0</v>
      </c>
      <c r="AE218" s="90">
        <f t="shared" si="245"/>
        <v>0</v>
      </c>
      <c r="AF218" s="54">
        <f t="shared" si="206"/>
        <v>0</v>
      </c>
      <c r="AG218" s="2"/>
    </row>
    <row r="219" spans="1:33" ht="16" thickBot="1" x14ac:dyDescent="0.25">
      <c r="A219" s="148" t="s">
        <v>31</v>
      </c>
      <c r="B219" s="91" t="s">
        <v>9</v>
      </c>
      <c r="C219" s="92" t="s">
        <v>88</v>
      </c>
      <c r="D219" s="92" t="s">
        <v>41</v>
      </c>
      <c r="E219" s="94" t="s">
        <v>198</v>
      </c>
      <c r="F219" s="95"/>
      <c r="G219" s="142">
        <f t="shared" si="204"/>
        <v>0</v>
      </c>
      <c r="H219" s="93">
        <v>0</v>
      </c>
      <c r="I219" s="93">
        <v>0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93">
        <v>0</v>
      </c>
      <c r="P219" s="93">
        <v>0</v>
      </c>
      <c r="Q219" s="93">
        <v>0</v>
      </c>
      <c r="R219" s="93">
        <v>0</v>
      </c>
      <c r="S219" s="93">
        <v>0</v>
      </c>
      <c r="T219" s="90">
        <f t="shared" ref="T219:AE219" si="246">$F$17*H219</f>
        <v>0</v>
      </c>
      <c r="U219" s="90">
        <f t="shared" si="246"/>
        <v>0</v>
      </c>
      <c r="V219" s="90">
        <f t="shared" si="246"/>
        <v>0</v>
      </c>
      <c r="W219" s="90">
        <f t="shared" si="246"/>
        <v>0</v>
      </c>
      <c r="X219" s="90">
        <f t="shared" si="246"/>
        <v>0</v>
      </c>
      <c r="Y219" s="90">
        <f t="shared" si="246"/>
        <v>0</v>
      </c>
      <c r="Z219" s="90">
        <f t="shared" si="246"/>
        <v>0</v>
      </c>
      <c r="AA219" s="90">
        <f t="shared" si="246"/>
        <v>0</v>
      </c>
      <c r="AB219" s="90">
        <f t="shared" si="246"/>
        <v>0</v>
      </c>
      <c r="AC219" s="90">
        <f t="shared" si="246"/>
        <v>0</v>
      </c>
      <c r="AD219" s="90">
        <f t="shared" si="246"/>
        <v>0</v>
      </c>
      <c r="AE219" s="90">
        <f t="shared" si="246"/>
        <v>0</v>
      </c>
      <c r="AF219" s="54">
        <f t="shared" si="206"/>
        <v>0</v>
      </c>
      <c r="AG219" s="2"/>
    </row>
    <row r="220" spans="1:33" ht="16" thickBot="1" x14ac:dyDescent="0.25">
      <c r="A220" s="148" t="s">
        <v>164</v>
      </c>
      <c r="B220" s="91" t="s">
        <v>9</v>
      </c>
      <c r="C220" s="92" t="s">
        <v>167</v>
      </c>
      <c r="D220" s="92" t="s">
        <v>48</v>
      </c>
      <c r="E220" s="94" t="s">
        <v>198</v>
      </c>
      <c r="F220" s="95"/>
      <c r="G220" s="142">
        <f t="shared" si="204"/>
        <v>0</v>
      </c>
      <c r="H220" s="93">
        <v>0</v>
      </c>
      <c r="I220" s="93">
        <v>0</v>
      </c>
      <c r="J220" s="93">
        <v>0</v>
      </c>
      <c r="K220" s="93">
        <v>0</v>
      </c>
      <c r="L220" s="93">
        <v>0</v>
      </c>
      <c r="M220" s="93">
        <v>0</v>
      </c>
      <c r="N220" s="93">
        <v>0</v>
      </c>
      <c r="O220" s="93">
        <v>0</v>
      </c>
      <c r="P220" s="93">
        <v>0</v>
      </c>
      <c r="Q220" s="93">
        <v>0</v>
      </c>
      <c r="R220" s="93">
        <v>0</v>
      </c>
      <c r="S220" s="93">
        <v>0</v>
      </c>
      <c r="T220" s="90">
        <f t="shared" ref="T220:AE220" si="247">$F$4*H220</f>
        <v>0</v>
      </c>
      <c r="U220" s="90">
        <f t="shared" si="247"/>
        <v>0</v>
      </c>
      <c r="V220" s="90">
        <f t="shared" si="247"/>
        <v>0</v>
      </c>
      <c r="W220" s="90">
        <f t="shared" si="247"/>
        <v>0</v>
      </c>
      <c r="X220" s="90">
        <f t="shared" si="247"/>
        <v>0</v>
      </c>
      <c r="Y220" s="90">
        <f t="shared" si="247"/>
        <v>0</v>
      </c>
      <c r="Z220" s="90">
        <f t="shared" si="247"/>
        <v>0</v>
      </c>
      <c r="AA220" s="90">
        <f t="shared" si="247"/>
        <v>0</v>
      </c>
      <c r="AB220" s="90">
        <f t="shared" si="247"/>
        <v>0</v>
      </c>
      <c r="AC220" s="90">
        <f t="shared" si="247"/>
        <v>0</v>
      </c>
      <c r="AD220" s="90">
        <f t="shared" si="247"/>
        <v>0</v>
      </c>
      <c r="AE220" s="90">
        <f t="shared" si="247"/>
        <v>0</v>
      </c>
      <c r="AF220" s="54">
        <f t="shared" si="206"/>
        <v>0</v>
      </c>
      <c r="AG220" s="2"/>
    </row>
    <row r="221" spans="1:33" ht="16" thickBot="1" x14ac:dyDescent="0.25">
      <c r="A221" s="148" t="s">
        <v>163</v>
      </c>
      <c r="B221" s="91" t="s">
        <v>9</v>
      </c>
      <c r="C221" s="92" t="s">
        <v>172</v>
      </c>
      <c r="D221" s="92" t="s">
        <v>168</v>
      </c>
      <c r="E221" s="94" t="s">
        <v>76</v>
      </c>
      <c r="F221" s="95"/>
      <c r="G221" s="142">
        <f t="shared" si="204"/>
        <v>0</v>
      </c>
      <c r="H221" s="93">
        <v>0</v>
      </c>
      <c r="I221" s="93">
        <v>0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0">
        <f t="shared" ref="T221:AE221" si="248">$F$8*H221</f>
        <v>0</v>
      </c>
      <c r="U221" s="90">
        <f t="shared" si="248"/>
        <v>0</v>
      </c>
      <c r="V221" s="90">
        <f t="shared" si="248"/>
        <v>0</v>
      </c>
      <c r="W221" s="90">
        <f t="shared" si="248"/>
        <v>0</v>
      </c>
      <c r="X221" s="90">
        <f t="shared" si="248"/>
        <v>0</v>
      </c>
      <c r="Y221" s="90">
        <f t="shared" si="248"/>
        <v>0</v>
      </c>
      <c r="Z221" s="90">
        <f t="shared" si="248"/>
        <v>0</v>
      </c>
      <c r="AA221" s="90">
        <f t="shared" si="248"/>
        <v>0</v>
      </c>
      <c r="AB221" s="90">
        <f t="shared" si="248"/>
        <v>0</v>
      </c>
      <c r="AC221" s="90">
        <f t="shared" si="248"/>
        <v>0</v>
      </c>
      <c r="AD221" s="90">
        <f t="shared" si="248"/>
        <v>0</v>
      </c>
      <c r="AE221" s="90">
        <f t="shared" si="248"/>
        <v>0</v>
      </c>
      <c r="AF221" s="54">
        <f t="shared" si="206"/>
        <v>0</v>
      </c>
      <c r="AG221" s="2"/>
    </row>
    <row r="222" spans="1:33" ht="16" thickBot="1" x14ac:dyDescent="0.25">
      <c r="A222" s="148" t="s">
        <v>163</v>
      </c>
      <c r="B222" s="91" t="s">
        <v>9</v>
      </c>
      <c r="C222" s="92" t="s">
        <v>173</v>
      </c>
      <c r="D222" s="92" t="s">
        <v>168</v>
      </c>
      <c r="E222" s="94" t="s">
        <v>76</v>
      </c>
      <c r="F222" s="95"/>
      <c r="G222" s="142">
        <f t="shared" si="204"/>
        <v>0</v>
      </c>
      <c r="H222" s="93">
        <v>0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0">
        <f t="shared" ref="T222:AE222" si="249">$F$9*H222</f>
        <v>0</v>
      </c>
      <c r="U222" s="90">
        <f t="shared" si="249"/>
        <v>0</v>
      </c>
      <c r="V222" s="90">
        <f t="shared" si="249"/>
        <v>0</v>
      </c>
      <c r="W222" s="90">
        <f t="shared" si="249"/>
        <v>0</v>
      </c>
      <c r="X222" s="90">
        <f t="shared" si="249"/>
        <v>0</v>
      </c>
      <c r="Y222" s="90">
        <f t="shared" si="249"/>
        <v>0</v>
      </c>
      <c r="Z222" s="90">
        <f t="shared" si="249"/>
        <v>0</v>
      </c>
      <c r="AA222" s="90">
        <f t="shared" si="249"/>
        <v>0</v>
      </c>
      <c r="AB222" s="90">
        <f t="shared" si="249"/>
        <v>0</v>
      </c>
      <c r="AC222" s="90">
        <f t="shared" si="249"/>
        <v>0</v>
      </c>
      <c r="AD222" s="90">
        <f t="shared" si="249"/>
        <v>0</v>
      </c>
      <c r="AE222" s="90">
        <f t="shared" si="249"/>
        <v>0</v>
      </c>
      <c r="AF222" s="54">
        <f t="shared" si="206"/>
        <v>0</v>
      </c>
      <c r="AG222" s="2"/>
    </row>
    <row r="223" spans="1:33" ht="16" thickBot="1" x14ac:dyDescent="0.25">
      <c r="A223" s="148" t="s">
        <v>163</v>
      </c>
      <c r="B223" s="91" t="s">
        <v>9</v>
      </c>
      <c r="C223" s="92" t="s">
        <v>171</v>
      </c>
      <c r="D223" s="92" t="s">
        <v>168</v>
      </c>
      <c r="E223" s="94" t="s">
        <v>76</v>
      </c>
      <c r="F223" s="95"/>
      <c r="G223" s="142">
        <f t="shared" si="204"/>
        <v>0</v>
      </c>
      <c r="H223" s="93">
        <v>0</v>
      </c>
      <c r="I223" s="93">
        <v>0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0">
        <f t="shared" ref="T223:AE223" si="250">$F$10*H223</f>
        <v>0</v>
      </c>
      <c r="U223" s="90">
        <f t="shared" si="250"/>
        <v>0</v>
      </c>
      <c r="V223" s="90">
        <f t="shared" si="250"/>
        <v>0</v>
      </c>
      <c r="W223" s="90">
        <f t="shared" si="250"/>
        <v>0</v>
      </c>
      <c r="X223" s="90">
        <f t="shared" si="250"/>
        <v>0</v>
      </c>
      <c r="Y223" s="90">
        <f t="shared" si="250"/>
        <v>0</v>
      </c>
      <c r="Z223" s="90">
        <f t="shared" si="250"/>
        <v>0</v>
      </c>
      <c r="AA223" s="90">
        <f t="shared" si="250"/>
        <v>0</v>
      </c>
      <c r="AB223" s="90">
        <f t="shared" si="250"/>
        <v>0</v>
      </c>
      <c r="AC223" s="90">
        <f t="shared" si="250"/>
        <v>0</v>
      </c>
      <c r="AD223" s="90">
        <f t="shared" si="250"/>
        <v>0</v>
      </c>
      <c r="AE223" s="90">
        <f t="shared" si="250"/>
        <v>0</v>
      </c>
      <c r="AF223" s="54">
        <f t="shared" si="206"/>
        <v>0</v>
      </c>
      <c r="AG223" s="2"/>
    </row>
    <row r="224" spans="1:33" ht="16" thickBot="1" x14ac:dyDescent="0.25">
      <c r="A224" s="148" t="s">
        <v>180</v>
      </c>
      <c r="B224" s="91" t="s">
        <v>9</v>
      </c>
      <c r="C224" s="92" t="s">
        <v>185</v>
      </c>
      <c r="D224" s="92" t="s">
        <v>78</v>
      </c>
      <c r="E224" s="94" t="s">
        <v>76</v>
      </c>
      <c r="F224" s="95"/>
      <c r="G224" s="142">
        <f t="shared" si="204"/>
        <v>0</v>
      </c>
      <c r="H224" s="93">
        <v>0</v>
      </c>
      <c r="I224" s="93">
        <v>0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0">
        <f t="shared" ref="T224:AE224" si="251">H224*$F$35</f>
        <v>0</v>
      </c>
      <c r="U224" s="90">
        <f t="shared" si="251"/>
        <v>0</v>
      </c>
      <c r="V224" s="90">
        <f t="shared" si="251"/>
        <v>0</v>
      </c>
      <c r="W224" s="90">
        <f t="shared" si="251"/>
        <v>0</v>
      </c>
      <c r="X224" s="90">
        <f t="shared" si="251"/>
        <v>0</v>
      </c>
      <c r="Y224" s="90">
        <f t="shared" si="251"/>
        <v>0</v>
      </c>
      <c r="Z224" s="90">
        <f t="shared" si="251"/>
        <v>0</v>
      </c>
      <c r="AA224" s="90">
        <f t="shared" si="251"/>
        <v>0</v>
      </c>
      <c r="AB224" s="90">
        <f t="shared" si="251"/>
        <v>0</v>
      </c>
      <c r="AC224" s="90">
        <f t="shared" si="251"/>
        <v>0</v>
      </c>
      <c r="AD224" s="90">
        <f t="shared" si="251"/>
        <v>0</v>
      </c>
      <c r="AE224" s="90">
        <f t="shared" si="251"/>
        <v>0</v>
      </c>
      <c r="AF224" s="54">
        <f t="shared" si="206"/>
        <v>0</v>
      </c>
      <c r="AG224" s="2"/>
    </row>
    <row r="225" spans="1:33" ht="16" thickBot="1" x14ac:dyDescent="0.25">
      <c r="A225" s="148" t="s">
        <v>180</v>
      </c>
      <c r="B225" s="91" t="s">
        <v>9</v>
      </c>
      <c r="C225" s="92" t="s">
        <v>186</v>
      </c>
      <c r="D225" s="92" t="s">
        <v>79</v>
      </c>
      <c r="E225" s="94" t="s">
        <v>76</v>
      </c>
      <c r="F225" s="95"/>
      <c r="G225" s="142">
        <f t="shared" si="204"/>
        <v>0</v>
      </c>
      <c r="H225" s="93">
        <v>0</v>
      </c>
      <c r="I225" s="93">
        <v>0</v>
      </c>
      <c r="J225" s="93">
        <v>0</v>
      </c>
      <c r="K225" s="93">
        <v>0</v>
      </c>
      <c r="L225" s="93">
        <v>0</v>
      </c>
      <c r="M225" s="93">
        <v>0</v>
      </c>
      <c r="N225" s="93">
        <v>0</v>
      </c>
      <c r="O225" s="93">
        <v>0</v>
      </c>
      <c r="P225" s="93">
        <v>0</v>
      </c>
      <c r="Q225" s="93">
        <v>0</v>
      </c>
      <c r="R225" s="93">
        <v>0</v>
      </c>
      <c r="S225" s="93">
        <v>0</v>
      </c>
      <c r="T225" s="90">
        <f t="shared" ref="T225:AE225" si="252">H225*$F$36</f>
        <v>0</v>
      </c>
      <c r="U225" s="90">
        <f t="shared" si="252"/>
        <v>0</v>
      </c>
      <c r="V225" s="90">
        <f t="shared" si="252"/>
        <v>0</v>
      </c>
      <c r="W225" s="90">
        <f t="shared" si="252"/>
        <v>0</v>
      </c>
      <c r="X225" s="90">
        <f t="shared" si="252"/>
        <v>0</v>
      </c>
      <c r="Y225" s="90">
        <f t="shared" si="252"/>
        <v>0</v>
      </c>
      <c r="Z225" s="90">
        <f t="shared" si="252"/>
        <v>0</v>
      </c>
      <c r="AA225" s="90">
        <f t="shared" si="252"/>
        <v>0</v>
      </c>
      <c r="AB225" s="90">
        <f t="shared" si="252"/>
        <v>0</v>
      </c>
      <c r="AC225" s="90">
        <f t="shared" si="252"/>
        <v>0</v>
      </c>
      <c r="AD225" s="90">
        <f t="shared" si="252"/>
        <v>0</v>
      </c>
      <c r="AE225" s="90">
        <f t="shared" si="252"/>
        <v>0</v>
      </c>
      <c r="AF225" s="54">
        <f t="shared" si="206"/>
        <v>0</v>
      </c>
      <c r="AG225" s="2"/>
    </row>
    <row r="226" spans="1:33" ht="16" thickBot="1" x14ac:dyDescent="0.25">
      <c r="A226" s="148" t="s">
        <v>180</v>
      </c>
      <c r="B226" s="91" t="s">
        <v>9</v>
      </c>
      <c r="C226" s="92" t="s">
        <v>190</v>
      </c>
      <c r="D226" s="92" t="s">
        <v>168</v>
      </c>
      <c r="E226" s="94" t="s">
        <v>76</v>
      </c>
      <c r="F226" s="95"/>
      <c r="G226" s="142">
        <f t="shared" si="204"/>
        <v>0</v>
      </c>
      <c r="H226" s="93">
        <v>0</v>
      </c>
      <c r="I226" s="93">
        <v>0</v>
      </c>
      <c r="J226" s="93">
        <v>0</v>
      </c>
      <c r="K226" s="93">
        <v>0</v>
      </c>
      <c r="L226" s="93">
        <v>0</v>
      </c>
      <c r="M226" s="93">
        <v>0</v>
      </c>
      <c r="N226" s="93">
        <v>0</v>
      </c>
      <c r="O226" s="93">
        <v>0</v>
      </c>
      <c r="P226" s="93">
        <v>0</v>
      </c>
      <c r="Q226" s="93">
        <v>0</v>
      </c>
      <c r="R226" s="93">
        <v>0</v>
      </c>
      <c r="S226" s="93">
        <v>0</v>
      </c>
      <c r="T226" s="90">
        <f t="shared" ref="T226:AE226" si="253">H226*$F$43</f>
        <v>0</v>
      </c>
      <c r="U226" s="90">
        <f t="shared" si="253"/>
        <v>0</v>
      </c>
      <c r="V226" s="90">
        <f t="shared" si="253"/>
        <v>0</v>
      </c>
      <c r="W226" s="90">
        <f t="shared" si="253"/>
        <v>0</v>
      </c>
      <c r="X226" s="90">
        <f t="shared" si="253"/>
        <v>0</v>
      </c>
      <c r="Y226" s="90">
        <f t="shared" si="253"/>
        <v>0</v>
      </c>
      <c r="Z226" s="90">
        <f t="shared" si="253"/>
        <v>0</v>
      </c>
      <c r="AA226" s="90">
        <f t="shared" si="253"/>
        <v>0</v>
      </c>
      <c r="AB226" s="90">
        <f t="shared" si="253"/>
        <v>0</v>
      </c>
      <c r="AC226" s="90">
        <f t="shared" si="253"/>
        <v>0</v>
      </c>
      <c r="AD226" s="90">
        <f t="shared" si="253"/>
        <v>0</v>
      </c>
      <c r="AE226" s="90">
        <f t="shared" si="253"/>
        <v>0</v>
      </c>
      <c r="AF226" s="54">
        <f t="shared" si="206"/>
        <v>0</v>
      </c>
      <c r="AG226" s="2"/>
    </row>
    <row r="227" spans="1:33" ht="16" thickBot="1" x14ac:dyDescent="0.25">
      <c r="A227" s="148" t="s">
        <v>180</v>
      </c>
      <c r="B227" s="91" t="s">
        <v>9</v>
      </c>
      <c r="C227" s="92" t="s">
        <v>191</v>
      </c>
      <c r="D227" s="92" t="s">
        <v>168</v>
      </c>
      <c r="E227" s="94" t="s">
        <v>76</v>
      </c>
      <c r="F227" s="95"/>
      <c r="G227" s="142">
        <f t="shared" si="204"/>
        <v>0.16666666666666666</v>
      </c>
      <c r="H227" s="93">
        <v>0</v>
      </c>
      <c r="I227" s="93">
        <v>0</v>
      </c>
      <c r="J227" s="210">
        <v>0</v>
      </c>
      <c r="K227" s="210">
        <v>0</v>
      </c>
      <c r="L227" s="93">
        <v>1</v>
      </c>
      <c r="M227" s="93">
        <v>1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0">
        <f t="shared" ref="T227:AE227" si="254">H227*$F$44</f>
        <v>0</v>
      </c>
      <c r="U227" s="90">
        <f t="shared" si="254"/>
        <v>0</v>
      </c>
      <c r="V227" s="90">
        <f t="shared" si="254"/>
        <v>0</v>
      </c>
      <c r="W227" s="90">
        <f t="shared" si="254"/>
        <v>0</v>
      </c>
      <c r="X227" s="90">
        <f t="shared" si="254"/>
        <v>16500</v>
      </c>
      <c r="Y227" s="90">
        <f t="shared" si="254"/>
        <v>16500</v>
      </c>
      <c r="Z227" s="90">
        <f t="shared" si="254"/>
        <v>0</v>
      </c>
      <c r="AA227" s="90">
        <f t="shared" si="254"/>
        <v>0</v>
      </c>
      <c r="AB227" s="90">
        <f t="shared" si="254"/>
        <v>0</v>
      </c>
      <c r="AC227" s="90">
        <f t="shared" si="254"/>
        <v>0</v>
      </c>
      <c r="AD227" s="90">
        <f t="shared" si="254"/>
        <v>0</v>
      </c>
      <c r="AE227" s="90">
        <f t="shared" si="254"/>
        <v>0</v>
      </c>
      <c r="AF227" s="54">
        <f t="shared" si="206"/>
        <v>33000</v>
      </c>
      <c r="AG227" s="2"/>
    </row>
    <row r="228" spans="1:33" ht="16" thickBot="1" x14ac:dyDescent="0.25">
      <c r="A228" s="148" t="s">
        <v>180</v>
      </c>
      <c r="B228" s="91" t="s">
        <v>9</v>
      </c>
      <c r="C228" s="92" t="s">
        <v>192</v>
      </c>
      <c r="D228" s="92" t="s">
        <v>168</v>
      </c>
      <c r="E228" s="94" t="s">
        <v>76</v>
      </c>
      <c r="F228" s="95"/>
      <c r="G228" s="142">
        <f t="shared" si="204"/>
        <v>0</v>
      </c>
      <c r="H228" s="93">
        <v>0</v>
      </c>
      <c r="I228" s="93">
        <v>0</v>
      </c>
      <c r="J228" s="93">
        <v>0</v>
      </c>
      <c r="K228" s="93">
        <v>0</v>
      </c>
      <c r="L228" s="93">
        <v>0</v>
      </c>
      <c r="M228" s="93">
        <v>0</v>
      </c>
      <c r="N228" s="93">
        <v>0</v>
      </c>
      <c r="O228" s="93">
        <v>0</v>
      </c>
      <c r="P228" s="93">
        <v>0</v>
      </c>
      <c r="Q228" s="93">
        <v>0</v>
      </c>
      <c r="R228" s="93">
        <v>0</v>
      </c>
      <c r="S228" s="93">
        <v>0</v>
      </c>
      <c r="T228" s="90">
        <f t="shared" ref="T228:AE228" si="255">H228*$F$45</f>
        <v>0</v>
      </c>
      <c r="U228" s="90">
        <f t="shared" si="255"/>
        <v>0</v>
      </c>
      <c r="V228" s="90">
        <f t="shared" si="255"/>
        <v>0</v>
      </c>
      <c r="W228" s="90">
        <f t="shared" si="255"/>
        <v>0</v>
      </c>
      <c r="X228" s="90">
        <f t="shared" si="255"/>
        <v>0</v>
      </c>
      <c r="Y228" s="90">
        <f t="shared" si="255"/>
        <v>0</v>
      </c>
      <c r="Z228" s="90">
        <f t="shared" si="255"/>
        <v>0</v>
      </c>
      <c r="AA228" s="90">
        <f t="shared" si="255"/>
        <v>0</v>
      </c>
      <c r="AB228" s="90">
        <f t="shared" si="255"/>
        <v>0</v>
      </c>
      <c r="AC228" s="90">
        <f t="shared" si="255"/>
        <v>0</v>
      </c>
      <c r="AD228" s="90">
        <f t="shared" si="255"/>
        <v>0</v>
      </c>
      <c r="AE228" s="90">
        <f t="shared" si="255"/>
        <v>0</v>
      </c>
      <c r="AF228" s="54">
        <f t="shared" si="206"/>
        <v>0</v>
      </c>
      <c r="AG228" s="2"/>
    </row>
    <row r="229" spans="1:33" ht="16" thickBot="1" x14ac:dyDescent="0.25">
      <c r="A229" s="148" t="s">
        <v>180</v>
      </c>
      <c r="B229" s="91" t="s">
        <v>9</v>
      </c>
      <c r="C229" s="92" t="s">
        <v>259</v>
      </c>
      <c r="D229" s="92" t="s">
        <v>168</v>
      </c>
      <c r="E229" s="94" t="s">
        <v>76</v>
      </c>
      <c r="F229" s="95"/>
      <c r="G229" s="142">
        <f t="shared" si="204"/>
        <v>0.66666666666666663</v>
      </c>
      <c r="H229" s="93">
        <v>0</v>
      </c>
      <c r="I229" s="93">
        <v>0</v>
      </c>
      <c r="J229" s="210">
        <v>0</v>
      </c>
      <c r="K229" s="210">
        <v>0</v>
      </c>
      <c r="L229" s="93">
        <v>1</v>
      </c>
      <c r="M229" s="93">
        <v>1</v>
      </c>
      <c r="N229" s="93">
        <v>1</v>
      </c>
      <c r="O229" s="93">
        <v>1</v>
      </c>
      <c r="P229" s="93">
        <v>1</v>
      </c>
      <c r="Q229" s="93">
        <v>1</v>
      </c>
      <c r="R229" s="93">
        <v>1</v>
      </c>
      <c r="S229" s="93">
        <v>1</v>
      </c>
      <c r="T229" s="90">
        <f t="shared" ref="T229:AE229" si="256">H229*$F$46</f>
        <v>0</v>
      </c>
      <c r="U229" s="90">
        <f t="shared" si="256"/>
        <v>0</v>
      </c>
      <c r="V229" s="90">
        <f t="shared" si="256"/>
        <v>0</v>
      </c>
      <c r="W229" s="90">
        <f t="shared" si="256"/>
        <v>0</v>
      </c>
      <c r="X229" s="90">
        <f t="shared" si="256"/>
        <v>30250</v>
      </c>
      <c r="Y229" s="90">
        <f t="shared" si="256"/>
        <v>30250</v>
      </c>
      <c r="Z229" s="90">
        <f t="shared" si="256"/>
        <v>30250</v>
      </c>
      <c r="AA229" s="90">
        <f t="shared" si="256"/>
        <v>30250</v>
      </c>
      <c r="AB229" s="90">
        <f t="shared" si="256"/>
        <v>30250</v>
      </c>
      <c r="AC229" s="90">
        <f t="shared" si="256"/>
        <v>30250</v>
      </c>
      <c r="AD229" s="90">
        <f t="shared" si="256"/>
        <v>30250</v>
      </c>
      <c r="AE229" s="90">
        <f t="shared" si="256"/>
        <v>30250</v>
      </c>
      <c r="AF229" s="54">
        <f t="shared" si="206"/>
        <v>242000</v>
      </c>
      <c r="AG229" s="2"/>
    </row>
    <row r="230" spans="1:33" ht="16" thickBot="1" x14ac:dyDescent="0.25">
      <c r="A230" s="148" t="s">
        <v>31</v>
      </c>
      <c r="B230" s="91" t="s">
        <v>9</v>
      </c>
      <c r="C230" s="92" t="s">
        <v>44</v>
      </c>
      <c r="D230" s="92" t="s">
        <v>45</v>
      </c>
      <c r="E230" s="94" t="s">
        <v>69</v>
      </c>
      <c r="F230" s="95"/>
      <c r="G230" s="142">
        <f t="shared" si="204"/>
        <v>0</v>
      </c>
      <c r="H230" s="93">
        <v>0</v>
      </c>
      <c r="I230" s="93">
        <v>0</v>
      </c>
      <c r="J230" s="93">
        <v>0</v>
      </c>
      <c r="K230" s="93">
        <v>0</v>
      </c>
      <c r="L230" s="93">
        <v>0</v>
      </c>
      <c r="M230" s="93">
        <v>0</v>
      </c>
      <c r="N230" s="93">
        <v>0</v>
      </c>
      <c r="O230" s="93">
        <v>0</v>
      </c>
      <c r="P230" s="93">
        <v>0</v>
      </c>
      <c r="Q230" s="93">
        <v>0</v>
      </c>
      <c r="R230" s="93">
        <v>0</v>
      </c>
      <c r="S230" s="93">
        <v>0</v>
      </c>
      <c r="T230" s="90">
        <f t="shared" ref="T230:AE230" si="257">H230*$F$16</f>
        <v>0</v>
      </c>
      <c r="U230" s="90">
        <f t="shared" si="257"/>
        <v>0</v>
      </c>
      <c r="V230" s="90">
        <f t="shared" si="257"/>
        <v>0</v>
      </c>
      <c r="W230" s="90">
        <f t="shared" si="257"/>
        <v>0</v>
      </c>
      <c r="X230" s="90">
        <f t="shared" si="257"/>
        <v>0</v>
      </c>
      <c r="Y230" s="90">
        <f t="shared" si="257"/>
        <v>0</v>
      </c>
      <c r="Z230" s="90">
        <f t="shared" si="257"/>
        <v>0</v>
      </c>
      <c r="AA230" s="90">
        <f t="shared" si="257"/>
        <v>0</v>
      </c>
      <c r="AB230" s="90">
        <f t="shared" si="257"/>
        <v>0</v>
      </c>
      <c r="AC230" s="90">
        <f t="shared" si="257"/>
        <v>0</v>
      </c>
      <c r="AD230" s="90">
        <f t="shared" si="257"/>
        <v>0</v>
      </c>
      <c r="AE230" s="90">
        <f t="shared" si="257"/>
        <v>0</v>
      </c>
      <c r="AF230" s="54">
        <f t="shared" si="206"/>
        <v>0</v>
      </c>
      <c r="AG230" s="2"/>
    </row>
    <row r="231" spans="1:33" ht="16" thickBot="1" x14ac:dyDescent="0.25">
      <c r="A231" s="148" t="s">
        <v>31</v>
      </c>
      <c r="B231" s="91" t="s">
        <v>9</v>
      </c>
      <c r="C231" s="92" t="s">
        <v>30</v>
      </c>
      <c r="D231" s="92" t="s">
        <v>30</v>
      </c>
      <c r="E231" s="94" t="s">
        <v>69</v>
      </c>
      <c r="F231" s="95"/>
      <c r="G231" s="142">
        <f t="shared" si="204"/>
        <v>0</v>
      </c>
      <c r="H231" s="93">
        <v>0</v>
      </c>
      <c r="I231" s="93">
        <v>0</v>
      </c>
      <c r="J231" s="93">
        <v>0</v>
      </c>
      <c r="K231" s="93">
        <v>0</v>
      </c>
      <c r="L231" s="93">
        <v>0</v>
      </c>
      <c r="M231" s="93">
        <v>0</v>
      </c>
      <c r="N231" s="93">
        <v>0</v>
      </c>
      <c r="O231" s="93">
        <v>0</v>
      </c>
      <c r="P231" s="93">
        <v>0</v>
      </c>
      <c r="Q231" s="93">
        <v>0</v>
      </c>
      <c r="R231" s="93">
        <v>0</v>
      </c>
      <c r="S231" s="93">
        <v>0</v>
      </c>
      <c r="T231" s="90">
        <f t="shared" ref="T231:AE231" si="258">H231*$F$15</f>
        <v>0</v>
      </c>
      <c r="U231" s="90">
        <f t="shared" si="258"/>
        <v>0</v>
      </c>
      <c r="V231" s="90">
        <f t="shared" si="258"/>
        <v>0</v>
      </c>
      <c r="W231" s="90">
        <f t="shared" si="258"/>
        <v>0</v>
      </c>
      <c r="X231" s="90">
        <f t="shared" si="258"/>
        <v>0</v>
      </c>
      <c r="Y231" s="90">
        <f t="shared" si="258"/>
        <v>0</v>
      </c>
      <c r="Z231" s="90">
        <f t="shared" si="258"/>
        <v>0</v>
      </c>
      <c r="AA231" s="90">
        <f t="shared" si="258"/>
        <v>0</v>
      </c>
      <c r="AB231" s="90">
        <f t="shared" si="258"/>
        <v>0</v>
      </c>
      <c r="AC231" s="90">
        <f t="shared" si="258"/>
        <v>0</v>
      </c>
      <c r="AD231" s="90">
        <f t="shared" si="258"/>
        <v>0</v>
      </c>
      <c r="AE231" s="90">
        <f t="shared" si="258"/>
        <v>0</v>
      </c>
      <c r="AF231" s="54">
        <f t="shared" si="206"/>
        <v>0</v>
      </c>
      <c r="AG231" s="2"/>
    </row>
    <row r="232" spans="1:33" ht="16" thickBot="1" x14ac:dyDescent="0.25">
      <c r="A232" s="148" t="s">
        <v>196</v>
      </c>
      <c r="B232" s="91" t="s">
        <v>9</v>
      </c>
      <c r="C232" s="92" t="s">
        <v>197</v>
      </c>
      <c r="D232" s="92" t="s">
        <v>168</v>
      </c>
      <c r="E232" s="94" t="s">
        <v>198</v>
      </c>
      <c r="F232" s="95"/>
      <c r="G232" s="142">
        <f t="shared" si="204"/>
        <v>0</v>
      </c>
      <c r="H232" s="93">
        <v>0</v>
      </c>
      <c r="I232" s="93">
        <v>0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0">
        <f t="shared" ref="T232:AE232" si="259">H232*$F$49</f>
        <v>0</v>
      </c>
      <c r="U232" s="90">
        <f t="shared" si="259"/>
        <v>0</v>
      </c>
      <c r="V232" s="90">
        <f t="shared" si="259"/>
        <v>0</v>
      </c>
      <c r="W232" s="90">
        <f t="shared" si="259"/>
        <v>0</v>
      </c>
      <c r="X232" s="90">
        <f t="shared" si="259"/>
        <v>0</v>
      </c>
      <c r="Y232" s="90">
        <f t="shared" si="259"/>
        <v>0</v>
      </c>
      <c r="Z232" s="90">
        <f t="shared" si="259"/>
        <v>0</v>
      </c>
      <c r="AA232" s="90">
        <f t="shared" si="259"/>
        <v>0</v>
      </c>
      <c r="AB232" s="90">
        <f t="shared" si="259"/>
        <v>0</v>
      </c>
      <c r="AC232" s="90">
        <f t="shared" si="259"/>
        <v>0</v>
      </c>
      <c r="AD232" s="90">
        <f t="shared" si="259"/>
        <v>0</v>
      </c>
      <c r="AE232" s="90">
        <f t="shared" si="259"/>
        <v>0</v>
      </c>
      <c r="AF232" s="54">
        <f t="shared" si="206"/>
        <v>0</v>
      </c>
      <c r="AG232" s="2"/>
    </row>
    <row r="233" spans="1:33" ht="16" thickBot="1" x14ac:dyDescent="0.25">
      <c r="A233" s="148" t="s">
        <v>163</v>
      </c>
      <c r="B233" s="91" t="s">
        <v>9</v>
      </c>
      <c r="C233" s="92" t="s">
        <v>199</v>
      </c>
      <c r="D233" s="92"/>
      <c r="E233" s="94" t="s">
        <v>69</v>
      </c>
      <c r="F233" s="95"/>
      <c r="G233" s="142">
        <f t="shared" si="204"/>
        <v>1</v>
      </c>
      <c r="H233" s="93">
        <v>1</v>
      </c>
      <c r="I233" s="93">
        <v>1</v>
      </c>
      <c r="J233" s="93">
        <v>1</v>
      </c>
      <c r="K233" s="93">
        <v>1</v>
      </c>
      <c r="L233" s="93">
        <v>1</v>
      </c>
      <c r="M233" s="93">
        <v>1</v>
      </c>
      <c r="N233" s="93">
        <v>1</v>
      </c>
      <c r="O233" s="93">
        <v>1</v>
      </c>
      <c r="P233" s="93">
        <v>1</v>
      </c>
      <c r="Q233" s="93">
        <v>1</v>
      </c>
      <c r="R233" s="93">
        <v>1</v>
      </c>
      <c r="S233" s="93">
        <v>1</v>
      </c>
      <c r="T233" s="90">
        <f t="shared" ref="T233:AE233" si="260">H233*$F$14</f>
        <v>1000</v>
      </c>
      <c r="U233" s="90">
        <f t="shared" si="260"/>
        <v>1000</v>
      </c>
      <c r="V233" s="90">
        <f t="shared" si="260"/>
        <v>1000</v>
      </c>
      <c r="W233" s="90">
        <f t="shared" si="260"/>
        <v>1000</v>
      </c>
      <c r="X233" s="90">
        <f t="shared" si="260"/>
        <v>1000</v>
      </c>
      <c r="Y233" s="90">
        <f t="shared" si="260"/>
        <v>1000</v>
      </c>
      <c r="Z233" s="90">
        <f t="shared" si="260"/>
        <v>1000</v>
      </c>
      <c r="AA233" s="90">
        <f t="shared" si="260"/>
        <v>1000</v>
      </c>
      <c r="AB233" s="90">
        <f t="shared" si="260"/>
        <v>1000</v>
      </c>
      <c r="AC233" s="90">
        <f t="shared" si="260"/>
        <v>1000</v>
      </c>
      <c r="AD233" s="90">
        <f t="shared" si="260"/>
        <v>1000</v>
      </c>
      <c r="AE233" s="90">
        <f t="shared" si="260"/>
        <v>1000</v>
      </c>
      <c r="AF233" s="54">
        <f t="shared" si="206"/>
        <v>12000</v>
      </c>
      <c r="AG233" s="2"/>
    </row>
    <row r="234" spans="1:33" ht="16" thickBot="1" x14ac:dyDescent="0.25">
      <c r="A234" s="148" t="s">
        <v>180</v>
      </c>
      <c r="B234" s="91" t="s">
        <v>9</v>
      </c>
      <c r="C234" s="92" t="s">
        <v>181</v>
      </c>
      <c r="D234" s="92" t="s">
        <v>80</v>
      </c>
      <c r="E234" s="94" t="s">
        <v>76</v>
      </c>
      <c r="F234" s="95"/>
      <c r="G234" s="142">
        <f t="shared" si="204"/>
        <v>0</v>
      </c>
      <c r="H234" s="93">
        <v>0</v>
      </c>
      <c r="I234" s="93">
        <v>0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0">
        <f t="shared" ref="T234:AE234" si="261">H234*$F$37</f>
        <v>0</v>
      </c>
      <c r="U234" s="90">
        <f t="shared" si="261"/>
        <v>0</v>
      </c>
      <c r="V234" s="90">
        <f t="shared" si="261"/>
        <v>0</v>
      </c>
      <c r="W234" s="90">
        <f t="shared" si="261"/>
        <v>0</v>
      </c>
      <c r="X234" s="90">
        <f t="shared" si="261"/>
        <v>0</v>
      </c>
      <c r="Y234" s="90">
        <f t="shared" si="261"/>
        <v>0</v>
      </c>
      <c r="Z234" s="90">
        <f t="shared" si="261"/>
        <v>0</v>
      </c>
      <c r="AA234" s="90">
        <f t="shared" si="261"/>
        <v>0</v>
      </c>
      <c r="AB234" s="90">
        <f t="shared" si="261"/>
        <v>0</v>
      </c>
      <c r="AC234" s="90">
        <f t="shared" si="261"/>
        <v>0</v>
      </c>
      <c r="AD234" s="90">
        <f t="shared" si="261"/>
        <v>0</v>
      </c>
      <c r="AE234" s="90">
        <f t="shared" si="261"/>
        <v>0</v>
      </c>
      <c r="AF234" s="54">
        <f t="shared" si="206"/>
        <v>0</v>
      </c>
      <c r="AG234" s="2"/>
    </row>
    <row r="235" spans="1:33" ht="16" thickBot="1" x14ac:dyDescent="0.25">
      <c r="A235" s="148" t="s">
        <v>180</v>
      </c>
      <c r="B235" s="91" t="s">
        <v>9</v>
      </c>
      <c r="C235" s="92" t="s">
        <v>182</v>
      </c>
      <c r="D235" s="92" t="s">
        <v>90</v>
      </c>
      <c r="E235" s="94" t="s">
        <v>76</v>
      </c>
      <c r="F235" s="95"/>
      <c r="G235" s="142">
        <f t="shared" si="204"/>
        <v>0</v>
      </c>
      <c r="H235" s="93">
        <v>0</v>
      </c>
      <c r="I235" s="93">
        <v>0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0">
        <f t="shared" ref="T235:AE235" si="262">H235*$F$39</f>
        <v>0</v>
      </c>
      <c r="U235" s="90">
        <f t="shared" si="262"/>
        <v>0</v>
      </c>
      <c r="V235" s="90">
        <f t="shared" si="262"/>
        <v>0</v>
      </c>
      <c r="W235" s="90">
        <f t="shared" si="262"/>
        <v>0</v>
      </c>
      <c r="X235" s="90">
        <f t="shared" si="262"/>
        <v>0</v>
      </c>
      <c r="Y235" s="90">
        <f t="shared" si="262"/>
        <v>0</v>
      </c>
      <c r="Z235" s="90">
        <f t="shared" si="262"/>
        <v>0</v>
      </c>
      <c r="AA235" s="90">
        <f t="shared" si="262"/>
        <v>0</v>
      </c>
      <c r="AB235" s="90">
        <f t="shared" si="262"/>
        <v>0</v>
      </c>
      <c r="AC235" s="90">
        <f t="shared" si="262"/>
        <v>0</v>
      </c>
      <c r="AD235" s="90">
        <f t="shared" si="262"/>
        <v>0</v>
      </c>
      <c r="AE235" s="90">
        <f t="shared" si="262"/>
        <v>0</v>
      </c>
      <c r="AF235" s="54">
        <f t="shared" si="206"/>
        <v>0</v>
      </c>
      <c r="AG235" s="2"/>
    </row>
    <row r="236" spans="1:33" ht="16" thickBot="1" x14ac:dyDescent="0.25">
      <c r="A236" s="148" t="s">
        <v>180</v>
      </c>
      <c r="B236" s="91" t="s">
        <v>9</v>
      </c>
      <c r="C236" s="92" t="s">
        <v>187</v>
      </c>
      <c r="D236" s="92" t="s">
        <v>168</v>
      </c>
      <c r="E236" s="94" t="s">
        <v>76</v>
      </c>
      <c r="F236" s="95"/>
      <c r="G236" s="142">
        <f t="shared" si="204"/>
        <v>0</v>
      </c>
      <c r="H236" s="93">
        <v>0</v>
      </c>
      <c r="I236" s="93">
        <v>0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0">
        <f t="shared" ref="T236:AE236" si="263">H236*$F$38</f>
        <v>0</v>
      </c>
      <c r="U236" s="90">
        <f t="shared" si="263"/>
        <v>0</v>
      </c>
      <c r="V236" s="90">
        <f t="shared" si="263"/>
        <v>0</v>
      </c>
      <c r="W236" s="90">
        <f t="shared" si="263"/>
        <v>0</v>
      </c>
      <c r="X236" s="90">
        <f t="shared" si="263"/>
        <v>0</v>
      </c>
      <c r="Y236" s="90">
        <f t="shared" si="263"/>
        <v>0</v>
      </c>
      <c r="Z236" s="90">
        <f t="shared" si="263"/>
        <v>0</v>
      </c>
      <c r="AA236" s="90">
        <f t="shared" si="263"/>
        <v>0</v>
      </c>
      <c r="AB236" s="90">
        <f t="shared" si="263"/>
        <v>0</v>
      </c>
      <c r="AC236" s="90">
        <f t="shared" si="263"/>
        <v>0</v>
      </c>
      <c r="AD236" s="90">
        <f t="shared" si="263"/>
        <v>0</v>
      </c>
      <c r="AE236" s="90">
        <f t="shared" si="263"/>
        <v>0</v>
      </c>
      <c r="AF236" s="54">
        <f t="shared" si="206"/>
        <v>0</v>
      </c>
      <c r="AG236" s="2"/>
    </row>
    <row r="237" spans="1:33" ht="16" thickBot="1" x14ac:dyDescent="0.25">
      <c r="A237" s="148" t="s">
        <v>163</v>
      </c>
      <c r="B237" s="91" t="s">
        <v>9</v>
      </c>
      <c r="C237" s="92" t="s">
        <v>115</v>
      </c>
      <c r="D237" s="92" t="s">
        <v>137</v>
      </c>
      <c r="E237" s="94" t="s">
        <v>76</v>
      </c>
      <c r="F237" s="95"/>
      <c r="G237" s="142">
        <f t="shared" si="204"/>
        <v>1</v>
      </c>
      <c r="H237" s="93">
        <v>1</v>
      </c>
      <c r="I237" s="93">
        <v>1</v>
      </c>
      <c r="J237" s="93">
        <v>1</v>
      </c>
      <c r="K237" s="93">
        <v>1</v>
      </c>
      <c r="L237" s="93">
        <v>1</v>
      </c>
      <c r="M237" s="93">
        <v>1</v>
      </c>
      <c r="N237" s="93">
        <v>1</v>
      </c>
      <c r="O237" s="93">
        <v>1</v>
      </c>
      <c r="P237" s="93">
        <v>1</v>
      </c>
      <c r="Q237" s="93">
        <v>1</v>
      </c>
      <c r="R237" s="93">
        <v>1</v>
      </c>
      <c r="S237" s="93">
        <v>1</v>
      </c>
      <c r="T237" s="90">
        <f t="shared" ref="T237:AE237" si="264">$F$5*H237</f>
        <v>27000</v>
      </c>
      <c r="U237" s="90">
        <f t="shared" si="264"/>
        <v>27000</v>
      </c>
      <c r="V237" s="90">
        <f t="shared" si="264"/>
        <v>27000</v>
      </c>
      <c r="W237" s="90">
        <f t="shared" si="264"/>
        <v>27000</v>
      </c>
      <c r="X237" s="90">
        <f t="shared" si="264"/>
        <v>27000</v>
      </c>
      <c r="Y237" s="90">
        <f t="shared" si="264"/>
        <v>27000</v>
      </c>
      <c r="Z237" s="90">
        <f t="shared" si="264"/>
        <v>27000</v>
      </c>
      <c r="AA237" s="90">
        <f t="shared" si="264"/>
        <v>27000</v>
      </c>
      <c r="AB237" s="90">
        <f t="shared" si="264"/>
        <v>27000</v>
      </c>
      <c r="AC237" s="90">
        <f t="shared" si="264"/>
        <v>27000</v>
      </c>
      <c r="AD237" s="90">
        <f t="shared" si="264"/>
        <v>27000</v>
      </c>
      <c r="AE237" s="90">
        <f t="shared" si="264"/>
        <v>27000</v>
      </c>
      <c r="AF237" s="54">
        <f t="shared" si="206"/>
        <v>324000</v>
      </c>
      <c r="AG237" s="2"/>
    </row>
    <row r="238" spans="1:33" ht="16" thickBot="1" x14ac:dyDescent="0.25">
      <c r="A238" s="148" t="s">
        <v>68</v>
      </c>
      <c r="B238" s="91" t="s">
        <v>9</v>
      </c>
      <c r="C238" s="92" t="s">
        <v>29</v>
      </c>
      <c r="D238" s="92" t="s">
        <v>114</v>
      </c>
      <c r="E238" s="94" t="s">
        <v>198</v>
      </c>
      <c r="F238" s="95"/>
      <c r="G238" s="142">
        <f t="shared" si="204"/>
        <v>0</v>
      </c>
      <c r="H238" s="93">
        <v>0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0">
        <f t="shared" ref="T238:AE238" si="265">$F$20*H238</f>
        <v>0</v>
      </c>
      <c r="U238" s="90">
        <f t="shared" si="265"/>
        <v>0</v>
      </c>
      <c r="V238" s="90">
        <f t="shared" si="265"/>
        <v>0</v>
      </c>
      <c r="W238" s="90">
        <f t="shared" si="265"/>
        <v>0</v>
      </c>
      <c r="X238" s="90">
        <f t="shared" si="265"/>
        <v>0</v>
      </c>
      <c r="Y238" s="90">
        <f t="shared" si="265"/>
        <v>0</v>
      </c>
      <c r="Z238" s="90">
        <f t="shared" si="265"/>
        <v>0</v>
      </c>
      <c r="AA238" s="90">
        <f t="shared" si="265"/>
        <v>0</v>
      </c>
      <c r="AB238" s="90">
        <f t="shared" si="265"/>
        <v>0</v>
      </c>
      <c r="AC238" s="90">
        <f t="shared" si="265"/>
        <v>0</v>
      </c>
      <c r="AD238" s="90">
        <f t="shared" si="265"/>
        <v>0</v>
      </c>
      <c r="AE238" s="90">
        <f t="shared" si="265"/>
        <v>0</v>
      </c>
      <c r="AF238" s="54">
        <f t="shared" si="206"/>
        <v>0</v>
      </c>
      <c r="AG238" s="2"/>
    </row>
    <row r="239" spans="1:33" ht="16" thickBot="1" x14ac:dyDescent="0.25">
      <c r="A239" s="148" t="s">
        <v>68</v>
      </c>
      <c r="B239" s="91" t="s">
        <v>9</v>
      </c>
      <c r="C239" s="92" t="s">
        <v>178</v>
      </c>
      <c r="D239" s="92" t="s">
        <v>89</v>
      </c>
      <c r="E239" s="94" t="s">
        <v>69</v>
      </c>
      <c r="F239" s="95"/>
      <c r="G239" s="142">
        <f t="shared" si="204"/>
        <v>0</v>
      </c>
      <c r="H239" s="93">
        <v>0</v>
      </c>
      <c r="I239" s="93">
        <v>0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0">
        <f t="shared" ref="T239:AE239" si="266">H239*$F$21</f>
        <v>0</v>
      </c>
      <c r="U239" s="90">
        <f t="shared" si="266"/>
        <v>0</v>
      </c>
      <c r="V239" s="90">
        <f t="shared" si="266"/>
        <v>0</v>
      </c>
      <c r="W239" s="90">
        <f t="shared" si="266"/>
        <v>0</v>
      </c>
      <c r="X239" s="90">
        <f t="shared" si="266"/>
        <v>0</v>
      </c>
      <c r="Y239" s="90">
        <f t="shared" si="266"/>
        <v>0</v>
      </c>
      <c r="Z239" s="90">
        <f t="shared" si="266"/>
        <v>0</v>
      </c>
      <c r="AA239" s="90">
        <f t="shared" si="266"/>
        <v>0</v>
      </c>
      <c r="AB239" s="90">
        <f t="shared" si="266"/>
        <v>0</v>
      </c>
      <c r="AC239" s="90">
        <f t="shared" si="266"/>
        <v>0</v>
      </c>
      <c r="AD239" s="90">
        <f t="shared" si="266"/>
        <v>0</v>
      </c>
      <c r="AE239" s="90">
        <f t="shared" si="266"/>
        <v>0</v>
      </c>
      <c r="AF239" s="54">
        <f t="shared" si="206"/>
        <v>0</v>
      </c>
      <c r="AG239" s="2"/>
    </row>
    <row r="240" spans="1:33" ht="16" thickBot="1" x14ac:dyDescent="0.25">
      <c r="A240" s="148" t="s">
        <v>163</v>
      </c>
      <c r="B240" s="91" t="s">
        <v>9</v>
      </c>
      <c r="C240" s="92" t="s">
        <v>169</v>
      </c>
      <c r="D240" s="92" t="s">
        <v>168</v>
      </c>
      <c r="E240" s="94" t="s">
        <v>76</v>
      </c>
      <c r="F240" s="95"/>
      <c r="G240" s="142">
        <f t="shared" si="204"/>
        <v>0</v>
      </c>
      <c r="H240" s="93">
        <v>0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0">
        <f t="shared" ref="T240:AE240" si="267">H240*$F$6</f>
        <v>0</v>
      </c>
      <c r="U240" s="90">
        <f t="shared" si="267"/>
        <v>0</v>
      </c>
      <c r="V240" s="90">
        <f t="shared" si="267"/>
        <v>0</v>
      </c>
      <c r="W240" s="90">
        <f t="shared" si="267"/>
        <v>0</v>
      </c>
      <c r="X240" s="90">
        <f t="shared" si="267"/>
        <v>0</v>
      </c>
      <c r="Y240" s="90">
        <f t="shared" si="267"/>
        <v>0</v>
      </c>
      <c r="Z240" s="90">
        <f t="shared" si="267"/>
        <v>0</v>
      </c>
      <c r="AA240" s="90">
        <f t="shared" si="267"/>
        <v>0</v>
      </c>
      <c r="AB240" s="90">
        <f t="shared" si="267"/>
        <v>0</v>
      </c>
      <c r="AC240" s="90">
        <f t="shared" si="267"/>
        <v>0</v>
      </c>
      <c r="AD240" s="90">
        <f t="shared" si="267"/>
        <v>0</v>
      </c>
      <c r="AE240" s="90">
        <f t="shared" si="267"/>
        <v>0</v>
      </c>
      <c r="AF240" s="54">
        <f t="shared" si="206"/>
        <v>0</v>
      </c>
      <c r="AG240" s="2"/>
    </row>
    <row r="241" spans="1:33" ht="16" thickBot="1" x14ac:dyDescent="0.25">
      <c r="A241" s="148" t="s">
        <v>163</v>
      </c>
      <c r="B241" s="91" t="s">
        <v>9</v>
      </c>
      <c r="C241" s="92" t="s">
        <v>170</v>
      </c>
      <c r="D241" s="92" t="s">
        <v>168</v>
      </c>
      <c r="E241" s="94" t="s">
        <v>76</v>
      </c>
      <c r="F241" s="95"/>
      <c r="G241" s="142">
        <f t="shared" ref="G241:G304" si="268">AVERAGE(H241:S241)</f>
        <v>0</v>
      </c>
      <c r="H241" s="93">
        <v>0</v>
      </c>
      <c r="I241" s="93">
        <v>0</v>
      </c>
      <c r="J241" s="93">
        <v>0</v>
      </c>
      <c r="K241" s="93">
        <v>0</v>
      </c>
      <c r="L241" s="93">
        <v>0</v>
      </c>
      <c r="M241" s="93">
        <v>0</v>
      </c>
      <c r="N241" s="93">
        <v>0</v>
      </c>
      <c r="O241" s="93">
        <v>0</v>
      </c>
      <c r="P241" s="93">
        <v>0</v>
      </c>
      <c r="Q241" s="93">
        <v>0</v>
      </c>
      <c r="R241" s="93">
        <v>0</v>
      </c>
      <c r="S241" s="93">
        <v>0</v>
      </c>
      <c r="T241" s="90">
        <f t="shared" ref="T241:AE241" si="269">H241*$F$7</f>
        <v>0</v>
      </c>
      <c r="U241" s="90">
        <f t="shared" si="269"/>
        <v>0</v>
      </c>
      <c r="V241" s="90">
        <f t="shared" si="269"/>
        <v>0</v>
      </c>
      <c r="W241" s="90">
        <f t="shared" si="269"/>
        <v>0</v>
      </c>
      <c r="X241" s="90">
        <f t="shared" si="269"/>
        <v>0</v>
      </c>
      <c r="Y241" s="90">
        <f t="shared" si="269"/>
        <v>0</v>
      </c>
      <c r="Z241" s="90">
        <f t="shared" si="269"/>
        <v>0</v>
      </c>
      <c r="AA241" s="90">
        <f t="shared" si="269"/>
        <v>0</v>
      </c>
      <c r="AB241" s="90">
        <f t="shared" si="269"/>
        <v>0</v>
      </c>
      <c r="AC241" s="90">
        <f t="shared" si="269"/>
        <v>0</v>
      </c>
      <c r="AD241" s="90">
        <f t="shared" si="269"/>
        <v>0</v>
      </c>
      <c r="AE241" s="90">
        <f t="shared" si="269"/>
        <v>0</v>
      </c>
      <c r="AF241" s="54">
        <f t="shared" ref="AF241:AF279" si="270">SUM(T241:AE241)</f>
        <v>0</v>
      </c>
      <c r="AG241" s="2"/>
    </row>
    <row r="242" spans="1:33" ht="16" thickBot="1" x14ac:dyDescent="0.25">
      <c r="A242" s="148" t="s">
        <v>180</v>
      </c>
      <c r="B242" s="91" t="s">
        <v>9</v>
      </c>
      <c r="C242" s="92" t="s">
        <v>183</v>
      </c>
      <c r="D242" s="92" t="s">
        <v>77</v>
      </c>
      <c r="E242" s="94" t="s">
        <v>76</v>
      </c>
      <c r="F242" s="95"/>
      <c r="G242" s="142">
        <f t="shared" si="268"/>
        <v>0</v>
      </c>
      <c r="H242" s="93">
        <v>0</v>
      </c>
      <c r="I242" s="93">
        <v>0</v>
      </c>
      <c r="J242" s="93">
        <v>0</v>
      </c>
      <c r="K242" s="93">
        <v>0</v>
      </c>
      <c r="L242" s="93">
        <v>0</v>
      </c>
      <c r="M242" s="93">
        <v>0</v>
      </c>
      <c r="N242" s="93">
        <v>0</v>
      </c>
      <c r="O242" s="93">
        <v>0</v>
      </c>
      <c r="P242" s="93">
        <v>0</v>
      </c>
      <c r="Q242" s="93">
        <v>0</v>
      </c>
      <c r="R242" s="93">
        <v>0</v>
      </c>
      <c r="S242" s="93">
        <v>0</v>
      </c>
      <c r="T242" s="90">
        <f t="shared" ref="T242:AE242" si="271">H242*$F$34</f>
        <v>0</v>
      </c>
      <c r="U242" s="90">
        <f t="shared" si="271"/>
        <v>0</v>
      </c>
      <c r="V242" s="90">
        <f t="shared" si="271"/>
        <v>0</v>
      </c>
      <c r="W242" s="90">
        <f t="shared" si="271"/>
        <v>0</v>
      </c>
      <c r="X242" s="90">
        <f t="shared" si="271"/>
        <v>0</v>
      </c>
      <c r="Y242" s="90">
        <f t="shared" si="271"/>
        <v>0</v>
      </c>
      <c r="Z242" s="90">
        <f t="shared" si="271"/>
        <v>0</v>
      </c>
      <c r="AA242" s="90">
        <f t="shared" si="271"/>
        <v>0</v>
      </c>
      <c r="AB242" s="90">
        <f t="shared" si="271"/>
        <v>0</v>
      </c>
      <c r="AC242" s="90">
        <f t="shared" si="271"/>
        <v>0</v>
      </c>
      <c r="AD242" s="90">
        <f t="shared" si="271"/>
        <v>0</v>
      </c>
      <c r="AE242" s="90">
        <f t="shared" si="271"/>
        <v>0</v>
      </c>
      <c r="AF242" s="54">
        <f t="shared" si="270"/>
        <v>0</v>
      </c>
      <c r="AG242" s="2"/>
    </row>
    <row r="243" spans="1:33" ht="16" thickBot="1" x14ac:dyDescent="0.25">
      <c r="A243" s="148" t="s">
        <v>180</v>
      </c>
      <c r="B243" s="91" t="s">
        <v>9</v>
      </c>
      <c r="C243" s="92" t="s">
        <v>184</v>
      </c>
      <c r="D243" s="92" t="s">
        <v>168</v>
      </c>
      <c r="E243" s="94" t="s">
        <v>76</v>
      </c>
      <c r="F243" s="95"/>
      <c r="G243" s="142">
        <f t="shared" si="268"/>
        <v>0</v>
      </c>
      <c r="H243" s="93">
        <v>0</v>
      </c>
      <c r="I243" s="93">
        <v>0</v>
      </c>
      <c r="J243" s="93">
        <v>0</v>
      </c>
      <c r="K243" s="93">
        <v>0</v>
      </c>
      <c r="L243" s="93">
        <v>0</v>
      </c>
      <c r="M243" s="93">
        <v>0</v>
      </c>
      <c r="N243" s="93">
        <v>0</v>
      </c>
      <c r="O243" s="93">
        <v>0</v>
      </c>
      <c r="P243" s="93">
        <v>0</v>
      </c>
      <c r="Q243" s="93">
        <v>0</v>
      </c>
      <c r="R243" s="93">
        <v>0</v>
      </c>
      <c r="S243" s="93">
        <v>0</v>
      </c>
      <c r="T243" s="90">
        <f t="shared" ref="T243:AE243" si="272">H243*$F$40</f>
        <v>0</v>
      </c>
      <c r="U243" s="90">
        <f t="shared" si="272"/>
        <v>0</v>
      </c>
      <c r="V243" s="90">
        <f t="shared" si="272"/>
        <v>0</v>
      </c>
      <c r="W243" s="90">
        <f t="shared" si="272"/>
        <v>0</v>
      </c>
      <c r="X243" s="90">
        <f t="shared" si="272"/>
        <v>0</v>
      </c>
      <c r="Y243" s="90">
        <f t="shared" si="272"/>
        <v>0</v>
      </c>
      <c r="Z243" s="90">
        <f t="shared" si="272"/>
        <v>0</v>
      </c>
      <c r="AA243" s="90">
        <f t="shared" si="272"/>
        <v>0</v>
      </c>
      <c r="AB243" s="90">
        <f t="shared" si="272"/>
        <v>0</v>
      </c>
      <c r="AC243" s="90">
        <f t="shared" si="272"/>
        <v>0</v>
      </c>
      <c r="AD243" s="90">
        <f t="shared" si="272"/>
        <v>0</v>
      </c>
      <c r="AE243" s="90">
        <f t="shared" si="272"/>
        <v>0</v>
      </c>
      <c r="AF243" s="54">
        <f t="shared" si="270"/>
        <v>0</v>
      </c>
      <c r="AG243" s="2"/>
    </row>
    <row r="244" spans="1:33" ht="16" thickBot="1" x14ac:dyDescent="0.25">
      <c r="A244" s="148" t="s">
        <v>180</v>
      </c>
      <c r="B244" s="91" t="s">
        <v>9</v>
      </c>
      <c r="C244" s="92" t="s">
        <v>188</v>
      </c>
      <c r="D244" s="92" t="s">
        <v>168</v>
      </c>
      <c r="E244" s="94" t="s">
        <v>76</v>
      </c>
      <c r="F244" s="95"/>
      <c r="G244" s="142">
        <f t="shared" si="268"/>
        <v>0.66666666666666663</v>
      </c>
      <c r="H244" s="93">
        <v>0</v>
      </c>
      <c r="I244" s="93">
        <v>0</v>
      </c>
      <c r="J244" s="210">
        <v>0</v>
      </c>
      <c r="K244" s="210">
        <v>0</v>
      </c>
      <c r="L244" s="93">
        <v>1</v>
      </c>
      <c r="M244" s="93">
        <v>1</v>
      </c>
      <c r="N244" s="93">
        <v>1</v>
      </c>
      <c r="O244" s="93">
        <v>1</v>
      </c>
      <c r="P244" s="93">
        <v>1</v>
      </c>
      <c r="Q244" s="93">
        <v>1</v>
      </c>
      <c r="R244" s="93">
        <v>1</v>
      </c>
      <c r="S244" s="93">
        <v>1</v>
      </c>
      <c r="T244" s="90">
        <f t="shared" ref="T244:AE244" si="273">H244*$F$41</f>
        <v>0</v>
      </c>
      <c r="U244" s="90">
        <f t="shared" si="273"/>
        <v>0</v>
      </c>
      <c r="V244" s="90">
        <f t="shared" si="273"/>
        <v>0</v>
      </c>
      <c r="W244" s="90">
        <f t="shared" si="273"/>
        <v>0</v>
      </c>
      <c r="X244" s="90">
        <f t="shared" si="273"/>
        <v>30250</v>
      </c>
      <c r="Y244" s="90">
        <f t="shared" si="273"/>
        <v>30250</v>
      </c>
      <c r="Z244" s="90">
        <f t="shared" si="273"/>
        <v>30250</v>
      </c>
      <c r="AA244" s="90">
        <f t="shared" si="273"/>
        <v>30250</v>
      </c>
      <c r="AB244" s="90">
        <f t="shared" si="273"/>
        <v>30250</v>
      </c>
      <c r="AC244" s="90">
        <f t="shared" si="273"/>
        <v>30250</v>
      </c>
      <c r="AD244" s="90">
        <f t="shared" si="273"/>
        <v>30250</v>
      </c>
      <c r="AE244" s="90">
        <f t="shared" si="273"/>
        <v>30250</v>
      </c>
      <c r="AF244" s="54">
        <f t="shared" si="270"/>
        <v>242000</v>
      </c>
      <c r="AG244" s="2"/>
    </row>
    <row r="245" spans="1:33" ht="16" thickBot="1" x14ac:dyDescent="0.25">
      <c r="A245" s="148" t="s">
        <v>180</v>
      </c>
      <c r="B245" s="91" t="s">
        <v>9</v>
      </c>
      <c r="C245" s="92" t="s">
        <v>189</v>
      </c>
      <c r="D245" s="92" t="s">
        <v>168</v>
      </c>
      <c r="E245" s="94" t="s">
        <v>76</v>
      </c>
      <c r="F245" s="95"/>
      <c r="G245" s="142">
        <f t="shared" si="268"/>
        <v>0.16666666666666666</v>
      </c>
      <c r="H245" s="93">
        <v>0</v>
      </c>
      <c r="I245" s="93">
        <v>0</v>
      </c>
      <c r="J245" s="210">
        <v>0</v>
      </c>
      <c r="K245" s="210">
        <v>0</v>
      </c>
      <c r="L245" s="93">
        <v>1</v>
      </c>
      <c r="M245" s="93">
        <v>1</v>
      </c>
      <c r="N245" s="93">
        <v>0</v>
      </c>
      <c r="O245" s="93">
        <v>0</v>
      </c>
      <c r="P245" s="93">
        <v>0</v>
      </c>
      <c r="Q245" s="93">
        <v>0</v>
      </c>
      <c r="R245" s="93">
        <v>0</v>
      </c>
      <c r="S245" s="93">
        <v>0</v>
      </c>
      <c r="T245" s="90">
        <f t="shared" ref="T245:AE245" si="274">H245*$F$42</f>
        <v>0</v>
      </c>
      <c r="U245" s="90">
        <f t="shared" si="274"/>
        <v>0</v>
      </c>
      <c r="V245" s="90">
        <f t="shared" si="274"/>
        <v>0</v>
      </c>
      <c r="W245" s="90">
        <f t="shared" si="274"/>
        <v>0</v>
      </c>
      <c r="X245" s="90">
        <f t="shared" si="274"/>
        <v>30250</v>
      </c>
      <c r="Y245" s="90">
        <f t="shared" si="274"/>
        <v>30250</v>
      </c>
      <c r="Z245" s="90">
        <f t="shared" si="274"/>
        <v>0</v>
      </c>
      <c r="AA245" s="90">
        <f t="shared" si="274"/>
        <v>0</v>
      </c>
      <c r="AB245" s="90">
        <f t="shared" si="274"/>
        <v>0</v>
      </c>
      <c r="AC245" s="90">
        <f t="shared" si="274"/>
        <v>0</v>
      </c>
      <c r="AD245" s="90">
        <f t="shared" si="274"/>
        <v>0</v>
      </c>
      <c r="AE245" s="90">
        <f t="shared" si="274"/>
        <v>0</v>
      </c>
      <c r="AF245" s="54">
        <f t="shared" si="270"/>
        <v>60500</v>
      </c>
      <c r="AG245" s="2"/>
    </row>
    <row r="246" spans="1:33" ht="16" thickBot="1" x14ac:dyDescent="0.25">
      <c r="A246" s="148" t="s">
        <v>51</v>
      </c>
      <c r="B246" s="91" t="s">
        <v>9</v>
      </c>
      <c r="C246" s="92" t="s">
        <v>249</v>
      </c>
      <c r="D246" s="92" t="s">
        <v>168</v>
      </c>
      <c r="E246" s="94" t="s">
        <v>198</v>
      </c>
      <c r="F246" s="95"/>
      <c r="G246" s="142">
        <f t="shared" si="268"/>
        <v>0</v>
      </c>
      <c r="H246" s="93">
        <v>0</v>
      </c>
      <c r="I246" s="93">
        <v>0</v>
      </c>
      <c r="J246" s="93">
        <v>0</v>
      </c>
      <c r="K246" s="93">
        <v>0</v>
      </c>
      <c r="L246" s="93">
        <v>0</v>
      </c>
      <c r="M246" s="93">
        <v>0</v>
      </c>
      <c r="N246" s="93">
        <v>0</v>
      </c>
      <c r="O246" s="93">
        <v>0</v>
      </c>
      <c r="P246" s="93">
        <v>0</v>
      </c>
      <c r="Q246" s="93">
        <v>0</v>
      </c>
      <c r="R246" s="93">
        <v>0</v>
      </c>
      <c r="S246" s="93">
        <v>0</v>
      </c>
      <c r="T246" s="90">
        <f t="shared" ref="T246:AE246" si="275">H246*$F$24</f>
        <v>0</v>
      </c>
      <c r="U246" s="90">
        <f t="shared" si="275"/>
        <v>0</v>
      </c>
      <c r="V246" s="90">
        <f t="shared" si="275"/>
        <v>0</v>
      </c>
      <c r="W246" s="90">
        <f t="shared" si="275"/>
        <v>0</v>
      </c>
      <c r="X246" s="90">
        <f t="shared" si="275"/>
        <v>0</v>
      </c>
      <c r="Y246" s="90">
        <f t="shared" si="275"/>
        <v>0</v>
      </c>
      <c r="Z246" s="90">
        <f t="shared" si="275"/>
        <v>0</v>
      </c>
      <c r="AA246" s="90">
        <f t="shared" si="275"/>
        <v>0</v>
      </c>
      <c r="AB246" s="90">
        <f t="shared" si="275"/>
        <v>0</v>
      </c>
      <c r="AC246" s="90">
        <f t="shared" si="275"/>
        <v>0</v>
      </c>
      <c r="AD246" s="90">
        <f t="shared" si="275"/>
        <v>0</v>
      </c>
      <c r="AE246" s="90">
        <f t="shared" si="275"/>
        <v>0</v>
      </c>
      <c r="AF246" s="54">
        <f t="shared" si="270"/>
        <v>0</v>
      </c>
      <c r="AG246" s="2"/>
    </row>
    <row r="247" spans="1:33" ht="16" thickBot="1" x14ac:dyDescent="0.25">
      <c r="A247" s="148" t="s">
        <v>31</v>
      </c>
      <c r="B247" s="91" t="s">
        <v>9</v>
      </c>
      <c r="C247" s="92" t="s">
        <v>210</v>
      </c>
      <c r="D247" s="92" t="s">
        <v>168</v>
      </c>
      <c r="E247" s="94" t="s">
        <v>198</v>
      </c>
      <c r="F247" s="95"/>
      <c r="G247" s="142">
        <f t="shared" si="268"/>
        <v>0</v>
      </c>
      <c r="H247" s="93">
        <v>0</v>
      </c>
      <c r="I247" s="93">
        <v>0</v>
      </c>
      <c r="J247" s="93">
        <v>0</v>
      </c>
      <c r="K247" s="93">
        <v>0</v>
      </c>
      <c r="L247" s="93">
        <v>0</v>
      </c>
      <c r="M247" s="93">
        <v>0</v>
      </c>
      <c r="N247" s="93">
        <v>0</v>
      </c>
      <c r="O247" s="93">
        <v>0</v>
      </c>
      <c r="P247" s="93">
        <v>0</v>
      </c>
      <c r="Q247" s="93">
        <v>0</v>
      </c>
      <c r="R247" s="93">
        <v>0</v>
      </c>
      <c r="S247" s="93">
        <v>0</v>
      </c>
      <c r="T247" s="90">
        <f>H247*$F$19</f>
        <v>0</v>
      </c>
      <c r="U247" s="90">
        <f t="shared" ref="U247:AE247" si="276">I247*$F$19</f>
        <v>0</v>
      </c>
      <c r="V247" s="90">
        <f t="shared" si="276"/>
        <v>0</v>
      </c>
      <c r="W247" s="90">
        <f t="shared" si="276"/>
        <v>0</v>
      </c>
      <c r="X247" s="90">
        <f t="shared" si="276"/>
        <v>0</v>
      </c>
      <c r="Y247" s="90">
        <f t="shared" si="276"/>
        <v>0</v>
      </c>
      <c r="Z247" s="90">
        <f t="shared" si="276"/>
        <v>0</v>
      </c>
      <c r="AA247" s="90">
        <f t="shared" si="276"/>
        <v>0</v>
      </c>
      <c r="AB247" s="90">
        <f t="shared" si="276"/>
        <v>0</v>
      </c>
      <c r="AC247" s="90">
        <f t="shared" si="276"/>
        <v>0</v>
      </c>
      <c r="AD247" s="90">
        <f t="shared" si="276"/>
        <v>0</v>
      </c>
      <c r="AE247" s="90">
        <f t="shared" si="276"/>
        <v>0</v>
      </c>
      <c r="AF247" s="54">
        <f t="shared" si="270"/>
        <v>0</v>
      </c>
      <c r="AG247" s="2"/>
    </row>
    <row r="248" spans="1:33" ht="16" thickBot="1" x14ac:dyDescent="0.25">
      <c r="A248" s="148" t="s">
        <v>51</v>
      </c>
      <c r="B248" s="91" t="s">
        <v>10</v>
      </c>
      <c r="C248" s="92" t="s">
        <v>49</v>
      </c>
      <c r="D248" s="92" t="s">
        <v>50</v>
      </c>
      <c r="E248" s="94" t="s">
        <v>198</v>
      </c>
      <c r="F248" s="95"/>
      <c r="G248" s="142">
        <f t="shared" si="268"/>
        <v>0</v>
      </c>
      <c r="H248" s="93">
        <v>0</v>
      </c>
      <c r="I248" s="93">
        <v>0</v>
      </c>
      <c r="J248" s="93">
        <v>0</v>
      </c>
      <c r="K248" s="93">
        <v>0</v>
      </c>
      <c r="L248" s="93">
        <v>0</v>
      </c>
      <c r="M248" s="93">
        <v>0</v>
      </c>
      <c r="N248" s="93">
        <v>0</v>
      </c>
      <c r="O248" s="93">
        <v>0</v>
      </c>
      <c r="P248" s="93">
        <v>0</v>
      </c>
      <c r="Q248" s="93">
        <v>0</v>
      </c>
      <c r="R248" s="93">
        <v>0</v>
      </c>
      <c r="S248" s="93">
        <v>0</v>
      </c>
      <c r="T248" s="90">
        <f t="shared" ref="T248:AE248" si="277">H248*$F$22</f>
        <v>0</v>
      </c>
      <c r="U248" s="90">
        <f t="shared" si="277"/>
        <v>0</v>
      </c>
      <c r="V248" s="90">
        <f t="shared" si="277"/>
        <v>0</v>
      </c>
      <c r="W248" s="90">
        <f t="shared" si="277"/>
        <v>0</v>
      </c>
      <c r="X248" s="90">
        <f t="shared" si="277"/>
        <v>0</v>
      </c>
      <c r="Y248" s="90">
        <f t="shared" si="277"/>
        <v>0</v>
      </c>
      <c r="Z248" s="90">
        <f t="shared" si="277"/>
        <v>0</v>
      </c>
      <c r="AA248" s="90">
        <f t="shared" si="277"/>
        <v>0</v>
      </c>
      <c r="AB248" s="90">
        <f t="shared" si="277"/>
        <v>0</v>
      </c>
      <c r="AC248" s="90">
        <f t="shared" si="277"/>
        <v>0</v>
      </c>
      <c r="AD248" s="90">
        <f t="shared" si="277"/>
        <v>0</v>
      </c>
      <c r="AE248" s="90">
        <f t="shared" si="277"/>
        <v>0</v>
      </c>
      <c r="AF248" s="54">
        <f t="shared" si="270"/>
        <v>0</v>
      </c>
      <c r="AG248" s="2"/>
    </row>
    <row r="249" spans="1:33" ht="16" thickBot="1" x14ac:dyDescent="0.25">
      <c r="A249" s="148" t="s">
        <v>51</v>
      </c>
      <c r="B249" s="91" t="s">
        <v>10</v>
      </c>
      <c r="C249" s="92" t="s">
        <v>52</v>
      </c>
      <c r="D249" s="92" t="s">
        <v>53</v>
      </c>
      <c r="E249" s="94" t="s">
        <v>69</v>
      </c>
      <c r="F249" s="95"/>
      <c r="G249" s="142">
        <f t="shared" si="268"/>
        <v>0</v>
      </c>
      <c r="H249" s="93">
        <v>0</v>
      </c>
      <c r="I249" s="93">
        <v>0</v>
      </c>
      <c r="J249" s="93">
        <v>0</v>
      </c>
      <c r="K249" s="93">
        <v>0</v>
      </c>
      <c r="L249" s="93">
        <v>0</v>
      </c>
      <c r="M249" s="93">
        <v>0</v>
      </c>
      <c r="N249" s="93">
        <v>0</v>
      </c>
      <c r="O249" s="93">
        <v>0</v>
      </c>
      <c r="P249" s="93">
        <v>0</v>
      </c>
      <c r="Q249" s="93">
        <v>0</v>
      </c>
      <c r="R249" s="93">
        <v>0</v>
      </c>
      <c r="S249" s="93">
        <v>0</v>
      </c>
      <c r="T249" s="90">
        <f t="shared" ref="T249:AE249" si="278">$F$23*H249</f>
        <v>0</v>
      </c>
      <c r="U249" s="90">
        <f t="shared" si="278"/>
        <v>0</v>
      </c>
      <c r="V249" s="90">
        <f t="shared" si="278"/>
        <v>0</v>
      </c>
      <c r="W249" s="90">
        <f t="shared" si="278"/>
        <v>0</v>
      </c>
      <c r="X249" s="90">
        <f t="shared" si="278"/>
        <v>0</v>
      </c>
      <c r="Y249" s="90">
        <f t="shared" si="278"/>
        <v>0</v>
      </c>
      <c r="Z249" s="90">
        <f t="shared" si="278"/>
        <v>0</v>
      </c>
      <c r="AA249" s="90">
        <f t="shared" si="278"/>
        <v>0</v>
      </c>
      <c r="AB249" s="90">
        <f t="shared" si="278"/>
        <v>0</v>
      </c>
      <c r="AC249" s="90">
        <f t="shared" si="278"/>
        <v>0</v>
      </c>
      <c r="AD249" s="90">
        <f t="shared" si="278"/>
        <v>0</v>
      </c>
      <c r="AE249" s="90">
        <f t="shared" si="278"/>
        <v>0</v>
      </c>
      <c r="AF249" s="54">
        <f t="shared" si="270"/>
        <v>0</v>
      </c>
      <c r="AG249" s="2"/>
    </row>
    <row r="250" spans="1:33" ht="16" thickBot="1" x14ac:dyDescent="0.25">
      <c r="A250" s="148" t="s">
        <v>164</v>
      </c>
      <c r="B250" s="91" t="s">
        <v>10</v>
      </c>
      <c r="C250" s="92" t="s">
        <v>46</v>
      </c>
      <c r="D250" s="92" t="s">
        <v>47</v>
      </c>
      <c r="E250" s="94" t="s">
        <v>198</v>
      </c>
      <c r="F250" s="95"/>
      <c r="G250" s="142">
        <f t="shared" si="268"/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0">
        <f t="shared" ref="T250:AE250" si="279">H250*$F$3</f>
        <v>0</v>
      </c>
      <c r="U250" s="90">
        <f t="shared" si="279"/>
        <v>0</v>
      </c>
      <c r="V250" s="90">
        <f t="shared" si="279"/>
        <v>0</v>
      </c>
      <c r="W250" s="90">
        <f t="shared" si="279"/>
        <v>0</v>
      </c>
      <c r="X250" s="90">
        <f t="shared" si="279"/>
        <v>0</v>
      </c>
      <c r="Y250" s="90">
        <f t="shared" si="279"/>
        <v>0</v>
      </c>
      <c r="Z250" s="90">
        <f t="shared" si="279"/>
        <v>0</v>
      </c>
      <c r="AA250" s="90">
        <f t="shared" si="279"/>
        <v>0</v>
      </c>
      <c r="AB250" s="90">
        <f t="shared" si="279"/>
        <v>0</v>
      </c>
      <c r="AC250" s="90">
        <f t="shared" si="279"/>
        <v>0</v>
      </c>
      <c r="AD250" s="90">
        <f t="shared" si="279"/>
        <v>0</v>
      </c>
      <c r="AE250" s="90">
        <f t="shared" si="279"/>
        <v>0</v>
      </c>
      <c r="AF250" s="54">
        <f t="shared" si="270"/>
        <v>0</v>
      </c>
      <c r="AG250" s="2"/>
    </row>
    <row r="251" spans="1:33" ht="16" thickBot="1" x14ac:dyDescent="0.25">
      <c r="A251" s="148" t="s">
        <v>31</v>
      </c>
      <c r="B251" s="91" t="s">
        <v>10</v>
      </c>
      <c r="C251" s="92" t="s">
        <v>195</v>
      </c>
      <c r="D251" s="92" t="s">
        <v>168</v>
      </c>
      <c r="E251" s="94" t="s">
        <v>198</v>
      </c>
      <c r="F251" s="95"/>
      <c r="G251" s="142">
        <f t="shared" si="268"/>
        <v>0</v>
      </c>
      <c r="H251" s="93">
        <v>0</v>
      </c>
      <c r="I251" s="93">
        <v>0</v>
      </c>
      <c r="J251" s="93">
        <v>0</v>
      </c>
      <c r="K251" s="93">
        <v>0</v>
      </c>
      <c r="L251" s="93">
        <v>0</v>
      </c>
      <c r="M251" s="93">
        <v>0</v>
      </c>
      <c r="N251" s="93">
        <v>0</v>
      </c>
      <c r="O251" s="93">
        <v>0</v>
      </c>
      <c r="P251" s="93">
        <v>0</v>
      </c>
      <c r="Q251" s="93">
        <v>0</v>
      </c>
      <c r="R251" s="93">
        <v>0</v>
      </c>
      <c r="S251" s="93">
        <v>0</v>
      </c>
      <c r="T251" s="90">
        <f t="shared" ref="T251:AE251" si="280">H251*$F$18</f>
        <v>0</v>
      </c>
      <c r="U251" s="90">
        <f t="shared" si="280"/>
        <v>0</v>
      </c>
      <c r="V251" s="90">
        <f t="shared" si="280"/>
        <v>0</v>
      </c>
      <c r="W251" s="90">
        <f t="shared" si="280"/>
        <v>0</v>
      </c>
      <c r="X251" s="90">
        <f t="shared" si="280"/>
        <v>0</v>
      </c>
      <c r="Y251" s="90">
        <f t="shared" si="280"/>
        <v>0</v>
      </c>
      <c r="Z251" s="90">
        <f t="shared" si="280"/>
        <v>0</v>
      </c>
      <c r="AA251" s="90">
        <f t="shared" si="280"/>
        <v>0</v>
      </c>
      <c r="AB251" s="90">
        <f t="shared" si="280"/>
        <v>0</v>
      </c>
      <c r="AC251" s="90">
        <f t="shared" si="280"/>
        <v>0</v>
      </c>
      <c r="AD251" s="90">
        <f t="shared" si="280"/>
        <v>0</v>
      </c>
      <c r="AE251" s="90">
        <f t="shared" si="280"/>
        <v>0</v>
      </c>
      <c r="AF251" s="54">
        <f t="shared" si="270"/>
        <v>0</v>
      </c>
      <c r="AG251" s="2"/>
    </row>
    <row r="252" spans="1:33" ht="16" thickBot="1" x14ac:dyDescent="0.25">
      <c r="A252" s="148" t="s">
        <v>31</v>
      </c>
      <c r="B252" s="91" t="s">
        <v>10</v>
      </c>
      <c r="C252" s="92" t="s">
        <v>88</v>
      </c>
      <c r="D252" s="92" t="s">
        <v>41</v>
      </c>
      <c r="E252" s="94" t="s">
        <v>198</v>
      </c>
      <c r="F252" s="95"/>
      <c r="G252" s="142">
        <f t="shared" si="268"/>
        <v>0</v>
      </c>
      <c r="H252" s="93">
        <v>0</v>
      </c>
      <c r="I252" s="93">
        <v>0</v>
      </c>
      <c r="J252" s="93">
        <v>0</v>
      </c>
      <c r="K252" s="93">
        <v>0</v>
      </c>
      <c r="L252" s="93">
        <v>0</v>
      </c>
      <c r="M252" s="93">
        <v>0</v>
      </c>
      <c r="N252" s="93">
        <v>0</v>
      </c>
      <c r="O252" s="93">
        <v>0</v>
      </c>
      <c r="P252" s="93">
        <v>0</v>
      </c>
      <c r="Q252" s="93">
        <v>0</v>
      </c>
      <c r="R252" s="93">
        <v>0</v>
      </c>
      <c r="S252" s="93">
        <v>0</v>
      </c>
      <c r="T252" s="90">
        <f t="shared" ref="T252:AE252" si="281">$F$17*H252</f>
        <v>0</v>
      </c>
      <c r="U252" s="90">
        <f t="shared" si="281"/>
        <v>0</v>
      </c>
      <c r="V252" s="90">
        <f t="shared" si="281"/>
        <v>0</v>
      </c>
      <c r="W252" s="90">
        <f t="shared" si="281"/>
        <v>0</v>
      </c>
      <c r="X252" s="90">
        <f t="shared" si="281"/>
        <v>0</v>
      </c>
      <c r="Y252" s="90">
        <f t="shared" si="281"/>
        <v>0</v>
      </c>
      <c r="Z252" s="90">
        <f t="shared" si="281"/>
        <v>0</v>
      </c>
      <c r="AA252" s="90">
        <f t="shared" si="281"/>
        <v>0</v>
      </c>
      <c r="AB252" s="90">
        <f t="shared" si="281"/>
        <v>0</v>
      </c>
      <c r="AC252" s="90">
        <f t="shared" si="281"/>
        <v>0</v>
      </c>
      <c r="AD252" s="90">
        <f t="shared" si="281"/>
        <v>0</v>
      </c>
      <c r="AE252" s="90">
        <f t="shared" si="281"/>
        <v>0</v>
      </c>
      <c r="AF252" s="54">
        <f t="shared" si="270"/>
        <v>0</v>
      </c>
      <c r="AG252" s="2"/>
    </row>
    <row r="253" spans="1:33" ht="16" thickBot="1" x14ac:dyDescent="0.25">
      <c r="A253" s="148" t="s">
        <v>164</v>
      </c>
      <c r="B253" s="91" t="s">
        <v>10</v>
      </c>
      <c r="C253" s="92" t="s">
        <v>167</v>
      </c>
      <c r="D253" s="92" t="s">
        <v>48</v>
      </c>
      <c r="E253" s="94" t="s">
        <v>198</v>
      </c>
      <c r="F253" s="95"/>
      <c r="G253" s="142">
        <f t="shared" si="268"/>
        <v>0</v>
      </c>
      <c r="H253" s="93">
        <v>0</v>
      </c>
      <c r="I253" s="93">
        <v>0</v>
      </c>
      <c r="J253" s="93">
        <v>0</v>
      </c>
      <c r="K253" s="93">
        <v>0</v>
      </c>
      <c r="L253" s="93">
        <v>0</v>
      </c>
      <c r="M253" s="93">
        <v>0</v>
      </c>
      <c r="N253" s="93">
        <v>0</v>
      </c>
      <c r="O253" s="93">
        <v>0</v>
      </c>
      <c r="P253" s="93">
        <v>0</v>
      </c>
      <c r="Q253" s="93">
        <v>0</v>
      </c>
      <c r="R253" s="93">
        <v>0</v>
      </c>
      <c r="S253" s="93">
        <v>0</v>
      </c>
      <c r="T253" s="90">
        <f t="shared" ref="T253:AE253" si="282">$F$4*H253</f>
        <v>0</v>
      </c>
      <c r="U253" s="90">
        <f t="shared" si="282"/>
        <v>0</v>
      </c>
      <c r="V253" s="90">
        <f t="shared" si="282"/>
        <v>0</v>
      </c>
      <c r="W253" s="90">
        <f t="shared" si="282"/>
        <v>0</v>
      </c>
      <c r="X253" s="90">
        <f t="shared" si="282"/>
        <v>0</v>
      </c>
      <c r="Y253" s="90">
        <f t="shared" si="282"/>
        <v>0</v>
      </c>
      <c r="Z253" s="90">
        <f t="shared" si="282"/>
        <v>0</v>
      </c>
      <c r="AA253" s="90">
        <f t="shared" si="282"/>
        <v>0</v>
      </c>
      <c r="AB253" s="90">
        <f t="shared" si="282"/>
        <v>0</v>
      </c>
      <c r="AC253" s="90">
        <f t="shared" si="282"/>
        <v>0</v>
      </c>
      <c r="AD253" s="90">
        <f t="shared" si="282"/>
        <v>0</v>
      </c>
      <c r="AE253" s="90">
        <f t="shared" si="282"/>
        <v>0</v>
      </c>
      <c r="AF253" s="54">
        <f t="shared" si="270"/>
        <v>0</v>
      </c>
      <c r="AG253" s="2"/>
    </row>
    <row r="254" spans="1:33" ht="16" thickBot="1" x14ac:dyDescent="0.25">
      <c r="A254" s="148" t="s">
        <v>163</v>
      </c>
      <c r="B254" s="91" t="s">
        <v>10</v>
      </c>
      <c r="C254" s="92" t="s">
        <v>172</v>
      </c>
      <c r="D254" s="92" t="s">
        <v>168</v>
      </c>
      <c r="E254" s="94" t="s">
        <v>76</v>
      </c>
      <c r="F254" s="95"/>
      <c r="G254" s="142">
        <f t="shared" si="268"/>
        <v>0</v>
      </c>
      <c r="H254" s="93">
        <v>0</v>
      </c>
      <c r="I254" s="93">
        <v>0</v>
      </c>
      <c r="J254" s="93">
        <v>0</v>
      </c>
      <c r="K254" s="93">
        <v>0</v>
      </c>
      <c r="L254" s="93">
        <v>0</v>
      </c>
      <c r="M254" s="93">
        <v>0</v>
      </c>
      <c r="N254" s="93">
        <v>0</v>
      </c>
      <c r="O254" s="93">
        <v>0</v>
      </c>
      <c r="P254" s="93">
        <v>0</v>
      </c>
      <c r="Q254" s="93">
        <v>0</v>
      </c>
      <c r="R254" s="93">
        <v>0</v>
      </c>
      <c r="S254" s="93">
        <v>0</v>
      </c>
      <c r="T254" s="90">
        <f t="shared" ref="T254:AE254" si="283">$F$8*H254</f>
        <v>0</v>
      </c>
      <c r="U254" s="90">
        <f t="shared" si="283"/>
        <v>0</v>
      </c>
      <c r="V254" s="90">
        <f t="shared" si="283"/>
        <v>0</v>
      </c>
      <c r="W254" s="90">
        <f t="shared" si="283"/>
        <v>0</v>
      </c>
      <c r="X254" s="90">
        <f t="shared" si="283"/>
        <v>0</v>
      </c>
      <c r="Y254" s="90">
        <f t="shared" si="283"/>
        <v>0</v>
      </c>
      <c r="Z254" s="90">
        <f t="shared" si="283"/>
        <v>0</v>
      </c>
      <c r="AA254" s="90">
        <f t="shared" si="283"/>
        <v>0</v>
      </c>
      <c r="AB254" s="90">
        <f t="shared" si="283"/>
        <v>0</v>
      </c>
      <c r="AC254" s="90">
        <f t="shared" si="283"/>
        <v>0</v>
      </c>
      <c r="AD254" s="90">
        <f t="shared" si="283"/>
        <v>0</v>
      </c>
      <c r="AE254" s="90">
        <f t="shared" si="283"/>
        <v>0</v>
      </c>
      <c r="AF254" s="54">
        <f t="shared" si="270"/>
        <v>0</v>
      </c>
      <c r="AG254" s="2"/>
    </row>
    <row r="255" spans="1:33" ht="16" thickBot="1" x14ac:dyDescent="0.25">
      <c r="A255" s="148" t="s">
        <v>163</v>
      </c>
      <c r="B255" s="91" t="s">
        <v>10</v>
      </c>
      <c r="C255" s="92" t="s">
        <v>173</v>
      </c>
      <c r="D255" s="92" t="s">
        <v>168</v>
      </c>
      <c r="E255" s="94" t="s">
        <v>76</v>
      </c>
      <c r="F255" s="95"/>
      <c r="G255" s="142">
        <f t="shared" si="268"/>
        <v>0</v>
      </c>
      <c r="H255" s="93">
        <v>0</v>
      </c>
      <c r="I255" s="93">
        <v>0</v>
      </c>
      <c r="J255" s="93">
        <v>0</v>
      </c>
      <c r="K255" s="93">
        <v>0</v>
      </c>
      <c r="L255" s="93">
        <v>0</v>
      </c>
      <c r="M255" s="93">
        <v>0</v>
      </c>
      <c r="N255" s="93">
        <v>0</v>
      </c>
      <c r="O255" s="93">
        <v>0</v>
      </c>
      <c r="P255" s="93">
        <v>0</v>
      </c>
      <c r="Q255" s="93">
        <v>0</v>
      </c>
      <c r="R255" s="93">
        <v>0</v>
      </c>
      <c r="S255" s="93">
        <v>0</v>
      </c>
      <c r="T255" s="90">
        <f t="shared" ref="T255:AE255" si="284">$F$9*H255</f>
        <v>0</v>
      </c>
      <c r="U255" s="90">
        <f t="shared" si="284"/>
        <v>0</v>
      </c>
      <c r="V255" s="90">
        <f t="shared" si="284"/>
        <v>0</v>
      </c>
      <c r="W255" s="90">
        <f t="shared" si="284"/>
        <v>0</v>
      </c>
      <c r="X255" s="90">
        <f t="shared" si="284"/>
        <v>0</v>
      </c>
      <c r="Y255" s="90">
        <f t="shared" si="284"/>
        <v>0</v>
      </c>
      <c r="Z255" s="90">
        <f t="shared" si="284"/>
        <v>0</v>
      </c>
      <c r="AA255" s="90">
        <f t="shared" si="284"/>
        <v>0</v>
      </c>
      <c r="AB255" s="90">
        <f t="shared" si="284"/>
        <v>0</v>
      </c>
      <c r="AC255" s="90">
        <f t="shared" si="284"/>
        <v>0</v>
      </c>
      <c r="AD255" s="90">
        <f t="shared" si="284"/>
        <v>0</v>
      </c>
      <c r="AE255" s="90">
        <f t="shared" si="284"/>
        <v>0</v>
      </c>
      <c r="AF255" s="54">
        <f t="shared" si="270"/>
        <v>0</v>
      </c>
      <c r="AG255" s="2"/>
    </row>
    <row r="256" spans="1:33" ht="16" thickBot="1" x14ac:dyDescent="0.25">
      <c r="A256" s="148" t="s">
        <v>163</v>
      </c>
      <c r="B256" s="91" t="s">
        <v>10</v>
      </c>
      <c r="C256" s="92" t="s">
        <v>171</v>
      </c>
      <c r="D256" s="92" t="s">
        <v>168</v>
      </c>
      <c r="E256" s="94" t="s">
        <v>76</v>
      </c>
      <c r="F256" s="95"/>
      <c r="G256" s="142">
        <f t="shared" si="268"/>
        <v>0</v>
      </c>
      <c r="H256" s="93">
        <v>0</v>
      </c>
      <c r="I256" s="93">
        <v>0</v>
      </c>
      <c r="J256" s="93">
        <v>0</v>
      </c>
      <c r="K256" s="93">
        <v>0</v>
      </c>
      <c r="L256" s="93">
        <v>0</v>
      </c>
      <c r="M256" s="93">
        <v>0</v>
      </c>
      <c r="N256" s="93">
        <v>0</v>
      </c>
      <c r="O256" s="93">
        <v>0</v>
      </c>
      <c r="P256" s="93">
        <v>0</v>
      </c>
      <c r="Q256" s="93">
        <v>0</v>
      </c>
      <c r="R256" s="93">
        <v>0</v>
      </c>
      <c r="S256" s="93">
        <v>0</v>
      </c>
      <c r="T256" s="90">
        <f t="shared" ref="T256:AE256" si="285">$F$10*H256</f>
        <v>0</v>
      </c>
      <c r="U256" s="90">
        <f t="shared" si="285"/>
        <v>0</v>
      </c>
      <c r="V256" s="90">
        <f t="shared" si="285"/>
        <v>0</v>
      </c>
      <c r="W256" s="90">
        <f t="shared" si="285"/>
        <v>0</v>
      </c>
      <c r="X256" s="90">
        <f t="shared" si="285"/>
        <v>0</v>
      </c>
      <c r="Y256" s="90">
        <f t="shared" si="285"/>
        <v>0</v>
      </c>
      <c r="Z256" s="90">
        <f t="shared" si="285"/>
        <v>0</v>
      </c>
      <c r="AA256" s="90">
        <f t="shared" si="285"/>
        <v>0</v>
      </c>
      <c r="AB256" s="90">
        <f t="shared" si="285"/>
        <v>0</v>
      </c>
      <c r="AC256" s="90">
        <f t="shared" si="285"/>
        <v>0</v>
      </c>
      <c r="AD256" s="90">
        <f t="shared" si="285"/>
        <v>0</v>
      </c>
      <c r="AE256" s="90">
        <f t="shared" si="285"/>
        <v>0</v>
      </c>
      <c r="AF256" s="54">
        <f t="shared" si="270"/>
        <v>0</v>
      </c>
      <c r="AG256" s="2"/>
    </row>
    <row r="257" spans="1:33" ht="16" thickBot="1" x14ac:dyDescent="0.25">
      <c r="A257" s="148" t="s">
        <v>180</v>
      </c>
      <c r="B257" s="91" t="s">
        <v>10</v>
      </c>
      <c r="C257" s="92" t="s">
        <v>185</v>
      </c>
      <c r="D257" s="92" t="s">
        <v>78</v>
      </c>
      <c r="E257" s="94" t="s">
        <v>76</v>
      </c>
      <c r="F257" s="95"/>
      <c r="G257" s="142">
        <f t="shared" si="268"/>
        <v>0</v>
      </c>
      <c r="H257" s="93">
        <v>0</v>
      </c>
      <c r="I257" s="93">
        <v>0</v>
      </c>
      <c r="J257" s="93">
        <v>0</v>
      </c>
      <c r="K257" s="93">
        <v>0</v>
      </c>
      <c r="L257" s="93">
        <v>0</v>
      </c>
      <c r="M257" s="93">
        <v>0</v>
      </c>
      <c r="N257" s="93">
        <v>0</v>
      </c>
      <c r="O257" s="93">
        <v>0</v>
      </c>
      <c r="P257" s="93">
        <v>0</v>
      </c>
      <c r="Q257" s="93">
        <v>0</v>
      </c>
      <c r="R257" s="93">
        <v>0</v>
      </c>
      <c r="S257" s="93">
        <v>0</v>
      </c>
      <c r="T257" s="90">
        <f t="shared" ref="T257:AE257" si="286">H257*$F$35</f>
        <v>0</v>
      </c>
      <c r="U257" s="90">
        <f t="shared" si="286"/>
        <v>0</v>
      </c>
      <c r="V257" s="90">
        <f t="shared" si="286"/>
        <v>0</v>
      </c>
      <c r="W257" s="90">
        <f t="shared" si="286"/>
        <v>0</v>
      </c>
      <c r="X257" s="90">
        <f t="shared" si="286"/>
        <v>0</v>
      </c>
      <c r="Y257" s="90">
        <f t="shared" si="286"/>
        <v>0</v>
      </c>
      <c r="Z257" s="90">
        <f t="shared" si="286"/>
        <v>0</v>
      </c>
      <c r="AA257" s="90">
        <f t="shared" si="286"/>
        <v>0</v>
      </c>
      <c r="AB257" s="90">
        <f t="shared" si="286"/>
        <v>0</v>
      </c>
      <c r="AC257" s="90">
        <f t="shared" si="286"/>
        <v>0</v>
      </c>
      <c r="AD257" s="90">
        <f t="shared" si="286"/>
        <v>0</v>
      </c>
      <c r="AE257" s="90">
        <f t="shared" si="286"/>
        <v>0</v>
      </c>
      <c r="AF257" s="54">
        <f t="shared" si="270"/>
        <v>0</v>
      </c>
      <c r="AG257" s="2"/>
    </row>
    <row r="258" spans="1:33" ht="16" thickBot="1" x14ac:dyDescent="0.25">
      <c r="A258" s="148" t="s">
        <v>180</v>
      </c>
      <c r="B258" s="91" t="s">
        <v>10</v>
      </c>
      <c r="C258" s="92" t="s">
        <v>186</v>
      </c>
      <c r="D258" s="92" t="s">
        <v>79</v>
      </c>
      <c r="E258" s="94" t="s">
        <v>76</v>
      </c>
      <c r="F258" s="95"/>
      <c r="G258" s="142">
        <f t="shared" si="268"/>
        <v>0</v>
      </c>
      <c r="H258" s="93">
        <v>0</v>
      </c>
      <c r="I258" s="93">
        <v>0</v>
      </c>
      <c r="J258" s="93">
        <v>0</v>
      </c>
      <c r="K258" s="93">
        <v>0</v>
      </c>
      <c r="L258" s="93">
        <v>0</v>
      </c>
      <c r="M258" s="93">
        <v>0</v>
      </c>
      <c r="N258" s="93">
        <v>0</v>
      </c>
      <c r="O258" s="93">
        <v>0</v>
      </c>
      <c r="P258" s="93">
        <v>0</v>
      </c>
      <c r="Q258" s="93">
        <v>0</v>
      </c>
      <c r="R258" s="93">
        <v>0</v>
      </c>
      <c r="S258" s="93">
        <v>0</v>
      </c>
      <c r="T258" s="90">
        <f t="shared" ref="T258:AE258" si="287">H258*$F$36</f>
        <v>0</v>
      </c>
      <c r="U258" s="90">
        <f t="shared" si="287"/>
        <v>0</v>
      </c>
      <c r="V258" s="90">
        <f t="shared" si="287"/>
        <v>0</v>
      </c>
      <c r="W258" s="90">
        <f t="shared" si="287"/>
        <v>0</v>
      </c>
      <c r="X258" s="90">
        <f t="shared" si="287"/>
        <v>0</v>
      </c>
      <c r="Y258" s="90">
        <f t="shared" si="287"/>
        <v>0</v>
      </c>
      <c r="Z258" s="90">
        <f t="shared" si="287"/>
        <v>0</v>
      </c>
      <c r="AA258" s="90">
        <f t="shared" si="287"/>
        <v>0</v>
      </c>
      <c r="AB258" s="90">
        <f t="shared" si="287"/>
        <v>0</v>
      </c>
      <c r="AC258" s="90">
        <f t="shared" si="287"/>
        <v>0</v>
      </c>
      <c r="AD258" s="90">
        <f t="shared" si="287"/>
        <v>0</v>
      </c>
      <c r="AE258" s="90">
        <f t="shared" si="287"/>
        <v>0</v>
      </c>
      <c r="AF258" s="54">
        <f t="shared" si="270"/>
        <v>0</v>
      </c>
      <c r="AG258" s="2"/>
    </row>
    <row r="259" spans="1:33" ht="16" thickBot="1" x14ac:dyDescent="0.25">
      <c r="A259" s="148" t="s">
        <v>180</v>
      </c>
      <c r="B259" s="91" t="s">
        <v>10</v>
      </c>
      <c r="C259" s="92" t="s">
        <v>190</v>
      </c>
      <c r="D259" s="92" t="s">
        <v>168</v>
      </c>
      <c r="E259" s="94" t="s">
        <v>76</v>
      </c>
      <c r="F259" s="95"/>
      <c r="G259" s="142">
        <f t="shared" si="268"/>
        <v>0</v>
      </c>
      <c r="H259" s="93">
        <v>0</v>
      </c>
      <c r="I259" s="93">
        <v>0</v>
      </c>
      <c r="J259" s="93">
        <v>0</v>
      </c>
      <c r="K259" s="93">
        <v>0</v>
      </c>
      <c r="L259" s="93">
        <v>0</v>
      </c>
      <c r="M259" s="93">
        <v>0</v>
      </c>
      <c r="N259" s="93">
        <v>0</v>
      </c>
      <c r="O259" s="93">
        <v>0</v>
      </c>
      <c r="P259" s="93">
        <v>0</v>
      </c>
      <c r="Q259" s="93">
        <v>0</v>
      </c>
      <c r="R259" s="93">
        <v>0</v>
      </c>
      <c r="S259" s="93">
        <v>0</v>
      </c>
      <c r="T259" s="90">
        <f t="shared" ref="T259:AE259" si="288">H259*$F$43</f>
        <v>0</v>
      </c>
      <c r="U259" s="90">
        <f t="shared" si="288"/>
        <v>0</v>
      </c>
      <c r="V259" s="90">
        <f t="shared" si="288"/>
        <v>0</v>
      </c>
      <c r="W259" s="90">
        <f t="shared" si="288"/>
        <v>0</v>
      </c>
      <c r="X259" s="90">
        <f t="shared" si="288"/>
        <v>0</v>
      </c>
      <c r="Y259" s="90">
        <f t="shared" si="288"/>
        <v>0</v>
      </c>
      <c r="Z259" s="90">
        <f t="shared" si="288"/>
        <v>0</v>
      </c>
      <c r="AA259" s="90">
        <f t="shared" si="288"/>
        <v>0</v>
      </c>
      <c r="AB259" s="90">
        <f t="shared" si="288"/>
        <v>0</v>
      </c>
      <c r="AC259" s="90">
        <f t="shared" si="288"/>
        <v>0</v>
      </c>
      <c r="AD259" s="90">
        <f t="shared" si="288"/>
        <v>0</v>
      </c>
      <c r="AE259" s="90">
        <f t="shared" si="288"/>
        <v>0</v>
      </c>
      <c r="AF259" s="54">
        <f t="shared" si="270"/>
        <v>0</v>
      </c>
      <c r="AG259" s="2"/>
    </row>
    <row r="260" spans="1:33" ht="16" thickBot="1" x14ac:dyDescent="0.25">
      <c r="A260" s="148" t="s">
        <v>180</v>
      </c>
      <c r="B260" s="91" t="s">
        <v>10</v>
      </c>
      <c r="C260" s="92" t="s">
        <v>191</v>
      </c>
      <c r="D260" s="92" t="s">
        <v>168</v>
      </c>
      <c r="E260" s="94" t="s">
        <v>76</v>
      </c>
      <c r="F260" s="95"/>
      <c r="G260" s="142">
        <f t="shared" si="268"/>
        <v>0</v>
      </c>
      <c r="H260" s="93">
        <v>0</v>
      </c>
      <c r="I260" s="93">
        <v>0</v>
      </c>
      <c r="J260" s="93">
        <v>0</v>
      </c>
      <c r="K260" s="93">
        <v>0</v>
      </c>
      <c r="L260" s="93">
        <v>0</v>
      </c>
      <c r="M260" s="93">
        <v>0</v>
      </c>
      <c r="N260" s="93">
        <v>0</v>
      </c>
      <c r="O260" s="93">
        <v>0</v>
      </c>
      <c r="P260" s="93">
        <v>0</v>
      </c>
      <c r="Q260" s="93">
        <v>0</v>
      </c>
      <c r="R260" s="93">
        <v>0</v>
      </c>
      <c r="S260" s="93">
        <v>0</v>
      </c>
      <c r="T260" s="90">
        <f t="shared" ref="T260:AE260" si="289">H260*$F$44</f>
        <v>0</v>
      </c>
      <c r="U260" s="90">
        <f t="shared" si="289"/>
        <v>0</v>
      </c>
      <c r="V260" s="90">
        <f t="shared" si="289"/>
        <v>0</v>
      </c>
      <c r="W260" s="90">
        <f t="shared" si="289"/>
        <v>0</v>
      </c>
      <c r="X260" s="90">
        <f t="shared" si="289"/>
        <v>0</v>
      </c>
      <c r="Y260" s="90">
        <f t="shared" si="289"/>
        <v>0</v>
      </c>
      <c r="Z260" s="90">
        <f t="shared" si="289"/>
        <v>0</v>
      </c>
      <c r="AA260" s="90">
        <f t="shared" si="289"/>
        <v>0</v>
      </c>
      <c r="AB260" s="90">
        <f t="shared" si="289"/>
        <v>0</v>
      </c>
      <c r="AC260" s="90">
        <f t="shared" si="289"/>
        <v>0</v>
      </c>
      <c r="AD260" s="90">
        <f t="shared" si="289"/>
        <v>0</v>
      </c>
      <c r="AE260" s="90">
        <f t="shared" si="289"/>
        <v>0</v>
      </c>
      <c r="AF260" s="54">
        <f t="shared" si="270"/>
        <v>0</v>
      </c>
      <c r="AG260" s="2"/>
    </row>
    <row r="261" spans="1:33" ht="16" thickBot="1" x14ac:dyDescent="0.25">
      <c r="A261" s="148" t="s">
        <v>180</v>
      </c>
      <c r="B261" s="91" t="s">
        <v>10</v>
      </c>
      <c r="C261" s="92" t="s">
        <v>192</v>
      </c>
      <c r="D261" s="92" t="s">
        <v>168</v>
      </c>
      <c r="E261" s="94" t="s">
        <v>76</v>
      </c>
      <c r="F261" s="95"/>
      <c r="G261" s="142">
        <f t="shared" si="268"/>
        <v>0</v>
      </c>
      <c r="H261" s="93">
        <v>0</v>
      </c>
      <c r="I261" s="93">
        <v>0</v>
      </c>
      <c r="J261" s="93">
        <v>0</v>
      </c>
      <c r="K261" s="93">
        <v>0</v>
      </c>
      <c r="L261" s="93">
        <v>0</v>
      </c>
      <c r="M261" s="93">
        <v>0</v>
      </c>
      <c r="N261" s="93">
        <v>0</v>
      </c>
      <c r="O261" s="93">
        <v>0</v>
      </c>
      <c r="P261" s="93">
        <v>0</v>
      </c>
      <c r="Q261" s="93">
        <v>0</v>
      </c>
      <c r="R261" s="93">
        <v>0</v>
      </c>
      <c r="S261" s="93">
        <v>0</v>
      </c>
      <c r="T261" s="90">
        <f t="shared" ref="T261:AE261" si="290">H261*$F$45</f>
        <v>0</v>
      </c>
      <c r="U261" s="90">
        <f t="shared" si="290"/>
        <v>0</v>
      </c>
      <c r="V261" s="90">
        <f t="shared" si="290"/>
        <v>0</v>
      </c>
      <c r="W261" s="90">
        <f t="shared" si="290"/>
        <v>0</v>
      </c>
      <c r="X261" s="90">
        <f t="shared" si="290"/>
        <v>0</v>
      </c>
      <c r="Y261" s="90">
        <f t="shared" si="290"/>
        <v>0</v>
      </c>
      <c r="Z261" s="90">
        <f t="shared" si="290"/>
        <v>0</v>
      </c>
      <c r="AA261" s="90">
        <f t="shared" si="290"/>
        <v>0</v>
      </c>
      <c r="AB261" s="90">
        <f t="shared" si="290"/>
        <v>0</v>
      </c>
      <c r="AC261" s="90">
        <f t="shared" si="290"/>
        <v>0</v>
      </c>
      <c r="AD261" s="90">
        <f t="shared" si="290"/>
        <v>0</v>
      </c>
      <c r="AE261" s="90">
        <f t="shared" si="290"/>
        <v>0</v>
      </c>
      <c r="AF261" s="54">
        <f t="shared" si="270"/>
        <v>0</v>
      </c>
      <c r="AG261" s="2"/>
    </row>
    <row r="262" spans="1:33" ht="16" thickBot="1" x14ac:dyDescent="0.25">
      <c r="A262" s="148" t="s">
        <v>180</v>
      </c>
      <c r="B262" s="91" t="s">
        <v>10</v>
      </c>
      <c r="C262" s="92" t="s">
        <v>259</v>
      </c>
      <c r="D262" s="92" t="s">
        <v>168</v>
      </c>
      <c r="E262" s="94" t="s">
        <v>76</v>
      </c>
      <c r="F262" s="95"/>
      <c r="G262" s="142">
        <f t="shared" si="268"/>
        <v>0</v>
      </c>
      <c r="H262" s="93">
        <v>0</v>
      </c>
      <c r="I262" s="93">
        <v>0</v>
      </c>
      <c r="J262" s="93">
        <v>0</v>
      </c>
      <c r="K262" s="93">
        <v>0</v>
      </c>
      <c r="L262" s="93">
        <v>0</v>
      </c>
      <c r="M262" s="93">
        <v>0</v>
      </c>
      <c r="N262" s="93">
        <v>0</v>
      </c>
      <c r="O262" s="93">
        <v>0</v>
      </c>
      <c r="P262" s="93">
        <v>0</v>
      </c>
      <c r="Q262" s="93">
        <v>0</v>
      </c>
      <c r="R262" s="93">
        <v>0</v>
      </c>
      <c r="S262" s="93">
        <v>0</v>
      </c>
      <c r="T262" s="90">
        <f t="shared" ref="T262:AE262" si="291">H262*$F$46</f>
        <v>0</v>
      </c>
      <c r="U262" s="90">
        <f t="shared" si="291"/>
        <v>0</v>
      </c>
      <c r="V262" s="90">
        <f t="shared" si="291"/>
        <v>0</v>
      </c>
      <c r="W262" s="90">
        <f t="shared" si="291"/>
        <v>0</v>
      </c>
      <c r="X262" s="90">
        <f t="shared" si="291"/>
        <v>0</v>
      </c>
      <c r="Y262" s="90">
        <f t="shared" si="291"/>
        <v>0</v>
      </c>
      <c r="Z262" s="90">
        <f t="shared" si="291"/>
        <v>0</v>
      </c>
      <c r="AA262" s="90">
        <f t="shared" si="291"/>
        <v>0</v>
      </c>
      <c r="AB262" s="90">
        <f t="shared" si="291"/>
        <v>0</v>
      </c>
      <c r="AC262" s="90">
        <f t="shared" si="291"/>
        <v>0</v>
      </c>
      <c r="AD262" s="90">
        <f t="shared" si="291"/>
        <v>0</v>
      </c>
      <c r="AE262" s="90">
        <f t="shared" si="291"/>
        <v>0</v>
      </c>
      <c r="AF262" s="54">
        <f t="shared" si="270"/>
        <v>0</v>
      </c>
      <c r="AG262" s="2"/>
    </row>
    <row r="263" spans="1:33" ht="16" thickBot="1" x14ac:dyDescent="0.25">
      <c r="A263" s="148" t="s">
        <v>31</v>
      </c>
      <c r="B263" s="91" t="s">
        <v>10</v>
      </c>
      <c r="C263" s="92" t="s">
        <v>44</v>
      </c>
      <c r="D263" s="92" t="s">
        <v>45</v>
      </c>
      <c r="E263" s="94" t="s">
        <v>69</v>
      </c>
      <c r="F263" s="95"/>
      <c r="G263" s="142">
        <f t="shared" si="268"/>
        <v>0</v>
      </c>
      <c r="H263" s="93">
        <v>0</v>
      </c>
      <c r="I263" s="93">
        <v>0</v>
      </c>
      <c r="J263" s="93">
        <v>0</v>
      </c>
      <c r="K263" s="93">
        <v>0</v>
      </c>
      <c r="L263" s="93">
        <v>0</v>
      </c>
      <c r="M263" s="93">
        <v>0</v>
      </c>
      <c r="N263" s="93">
        <v>0</v>
      </c>
      <c r="O263" s="93">
        <v>0</v>
      </c>
      <c r="P263" s="93">
        <v>0</v>
      </c>
      <c r="Q263" s="93">
        <v>0</v>
      </c>
      <c r="R263" s="93">
        <v>0</v>
      </c>
      <c r="S263" s="93">
        <v>0</v>
      </c>
      <c r="T263" s="90">
        <f t="shared" ref="T263:AE263" si="292">H263*$F$16</f>
        <v>0</v>
      </c>
      <c r="U263" s="90">
        <f t="shared" si="292"/>
        <v>0</v>
      </c>
      <c r="V263" s="90">
        <f t="shared" si="292"/>
        <v>0</v>
      </c>
      <c r="W263" s="90">
        <f t="shared" si="292"/>
        <v>0</v>
      </c>
      <c r="X263" s="90">
        <f t="shared" si="292"/>
        <v>0</v>
      </c>
      <c r="Y263" s="90">
        <f t="shared" si="292"/>
        <v>0</v>
      </c>
      <c r="Z263" s="90">
        <f t="shared" si="292"/>
        <v>0</v>
      </c>
      <c r="AA263" s="90">
        <f t="shared" si="292"/>
        <v>0</v>
      </c>
      <c r="AB263" s="90">
        <f t="shared" si="292"/>
        <v>0</v>
      </c>
      <c r="AC263" s="90">
        <f t="shared" si="292"/>
        <v>0</v>
      </c>
      <c r="AD263" s="90">
        <f t="shared" si="292"/>
        <v>0</v>
      </c>
      <c r="AE263" s="90">
        <f t="shared" si="292"/>
        <v>0</v>
      </c>
      <c r="AF263" s="54">
        <f t="shared" si="270"/>
        <v>0</v>
      </c>
      <c r="AG263" s="2"/>
    </row>
    <row r="264" spans="1:33" ht="16" thickBot="1" x14ac:dyDescent="0.25">
      <c r="A264" s="148" t="s">
        <v>31</v>
      </c>
      <c r="B264" s="91" t="s">
        <v>10</v>
      </c>
      <c r="C264" s="92" t="s">
        <v>30</v>
      </c>
      <c r="D264" s="92" t="s">
        <v>30</v>
      </c>
      <c r="E264" s="94" t="s">
        <v>69</v>
      </c>
      <c r="F264" s="95"/>
      <c r="G264" s="142">
        <f t="shared" si="268"/>
        <v>0</v>
      </c>
      <c r="H264" s="93">
        <v>0</v>
      </c>
      <c r="I264" s="93">
        <v>0</v>
      </c>
      <c r="J264" s="93">
        <v>0</v>
      </c>
      <c r="K264" s="93">
        <v>0</v>
      </c>
      <c r="L264" s="93">
        <v>0</v>
      </c>
      <c r="M264" s="93">
        <v>0</v>
      </c>
      <c r="N264" s="93">
        <v>0</v>
      </c>
      <c r="O264" s="93">
        <v>0</v>
      </c>
      <c r="P264" s="93">
        <v>0</v>
      </c>
      <c r="Q264" s="93">
        <v>0</v>
      </c>
      <c r="R264" s="93">
        <v>0</v>
      </c>
      <c r="S264" s="93">
        <v>0</v>
      </c>
      <c r="T264" s="90">
        <f t="shared" ref="T264:AE264" si="293">H264*$F$15</f>
        <v>0</v>
      </c>
      <c r="U264" s="90">
        <f t="shared" si="293"/>
        <v>0</v>
      </c>
      <c r="V264" s="90">
        <f t="shared" si="293"/>
        <v>0</v>
      </c>
      <c r="W264" s="90">
        <f t="shared" si="293"/>
        <v>0</v>
      </c>
      <c r="X264" s="90">
        <f t="shared" si="293"/>
        <v>0</v>
      </c>
      <c r="Y264" s="90">
        <f t="shared" si="293"/>
        <v>0</v>
      </c>
      <c r="Z264" s="90">
        <f t="shared" si="293"/>
        <v>0</v>
      </c>
      <c r="AA264" s="90">
        <f t="shared" si="293"/>
        <v>0</v>
      </c>
      <c r="AB264" s="90">
        <f t="shared" si="293"/>
        <v>0</v>
      </c>
      <c r="AC264" s="90">
        <f t="shared" si="293"/>
        <v>0</v>
      </c>
      <c r="AD264" s="90">
        <f t="shared" si="293"/>
        <v>0</v>
      </c>
      <c r="AE264" s="90">
        <f t="shared" si="293"/>
        <v>0</v>
      </c>
      <c r="AF264" s="54">
        <f t="shared" si="270"/>
        <v>0</v>
      </c>
      <c r="AG264" s="2"/>
    </row>
    <row r="265" spans="1:33" ht="16" thickBot="1" x14ac:dyDescent="0.25">
      <c r="A265" s="148" t="s">
        <v>196</v>
      </c>
      <c r="B265" s="91" t="s">
        <v>10</v>
      </c>
      <c r="C265" s="92" t="s">
        <v>197</v>
      </c>
      <c r="D265" s="92" t="s">
        <v>168</v>
      </c>
      <c r="E265" s="94" t="s">
        <v>198</v>
      </c>
      <c r="F265" s="95"/>
      <c r="G265" s="142">
        <f t="shared" si="268"/>
        <v>0</v>
      </c>
      <c r="H265" s="93">
        <v>0</v>
      </c>
      <c r="I265" s="93">
        <v>0</v>
      </c>
      <c r="J265" s="93">
        <v>0</v>
      </c>
      <c r="K265" s="93">
        <v>0</v>
      </c>
      <c r="L265" s="93">
        <v>0</v>
      </c>
      <c r="M265" s="93">
        <v>0</v>
      </c>
      <c r="N265" s="93">
        <v>0</v>
      </c>
      <c r="O265" s="93">
        <v>0</v>
      </c>
      <c r="P265" s="93">
        <v>0</v>
      </c>
      <c r="Q265" s="93">
        <v>0</v>
      </c>
      <c r="R265" s="93">
        <v>0</v>
      </c>
      <c r="S265" s="93">
        <v>0</v>
      </c>
      <c r="T265" s="90">
        <f t="shared" ref="T265:AE265" si="294">H265*$F$49</f>
        <v>0</v>
      </c>
      <c r="U265" s="90">
        <f t="shared" si="294"/>
        <v>0</v>
      </c>
      <c r="V265" s="90">
        <f t="shared" si="294"/>
        <v>0</v>
      </c>
      <c r="W265" s="90">
        <f t="shared" si="294"/>
        <v>0</v>
      </c>
      <c r="X265" s="90">
        <f t="shared" si="294"/>
        <v>0</v>
      </c>
      <c r="Y265" s="90">
        <f t="shared" si="294"/>
        <v>0</v>
      </c>
      <c r="Z265" s="90">
        <f t="shared" si="294"/>
        <v>0</v>
      </c>
      <c r="AA265" s="90">
        <f t="shared" si="294"/>
        <v>0</v>
      </c>
      <c r="AB265" s="90">
        <f t="shared" si="294"/>
        <v>0</v>
      </c>
      <c r="AC265" s="90">
        <f t="shared" si="294"/>
        <v>0</v>
      </c>
      <c r="AD265" s="90">
        <f t="shared" si="294"/>
        <v>0</v>
      </c>
      <c r="AE265" s="90">
        <f t="shared" si="294"/>
        <v>0</v>
      </c>
      <c r="AF265" s="54">
        <f t="shared" si="270"/>
        <v>0</v>
      </c>
      <c r="AG265" s="2"/>
    </row>
    <row r="266" spans="1:33" ht="16" thickBot="1" x14ac:dyDescent="0.25">
      <c r="A266" s="148" t="s">
        <v>180</v>
      </c>
      <c r="B266" s="91" t="s">
        <v>10</v>
      </c>
      <c r="C266" s="92" t="s">
        <v>181</v>
      </c>
      <c r="D266" s="92" t="s">
        <v>80</v>
      </c>
      <c r="E266" s="94" t="s">
        <v>76</v>
      </c>
      <c r="F266" s="95"/>
      <c r="G266" s="142">
        <f t="shared" si="268"/>
        <v>0</v>
      </c>
      <c r="H266" s="93">
        <v>0</v>
      </c>
      <c r="I266" s="93">
        <v>0</v>
      </c>
      <c r="J266" s="93">
        <v>0</v>
      </c>
      <c r="K266" s="93">
        <v>0</v>
      </c>
      <c r="L266" s="93">
        <v>0</v>
      </c>
      <c r="M266" s="93">
        <v>0</v>
      </c>
      <c r="N266" s="93">
        <v>0</v>
      </c>
      <c r="O266" s="93">
        <v>0</v>
      </c>
      <c r="P266" s="93">
        <v>0</v>
      </c>
      <c r="Q266" s="93">
        <v>0</v>
      </c>
      <c r="R266" s="93">
        <v>0</v>
      </c>
      <c r="S266" s="93">
        <v>0</v>
      </c>
      <c r="T266" s="90">
        <f t="shared" ref="T266:AE266" si="295">H266*$F$37</f>
        <v>0</v>
      </c>
      <c r="U266" s="90">
        <f t="shared" si="295"/>
        <v>0</v>
      </c>
      <c r="V266" s="90">
        <f t="shared" si="295"/>
        <v>0</v>
      </c>
      <c r="W266" s="90">
        <f t="shared" si="295"/>
        <v>0</v>
      </c>
      <c r="X266" s="90">
        <f t="shared" si="295"/>
        <v>0</v>
      </c>
      <c r="Y266" s="90">
        <f t="shared" si="295"/>
        <v>0</v>
      </c>
      <c r="Z266" s="90">
        <f t="shared" si="295"/>
        <v>0</v>
      </c>
      <c r="AA266" s="90">
        <f t="shared" si="295"/>
        <v>0</v>
      </c>
      <c r="AB266" s="90">
        <f t="shared" si="295"/>
        <v>0</v>
      </c>
      <c r="AC266" s="90">
        <f t="shared" si="295"/>
        <v>0</v>
      </c>
      <c r="AD266" s="90">
        <f t="shared" si="295"/>
        <v>0</v>
      </c>
      <c r="AE266" s="90">
        <f t="shared" si="295"/>
        <v>0</v>
      </c>
      <c r="AF266" s="54">
        <f t="shared" si="270"/>
        <v>0</v>
      </c>
      <c r="AG266" s="2"/>
    </row>
    <row r="267" spans="1:33" ht="16" thickBot="1" x14ac:dyDescent="0.25">
      <c r="A267" s="148" t="s">
        <v>180</v>
      </c>
      <c r="B267" s="91" t="s">
        <v>10</v>
      </c>
      <c r="C267" s="92" t="s">
        <v>182</v>
      </c>
      <c r="D267" s="92" t="s">
        <v>90</v>
      </c>
      <c r="E267" s="94" t="s">
        <v>76</v>
      </c>
      <c r="F267" s="95"/>
      <c r="G267" s="142">
        <f t="shared" si="268"/>
        <v>0</v>
      </c>
      <c r="H267" s="93">
        <v>0</v>
      </c>
      <c r="I267" s="93">
        <v>0</v>
      </c>
      <c r="J267" s="93">
        <v>0</v>
      </c>
      <c r="K267" s="93">
        <v>0</v>
      </c>
      <c r="L267" s="93">
        <v>0</v>
      </c>
      <c r="M267" s="93">
        <v>0</v>
      </c>
      <c r="N267" s="93">
        <v>0</v>
      </c>
      <c r="O267" s="93">
        <v>0</v>
      </c>
      <c r="P267" s="93">
        <v>0</v>
      </c>
      <c r="Q267" s="93">
        <v>0</v>
      </c>
      <c r="R267" s="93">
        <v>0</v>
      </c>
      <c r="S267" s="93">
        <v>0</v>
      </c>
      <c r="T267" s="90">
        <f t="shared" ref="T267:AE267" si="296">H267*$F$39</f>
        <v>0</v>
      </c>
      <c r="U267" s="90">
        <f t="shared" si="296"/>
        <v>0</v>
      </c>
      <c r="V267" s="90">
        <f t="shared" si="296"/>
        <v>0</v>
      </c>
      <c r="W267" s="90">
        <f t="shared" si="296"/>
        <v>0</v>
      </c>
      <c r="X267" s="90">
        <f t="shared" si="296"/>
        <v>0</v>
      </c>
      <c r="Y267" s="90">
        <f t="shared" si="296"/>
        <v>0</v>
      </c>
      <c r="Z267" s="90">
        <f t="shared" si="296"/>
        <v>0</v>
      </c>
      <c r="AA267" s="90">
        <f t="shared" si="296"/>
        <v>0</v>
      </c>
      <c r="AB267" s="90">
        <f t="shared" si="296"/>
        <v>0</v>
      </c>
      <c r="AC267" s="90">
        <f t="shared" si="296"/>
        <v>0</v>
      </c>
      <c r="AD267" s="90">
        <f t="shared" si="296"/>
        <v>0</v>
      </c>
      <c r="AE267" s="90">
        <f t="shared" si="296"/>
        <v>0</v>
      </c>
      <c r="AF267" s="54">
        <f t="shared" si="270"/>
        <v>0</v>
      </c>
      <c r="AG267" s="2"/>
    </row>
    <row r="268" spans="1:33" ht="16" thickBot="1" x14ac:dyDescent="0.25">
      <c r="A268" s="148" t="s">
        <v>180</v>
      </c>
      <c r="B268" s="91" t="s">
        <v>10</v>
      </c>
      <c r="C268" s="92" t="s">
        <v>187</v>
      </c>
      <c r="D268" s="92" t="s">
        <v>168</v>
      </c>
      <c r="E268" s="94" t="s">
        <v>76</v>
      </c>
      <c r="F268" s="95"/>
      <c r="G268" s="142">
        <f t="shared" si="268"/>
        <v>0</v>
      </c>
      <c r="H268" s="93">
        <v>0</v>
      </c>
      <c r="I268" s="93">
        <v>0</v>
      </c>
      <c r="J268" s="93">
        <v>0</v>
      </c>
      <c r="K268" s="93">
        <v>0</v>
      </c>
      <c r="L268" s="93">
        <v>0</v>
      </c>
      <c r="M268" s="93">
        <v>0</v>
      </c>
      <c r="N268" s="93">
        <v>0</v>
      </c>
      <c r="O268" s="93">
        <v>0</v>
      </c>
      <c r="P268" s="93">
        <v>0</v>
      </c>
      <c r="Q268" s="93">
        <v>0</v>
      </c>
      <c r="R268" s="93">
        <v>0</v>
      </c>
      <c r="S268" s="93">
        <v>0</v>
      </c>
      <c r="T268" s="90">
        <f t="shared" ref="T268:AE268" si="297">H268*$F$38</f>
        <v>0</v>
      </c>
      <c r="U268" s="90">
        <f t="shared" si="297"/>
        <v>0</v>
      </c>
      <c r="V268" s="90">
        <f t="shared" si="297"/>
        <v>0</v>
      </c>
      <c r="W268" s="90">
        <f t="shared" si="297"/>
        <v>0</v>
      </c>
      <c r="X268" s="90">
        <f t="shared" si="297"/>
        <v>0</v>
      </c>
      <c r="Y268" s="90">
        <f t="shared" si="297"/>
        <v>0</v>
      </c>
      <c r="Z268" s="90">
        <f t="shared" si="297"/>
        <v>0</v>
      </c>
      <c r="AA268" s="90">
        <f t="shared" si="297"/>
        <v>0</v>
      </c>
      <c r="AB268" s="90">
        <f t="shared" si="297"/>
        <v>0</v>
      </c>
      <c r="AC268" s="90">
        <f t="shared" si="297"/>
        <v>0</v>
      </c>
      <c r="AD268" s="90">
        <f t="shared" si="297"/>
        <v>0</v>
      </c>
      <c r="AE268" s="90">
        <f t="shared" si="297"/>
        <v>0</v>
      </c>
      <c r="AF268" s="54">
        <f t="shared" si="270"/>
        <v>0</v>
      </c>
      <c r="AG268" s="2"/>
    </row>
    <row r="269" spans="1:33" ht="16" thickBot="1" x14ac:dyDescent="0.25">
      <c r="A269" s="148" t="s">
        <v>163</v>
      </c>
      <c r="B269" s="91" t="s">
        <v>10</v>
      </c>
      <c r="C269" s="92" t="s">
        <v>115</v>
      </c>
      <c r="D269" s="92" t="s">
        <v>137</v>
      </c>
      <c r="E269" s="94" t="s">
        <v>76</v>
      </c>
      <c r="F269" s="95"/>
      <c r="G269" s="142">
        <f t="shared" si="268"/>
        <v>0</v>
      </c>
      <c r="H269" s="93">
        <v>0</v>
      </c>
      <c r="I269" s="93">
        <v>0</v>
      </c>
      <c r="J269" s="93">
        <v>0</v>
      </c>
      <c r="K269" s="93">
        <v>0</v>
      </c>
      <c r="L269" s="93">
        <v>0</v>
      </c>
      <c r="M269" s="93">
        <v>0</v>
      </c>
      <c r="N269" s="93">
        <v>0</v>
      </c>
      <c r="O269" s="93">
        <v>0</v>
      </c>
      <c r="P269" s="93">
        <v>0</v>
      </c>
      <c r="Q269" s="93">
        <v>0</v>
      </c>
      <c r="R269" s="93">
        <v>0</v>
      </c>
      <c r="S269" s="93">
        <v>0</v>
      </c>
      <c r="T269" s="90">
        <f t="shared" ref="T269:AE269" si="298">$F$5*H269</f>
        <v>0</v>
      </c>
      <c r="U269" s="90">
        <f t="shared" si="298"/>
        <v>0</v>
      </c>
      <c r="V269" s="90">
        <f t="shared" si="298"/>
        <v>0</v>
      </c>
      <c r="W269" s="90">
        <f t="shared" si="298"/>
        <v>0</v>
      </c>
      <c r="X269" s="90">
        <f t="shared" si="298"/>
        <v>0</v>
      </c>
      <c r="Y269" s="90">
        <f t="shared" si="298"/>
        <v>0</v>
      </c>
      <c r="Z269" s="90">
        <f t="shared" si="298"/>
        <v>0</v>
      </c>
      <c r="AA269" s="90">
        <f t="shared" si="298"/>
        <v>0</v>
      </c>
      <c r="AB269" s="90">
        <f t="shared" si="298"/>
        <v>0</v>
      </c>
      <c r="AC269" s="90">
        <f t="shared" si="298"/>
        <v>0</v>
      </c>
      <c r="AD269" s="90">
        <f t="shared" si="298"/>
        <v>0</v>
      </c>
      <c r="AE269" s="90">
        <f t="shared" si="298"/>
        <v>0</v>
      </c>
      <c r="AF269" s="54">
        <f t="shared" si="270"/>
        <v>0</v>
      </c>
      <c r="AG269" s="2"/>
    </row>
    <row r="270" spans="1:33" ht="16" thickBot="1" x14ac:dyDescent="0.25">
      <c r="A270" s="148" t="s">
        <v>68</v>
      </c>
      <c r="B270" s="91" t="s">
        <v>10</v>
      </c>
      <c r="C270" s="92" t="s">
        <v>29</v>
      </c>
      <c r="D270" s="92" t="s">
        <v>114</v>
      </c>
      <c r="E270" s="94" t="s">
        <v>198</v>
      </c>
      <c r="F270" s="95"/>
      <c r="G270" s="142">
        <f t="shared" si="268"/>
        <v>0</v>
      </c>
      <c r="H270" s="93">
        <v>0</v>
      </c>
      <c r="I270" s="93">
        <v>0</v>
      </c>
      <c r="J270" s="93">
        <v>0</v>
      </c>
      <c r="K270" s="93">
        <v>0</v>
      </c>
      <c r="L270" s="93">
        <v>0</v>
      </c>
      <c r="M270" s="93">
        <v>0</v>
      </c>
      <c r="N270" s="93">
        <v>0</v>
      </c>
      <c r="O270" s="93">
        <v>0</v>
      </c>
      <c r="P270" s="93">
        <v>0</v>
      </c>
      <c r="Q270" s="93">
        <v>0</v>
      </c>
      <c r="R270" s="93">
        <v>0</v>
      </c>
      <c r="S270" s="93">
        <v>0</v>
      </c>
      <c r="T270" s="90">
        <f t="shared" ref="T270:AE270" si="299">$F$20*H270</f>
        <v>0</v>
      </c>
      <c r="U270" s="90">
        <f t="shared" si="299"/>
        <v>0</v>
      </c>
      <c r="V270" s="90">
        <f t="shared" si="299"/>
        <v>0</v>
      </c>
      <c r="W270" s="90">
        <f t="shared" si="299"/>
        <v>0</v>
      </c>
      <c r="X270" s="90">
        <f t="shared" si="299"/>
        <v>0</v>
      </c>
      <c r="Y270" s="90">
        <f t="shared" si="299"/>
        <v>0</v>
      </c>
      <c r="Z270" s="90">
        <f t="shared" si="299"/>
        <v>0</v>
      </c>
      <c r="AA270" s="90">
        <f t="shared" si="299"/>
        <v>0</v>
      </c>
      <c r="AB270" s="90">
        <f t="shared" si="299"/>
        <v>0</v>
      </c>
      <c r="AC270" s="90">
        <f t="shared" si="299"/>
        <v>0</v>
      </c>
      <c r="AD270" s="90">
        <f t="shared" si="299"/>
        <v>0</v>
      </c>
      <c r="AE270" s="90">
        <f t="shared" si="299"/>
        <v>0</v>
      </c>
      <c r="AF270" s="54">
        <f t="shared" si="270"/>
        <v>0</v>
      </c>
      <c r="AG270" s="2"/>
    </row>
    <row r="271" spans="1:33" ht="16" thickBot="1" x14ac:dyDescent="0.25">
      <c r="A271" s="148" t="s">
        <v>68</v>
      </c>
      <c r="B271" s="91" t="s">
        <v>10</v>
      </c>
      <c r="C271" s="92" t="s">
        <v>178</v>
      </c>
      <c r="D271" s="92" t="s">
        <v>89</v>
      </c>
      <c r="E271" s="94" t="s">
        <v>69</v>
      </c>
      <c r="F271" s="95"/>
      <c r="G271" s="142">
        <f t="shared" si="268"/>
        <v>0</v>
      </c>
      <c r="H271" s="93">
        <v>0</v>
      </c>
      <c r="I271" s="93">
        <v>0</v>
      </c>
      <c r="J271" s="93">
        <v>0</v>
      </c>
      <c r="K271" s="93">
        <v>0</v>
      </c>
      <c r="L271" s="93">
        <v>0</v>
      </c>
      <c r="M271" s="93">
        <v>0</v>
      </c>
      <c r="N271" s="93">
        <v>0</v>
      </c>
      <c r="O271" s="93">
        <v>0</v>
      </c>
      <c r="P271" s="93">
        <v>0</v>
      </c>
      <c r="Q271" s="93">
        <v>0</v>
      </c>
      <c r="R271" s="93">
        <v>0</v>
      </c>
      <c r="S271" s="93">
        <v>0</v>
      </c>
      <c r="T271" s="90">
        <f t="shared" ref="T271:AE271" si="300">H271*$F$21</f>
        <v>0</v>
      </c>
      <c r="U271" s="90">
        <f t="shared" si="300"/>
        <v>0</v>
      </c>
      <c r="V271" s="90">
        <f t="shared" si="300"/>
        <v>0</v>
      </c>
      <c r="W271" s="90">
        <f t="shared" si="300"/>
        <v>0</v>
      </c>
      <c r="X271" s="90">
        <f t="shared" si="300"/>
        <v>0</v>
      </c>
      <c r="Y271" s="90">
        <f t="shared" si="300"/>
        <v>0</v>
      </c>
      <c r="Z271" s="90">
        <f t="shared" si="300"/>
        <v>0</v>
      </c>
      <c r="AA271" s="90">
        <f t="shared" si="300"/>
        <v>0</v>
      </c>
      <c r="AB271" s="90">
        <f t="shared" si="300"/>
        <v>0</v>
      </c>
      <c r="AC271" s="90">
        <f t="shared" si="300"/>
        <v>0</v>
      </c>
      <c r="AD271" s="90">
        <f t="shared" si="300"/>
        <v>0</v>
      </c>
      <c r="AE271" s="90">
        <f t="shared" si="300"/>
        <v>0</v>
      </c>
      <c r="AF271" s="54">
        <f t="shared" si="270"/>
        <v>0</v>
      </c>
      <c r="AG271" s="2"/>
    </row>
    <row r="272" spans="1:33" ht="16" thickBot="1" x14ac:dyDescent="0.25">
      <c r="A272" s="148" t="s">
        <v>163</v>
      </c>
      <c r="B272" s="91" t="s">
        <v>10</v>
      </c>
      <c r="C272" s="92" t="s">
        <v>169</v>
      </c>
      <c r="D272" s="92" t="s">
        <v>168</v>
      </c>
      <c r="E272" s="94" t="s">
        <v>76</v>
      </c>
      <c r="F272" s="95"/>
      <c r="G272" s="142">
        <f t="shared" si="268"/>
        <v>0</v>
      </c>
      <c r="H272" s="93">
        <v>0</v>
      </c>
      <c r="I272" s="93">
        <v>0</v>
      </c>
      <c r="J272" s="93">
        <v>0</v>
      </c>
      <c r="K272" s="93">
        <v>0</v>
      </c>
      <c r="L272" s="93">
        <v>0</v>
      </c>
      <c r="M272" s="93">
        <v>0</v>
      </c>
      <c r="N272" s="93">
        <v>0</v>
      </c>
      <c r="O272" s="93">
        <v>0</v>
      </c>
      <c r="P272" s="93">
        <v>0</v>
      </c>
      <c r="Q272" s="93">
        <v>0</v>
      </c>
      <c r="R272" s="93">
        <v>0</v>
      </c>
      <c r="S272" s="93">
        <v>0</v>
      </c>
      <c r="T272" s="90">
        <f t="shared" ref="T272:AE272" si="301">H272*$F$6</f>
        <v>0</v>
      </c>
      <c r="U272" s="90">
        <f t="shared" si="301"/>
        <v>0</v>
      </c>
      <c r="V272" s="90">
        <f t="shared" si="301"/>
        <v>0</v>
      </c>
      <c r="W272" s="90">
        <f t="shared" si="301"/>
        <v>0</v>
      </c>
      <c r="X272" s="90">
        <f t="shared" si="301"/>
        <v>0</v>
      </c>
      <c r="Y272" s="90">
        <f t="shared" si="301"/>
        <v>0</v>
      </c>
      <c r="Z272" s="90">
        <f t="shared" si="301"/>
        <v>0</v>
      </c>
      <c r="AA272" s="90">
        <f t="shared" si="301"/>
        <v>0</v>
      </c>
      <c r="AB272" s="90">
        <f t="shared" si="301"/>
        <v>0</v>
      </c>
      <c r="AC272" s="90">
        <f t="shared" si="301"/>
        <v>0</v>
      </c>
      <c r="AD272" s="90">
        <f t="shared" si="301"/>
        <v>0</v>
      </c>
      <c r="AE272" s="90">
        <f t="shared" si="301"/>
        <v>0</v>
      </c>
      <c r="AF272" s="54">
        <f t="shared" si="270"/>
        <v>0</v>
      </c>
      <c r="AG272" s="2"/>
    </row>
    <row r="273" spans="1:33" ht="16" thickBot="1" x14ac:dyDescent="0.25">
      <c r="A273" s="148" t="s">
        <v>163</v>
      </c>
      <c r="B273" s="91" t="s">
        <v>10</v>
      </c>
      <c r="C273" s="92" t="s">
        <v>170</v>
      </c>
      <c r="D273" s="92" t="s">
        <v>168</v>
      </c>
      <c r="E273" s="94" t="s">
        <v>76</v>
      </c>
      <c r="F273" s="95"/>
      <c r="G273" s="142">
        <f t="shared" si="268"/>
        <v>0</v>
      </c>
      <c r="H273" s="93">
        <v>0</v>
      </c>
      <c r="I273" s="93">
        <v>0</v>
      </c>
      <c r="J273" s="93">
        <v>0</v>
      </c>
      <c r="K273" s="93">
        <v>0</v>
      </c>
      <c r="L273" s="93">
        <v>0</v>
      </c>
      <c r="M273" s="93">
        <v>0</v>
      </c>
      <c r="N273" s="93">
        <v>0</v>
      </c>
      <c r="O273" s="93">
        <v>0</v>
      </c>
      <c r="P273" s="93">
        <v>0</v>
      </c>
      <c r="Q273" s="93">
        <v>0</v>
      </c>
      <c r="R273" s="93">
        <v>0</v>
      </c>
      <c r="S273" s="93">
        <v>0</v>
      </c>
      <c r="T273" s="90">
        <f t="shared" ref="T273:AE273" si="302">H273*$F$7</f>
        <v>0</v>
      </c>
      <c r="U273" s="90">
        <f t="shared" si="302"/>
        <v>0</v>
      </c>
      <c r="V273" s="90">
        <f t="shared" si="302"/>
        <v>0</v>
      </c>
      <c r="W273" s="90">
        <f t="shared" si="302"/>
        <v>0</v>
      </c>
      <c r="X273" s="90">
        <f t="shared" si="302"/>
        <v>0</v>
      </c>
      <c r="Y273" s="90">
        <f t="shared" si="302"/>
        <v>0</v>
      </c>
      <c r="Z273" s="90">
        <f t="shared" si="302"/>
        <v>0</v>
      </c>
      <c r="AA273" s="90">
        <f t="shared" si="302"/>
        <v>0</v>
      </c>
      <c r="AB273" s="90">
        <f t="shared" si="302"/>
        <v>0</v>
      </c>
      <c r="AC273" s="90">
        <f t="shared" si="302"/>
        <v>0</v>
      </c>
      <c r="AD273" s="90">
        <f t="shared" si="302"/>
        <v>0</v>
      </c>
      <c r="AE273" s="90">
        <f t="shared" si="302"/>
        <v>0</v>
      </c>
      <c r="AF273" s="54">
        <f t="shared" si="270"/>
        <v>0</v>
      </c>
      <c r="AG273" s="2"/>
    </row>
    <row r="274" spans="1:33" ht="16" thickBot="1" x14ac:dyDescent="0.25">
      <c r="A274" s="148" t="s">
        <v>180</v>
      </c>
      <c r="B274" s="91" t="s">
        <v>10</v>
      </c>
      <c r="C274" s="92" t="s">
        <v>183</v>
      </c>
      <c r="D274" s="92" t="s">
        <v>77</v>
      </c>
      <c r="E274" s="94" t="s">
        <v>76</v>
      </c>
      <c r="F274" s="95"/>
      <c r="G274" s="142">
        <f t="shared" si="268"/>
        <v>0</v>
      </c>
      <c r="H274" s="93">
        <v>0</v>
      </c>
      <c r="I274" s="93">
        <v>0</v>
      </c>
      <c r="J274" s="93">
        <v>0</v>
      </c>
      <c r="K274" s="93">
        <v>0</v>
      </c>
      <c r="L274" s="93">
        <v>0</v>
      </c>
      <c r="M274" s="93">
        <v>0</v>
      </c>
      <c r="N274" s="93">
        <v>0</v>
      </c>
      <c r="O274" s="93">
        <v>0</v>
      </c>
      <c r="P274" s="93">
        <v>0</v>
      </c>
      <c r="Q274" s="93">
        <v>0</v>
      </c>
      <c r="R274" s="93">
        <v>0</v>
      </c>
      <c r="S274" s="93">
        <v>0</v>
      </c>
      <c r="T274" s="90">
        <f t="shared" ref="T274:AE274" si="303">H274*$F$34</f>
        <v>0</v>
      </c>
      <c r="U274" s="90">
        <f t="shared" si="303"/>
        <v>0</v>
      </c>
      <c r="V274" s="90">
        <f t="shared" si="303"/>
        <v>0</v>
      </c>
      <c r="W274" s="90">
        <f t="shared" si="303"/>
        <v>0</v>
      </c>
      <c r="X274" s="90">
        <f t="shared" si="303"/>
        <v>0</v>
      </c>
      <c r="Y274" s="90">
        <f t="shared" si="303"/>
        <v>0</v>
      </c>
      <c r="Z274" s="90">
        <f t="shared" si="303"/>
        <v>0</v>
      </c>
      <c r="AA274" s="90">
        <f t="shared" si="303"/>
        <v>0</v>
      </c>
      <c r="AB274" s="90">
        <f t="shared" si="303"/>
        <v>0</v>
      </c>
      <c r="AC274" s="90">
        <f t="shared" si="303"/>
        <v>0</v>
      </c>
      <c r="AD274" s="90">
        <f t="shared" si="303"/>
        <v>0</v>
      </c>
      <c r="AE274" s="90">
        <f t="shared" si="303"/>
        <v>0</v>
      </c>
      <c r="AF274" s="54">
        <f t="shared" si="270"/>
        <v>0</v>
      </c>
      <c r="AG274" s="2"/>
    </row>
    <row r="275" spans="1:33" ht="16" thickBot="1" x14ac:dyDescent="0.25">
      <c r="A275" s="148" t="s">
        <v>180</v>
      </c>
      <c r="B275" s="91" t="s">
        <v>10</v>
      </c>
      <c r="C275" s="92" t="s">
        <v>184</v>
      </c>
      <c r="D275" s="92" t="s">
        <v>168</v>
      </c>
      <c r="E275" s="94" t="s">
        <v>76</v>
      </c>
      <c r="F275" s="95"/>
      <c r="G275" s="142">
        <f t="shared" si="268"/>
        <v>0</v>
      </c>
      <c r="H275" s="93">
        <v>0</v>
      </c>
      <c r="I275" s="93">
        <v>0</v>
      </c>
      <c r="J275" s="93">
        <v>0</v>
      </c>
      <c r="K275" s="93">
        <v>0</v>
      </c>
      <c r="L275" s="93">
        <v>0</v>
      </c>
      <c r="M275" s="93">
        <v>0</v>
      </c>
      <c r="N275" s="93">
        <v>0</v>
      </c>
      <c r="O275" s="93">
        <v>0</v>
      </c>
      <c r="P275" s="93">
        <v>0</v>
      </c>
      <c r="Q275" s="93">
        <v>0</v>
      </c>
      <c r="R275" s="93">
        <v>0</v>
      </c>
      <c r="S275" s="93">
        <v>0</v>
      </c>
      <c r="T275" s="90">
        <f t="shared" ref="T275:AE275" si="304">H275*$F$40</f>
        <v>0</v>
      </c>
      <c r="U275" s="90">
        <f t="shared" si="304"/>
        <v>0</v>
      </c>
      <c r="V275" s="90">
        <f t="shared" si="304"/>
        <v>0</v>
      </c>
      <c r="W275" s="90">
        <f t="shared" si="304"/>
        <v>0</v>
      </c>
      <c r="X275" s="90">
        <f t="shared" si="304"/>
        <v>0</v>
      </c>
      <c r="Y275" s="90">
        <f t="shared" si="304"/>
        <v>0</v>
      </c>
      <c r="Z275" s="90">
        <f t="shared" si="304"/>
        <v>0</v>
      </c>
      <c r="AA275" s="90">
        <f t="shared" si="304"/>
        <v>0</v>
      </c>
      <c r="AB275" s="90">
        <f t="shared" si="304"/>
        <v>0</v>
      </c>
      <c r="AC275" s="90">
        <f t="shared" si="304"/>
        <v>0</v>
      </c>
      <c r="AD275" s="90">
        <f t="shared" si="304"/>
        <v>0</v>
      </c>
      <c r="AE275" s="90">
        <f t="shared" si="304"/>
        <v>0</v>
      </c>
      <c r="AF275" s="54">
        <f t="shared" si="270"/>
        <v>0</v>
      </c>
      <c r="AG275" s="2"/>
    </row>
    <row r="276" spans="1:33" ht="16" thickBot="1" x14ac:dyDescent="0.25">
      <c r="A276" s="148" t="s">
        <v>180</v>
      </c>
      <c r="B276" s="91" t="s">
        <v>10</v>
      </c>
      <c r="C276" s="92" t="s">
        <v>188</v>
      </c>
      <c r="D276" s="92" t="s">
        <v>168</v>
      </c>
      <c r="E276" s="94" t="s">
        <v>76</v>
      </c>
      <c r="F276" s="95"/>
      <c r="G276" s="142">
        <f t="shared" si="268"/>
        <v>0</v>
      </c>
      <c r="H276" s="93">
        <v>0</v>
      </c>
      <c r="I276" s="93">
        <v>0</v>
      </c>
      <c r="J276" s="93">
        <v>0</v>
      </c>
      <c r="K276" s="93">
        <v>0</v>
      </c>
      <c r="L276" s="93">
        <v>0</v>
      </c>
      <c r="M276" s="93">
        <v>0</v>
      </c>
      <c r="N276" s="93">
        <v>0</v>
      </c>
      <c r="O276" s="93">
        <v>0</v>
      </c>
      <c r="P276" s="93">
        <v>0</v>
      </c>
      <c r="Q276" s="93">
        <v>0</v>
      </c>
      <c r="R276" s="93">
        <v>0</v>
      </c>
      <c r="S276" s="93">
        <v>0</v>
      </c>
      <c r="T276" s="90">
        <f t="shared" ref="T276:AE276" si="305">H276*$F$41</f>
        <v>0</v>
      </c>
      <c r="U276" s="90">
        <f t="shared" si="305"/>
        <v>0</v>
      </c>
      <c r="V276" s="90">
        <f t="shared" si="305"/>
        <v>0</v>
      </c>
      <c r="W276" s="90">
        <f t="shared" si="305"/>
        <v>0</v>
      </c>
      <c r="X276" s="90">
        <f t="shared" si="305"/>
        <v>0</v>
      </c>
      <c r="Y276" s="90">
        <f t="shared" si="305"/>
        <v>0</v>
      </c>
      <c r="Z276" s="90">
        <f t="shared" si="305"/>
        <v>0</v>
      </c>
      <c r="AA276" s="90">
        <f t="shared" si="305"/>
        <v>0</v>
      </c>
      <c r="AB276" s="90">
        <f t="shared" si="305"/>
        <v>0</v>
      </c>
      <c r="AC276" s="90">
        <f t="shared" si="305"/>
        <v>0</v>
      </c>
      <c r="AD276" s="90">
        <f t="shared" si="305"/>
        <v>0</v>
      </c>
      <c r="AE276" s="90">
        <f t="shared" si="305"/>
        <v>0</v>
      </c>
      <c r="AF276" s="54">
        <f t="shared" si="270"/>
        <v>0</v>
      </c>
      <c r="AG276" s="2"/>
    </row>
    <row r="277" spans="1:33" ht="16" thickBot="1" x14ac:dyDescent="0.25">
      <c r="A277" s="148" t="s">
        <v>180</v>
      </c>
      <c r="B277" s="91" t="s">
        <v>10</v>
      </c>
      <c r="C277" s="92" t="s">
        <v>189</v>
      </c>
      <c r="D277" s="92" t="s">
        <v>168</v>
      </c>
      <c r="E277" s="94" t="s">
        <v>76</v>
      </c>
      <c r="F277" s="95"/>
      <c r="G277" s="142">
        <f t="shared" si="268"/>
        <v>0</v>
      </c>
      <c r="H277" s="93">
        <v>0</v>
      </c>
      <c r="I277" s="93">
        <v>0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0">
        <f t="shared" ref="T277:AE277" si="306">H277*$F$42</f>
        <v>0</v>
      </c>
      <c r="U277" s="90">
        <f t="shared" si="306"/>
        <v>0</v>
      </c>
      <c r="V277" s="90">
        <f t="shared" si="306"/>
        <v>0</v>
      </c>
      <c r="W277" s="90">
        <f t="shared" si="306"/>
        <v>0</v>
      </c>
      <c r="X277" s="90">
        <f t="shared" si="306"/>
        <v>0</v>
      </c>
      <c r="Y277" s="90">
        <f t="shared" si="306"/>
        <v>0</v>
      </c>
      <c r="Z277" s="90">
        <f t="shared" si="306"/>
        <v>0</v>
      </c>
      <c r="AA277" s="90">
        <f t="shared" si="306"/>
        <v>0</v>
      </c>
      <c r="AB277" s="90">
        <f t="shared" si="306"/>
        <v>0</v>
      </c>
      <c r="AC277" s="90">
        <f t="shared" si="306"/>
        <v>0</v>
      </c>
      <c r="AD277" s="90">
        <f t="shared" si="306"/>
        <v>0</v>
      </c>
      <c r="AE277" s="90">
        <f t="shared" si="306"/>
        <v>0</v>
      </c>
      <c r="AF277" s="54">
        <f t="shared" si="270"/>
        <v>0</v>
      </c>
      <c r="AG277" s="2"/>
    </row>
    <row r="278" spans="1:33" ht="16" thickBot="1" x14ac:dyDescent="0.25">
      <c r="A278" s="148" t="s">
        <v>51</v>
      </c>
      <c r="B278" s="91" t="s">
        <v>10</v>
      </c>
      <c r="C278" s="92" t="s">
        <v>249</v>
      </c>
      <c r="D278" s="92" t="s">
        <v>168</v>
      </c>
      <c r="E278" s="94" t="s">
        <v>198</v>
      </c>
      <c r="F278" s="95"/>
      <c r="G278" s="142">
        <f t="shared" si="268"/>
        <v>0</v>
      </c>
      <c r="H278" s="93">
        <v>0</v>
      </c>
      <c r="I278" s="93">
        <v>0</v>
      </c>
      <c r="J278" s="93">
        <v>0</v>
      </c>
      <c r="K278" s="93">
        <v>0</v>
      </c>
      <c r="L278" s="93">
        <v>0</v>
      </c>
      <c r="M278" s="93">
        <v>0</v>
      </c>
      <c r="N278" s="93">
        <v>0</v>
      </c>
      <c r="O278" s="93">
        <v>0</v>
      </c>
      <c r="P278" s="93">
        <v>0</v>
      </c>
      <c r="Q278" s="93">
        <v>0</v>
      </c>
      <c r="R278" s="93">
        <v>0</v>
      </c>
      <c r="S278" s="93">
        <v>0</v>
      </c>
      <c r="T278" s="90">
        <f t="shared" ref="T278:AE278" si="307">H278*$F$24</f>
        <v>0</v>
      </c>
      <c r="U278" s="90">
        <f t="shared" si="307"/>
        <v>0</v>
      </c>
      <c r="V278" s="90">
        <f t="shared" si="307"/>
        <v>0</v>
      </c>
      <c r="W278" s="90">
        <f t="shared" si="307"/>
        <v>0</v>
      </c>
      <c r="X278" s="90">
        <f t="shared" si="307"/>
        <v>0</v>
      </c>
      <c r="Y278" s="90">
        <f t="shared" si="307"/>
        <v>0</v>
      </c>
      <c r="Z278" s="90">
        <f t="shared" si="307"/>
        <v>0</v>
      </c>
      <c r="AA278" s="90">
        <f t="shared" si="307"/>
        <v>0</v>
      </c>
      <c r="AB278" s="90">
        <f t="shared" si="307"/>
        <v>0</v>
      </c>
      <c r="AC278" s="90">
        <f t="shared" si="307"/>
        <v>0</v>
      </c>
      <c r="AD278" s="90">
        <f t="shared" si="307"/>
        <v>0</v>
      </c>
      <c r="AE278" s="90">
        <f t="shared" si="307"/>
        <v>0</v>
      </c>
      <c r="AF278" s="54">
        <f t="shared" si="270"/>
        <v>0</v>
      </c>
      <c r="AG278" s="2"/>
    </row>
    <row r="279" spans="1:33" ht="16" thickBot="1" x14ac:dyDescent="0.25">
      <c r="A279" s="148" t="s">
        <v>31</v>
      </c>
      <c r="B279" s="91" t="s">
        <v>10</v>
      </c>
      <c r="C279" s="92" t="s">
        <v>210</v>
      </c>
      <c r="D279" s="92" t="s">
        <v>168</v>
      </c>
      <c r="E279" s="94" t="s">
        <v>198</v>
      </c>
      <c r="F279" s="95"/>
      <c r="G279" s="142">
        <f t="shared" si="268"/>
        <v>0</v>
      </c>
      <c r="H279" s="93">
        <v>0</v>
      </c>
      <c r="I279" s="93">
        <v>0</v>
      </c>
      <c r="J279" s="93">
        <v>0</v>
      </c>
      <c r="K279" s="93">
        <v>0</v>
      </c>
      <c r="L279" s="93">
        <v>0</v>
      </c>
      <c r="M279" s="93">
        <v>0</v>
      </c>
      <c r="N279" s="93">
        <v>0</v>
      </c>
      <c r="O279" s="93">
        <v>0</v>
      </c>
      <c r="P279" s="93">
        <v>0</v>
      </c>
      <c r="Q279" s="93">
        <v>0</v>
      </c>
      <c r="R279" s="93">
        <v>0</v>
      </c>
      <c r="S279" s="93">
        <v>0</v>
      </c>
      <c r="T279" s="90">
        <f>H279*$F$19</f>
        <v>0</v>
      </c>
      <c r="U279" s="90">
        <f t="shared" ref="U279:AE279" si="308">I279*$F$19</f>
        <v>0</v>
      </c>
      <c r="V279" s="90">
        <f t="shared" si="308"/>
        <v>0</v>
      </c>
      <c r="W279" s="90">
        <f t="shared" si="308"/>
        <v>0</v>
      </c>
      <c r="X279" s="90">
        <f t="shared" si="308"/>
        <v>0</v>
      </c>
      <c r="Y279" s="90">
        <f t="shared" si="308"/>
        <v>0</v>
      </c>
      <c r="Z279" s="90">
        <f t="shared" si="308"/>
        <v>0</v>
      </c>
      <c r="AA279" s="90">
        <f t="shared" si="308"/>
        <v>0</v>
      </c>
      <c r="AB279" s="90">
        <f t="shared" si="308"/>
        <v>0</v>
      </c>
      <c r="AC279" s="90">
        <f t="shared" si="308"/>
        <v>0</v>
      </c>
      <c r="AD279" s="90">
        <f t="shared" si="308"/>
        <v>0</v>
      </c>
      <c r="AE279" s="90">
        <f t="shared" si="308"/>
        <v>0</v>
      </c>
      <c r="AF279" s="54">
        <f t="shared" si="270"/>
        <v>0</v>
      </c>
      <c r="AG279" s="2"/>
    </row>
    <row r="280" spans="1:33" ht="16" thickBot="1" x14ac:dyDescent="0.25">
      <c r="A280" s="148" t="s">
        <v>51</v>
      </c>
      <c r="B280" s="91" t="s">
        <v>177</v>
      </c>
      <c r="C280" s="45" t="s">
        <v>252</v>
      </c>
      <c r="D280" s="92" t="s">
        <v>211</v>
      </c>
      <c r="E280" s="94" t="s">
        <v>198</v>
      </c>
      <c r="F280" s="95"/>
      <c r="G280" s="142">
        <f t="shared" si="268"/>
        <v>0</v>
      </c>
      <c r="H280" s="93">
        <v>0</v>
      </c>
      <c r="I280" s="93">
        <v>0</v>
      </c>
      <c r="J280" s="93">
        <v>0</v>
      </c>
      <c r="K280" s="93">
        <v>0</v>
      </c>
      <c r="L280" s="93">
        <v>0</v>
      </c>
      <c r="M280" s="93">
        <v>0</v>
      </c>
      <c r="N280" s="93">
        <v>0</v>
      </c>
      <c r="O280" s="93">
        <v>0</v>
      </c>
      <c r="P280" s="93">
        <v>0</v>
      </c>
      <c r="Q280" s="93">
        <v>0</v>
      </c>
      <c r="R280" s="93">
        <v>0</v>
      </c>
      <c r="S280" s="93">
        <v>0</v>
      </c>
      <c r="T280" s="90">
        <f>H280*$F$26</f>
        <v>0</v>
      </c>
      <c r="U280" s="90">
        <f t="shared" ref="U280:AE280" si="309">I280*$F$26</f>
        <v>0</v>
      </c>
      <c r="V280" s="90">
        <f t="shared" si="309"/>
        <v>0</v>
      </c>
      <c r="W280" s="90">
        <f t="shared" si="309"/>
        <v>0</v>
      </c>
      <c r="X280" s="90">
        <f t="shared" si="309"/>
        <v>0</v>
      </c>
      <c r="Y280" s="90">
        <f t="shared" si="309"/>
        <v>0</v>
      </c>
      <c r="Z280" s="90">
        <f t="shared" si="309"/>
        <v>0</v>
      </c>
      <c r="AA280" s="90">
        <f t="shared" si="309"/>
        <v>0</v>
      </c>
      <c r="AB280" s="90">
        <f t="shared" si="309"/>
        <v>0</v>
      </c>
      <c r="AC280" s="90">
        <f t="shared" si="309"/>
        <v>0</v>
      </c>
      <c r="AD280" s="90">
        <f t="shared" si="309"/>
        <v>0</v>
      </c>
      <c r="AE280" s="90">
        <f t="shared" si="309"/>
        <v>0</v>
      </c>
      <c r="AF280" s="54">
        <f t="shared" ref="AF280:AF293" si="310">SUM(T280:AE280)</f>
        <v>0</v>
      </c>
      <c r="AG280" s="2"/>
    </row>
    <row r="281" spans="1:33" ht="16" thickBot="1" x14ac:dyDescent="0.25">
      <c r="A281" s="148" t="s">
        <v>51</v>
      </c>
      <c r="B281" s="91" t="s">
        <v>177</v>
      </c>
      <c r="C281" s="92" t="s">
        <v>246</v>
      </c>
      <c r="D281" s="92" t="s">
        <v>168</v>
      </c>
      <c r="E281" s="94" t="s">
        <v>198</v>
      </c>
      <c r="F281" s="95"/>
      <c r="G281" s="142">
        <f t="shared" si="268"/>
        <v>0</v>
      </c>
      <c r="H281" s="93">
        <v>0</v>
      </c>
      <c r="I281" s="93">
        <v>0</v>
      </c>
      <c r="J281" s="93">
        <v>0</v>
      </c>
      <c r="K281" s="93">
        <v>0</v>
      </c>
      <c r="L281" s="93">
        <v>0</v>
      </c>
      <c r="M281" s="93">
        <v>0</v>
      </c>
      <c r="N281" s="93">
        <v>0</v>
      </c>
      <c r="O281" s="93">
        <v>0</v>
      </c>
      <c r="P281" s="93">
        <v>0</v>
      </c>
      <c r="Q281" s="93">
        <v>0</v>
      </c>
      <c r="R281" s="93">
        <v>0</v>
      </c>
      <c r="S281" s="93">
        <v>0</v>
      </c>
      <c r="T281" s="90">
        <f>H281*$F$27</f>
        <v>0</v>
      </c>
      <c r="U281" s="90">
        <f t="shared" ref="U281:AE281" si="311">I281*$F$27</f>
        <v>0</v>
      </c>
      <c r="V281" s="90">
        <f t="shared" si="311"/>
        <v>0</v>
      </c>
      <c r="W281" s="90">
        <f t="shared" si="311"/>
        <v>0</v>
      </c>
      <c r="X281" s="90">
        <f t="shared" si="311"/>
        <v>0</v>
      </c>
      <c r="Y281" s="90">
        <f t="shared" si="311"/>
        <v>0</v>
      </c>
      <c r="Z281" s="90">
        <f t="shared" si="311"/>
        <v>0</v>
      </c>
      <c r="AA281" s="90">
        <f t="shared" si="311"/>
        <v>0</v>
      </c>
      <c r="AB281" s="90">
        <f t="shared" si="311"/>
        <v>0</v>
      </c>
      <c r="AC281" s="90">
        <f t="shared" si="311"/>
        <v>0</v>
      </c>
      <c r="AD281" s="90">
        <f t="shared" si="311"/>
        <v>0</v>
      </c>
      <c r="AE281" s="90">
        <f t="shared" si="311"/>
        <v>0</v>
      </c>
      <c r="AF281" s="54">
        <f t="shared" si="310"/>
        <v>0</v>
      </c>
      <c r="AG281" s="2"/>
    </row>
    <row r="282" spans="1:33" ht="16" thickBot="1" x14ac:dyDescent="0.25">
      <c r="A282" s="148" t="s">
        <v>51</v>
      </c>
      <c r="B282" s="91" t="s">
        <v>2</v>
      </c>
      <c r="C282" s="45" t="s">
        <v>252</v>
      </c>
      <c r="D282" s="92" t="s">
        <v>211</v>
      </c>
      <c r="E282" s="94" t="s">
        <v>198</v>
      </c>
      <c r="F282" s="95"/>
      <c r="G282" s="142">
        <f t="shared" si="268"/>
        <v>0.21249999999999999</v>
      </c>
      <c r="H282" s="93">
        <v>0.1</v>
      </c>
      <c r="I282" s="93">
        <v>0.15</v>
      </c>
      <c r="J282" s="93">
        <v>0.15</v>
      </c>
      <c r="K282" s="93">
        <v>0.15</v>
      </c>
      <c r="L282" s="93">
        <v>0.25</v>
      </c>
      <c r="M282" s="93">
        <v>0.25</v>
      </c>
      <c r="N282" s="93">
        <v>0.25</v>
      </c>
      <c r="O282" s="93">
        <v>0.25</v>
      </c>
      <c r="P282" s="93">
        <v>0.25</v>
      </c>
      <c r="Q282" s="93">
        <v>0.25</v>
      </c>
      <c r="R282" s="93">
        <v>0.25</v>
      </c>
      <c r="S282" s="93">
        <v>0.25</v>
      </c>
      <c r="T282" s="90">
        <f>H282*$F$26</f>
        <v>3575</v>
      </c>
      <c r="U282" s="90">
        <f t="shared" ref="U282" si="312">I282*$F$26</f>
        <v>5362.5</v>
      </c>
      <c r="V282" s="90">
        <f t="shared" ref="V282" si="313">J282*$F$26</f>
        <v>5362.5</v>
      </c>
      <c r="W282" s="90">
        <f t="shared" ref="W282" si="314">K282*$F$26</f>
        <v>5362.5</v>
      </c>
      <c r="X282" s="90">
        <f t="shared" ref="X282" si="315">L282*$F$26</f>
        <v>8937.5</v>
      </c>
      <c r="Y282" s="90">
        <f t="shared" ref="Y282" si="316">M282*$F$26</f>
        <v>8937.5</v>
      </c>
      <c r="Z282" s="90">
        <f t="shared" ref="Z282" si="317">N282*$F$26</f>
        <v>8937.5</v>
      </c>
      <c r="AA282" s="90">
        <f t="shared" ref="AA282" si="318">O282*$F$26</f>
        <v>8937.5</v>
      </c>
      <c r="AB282" s="90">
        <f t="shared" ref="AB282" si="319">P282*$F$26</f>
        <v>8937.5</v>
      </c>
      <c r="AC282" s="90">
        <f t="shared" ref="AC282" si="320">Q282*$F$26</f>
        <v>8937.5</v>
      </c>
      <c r="AD282" s="90">
        <f t="shared" ref="AD282" si="321">R282*$F$26</f>
        <v>8937.5</v>
      </c>
      <c r="AE282" s="90">
        <f t="shared" ref="AE282" si="322">S282*$F$26</f>
        <v>8937.5</v>
      </c>
      <c r="AF282" s="54">
        <f t="shared" si="310"/>
        <v>91162.5</v>
      </c>
      <c r="AG282" s="2"/>
    </row>
    <row r="283" spans="1:33" ht="16" thickBot="1" x14ac:dyDescent="0.25">
      <c r="A283" s="148" t="s">
        <v>51</v>
      </c>
      <c r="B283" s="91" t="s">
        <v>2</v>
      </c>
      <c r="C283" s="92" t="s">
        <v>246</v>
      </c>
      <c r="D283" s="92" t="s">
        <v>168</v>
      </c>
      <c r="E283" s="94" t="s">
        <v>198</v>
      </c>
      <c r="F283" s="95"/>
      <c r="G283" s="142">
        <f t="shared" si="268"/>
        <v>0</v>
      </c>
      <c r="H283" s="93">
        <v>0</v>
      </c>
      <c r="I283" s="93">
        <v>0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0">
        <f>H283*$F$27</f>
        <v>0</v>
      </c>
      <c r="U283" s="90">
        <f t="shared" ref="U283:AE283" si="323">I283*$F$27</f>
        <v>0</v>
      </c>
      <c r="V283" s="90">
        <f t="shared" si="323"/>
        <v>0</v>
      </c>
      <c r="W283" s="90">
        <f t="shared" si="323"/>
        <v>0</v>
      </c>
      <c r="X283" s="90">
        <f t="shared" si="323"/>
        <v>0</v>
      </c>
      <c r="Y283" s="90">
        <f t="shared" si="323"/>
        <v>0</v>
      </c>
      <c r="Z283" s="90">
        <f t="shared" si="323"/>
        <v>0</v>
      </c>
      <c r="AA283" s="90">
        <f t="shared" si="323"/>
        <v>0</v>
      </c>
      <c r="AB283" s="90">
        <f t="shared" si="323"/>
        <v>0</v>
      </c>
      <c r="AC283" s="90">
        <f t="shared" si="323"/>
        <v>0</v>
      </c>
      <c r="AD283" s="90">
        <f t="shared" si="323"/>
        <v>0</v>
      </c>
      <c r="AE283" s="90">
        <f t="shared" si="323"/>
        <v>0</v>
      </c>
      <c r="AF283" s="54">
        <f t="shared" si="310"/>
        <v>0</v>
      </c>
      <c r="AG283" s="2"/>
    </row>
    <row r="284" spans="1:33" ht="16" thickBot="1" x14ac:dyDescent="0.25">
      <c r="A284" s="148" t="s">
        <v>51</v>
      </c>
      <c r="B284" s="91" t="s">
        <v>3</v>
      </c>
      <c r="C284" s="45" t="s">
        <v>252</v>
      </c>
      <c r="D284" s="92" t="s">
        <v>211</v>
      </c>
      <c r="E284" s="94" t="s">
        <v>198</v>
      </c>
      <c r="F284" s="95"/>
      <c r="G284" s="142">
        <f t="shared" si="268"/>
        <v>0.21249999999999999</v>
      </c>
      <c r="H284" s="93">
        <v>0.1</v>
      </c>
      <c r="I284" s="93">
        <v>0.15</v>
      </c>
      <c r="J284" s="93">
        <v>0.15</v>
      </c>
      <c r="K284" s="93">
        <v>0.15</v>
      </c>
      <c r="L284" s="93">
        <v>0.25</v>
      </c>
      <c r="M284" s="93">
        <v>0.25</v>
      </c>
      <c r="N284" s="93">
        <v>0.25</v>
      </c>
      <c r="O284" s="93">
        <v>0.25</v>
      </c>
      <c r="P284" s="93">
        <v>0.25</v>
      </c>
      <c r="Q284" s="93">
        <v>0.25</v>
      </c>
      <c r="R284" s="93">
        <v>0.25</v>
      </c>
      <c r="S284" s="93">
        <v>0.25</v>
      </c>
      <c r="T284" s="90">
        <f>H284*$F$26</f>
        <v>3575</v>
      </c>
      <c r="U284" s="90">
        <f t="shared" ref="U284" si="324">I284*$F$26</f>
        <v>5362.5</v>
      </c>
      <c r="V284" s="90">
        <f t="shared" ref="V284" si="325">J284*$F$26</f>
        <v>5362.5</v>
      </c>
      <c r="W284" s="90">
        <f t="shared" ref="W284" si="326">K284*$F$26</f>
        <v>5362.5</v>
      </c>
      <c r="X284" s="90">
        <f t="shared" ref="X284" si="327">L284*$F$26</f>
        <v>8937.5</v>
      </c>
      <c r="Y284" s="90">
        <f t="shared" ref="Y284" si="328">M284*$F$26</f>
        <v>8937.5</v>
      </c>
      <c r="Z284" s="90">
        <f t="shared" ref="Z284" si="329">N284*$F$26</f>
        <v>8937.5</v>
      </c>
      <c r="AA284" s="90">
        <f t="shared" ref="AA284" si="330">O284*$F$26</f>
        <v>8937.5</v>
      </c>
      <c r="AB284" s="90">
        <f t="shared" ref="AB284" si="331">P284*$F$26</f>
        <v>8937.5</v>
      </c>
      <c r="AC284" s="90">
        <f t="shared" ref="AC284" si="332">Q284*$F$26</f>
        <v>8937.5</v>
      </c>
      <c r="AD284" s="90">
        <f t="shared" ref="AD284" si="333">R284*$F$26</f>
        <v>8937.5</v>
      </c>
      <c r="AE284" s="90">
        <f t="shared" ref="AE284" si="334">S284*$F$26</f>
        <v>8937.5</v>
      </c>
      <c r="AF284" s="54">
        <f t="shared" si="310"/>
        <v>91162.5</v>
      </c>
      <c r="AG284" s="2"/>
    </row>
    <row r="285" spans="1:33" ht="16" thickBot="1" x14ac:dyDescent="0.25">
      <c r="A285" s="148" t="s">
        <v>51</v>
      </c>
      <c r="B285" s="91" t="s">
        <v>3</v>
      </c>
      <c r="C285" s="92" t="s">
        <v>246</v>
      </c>
      <c r="D285" s="92" t="s">
        <v>168</v>
      </c>
      <c r="E285" s="94" t="s">
        <v>198</v>
      </c>
      <c r="F285" s="95"/>
      <c r="G285" s="142">
        <f t="shared" si="268"/>
        <v>0</v>
      </c>
      <c r="H285" s="93">
        <v>0</v>
      </c>
      <c r="I285" s="93">
        <v>0</v>
      </c>
      <c r="J285" s="93">
        <v>0</v>
      </c>
      <c r="K285" s="93">
        <v>0</v>
      </c>
      <c r="L285" s="93">
        <v>0</v>
      </c>
      <c r="M285" s="93">
        <v>0</v>
      </c>
      <c r="N285" s="93">
        <v>0</v>
      </c>
      <c r="O285" s="93">
        <v>0</v>
      </c>
      <c r="P285" s="93">
        <v>0</v>
      </c>
      <c r="Q285" s="93">
        <v>0</v>
      </c>
      <c r="R285" s="93">
        <v>0</v>
      </c>
      <c r="S285" s="93">
        <v>0</v>
      </c>
      <c r="T285" s="90">
        <f>H285*$F$27</f>
        <v>0</v>
      </c>
      <c r="U285" s="90">
        <f t="shared" ref="U285:AE285" si="335">I285*$F$27</f>
        <v>0</v>
      </c>
      <c r="V285" s="90">
        <f t="shared" si="335"/>
        <v>0</v>
      </c>
      <c r="W285" s="90">
        <f t="shared" si="335"/>
        <v>0</v>
      </c>
      <c r="X285" s="90">
        <f t="shared" si="335"/>
        <v>0</v>
      </c>
      <c r="Y285" s="90">
        <f t="shared" si="335"/>
        <v>0</v>
      </c>
      <c r="Z285" s="90">
        <f t="shared" si="335"/>
        <v>0</v>
      </c>
      <c r="AA285" s="90">
        <f t="shared" si="335"/>
        <v>0</v>
      </c>
      <c r="AB285" s="90">
        <f t="shared" si="335"/>
        <v>0</v>
      </c>
      <c r="AC285" s="90">
        <f t="shared" si="335"/>
        <v>0</v>
      </c>
      <c r="AD285" s="90">
        <f t="shared" si="335"/>
        <v>0</v>
      </c>
      <c r="AE285" s="90">
        <f t="shared" si="335"/>
        <v>0</v>
      </c>
      <c r="AF285" s="54">
        <f t="shared" si="310"/>
        <v>0</v>
      </c>
      <c r="AG285" s="2"/>
    </row>
    <row r="286" spans="1:33" ht="16" thickBot="1" x14ac:dyDescent="0.25">
      <c r="A286" s="148" t="s">
        <v>51</v>
      </c>
      <c r="B286" s="91" t="s">
        <v>4</v>
      </c>
      <c r="C286" s="45" t="s">
        <v>252</v>
      </c>
      <c r="D286" s="92" t="s">
        <v>211</v>
      </c>
      <c r="E286" s="94" t="s">
        <v>198</v>
      </c>
      <c r="F286" s="95"/>
      <c r="G286" s="142">
        <f t="shared" si="268"/>
        <v>0</v>
      </c>
      <c r="H286" s="93">
        <v>0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0">
        <f>H286*$F$26</f>
        <v>0</v>
      </c>
      <c r="U286" s="90">
        <f t="shared" ref="U286" si="336">I286*$F$26</f>
        <v>0</v>
      </c>
      <c r="V286" s="90">
        <f t="shared" ref="V286" si="337">J286*$F$26</f>
        <v>0</v>
      </c>
      <c r="W286" s="90">
        <f t="shared" ref="W286" si="338">K286*$F$26</f>
        <v>0</v>
      </c>
      <c r="X286" s="90">
        <f t="shared" ref="X286" si="339">L286*$F$26</f>
        <v>0</v>
      </c>
      <c r="Y286" s="90">
        <f t="shared" ref="Y286" si="340">M286*$F$26</f>
        <v>0</v>
      </c>
      <c r="Z286" s="90">
        <f t="shared" ref="Z286" si="341">N286*$F$26</f>
        <v>0</v>
      </c>
      <c r="AA286" s="90">
        <f t="shared" ref="AA286" si="342">O286*$F$26</f>
        <v>0</v>
      </c>
      <c r="AB286" s="90">
        <f t="shared" ref="AB286" si="343">P286*$F$26</f>
        <v>0</v>
      </c>
      <c r="AC286" s="90">
        <f t="shared" ref="AC286" si="344">Q286*$F$26</f>
        <v>0</v>
      </c>
      <c r="AD286" s="90">
        <f t="shared" ref="AD286" si="345">R286*$F$26</f>
        <v>0</v>
      </c>
      <c r="AE286" s="90">
        <f t="shared" ref="AE286" si="346">S286*$F$26</f>
        <v>0</v>
      </c>
      <c r="AF286" s="54">
        <f t="shared" si="310"/>
        <v>0</v>
      </c>
      <c r="AG286" s="2"/>
    </row>
    <row r="287" spans="1:33" ht="16" thickBot="1" x14ac:dyDescent="0.25">
      <c r="A287" s="148" t="s">
        <v>51</v>
      </c>
      <c r="B287" s="91" t="s">
        <v>4</v>
      </c>
      <c r="C287" s="92" t="s">
        <v>246</v>
      </c>
      <c r="D287" s="92" t="s">
        <v>168</v>
      </c>
      <c r="E287" s="94" t="s">
        <v>198</v>
      </c>
      <c r="F287" s="95"/>
      <c r="G287" s="142">
        <f t="shared" si="268"/>
        <v>0</v>
      </c>
      <c r="H287" s="93">
        <v>0</v>
      </c>
      <c r="I287" s="93">
        <v>0</v>
      </c>
      <c r="J287" s="93">
        <v>0</v>
      </c>
      <c r="K287" s="93">
        <v>0</v>
      </c>
      <c r="L287" s="93">
        <v>0</v>
      </c>
      <c r="M287" s="93">
        <v>0</v>
      </c>
      <c r="N287" s="93">
        <v>0</v>
      </c>
      <c r="O287" s="93">
        <v>0</v>
      </c>
      <c r="P287" s="93">
        <v>0</v>
      </c>
      <c r="Q287" s="93">
        <v>0</v>
      </c>
      <c r="R287" s="93">
        <v>0</v>
      </c>
      <c r="S287" s="93">
        <v>0</v>
      </c>
      <c r="T287" s="90">
        <f>H287*$F$27</f>
        <v>0</v>
      </c>
      <c r="U287" s="90">
        <f t="shared" ref="U287:AE287" si="347">I287*$F$27</f>
        <v>0</v>
      </c>
      <c r="V287" s="90">
        <f t="shared" si="347"/>
        <v>0</v>
      </c>
      <c r="W287" s="90">
        <f t="shared" si="347"/>
        <v>0</v>
      </c>
      <c r="X287" s="90">
        <f t="shared" si="347"/>
        <v>0</v>
      </c>
      <c r="Y287" s="90">
        <f t="shared" si="347"/>
        <v>0</v>
      </c>
      <c r="Z287" s="90">
        <f t="shared" si="347"/>
        <v>0</v>
      </c>
      <c r="AA287" s="90">
        <f t="shared" si="347"/>
        <v>0</v>
      </c>
      <c r="AB287" s="90">
        <f t="shared" si="347"/>
        <v>0</v>
      </c>
      <c r="AC287" s="90">
        <f t="shared" si="347"/>
        <v>0</v>
      </c>
      <c r="AD287" s="90">
        <f t="shared" si="347"/>
        <v>0</v>
      </c>
      <c r="AE287" s="90">
        <f t="shared" si="347"/>
        <v>0</v>
      </c>
      <c r="AF287" s="54">
        <f t="shared" si="310"/>
        <v>0</v>
      </c>
      <c r="AG287" s="2"/>
    </row>
    <row r="288" spans="1:33" ht="16" thickBot="1" x14ac:dyDescent="0.25">
      <c r="A288" s="148" t="s">
        <v>51</v>
      </c>
      <c r="B288" s="91" t="s">
        <v>5</v>
      </c>
      <c r="C288" s="45" t="s">
        <v>252</v>
      </c>
      <c r="D288" s="92" t="s">
        <v>211</v>
      </c>
      <c r="E288" s="94" t="s">
        <v>198</v>
      </c>
      <c r="F288" s="95"/>
      <c r="G288" s="142">
        <f t="shared" si="268"/>
        <v>0</v>
      </c>
      <c r="H288" s="93">
        <v>0</v>
      </c>
      <c r="I288" s="93">
        <v>0</v>
      </c>
      <c r="J288" s="93">
        <v>0</v>
      </c>
      <c r="K288" s="93">
        <v>0</v>
      </c>
      <c r="L288" s="93">
        <v>0</v>
      </c>
      <c r="M288" s="93">
        <v>0</v>
      </c>
      <c r="N288" s="93">
        <v>0</v>
      </c>
      <c r="O288" s="93">
        <v>0</v>
      </c>
      <c r="P288" s="93">
        <v>0</v>
      </c>
      <c r="Q288" s="93">
        <v>0</v>
      </c>
      <c r="R288" s="93">
        <v>0</v>
      </c>
      <c r="S288" s="93">
        <v>0</v>
      </c>
      <c r="T288" s="90">
        <f>H288*$F$26</f>
        <v>0</v>
      </c>
      <c r="U288" s="90">
        <f t="shared" ref="U288" si="348">I288*$F$26</f>
        <v>0</v>
      </c>
      <c r="V288" s="90">
        <f t="shared" ref="V288" si="349">J288*$F$26</f>
        <v>0</v>
      </c>
      <c r="W288" s="90">
        <f t="shared" ref="W288" si="350">K288*$F$26</f>
        <v>0</v>
      </c>
      <c r="X288" s="90">
        <f t="shared" ref="X288" si="351">L288*$F$26</f>
        <v>0</v>
      </c>
      <c r="Y288" s="90">
        <f t="shared" ref="Y288" si="352">M288*$F$26</f>
        <v>0</v>
      </c>
      <c r="Z288" s="90">
        <f t="shared" ref="Z288" si="353">N288*$F$26</f>
        <v>0</v>
      </c>
      <c r="AA288" s="90">
        <f t="shared" ref="AA288" si="354">O288*$F$26</f>
        <v>0</v>
      </c>
      <c r="AB288" s="90">
        <f t="shared" ref="AB288" si="355">P288*$F$26</f>
        <v>0</v>
      </c>
      <c r="AC288" s="90">
        <f t="shared" ref="AC288" si="356">Q288*$F$26</f>
        <v>0</v>
      </c>
      <c r="AD288" s="90">
        <f t="shared" ref="AD288" si="357">R288*$F$26</f>
        <v>0</v>
      </c>
      <c r="AE288" s="90">
        <f t="shared" ref="AE288" si="358">S288*$F$26</f>
        <v>0</v>
      </c>
      <c r="AF288" s="54">
        <f t="shared" si="310"/>
        <v>0</v>
      </c>
      <c r="AG288" s="2"/>
    </row>
    <row r="289" spans="1:33" ht="16" thickBot="1" x14ac:dyDescent="0.25">
      <c r="A289" s="148" t="s">
        <v>51</v>
      </c>
      <c r="B289" s="91" t="s">
        <v>5</v>
      </c>
      <c r="C289" s="92" t="s">
        <v>246</v>
      </c>
      <c r="D289" s="92" t="s">
        <v>168</v>
      </c>
      <c r="E289" s="94" t="s">
        <v>198</v>
      </c>
      <c r="F289" s="95"/>
      <c r="G289" s="142">
        <f t="shared" si="268"/>
        <v>0</v>
      </c>
      <c r="H289" s="93">
        <v>0</v>
      </c>
      <c r="I289" s="93">
        <v>0</v>
      </c>
      <c r="J289" s="93">
        <v>0</v>
      </c>
      <c r="K289" s="93">
        <v>0</v>
      </c>
      <c r="L289" s="93">
        <v>0</v>
      </c>
      <c r="M289" s="93">
        <v>0</v>
      </c>
      <c r="N289" s="93">
        <v>0</v>
      </c>
      <c r="O289" s="93">
        <v>0</v>
      </c>
      <c r="P289" s="93">
        <v>0</v>
      </c>
      <c r="Q289" s="93">
        <v>0</v>
      </c>
      <c r="R289" s="93">
        <v>0</v>
      </c>
      <c r="S289" s="93">
        <v>0</v>
      </c>
      <c r="T289" s="90">
        <f>H289*$F$27</f>
        <v>0</v>
      </c>
      <c r="U289" s="90">
        <f t="shared" ref="U289:AE289" si="359">I289*$F$27</f>
        <v>0</v>
      </c>
      <c r="V289" s="90">
        <f t="shared" si="359"/>
        <v>0</v>
      </c>
      <c r="W289" s="90">
        <f t="shared" si="359"/>
        <v>0</v>
      </c>
      <c r="X289" s="90">
        <f t="shared" si="359"/>
        <v>0</v>
      </c>
      <c r="Y289" s="90">
        <f t="shared" si="359"/>
        <v>0</v>
      </c>
      <c r="Z289" s="90">
        <f t="shared" si="359"/>
        <v>0</v>
      </c>
      <c r="AA289" s="90">
        <f t="shared" si="359"/>
        <v>0</v>
      </c>
      <c r="AB289" s="90">
        <f t="shared" si="359"/>
        <v>0</v>
      </c>
      <c r="AC289" s="90">
        <f t="shared" si="359"/>
        <v>0</v>
      </c>
      <c r="AD289" s="90">
        <f t="shared" si="359"/>
        <v>0</v>
      </c>
      <c r="AE289" s="90">
        <f t="shared" si="359"/>
        <v>0</v>
      </c>
      <c r="AF289" s="54">
        <f t="shared" si="310"/>
        <v>0</v>
      </c>
      <c r="AG289" s="2"/>
    </row>
    <row r="290" spans="1:33" ht="16" thickBot="1" x14ac:dyDescent="0.25">
      <c r="A290" s="148" t="s">
        <v>51</v>
      </c>
      <c r="B290" s="91" t="s">
        <v>9</v>
      </c>
      <c r="C290" s="45" t="s">
        <v>252</v>
      </c>
      <c r="D290" s="92" t="s">
        <v>211</v>
      </c>
      <c r="E290" s="94" t="s">
        <v>198</v>
      </c>
      <c r="F290" s="95"/>
      <c r="G290" s="142">
        <f t="shared" si="268"/>
        <v>0</v>
      </c>
      <c r="H290" s="93">
        <v>0</v>
      </c>
      <c r="I290" s="93">
        <v>0</v>
      </c>
      <c r="J290" s="93">
        <v>0</v>
      </c>
      <c r="K290" s="93">
        <v>0</v>
      </c>
      <c r="L290" s="93">
        <v>0</v>
      </c>
      <c r="M290" s="93">
        <v>0</v>
      </c>
      <c r="N290" s="93">
        <v>0</v>
      </c>
      <c r="O290" s="93">
        <v>0</v>
      </c>
      <c r="P290" s="93">
        <v>0</v>
      </c>
      <c r="Q290" s="93">
        <v>0</v>
      </c>
      <c r="R290" s="93">
        <v>0</v>
      </c>
      <c r="S290" s="93">
        <v>0</v>
      </c>
      <c r="T290" s="90">
        <f>H290*$F$26</f>
        <v>0</v>
      </c>
      <c r="U290" s="90">
        <f t="shared" ref="U290" si="360">I290*$F$26</f>
        <v>0</v>
      </c>
      <c r="V290" s="90">
        <f t="shared" ref="V290" si="361">J290*$F$26</f>
        <v>0</v>
      </c>
      <c r="W290" s="90">
        <f t="shared" ref="W290" si="362">K290*$F$26</f>
        <v>0</v>
      </c>
      <c r="X290" s="90">
        <f t="shared" ref="X290" si="363">L290*$F$26</f>
        <v>0</v>
      </c>
      <c r="Y290" s="90">
        <f t="shared" ref="Y290" si="364">M290*$F$26</f>
        <v>0</v>
      </c>
      <c r="Z290" s="90">
        <f t="shared" ref="Z290" si="365">N290*$F$26</f>
        <v>0</v>
      </c>
      <c r="AA290" s="90">
        <f t="shared" ref="AA290" si="366">O290*$F$26</f>
        <v>0</v>
      </c>
      <c r="AB290" s="90">
        <f t="shared" ref="AB290" si="367">P290*$F$26</f>
        <v>0</v>
      </c>
      <c r="AC290" s="90">
        <f t="shared" ref="AC290" si="368">Q290*$F$26</f>
        <v>0</v>
      </c>
      <c r="AD290" s="90">
        <f t="shared" ref="AD290" si="369">R290*$F$26</f>
        <v>0</v>
      </c>
      <c r="AE290" s="90">
        <f t="shared" ref="AE290" si="370">S290*$F$26</f>
        <v>0</v>
      </c>
      <c r="AF290" s="54">
        <f t="shared" si="310"/>
        <v>0</v>
      </c>
      <c r="AG290" s="2"/>
    </row>
    <row r="291" spans="1:33" ht="16" thickBot="1" x14ac:dyDescent="0.25">
      <c r="A291" s="148" t="s">
        <v>51</v>
      </c>
      <c r="B291" s="91" t="s">
        <v>9</v>
      </c>
      <c r="C291" s="92" t="s">
        <v>246</v>
      </c>
      <c r="D291" s="92" t="s">
        <v>168</v>
      </c>
      <c r="E291" s="94" t="s">
        <v>198</v>
      </c>
      <c r="F291" s="95"/>
      <c r="G291" s="142">
        <f t="shared" si="268"/>
        <v>0</v>
      </c>
      <c r="H291" s="93">
        <v>0</v>
      </c>
      <c r="I291" s="93">
        <v>0</v>
      </c>
      <c r="J291" s="93">
        <v>0</v>
      </c>
      <c r="K291" s="93">
        <v>0</v>
      </c>
      <c r="L291" s="93">
        <v>0</v>
      </c>
      <c r="M291" s="93">
        <v>0</v>
      </c>
      <c r="N291" s="93">
        <v>0</v>
      </c>
      <c r="O291" s="93">
        <v>0</v>
      </c>
      <c r="P291" s="93">
        <v>0</v>
      </c>
      <c r="Q291" s="93">
        <v>0</v>
      </c>
      <c r="R291" s="93">
        <v>0</v>
      </c>
      <c r="S291" s="93">
        <v>0</v>
      </c>
      <c r="T291" s="90">
        <f>H291*$F$27</f>
        <v>0</v>
      </c>
      <c r="U291" s="90">
        <f t="shared" ref="U291:AE291" si="371">I291*$F$27</f>
        <v>0</v>
      </c>
      <c r="V291" s="90">
        <f t="shared" si="371"/>
        <v>0</v>
      </c>
      <c r="W291" s="90">
        <f t="shared" si="371"/>
        <v>0</v>
      </c>
      <c r="X291" s="90">
        <f t="shared" si="371"/>
        <v>0</v>
      </c>
      <c r="Y291" s="90">
        <f t="shared" si="371"/>
        <v>0</v>
      </c>
      <c r="Z291" s="90">
        <f t="shared" si="371"/>
        <v>0</v>
      </c>
      <c r="AA291" s="90">
        <f t="shared" si="371"/>
        <v>0</v>
      </c>
      <c r="AB291" s="90">
        <f t="shared" si="371"/>
        <v>0</v>
      </c>
      <c r="AC291" s="90">
        <f t="shared" si="371"/>
        <v>0</v>
      </c>
      <c r="AD291" s="90">
        <f t="shared" si="371"/>
        <v>0</v>
      </c>
      <c r="AE291" s="90">
        <f t="shared" si="371"/>
        <v>0</v>
      </c>
      <c r="AF291" s="54">
        <f t="shared" si="310"/>
        <v>0</v>
      </c>
      <c r="AG291" s="2"/>
    </row>
    <row r="292" spans="1:33" ht="16" thickBot="1" x14ac:dyDescent="0.25">
      <c r="A292" s="148" t="s">
        <v>51</v>
      </c>
      <c r="B292" s="91" t="s">
        <v>10</v>
      </c>
      <c r="C292" s="45" t="s">
        <v>252</v>
      </c>
      <c r="D292" s="92" t="s">
        <v>211</v>
      </c>
      <c r="E292" s="94" t="s">
        <v>198</v>
      </c>
      <c r="F292" s="95"/>
      <c r="G292" s="142">
        <f t="shared" si="268"/>
        <v>0</v>
      </c>
      <c r="H292" s="93">
        <v>0</v>
      </c>
      <c r="I292" s="93">
        <v>0</v>
      </c>
      <c r="J292" s="93">
        <v>0</v>
      </c>
      <c r="K292" s="93">
        <v>0</v>
      </c>
      <c r="L292" s="93">
        <v>0</v>
      </c>
      <c r="M292" s="93">
        <v>0</v>
      </c>
      <c r="N292" s="93">
        <v>0</v>
      </c>
      <c r="O292" s="93">
        <v>0</v>
      </c>
      <c r="P292" s="93">
        <v>0</v>
      </c>
      <c r="Q292" s="93">
        <v>0</v>
      </c>
      <c r="R292" s="93">
        <v>0</v>
      </c>
      <c r="S292" s="93">
        <v>0</v>
      </c>
      <c r="T292" s="90">
        <f>H292*$F$26</f>
        <v>0</v>
      </c>
      <c r="U292" s="90">
        <f t="shared" ref="U292" si="372">I292*$F$26</f>
        <v>0</v>
      </c>
      <c r="V292" s="90">
        <f t="shared" ref="V292" si="373">J292*$F$26</f>
        <v>0</v>
      </c>
      <c r="W292" s="90">
        <f t="shared" ref="W292" si="374">K292*$F$26</f>
        <v>0</v>
      </c>
      <c r="X292" s="90">
        <f t="shared" ref="X292" si="375">L292*$F$26</f>
        <v>0</v>
      </c>
      <c r="Y292" s="90">
        <f t="shared" ref="Y292" si="376">M292*$F$26</f>
        <v>0</v>
      </c>
      <c r="Z292" s="90">
        <f t="shared" ref="Z292" si="377">N292*$F$26</f>
        <v>0</v>
      </c>
      <c r="AA292" s="90">
        <f t="shared" ref="AA292" si="378">O292*$F$26</f>
        <v>0</v>
      </c>
      <c r="AB292" s="90">
        <f t="shared" ref="AB292" si="379">P292*$F$26</f>
        <v>0</v>
      </c>
      <c r="AC292" s="90">
        <f t="shared" ref="AC292" si="380">Q292*$F$26</f>
        <v>0</v>
      </c>
      <c r="AD292" s="90">
        <f t="shared" ref="AD292" si="381">R292*$F$26</f>
        <v>0</v>
      </c>
      <c r="AE292" s="90">
        <f t="shared" ref="AE292" si="382">S292*$F$26</f>
        <v>0</v>
      </c>
      <c r="AF292" s="54">
        <f t="shared" si="310"/>
        <v>0</v>
      </c>
      <c r="AG292" s="2"/>
    </row>
    <row r="293" spans="1:33" ht="16" thickBot="1" x14ac:dyDescent="0.25">
      <c r="A293" s="148" t="s">
        <v>51</v>
      </c>
      <c r="B293" s="91" t="s">
        <v>10</v>
      </c>
      <c r="C293" s="92" t="s">
        <v>246</v>
      </c>
      <c r="D293" s="92" t="s">
        <v>168</v>
      </c>
      <c r="E293" s="94" t="s">
        <v>198</v>
      </c>
      <c r="F293" s="95"/>
      <c r="G293" s="142">
        <f t="shared" si="268"/>
        <v>0.5</v>
      </c>
      <c r="H293" s="93">
        <v>0</v>
      </c>
      <c r="I293" s="93">
        <v>0</v>
      </c>
      <c r="J293" s="93">
        <v>0</v>
      </c>
      <c r="K293" s="93">
        <v>0</v>
      </c>
      <c r="L293" s="93">
        <v>0</v>
      </c>
      <c r="M293" s="93">
        <v>0</v>
      </c>
      <c r="N293" s="93">
        <v>1</v>
      </c>
      <c r="O293" s="93">
        <v>1</v>
      </c>
      <c r="P293" s="93">
        <v>1</v>
      </c>
      <c r="Q293" s="93">
        <v>1</v>
      </c>
      <c r="R293" s="93">
        <v>1</v>
      </c>
      <c r="S293" s="93">
        <v>1</v>
      </c>
      <c r="T293" s="90">
        <f>H293*$F$27</f>
        <v>0</v>
      </c>
      <c r="U293" s="90">
        <f t="shared" ref="U293:AE293" si="383">I293*$F$27</f>
        <v>0</v>
      </c>
      <c r="V293" s="90">
        <f t="shared" si="383"/>
        <v>0</v>
      </c>
      <c r="W293" s="90">
        <f t="shared" si="383"/>
        <v>0</v>
      </c>
      <c r="X293" s="90">
        <f t="shared" si="383"/>
        <v>0</v>
      </c>
      <c r="Y293" s="90">
        <f t="shared" si="383"/>
        <v>0</v>
      </c>
      <c r="Z293" s="90">
        <f t="shared" si="383"/>
        <v>30000</v>
      </c>
      <c r="AA293" s="90">
        <f t="shared" si="383"/>
        <v>30000</v>
      </c>
      <c r="AB293" s="90">
        <f t="shared" si="383"/>
        <v>30000</v>
      </c>
      <c r="AC293" s="90">
        <f t="shared" si="383"/>
        <v>30000</v>
      </c>
      <c r="AD293" s="90">
        <f t="shared" si="383"/>
        <v>30000</v>
      </c>
      <c r="AE293" s="90">
        <f t="shared" si="383"/>
        <v>30000</v>
      </c>
      <c r="AF293" s="54">
        <f t="shared" si="310"/>
        <v>180000</v>
      </c>
      <c r="AG293" s="2"/>
    </row>
    <row r="294" spans="1:33" ht="16" thickBot="1" x14ac:dyDescent="0.25">
      <c r="A294" s="148" t="s">
        <v>163</v>
      </c>
      <c r="B294" s="91" t="s">
        <v>177</v>
      </c>
      <c r="C294" s="92" t="s">
        <v>237</v>
      </c>
      <c r="D294" s="92" t="s">
        <v>168</v>
      </c>
      <c r="E294" s="94" t="s">
        <v>76</v>
      </c>
      <c r="F294" s="95"/>
      <c r="G294" s="142">
        <f t="shared" si="268"/>
        <v>0</v>
      </c>
      <c r="H294" s="93">
        <v>0</v>
      </c>
      <c r="I294" s="93">
        <v>0</v>
      </c>
      <c r="J294" s="93">
        <v>0</v>
      </c>
      <c r="K294" s="93">
        <v>0</v>
      </c>
      <c r="L294" s="93">
        <v>0</v>
      </c>
      <c r="M294" s="93">
        <v>0</v>
      </c>
      <c r="N294" s="93">
        <v>0</v>
      </c>
      <c r="O294" s="93">
        <v>0</v>
      </c>
      <c r="P294" s="93">
        <v>0</v>
      </c>
      <c r="Q294" s="93">
        <v>0</v>
      </c>
      <c r="R294" s="93">
        <v>0</v>
      </c>
      <c r="S294" s="93">
        <v>0</v>
      </c>
      <c r="T294" s="90">
        <f>H294*$F$11</f>
        <v>0</v>
      </c>
      <c r="U294" s="90">
        <f t="shared" ref="U294:AE300" si="384">I294*$F$11</f>
        <v>0</v>
      </c>
      <c r="V294" s="90">
        <f t="shared" si="384"/>
        <v>0</v>
      </c>
      <c r="W294" s="90">
        <f t="shared" si="384"/>
        <v>0</v>
      </c>
      <c r="X294" s="90">
        <f t="shared" si="384"/>
        <v>0</v>
      </c>
      <c r="Y294" s="90">
        <f t="shared" si="384"/>
        <v>0</v>
      </c>
      <c r="Z294" s="90">
        <f t="shared" si="384"/>
        <v>0</v>
      </c>
      <c r="AA294" s="90">
        <f t="shared" si="384"/>
        <v>0</v>
      </c>
      <c r="AB294" s="90">
        <f t="shared" si="384"/>
        <v>0</v>
      </c>
      <c r="AC294" s="90">
        <f t="shared" si="384"/>
        <v>0</v>
      </c>
      <c r="AD294" s="90">
        <f t="shared" si="384"/>
        <v>0</v>
      </c>
      <c r="AE294" s="90">
        <f t="shared" si="384"/>
        <v>0</v>
      </c>
      <c r="AF294" s="54">
        <f t="shared" ref="AF294:AF300" si="385">SUM(T294:AE294)</f>
        <v>0</v>
      </c>
      <c r="AG294" s="2"/>
    </row>
    <row r="295" spans="1:33" ht="16" thickBot="1" x14ac:dyDescent="0.25">
      <c r="A295" s="148" t="s">
        <v>163</v>
      </c>
      <c r="B295" s="91" t="s">
        <v>2</v>
      </c>
      <c r="C295" s="92" t="s">
        <v>237</v>
      </c>
      <c r="D295" s="92" t="s">
        <v>168</v>
      </c>
      <c r="E295" s="94" t="s">
        <v>76</v>
      </c>
      <c r="F295" s="95"/>
      <c r="G295" s="142">
        <f t="shared" si="268"/>
        <v>0</v>
      </c>
      <c r="H295" s="93">
        <v>0</v>
      </c>
      <c r="I295" s="93">
        <v>0</v>
      </c>
      <c r="J295" s="93">
        <v>0</v>
      </c>
      <c r="K295" s="93">
        <v>0</v>
      </c>
      <c r="L295" s="93">
        <v>0</v>
      </c>
      <c r="M295" s="93">
        <v>0</v>
      </c>
      <c r="N295" s="93">
        <v>0</v>
      </c>
      <c r="O295" s="93">
        <v>0</v>
      </c>
      <c r="P295" s="93">
        <v>0</v>
      </c>
      <c r="Q295" s="93">
        <v>0</v>
      </c>
      <c r="R295" s="93">
        <v>0</v>
      </c>
      <c r="S295" s="93">
        <v>0</v>
      </c>
      <c r="T295" s="90">
        <f t="shared" ref="T295:T299" si="386">H295*$F$11</f>
        <v>0</v>
      </c>
      <c r="U295" s="90">
        <f t="shared" si="384"/>
        <v>0</v>
      </c>
      <c r="V295" s="90">
        <f t="shared" si="384"/>
        <v>0</v>
      </c>
      <c r="W295" s="90">
        <f t="shared" si="384"/>
        <v>0</v>
      </c>
      <c r="X295" s="90">
        <f t="shared" si="384"/>
        <v>0</v>
      </c>
      <c r="Y295" s="90">
        <f t="shared" si="384"/>
        <v>0</v>
      </c>
      <c r="Z295" s="90">
        <f t="shared" si="384"/>
        <v>0</v>
      </c>
      <c r="AA295" s="90">
        <f t="shared" si="384"/>
        <v>0</v>
      </c>
      <c r="AB295" s="90">
        <f t="shared" si="384"/>
        <v>0</v>
      </c>
      <c r="AC295" s="90">
        <f t="shared" si="384"/>
        <v>0</v>
      </c>
      <c r="AD295" s="90">
        <f t="shared" si="384"/>
        <v>0</v>
      </c>
      <c r="AE295" s="90">
        <f t="shared" si="384"/>
        <v>0</v>
      </c>
      <c r="AF295" s="54">
        <f t="shared" si="385"/>
        <v>0</v>
      </c>
      <c r="AG295" s="2"/>
    </row>
    <row r="296" spans="1:33" ht="16" thickBot="1" x14ac:dyDescent="0.25">
      <c r="A296" s="148" t="s">
        <v>163</v>
      </c>
      <c r="B296" s="91" t="s">
        <v>3</v>
      </c>
      <c r="C296" s="92" t="s">
        <v>237</v>
      </c>
      <c r="D296" s="92" t="s">
        <v>168</v>
      </c>
      <c r="E296" s="94" t="s">
        <v>76</v>
      </c>
      <c r="F296" s="95"/>
      <c r="G296" s="142">
        <f t="shared" si="268"/>
        <v>0</v>
      </c>
      <c r="H296" s="93">
        <v>0</v>
      </c>
      <c r="I296" s="93">
        <v>0</v>
      </c>
      <c r="J296" s="93">
        <v>0</v>
      </c>
      <c r="K296" s="93">
        <v>0</v>
      </c>
      <c r="L296" s="93">
        <v>0</v>
      </c>
      <c r="M296" s="93">
        <v>0</v>
      </c>
      <c r="N296" s="93">
        <v>0</v>
      </c>
      <c r="O296" s="93">
        <v>0</v>
      </c>
      <c r="P296" s="93">
        <v>0</v>
      </c>
      <c r="Q296" s="93">
        <v>0</v>
      </c>
      <c r="R296" s="93">
        <v>0</v>
      </c>
      <c r="S296" s="93">
        <v>0</v>
      </c>
      <c r="T296" s="90">
        <f t="shared" si="386"/>
        <v>0</v>
      </c>
      <c r="U296" s="90">
        <f t="shared" si="384"/>
        <v>0</v>
      </c>
      <c r="V296" s="90">
        <f t="shared" si="384"/>
        <v>0</v>
      </c>
      <c r="W296" s="90">
        <f t="shared" si="384"/>
        <v>0</v>
      </c>
      <c r="X296" s="90">
        <f t="shared" si="384"/>
        <v>0</v>
      </c>
      <c r="Y296" s="90">
        <f t="shared" si="384"/>
        <v>0</v>
      </c>
      <c r="Z296" s="90">
        <f t="shared" si="384"/>
        <v>0</v>
      </c>
      <c r="AA296" s="90">
        <f t="shared" si="384"/>
        <v>0</v>
      </c>
      <c r="AB296" s="90">
        <f t="shared" si="384"/>
        <v>0</v>
      </c>
      <c r="AC296" s="90">
        <f t="shared" si="384"/>
        <v>0</v>
      </c>
      <c r="AD296" s="90">
        <f t="shared" si="384"/>
        <v>0</v>
      </c>
      <c r="AE296" s="90">
        <f t="shared" si="384"/>
        <v>0</v>
      </c>
      <c r="AF296" s="54">
        <f t="shared" si="385"/>
        <v>0</v>
      </c>
      <c r="AG296" s="2"/>
    </row>
    <row r="297" spans="1:33" ht="16" thickBot="1" x14ac:dyDescent="0.25">
      <c r="A297" s="148" t="s">
        <v>163</v>
      </c>
      <c r="B297" s="91" t="s">
        <v>4</v>
      </c>
      <c r="C297" s="92" t="s">
        <v>237</v>
      </c>
      <c r="D297" s="92" t="s">
        <v>168</v>
      </c>
      <c r="E297" s="94" t="s">
        <v>76</v>
      </c>
      <c r="F297" s="95"/>
      <c r="G297" s="142">
        <f t="shared" si="268"/>
        <v>0.16666666666666666</v>
      </c>
      <c r="H297" s="93">
        <v>0</v>
      </c>
      <c r="I297" s="93">
        <v>0</v>
      </c>
      <c r="J297" s="93">
        <v>0</v>
      </c>
      <c r="K297" s="93">
        <v>0</v>
      </c>
      <c r="L297" s="93">
        <v>0</v>
      </c>
      <c r="M297" s="93">
        <v>0</v>
      </c>
      <c r="N297" s="93">
        <v>0</v>
      </c>
      <c r="O297" s="93">
        <v>0</v>
      </c>
      <c r="P297" s="93">
        <v>0.5</v>
      </c>
      <c r="Q297" s="93">
        <v>0.5</v>
      </c>
      <c r="R297" s="93">
        <v>0.5</v>
      </c>
      <c r="S297" s="93">
        <v>0.5</v>
      </c>
      <c r="T297" s="90">
        <f t="shared" si="386"/>
        <v>0</v>
      </c>
      <c r="U297" s="90">
        <f t="shared" si="384"/>
        <v>0</v>
      </c>
      <c r="V297" s="90">
        <f t="shared" si="384"/>
        <v>0</v>
      </c>
      <c r="W297" s="90">
        <f t="shared" si="384"/>
        <v>0</v>
      </c>
      <c r="X297" s="90">
        <f t="shared" si="384"/>
        <v>0</v>
      </c>
      <c r="Y297" s="90">
        <f t="shared" si="384"/>
        <v>0</v>
      </c>
      <c r="Z297" s="90">
        <f t="shared" si="384"/>
        <v>0</v>
      </c>
      <c r="AA297" s="90">
        <f t="shared" si="384"/>
        <v>0</v>
      </c>
      <c r="AB297" s="90">
        <f t="shared" si="384"/>
        <v>9625</v>
      </c>
      <c r="AC297" s="90">
        <f t="shared" si="384"/>
        <v>9625</v>
      </c>
      <c r="AD297" s="90">
        <f t="shared" si="384"/>
        <v>9625</v>
      </c>
      <c r="AE297" s="90">
        <f t="shared" si="384"/>
        <v>9625</v>
      </c>
      <c r="AF297" s="54">
        <f t="shared" si="385"/>
        <v>38500</v>
      </c>
      <c r="AG297" s="2"/>
    </row>
    <row r="298" spans="1:33" ht="16" thickBot="1" x14ac:dyDescent="0.25">
      <c r="A298" s="148" t="s">
        <v>163</v>
      </c>
      <c r="B298" s="91" t="s">
        <v>5</v>
      </c>
      <c r="C298" s="92" t="s">
        <v>237</v>
      </c>
      <c r="D298" s="92" t="s">
        <v>168</v>
      </c>
      <c r="E298" s="94" t="s">
        <v>76</v>
      </c>
      <c r="F298" s="95"/>
      <c r="G298" s="142">
        <f t="shared" si="268"/>
        <v>0.16666666666666666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0.5</v>
      </c>
      <c r="Q298" s="93">
        <v>0.5</v>
      </c>
      <c r="R298" s="93">
        <v>0.5</v>
      </c>
      <c r="S298" s="93">
        <v>0.5</v>
      </c>
      <c r="T298" s="90">
        <f t="shared" si="386"/>
        <v>0</v>
      </c>
      <c r="U298" s="90">
        <f t="shared" si="384"/>
        <v>0</v>
      </c>
      <c r="V298" s="90">
        <f t="shared" si="384"/>
        <v>0</v>
      </c>
      <c r="W298" s="90">
        <f t="shared" si="384"/>
        <v>0</v>
      </c>
      <c r="X298" s="90">
        <f t="shared" si="384"/>
        <v>0</v>
      </c>
      <c r="Y298" s="90">
        <f t="shared" si="384"/>
        <v>0</v>
      </c>
      <c r="Z298" s="90">
        <f t="shared" si="384"/>
        <v>0</v>
      </c>
      <c r="AA298" s="90">
        <f t="shared" si="384"/>
        <v>0</v>
      </c>
      <c r="AB298" s="90">
        <f t="shared" si="384"/>
        <v>9625</v>
      </c>
      <c r="AC298" s="90">
        <f t="shared" si="384"/>
        <v>9625</v>
      </c>
      <c r="AD298" s="90">
        <f t="shared" si="384"/>
        <v>9625</v>
      </c>
      <c r="AE298" s="90">
        <f t="shared" si="384"/>
        <v>9625</v>
      </c>
      <c r="AF298" s="54">
        <f t="shared" si="385"/>
        <v>38500</v>
      </c>
      <c r="AG298" s="2"/>
    </row>
    <row r="299" spans="1:33" ht="16" thickBot="1" x14ac:dyDescent="0.25">
      <c r="A299" s="148" t="s">
        <v>163</v>
      </c>
      <c r="B299" s="91" t="s">
        <v>9</v>
      </c>
      <c r="C299" s="92" t="s">
        <v>237</v>
      </c>
      <c r="D299" s="92" t="s">
        <v>168</v>
      </c>
      <c r="E299" s="94" t="s">
        <v>76</v>
      </c>
      <c r="F299" s="95"/>
      <c r="G299" s="142">
        <f t="shared" si="268"/>
        <v>0</v>
      </c>
      <c r="H299" s="93">
        <v>0</v>
      </c>
      <c r="I299" s="93">
        <v>0</v>
      </c>
      <c r="J299" s="93">
        <v>0</v>
      </c>
      <c r="K299" s="93">
        <v>0</v>
      </c>
      <c r="L299" s="93">
        <v>0</v>
      </c>
      <c r="M299" s="93">
        <v>0</v>
      </c>
      <c r="N299" s="93">
        <v>0</v>
      </c>
      <c r="O299" s="93">
        <v>0</v>
      </c>
      <c r="P299" s="93">
        <v>0</v>
      </c>
      <c r="Q299" s="93">
        <v>0</v>
      </c>
      <c r="R299" s="93">
        <v>0</v>
      </c>
      <c r="S299" s="93">
        <v>0</v>
      </c>
      <c r="T299" s="90">
        <f t="shared" si="386"/>
        <v>0</v>
      </c>
      <c r="U299" s="90">
        <f t="shared" si="384"/>
        <v>0</v>
      </c>
      <c r="V299" s="90">
        <f t="shared" si="384"/>
        <v>0</v>
      </c>
      <c r="W299" s="90">
        <f t="shared" si="384"/>
        <v>0</v>
      </c>
      <c r="X299" s="90">
        <f t="shared" si="384"/>
        <v>0</v>
      </c>
      <c r="Y299" s="90">
        <f t="shared" si="384"/>
        <v>0</v>
      </c>
      <c r="Z299" s="90">
        <f t="shared" si="384"/>
        <v>0</v>
      </c>
      <c r="AA299" s="90">
        <f t="shared" si="384"/>
        <v>0</v>
      </c>
      <c r="AB299" s="90">
        <f t="shared" si="384"/>
        <v>0</v>
      </c>
      <c r="AC299" s="90">
        <f t="shared" si="384"/>
        <v>0</v>
      </c>
      <c r="AD299" s="90">
        <f t="shared" si="384"/>
        <v>0</v>
      </c>
      <c r="AE299" s="90">
        <f t="shared" si="384"/>
        <v>0</v>
      </c>
      <c r="AF299" s="54">
        <f t="shared" si="385"/>
        <v>0</v>
      </c>
      <c r="AG299" s="2"/>
    </row>
    <row r="300" spans="1:33" ht="16" thickBot="1" x14ac:dyDescent="0.25">
      <c r="A300" s="148" t="s">
        <v>163</v>
      </c>
      <c r="B300" s="91" t="s">
        <v>10</v>
      </c>
      <c r="C300" s="92" t="s">
        <v>237</v>
      </c>
      <c r="D300" s="92" t="s">
        <v>168</v>
      </c>
      <c r="E300" s="94" t="s">
        <v>76</v>
      </c>
      <c r="F300" s="95"/>
      <c r="G300" s="142">
        <f t="shared" si="268"/>
        <v>0</v>
      </c>
      <c r="H300" s="93">
        <v>0</v>
      </c>
      <c r="I300" s="93">
        <v>0</v>
      </c>
      <c r="J300" s="93">
        <v>0</v>
      </c>
      <c r="K300" s="93">
        <v>0</v>
      </c>
      <c r="L300" s="93">
        <v>0</v>
      </c>
      <c r="M300" s="93">
        <v>0</v>
      </c>
      <c r="N300" s="93">
        <v>0</v>
      </c>
      <c r="O300" s="93">
        <v>0</v>
      </c>
      <c r="P300" s="93">
        <v>0</v>
      </c>
      <c r="Q300" s="93">
        <v>0</v>
      </c>
      <c r="R300" s="93">
        <v>0</v>
      </c>
      <c r="S300" s="93">
        <v>0</v>
      </c>
      <c r="T300" s="90">
        <f>H300*$F$11</f>
        <v>0</v>
      </c>
      <c r="U300" s="90">
        <f t="shared" si="384"/>
        <v>0</v>
      </c>
      <c r="V300" s="90">
        <f t="shared" si="384"/>
        <v>0</v>
      </c>
      <c r="W300" s="90">
        <f t="shared" si="384"/>
        <v>0</v>
      </c>
      <c r="X300" s="90">
        <f t="shared" si="384"/>
        <v>0</v>
      </c>
      <c r="Y300" s="90">
        <f t="shared" si="384"/>
        <v>0</v>
      </c>
      <c r="Z300" s="90">
        <f t="shared" si="384"/>
        <v>0</v>
      </c>
      <c r="AA300" s="90">
        <f t="shared" si="384"/>
        <v>0</v>
      </c>
      <c r="AB300" s="90">
        <f t="shared" si="384"/>
        <v>0</v>
      </c>
      <c r="AC300" s="90">
        <f t="shared" si="384"/>
        <v>0</v>
      </c>
      <c r="AD300" s="90">
        <f t="shared" si="384"/>
        <v>0</v>
      </c>
      <c r="AE300" s="90">
        <f t="shared" si="384"/>
        <v>0</v>
      </c>
      <c r="AF300" s="54">
        <f t="shared" si="385"/>
        <v>0</v>
      </c>
      <c r="AG300" s="2"/>
    </row>
    <row r="301" spans="1:33" ht="16" thickBot="1" x14ac:dyDescent="0.25">
      <c r="A301" s="148" t="s">
        <v>163</v>
      </c>
      <c r="B301" s="91" t="s">
        <v>177</v>
      </c>
      <c r="C301" s="92" t="s">
        <v>244</v>
      </c>
      <c r="D301" s="92" t="s">
        <v>168</v>
      </c>
      <c r="E301" s="94" t="s">
        <v>76</v>
      </c>
      <c r="F301" s="95"/>
      <c r="G301" s="142">
        <f t="shared" si="268"/>
        <v>0</v>
      </c>
      <c r="H301" s="93">
        <v>0</v>
      </c>
      <c r="I301" s="93">
        <v>0</v>
      </c>
      <c r="J301" s="93">
        <v>0</v>
      </c>
      <c r="K301" s="93">
        <v>0</v>
      </c>
      <c r="L301" s="93">
        <v>0</v>
      </c>
      <c r="M301" s="93">
        <v>0</v>
      </c>
      <c r="N301" s="93">
        <v>0</v>
      </c>
      <c r="O301" s="93">
        <v>0</v>
      </c>
      <c r="P301" s="93">
        <v>0</v>
      </c>
      <c r="Q301" s="93">
        <v>0</v>
      </c>
      <c r="R301" s="93">
        <v>0</v>
      </c>
      <c r="S301" s="93">
        <v>0</v>
      </c>
      <c r="T301" s="90">
        <f>H301*$F$12</f>
        <v>0</v>
      </c>
      <c r="U301" s="90">
        <f t="shared" ref="U301:AE307" si="387">I301*$F$12</f>
        <v>0</v>
      </c>
      <c r="V301" s="90">
        <f t="shared" si="387"/>
        <v>0</v>
      </c>
      <c r="W301" s="90">
        <f t="shared" si="387"/>
        <v>0</v>
      </c>
      <c r="X301" s="90">
        <f t="shared" si="387"/>
        <v>0</v>
      </c>
      <c r="Y301" s="90">
        <f t="shared" si="387"/>
        <v>0</v>
      </c>
      <c r="Z301" s="90">
        <f t="shared" si="387"/>
        <v>0</v>
      </c>
      <c r="AA301" s="90">
        <f t="shared" si="387"/>
        <v>0</v>
      </c>
      <c r="AB301" s="90">
        <f t="shared" si="387"/>
        <v>0</v>
      </c>
      <c r="AC301" s="90">
        <f t="shared" si="387"/>
        <v>0</v>
      </c>
      <c r="AD301" s="90">
        <f t="shared" si="387"/>
        <v>0</v>
      </c>
      <c r="AE301" s="90">
        <f t="shared" si="387"/>
        <v>0</v>
      </c>
      <c r="AF301" s="54">
        <f t="shared" ref="AF301:AF314" si="388">SUM(T301:AE301)</f>
        <v>0</v>
      </c>
      <c r="AG301" s="2"/>
    </row>
    <row r="302" spans="1:33" ht="16" thickBot="1" x14ac:dyDescent="0.25">
      <c r="A302" s="148" t="s">
        <v>163</v>
      </c>
      <c r="B302" s="91" t="s">
        <v>2</v>
      </c>
      <c r="C302" s="92" t="s">
        <v>244</v>
      </c>
      <c r="D302" s="92" t="s">
        <v>168</v>
      </c>
      <c r="E302" s="94" t="s">
        <v>76</v>
      </c>
      <c r="F302" s="95"/>
      <c r="G302" s="142">
        <f t="shared" si="268"/>
        <v>0</v>
      </c>
      <c r="H302" s="93">
        <v>0</v>
      </c>
      <c r="I302" s="93">
        <v>0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0">
        <f t="shared" ref="T302:T307" si="389">H302*$F$12</f>
        <v>0</v>
      </c>
      <c r="U302" s="90">
        <f t="shared" si="387"/>
        <v>0</v>
      </c>
      <c r="V302" s="90">
        <f t="shared" si="387"/>
        <v>0</v>
      </c>
      <c r="W302" s="90">
        <f t="shared" si="387"/>
        <v>0</v>
      </c>
      <c r="X302" s="90">
        <f t="shared" si="387"/>
        <v>0</v>
      </c>
      <c r="Y302" s="90">
        <f t="shared" si="387"/>
        <v>0</v>
      </c>
      <c r="Z302" s="90">
        <f t="shared" si="387"/>
        <v>0</v>
      </c>
      <c r="AA302" s="90">
        <f t="shared" si="387"/>
        <v>0</v>
      </c>
      <c r="AB302" s="90">
        <f t="shared" si="387"/>
        <v>0</v>
      </c>
      <c r="AC302" s="90">
        <f t="shared" si="387"/>
        <v>0</v>
      </c>
      <c r="AD302" s="90">
        <f t="shared" si="387"/>
        <v>0</v>
      </c>
      <c r="AE302" s="90">
        <f t="shared" si="387"/>
        <v>0</v>
      </c>
      <c r="AF302" s="54">
        <f t="shared" si="388"/>
        <v>0</v>
      </c>
      <c r="AG302" s="2"/>
    </row>
    <row r="303" spans="1:33" ht="16" thickBot="1" x14ac:dyDescent="0.25">
      <c r="A303" s="148" t="s">
        <v>163</v>
      </c>
      <c r="B303" s="91" t="s">
        <v>3</v>
      </c>
      <c r="C303" s="92" t="s">
        <v>244</v>
      </c>
      <c r="D303" s="92" t="s">
        <v>168</v>
      </c>
      <c r="E303" s="94" t="s">
        <v>76</v>
      </c>
      <c r="F303" s="95"/>
      <c r="G303" s="142">
        <f t="shared" si="268"/>
        <v>0</v>
      </c>
      <c r="H303" s="93">
        <v>0</v>
      </c>
      <c r="I303" s="93">
        <v>0</v>
      </c>
      <c r="J303" s="93">
        <v>0</v>
      </c>
      <c r="K303" s="93">
        <v>0</v>
      </c>
      <c r="L303" s="93">
        <v>0</v>
      </c>
      <c r="M303" s="93">
        <v>0</v>
      </c>
      <c r="N303" s="93">
        <v>0</v>
      </c>
      <c r="O303" s="93">
        <v>0</v>
      </c>
      <c r="P303" s="93">
        <v>0</v>
      </c>
      <c r="Q303" s="93">
        <v>0</v>
      </c>
      <c r="R303" s="93">
        <v>0</v>
      </c>
      <c r="S303" s="93">
        <v>0</v>
      </c>
      <c r="T303" s="90">
        <f t="shared" si="389"/>
        <v>0</v>
      </c>
      <c r="U303" s="90">
        <f t="shared" si="387"/>
        <v>0</v>
      </c>
      <c r="V303" s="90">
        <f t="shared" si="387"/>
        <v>0</v>
      </c>
      <c r="W303" s="90">
        <f t="shared" si="387"/>
        <v>0</v>
      </c>
      <c r="X303" s="90">
        <f t="shared" si="387"/>
        <v>0</v>
      </c>
      <c r="Y303" s="90">
        <f t="shared" si="387"/>
        <v>0</v>
      </c>
      <c r="Z303" s="90">
        <f t="shared" si="387"/>
        <v>0</v>
      </c>
      <c r="AA303" s="90">
        <f t="shared" si="387"/>
        <v>0</v>
      </c>
      <c r="AB303" s="90">
        <f t="shared" si="387"/>
        <v>0</v>
      </c>
      <c r="AC303" s="90">
        <f t="shared" si="387"/>
        <v>0</v>
      </c>
      <c r="AD303" s="90">
        <f t="shared" si="387"/>
        <v>0</v>
      </c>
      <c r="AE303" s="90">
        <f t="shared" si="387"/>
        <v>0</v>
      </c>
      <c r="AF303" s="54">
        <f t="shared" si="388"/>
        <v>0</v>
      </c>
      <c r="AG303" s="2"/>
    </row>
    <row r="304" spans="1:33" ht="16" thickBot="1" x14ac:dyDescent="0.25">
      <c r="A304" s="148" t="s">
        <v>163</v>
      </c>
      <c r="B304" s="91" t="s">
        <v>4</v>
      </c>
      <c r="C304" s="92" t="s">
        <v>244</v>
      </c>
      <c r="D304" s="92" t="s">
        <v>168</v>
      </c>
      <c r="E304" s="94" t="s">
        <v>76</v>
      </c>
      <c r="F304" s="95"/>
      <c r="G304" s="142">
        <f t="shared" si="268"/>
        <v>0.16666666666666666</v>
      </c>
      <c r="H304" s="93">
        <v>0</v>
      </c>
      <c r="I304" s="93">
        <v>0</v>
      </c>
      <c r="J304" s="93">
        <v>0</v>
      </c>
      <c r="K304" s="93">
        <v>0</v>
      </c>
      <c r="L304" s="93">
        <v>0</v>
      </c>
      <c r="M304" s="93">
        <v>0</v>
      </c>
      <c r="N304" s="93">
        <v>0</v>
      </c>
      <c r="O304" s="93">
        <v>0</v>
      </c>
      <c r="P304" s="93">
        <v>0.5</v>
      </c>
      <c r="Q304" s="93">
        <v>0.5</v>
      </c>
      <c r="R304" s="93">
        <v>0.5</v>
      </c>
      <c r="S304" s="93">
        <v>0.5</v>
      </c>
      <c r="T304" s="90">
        <f t="shared" si="389"/>
        <v>0</v>
      </c>
      <c r="U304" s="90">
        <f t="shared" si="387"/>
        <v>0</v>
      </c>
      <c r="V304" s="90">
        <f t="shared" si="387"/>
        <v>0</v>
      </c>
      <c r="W304" s="90">
        <f t="shared" si="387"/>
        <v>0</v>
      </c>
      <c r="X304" s="90">
        <f t="shared" si="387"/>
        <v>0</v>
      </c>
      <c r="Y304" s="90">
        <f t="shared" si="387"/>
        <v>0</v>
      </c>
      <c r="Z304" s="90">
        <f t="shared" si="387"/>
        <v>0</v>
      </c>
      <c r="AA304" s="90">
        <f t="shared" si="387"/>
        <v>0</v>
      </c>
      <c r="AB304" s="90">
        <f t="shared" si="387"/>
        <v>9625</v>
      </c>
      <c r="AC304" s="90">
        <f t="shared" si="387"/>
        <v>9625</v>
      </c>
      <c r="AD304" s="90">
        <f t="shared" si="387"/>
        <v>9625</v>
      </c>
      <c r="AE304" s="90">
        <f t="shared" si="387"/>
        <v>9625</v>
      </c>
      <c r="AF304" s="54">
        <f t="shared" si="388"/>
        <v>38500</v>
      </c>
      <c r="AG304" s="2"/>
    </row>
    <row r="305" spans="1:33" ht="16" thickBot="1" x14ac:dyDescent="0.25">
      <c r="A305" s="148" t="s">
        <v>163</v>
      </c>
      <c r="B305" s="91" t="s">
        <v>5</v>
      </c>
      <c r="C305" s="92" t="s">
        <v>244</v>
      </c>
      <c r="D305" s="92" t="s">
        <v>168</v>
      </c>
      <c r="E305" s="94" t="s">
        <v>76</v>
      </c>
      <c r="F305" s="95"/>
      <c r="G305" s="142">
        <f t="shared" ref="G305:G368" si="390">AVERAGE(H305:S305)</f>
        <v>0.16666666666666666</v>
      </c>
      <c r="H305" s="93">
        <v>0</v>
      </c>
      <c r="I305" s="93">
        <v>0</v>
      </c>
      <c r="J305" s="93">
        <v>0</v>
      </c>
      <c r="K305" s="93">
        <v>0</v>
      </c>
      <c r="L305" s="93">
        <v>0</v>
      </c>
      <c r="M305" s="93">
        <v>0</v>
      </c>
      <c r="N305" s="93">
        <v>0</v>
      </c>
      <c r="O305" s="93">
        <v>0</v>
      </c>
      <c r="P305" s="93">
        <v>0.5</v>
      </c>
      <c r="Q305" s="93">
        <v>0.5</v>
      </c>
      <c r="R305" s="93">
        <v>0.5</v>
      </c>
      <c r="S305" s="93">
        <v>0.5</v>
      </c>
      <c r="T305" s="90">
        <f t="shared" si="389"/>
        <v>0</v>
      </c>
      <c r="U305" s="90">
        <f t="shared" si="387"/>
        <v>0</v>
      </c>
      <c r="V305" s="90">
        <f t="shared" si="387"/>
        <v>0</v>
      </c>
      <c r="W305" s="90">
        <f t="shared" si="387"/>
        <v>0</v>
      </c>
      <c r="X305" s="90">
        <f t="shared" si="387"/>
        <v>0</v>
      </c>
      <c r="Y305" s="90">
        <f t="shared" si="387"/>
        <v>0</v>
      </c>
      <c r="Z305" s="90">
        <f t="shared" si="387"/>
        <v>0</v>
      </c>
      <c r="AA305" s="90">
        <f t="shared" si="387"/>
        <v>0</v>
      </c>
      <c r="AB305" s="90">
        <f t="shared" si="387"/>
        <v>9625</v>
      </c>
      <c r="AC305" s="90">
        <f t="shared" si="387"/>
        <v>9625</v>
      </c>
      <c r="AD305" s="90">
        <f t="shared" si="387"/>
        <v>9625</v>
      </c>
      <c r="AE305" s="90">
        <f t="shared" si="387"/>
        <v>9625</v>
      </c>
      <c r="AF305" s="54">
        <f t="shared" si="388"/>
        <v>38500</v>
      </c>
      <c r="AG305" s="2"/>
    </row>
    <row r="306" spans="1:33" ht="16" thickBot="1" x14ac:dyDescent="0.25">
      <c r="A306" s="148" t="s">
        <v>163</v>
      </c>
      <c r="B306" s="91" t="s">
        <v>9</v>
      </c>
      <c r="C306" s="92" t="s">
        <v>244</v>
      </c>
      <c r="D306" s="92" t="s">
        <v>168</v>
      </c>
      <c r="E306" s="94" t="s">
        <v>76</v>
      </c>
      <c r="F306" s="95"/>
      <c r="G306" s="142">
        <f t="shared" si="390"/>
        <v>0</v>
      </c>
      <c r="H306" s="93">
        <v>0</v>
      </c>
      <c r="I306" s="93">
        <v>0</v>
      </c>
      <c r="J306" s="93">
        <v>0</v>
      </c>
      <c r="K306" s="93">
        <v>0</v>
      </c>
      <c r="L306" s="93">
        <v>0</v>
      </c>
      <c r="M306" s="93">
        <v>0</v>
      </c>
      <c r="N306" s="93">
        <v>0</v>
      </c>
      <c r="O306" s="93">
        <v>0</v>
      </c>
      <c r="P306" s="93">
        <v>0</v>
      </c>
      <c r="Q306" s="93">
        <v>0</v>
      </c>
      <c r="R306" s="93">
        <v>0</v>
      </c>
      <c r="S306" s="93">
        <v>0</v>
      </c>
      <c r="T306" s="90">
        <f t="shared" si="389"/>
        <v>0</v>
      </c>
      <c r="U306" s="90">
        <f t="shared" si="387"/>
        <v>0</v>
      </c>
      <c r="V306" s="90">
        <f t="shared" si="387"/>
        <v>0</v>
      </c>
      <c r="W306" s="90">
        <f t="shared" si="387"/>
        <v>0</v>
      </c>
      <c r="X306" s="90">
        <f t="shared" si="387"/>
        <v>0</v>
      </c>
      <c r="Y306" s="90">
        <f t="shared" si="387"/>
        <v>0</v>
      </c>
      <c r="Z306" s="90">
        <f t="shared" si="387"/>
        <v>0</v>
      </c>
      <c r="AA306" s="90">
        <f t="shared" si="387"/>
        <v>0</v>
      </c>
      <c r="AB306" s="90">
        <f t="shared" si="387"/>
        <v>0</v>
      </c>
      <c r="AC306" s="90">
        <f t="shared" si="387"/>
        <v>0</v>
      </c>
      <c r="AD306" s="90">
        <f t="shared" si="387"/>
        <v>0</v>
      </c>
      <c r="AE306" s="90">
        <f t="shared" si="387"/>
        <v>0</v>
      </c>
      <c r="AF306" s="54">
        <f t="shared" si="388"/>
        <v>0</v>
      </c>
      <c r="AG306" s="2"/>
    </row>
    <row r="307" spans="1:33" ht="16" thickBot="1" x14ac:dyDescent="0.25">
      <c r="A307" s="148" t="s">
        <v>163</v>
      </c>
      <c r="B307" s="91" t="s">
        <v>10</v>
      </c>
      <c r="C307" s="92" t="s">
        <v>244</v>
      </c>
      <c r="D307" s="92" t="s">
        <v>168</v>
      </c>
      <c r="E307" s="94" t="s">
        <v>76</v>
      </c>
      <c r="F307" s="95"/>
      <c r="G307" s="142">
        <f t="shared" si="390"/>
        <v>0</v>
      </c>
      <c r="H307" s="93">
        <v>0</v>
      </c>
      <c r="I307" s="93">
        <v>0</v>
      </c>
      <c r="J307" s="93">
        <v>0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0">
        <f t="shared" si="389"/>
        <v>0</v>
      </c>
      <c r="U307" s="90">
        <f t="shared" si="387"/>
        <v>0</v>
      </c>
      <c r="V307" s="90">
        <f t="shared" si="387"/>
        <v>0</v>
      </c>
      <c r="W307" s="90">
        <f t="shared" si="387"/>
        <v>0</v>
      </c>
      <c r="X307" s="90">
        <f t="shared" si="387"/>
        <v>0</v>
      </c>
      <c r="Y307" s="90">
        <f t="shared" si="387"/>
        <v>0</v>
      </c>
      <c r="Z307" s="90">
        <f t="shared" si="387"/>
        <v>0</v>
      </c>
      <c r="AA307" s="90">
        <f t="shared" si="387"/>
        <v>0</v>
      </c>
      <c r="AB307" s="90">
        <f t="shared" si="387"/>
        <v>0</v>
      </c>
      <c r="AC307" s="90">
        <f t="shared" si="387"/>
        <v>0</v>
      </c>
      <c r="AD307" s="90">
        <f t="shared" si="387"/>
        <v>0</v>
      </c>
      <c r="AE307" s="90">
        <f t="shared" si="387"/>
        <v>0</v>
      </c>
      <c r="AF307" s="54">
        <f t="shared" si="388"/>
        <v>0</v>
      </c>
      <c r="AG307" s="2"/>
    </row>
    <row r="308" spans="1:33" ht="16" thickBot="1" x14ac:dyDescent="0.25">
      <c r="A308" s="148" t="s">
        <v>163</v>
      </c>
      <c r="B308" s="91" t="s">
        <v>177</v>
      </c>
      <c r="C308" s="92" t="s">
        <v>245</v>
      </c>
      <c r="D308" s="92" t="s">
        <v>168</v>
      </c>
      <c r="E308" s="94" t="s">
        <v>76</v>
      </c>
      <c r="F308" s="95"/>
      <c r="G308" s="142">
        <f t="shared" si="390"/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3">
        <v>0</v>
      </c>
      <c r="S308" s="93">
        <v>0</v>
      </c>
      <c r="T308" s="90">
        <f>H308*$F$13</f>
        <v>0</v>
      </c>
      <c r="U308" s="90">
        <f t="shared" ref="U308:AE314" si="391">I308*$F$13</f>
        <v>0</v>
      </c>
      <c r="V308" s="90">
        <f t="shared" si="391"/>
        <v>0</v>
      </c>
      <c r="W308" s="90">
        <f t="shared" si="391"/>
        <v>0</v>
      </c>
      <c r="X308" s="90">
        <f t="shared" si="391"/>
        <v>0</v>
      </c>
      <c r="Y308" s="90">
        <f t="shared" si="391"/>
        <v>0</v>
      </c>
      <c r="Z308" s="90">
        <f t="shared" si="391"/>
        <v>0</v>
      </c>
      <c r="AA308" s="90">
        <f t="shared" si="391"/>
        <v>0</v>
      </c>
      <c r="AB308" s="90">
        <f t="shared" si="391"/>
        <v>0</v>
      </c>
      <c r="AC308" s="90">
        <f t="shared" si="391"/>
        <v>0</v>
      </c>
      <c r="AD308" s="90">
        <f t="shared" si="391"/>
        <v>0</v>
      </c>
      <c r="AE308" s="90">
        <f t="shared" si="391"/>
        <v>0</v>
      </c>
      <c r="AF308" s="54">
        <f t="shared" si="388"/>
        <v>0</v>
      </c>
      <c r="AG308" s="2"/>
    </row>
    <row r="309" spans="1:33" ht="16" thickBot="1" x14ac:dyDescent="0.25">
      <c r="A309" s="148" t="s">
        <v>163</v>
      </c>
      <c r="B309" s="91" t="s">
        <v>2</v>
      </c>
      <c r="C309" s="92" t="s">
        <v>245</v>
      </c>
      <c r="D309" s="92" t="s">
        <v>168</v>
      </c>
      <c r="E309" s="94" t="s">
        <v>76</v>
      </c>
      <c r="F309" s="95"/>
      <c r="G309" s="142">
        <f t="shared" si="390"/>
        <v>0</v>
      </c>
      <c r="H309" s="93">
        <v>0</v>
      </c>
      <c r="I309" s="93">
        <v>0</v>
      </c>
      <c r="J309" s="93">
        <v>0</v>
      </c>
      <c r="K309" s="93">
        <v>0</v>
      </c>
      <c r="L309" s="93">
        <v>0</v>
      </c>
      <c r="M309" s="93">
        <v>0</v>
      </c>
      <c r="N309" s="93">
        <v>0</v>
      </c>
      <c r="O309" s="93">
        <v>0</v>
      </c>
      <c r="P309" s="93">
        <v>0</v>
      </c>
      <c r="Q309" s="93">
        <v>0</v>
      </c>
      <c r="R309" s="93">
        <v>0</v>
      </c>
      <c r="S309" s="93">
        <v>0</v>
      </c>
      <c r="T309" s="90">
        <f t="shared" ref="T309:T314" si="392">H309*$F$13</f>
        <v>0</v>
      </c>
      <c r="U309" s="90">
        <f t="shared" si="391"/>
        <v>0</v>
      </c>
      <c r="V309" s="90">
        <f t="shared" si="391"/>
        <v>0</v>
      </c>
      <c r="W309" s="90">
        <f t="shared" si="391"/>
        <v>0</v>
      </c>
      <c r="X309" s="90">
        <f t="shared" si="391"/>
        <v>0</v>
      </c>
      <c r="Y309" s="90">
        <f t="shared" si="391"/>
        <v>0</v>
      </c>
      <c r="Z309" s="90">
        <f t="shared" si="391"/>
        <v>0</v>
      </c>
      <c r="AA309" s="90">
        <f t="shared" si="391"/>
        <v>0</v>
      </c>
      <c r="AB309" s="90">
        <f t="shared" si="391"/>
        <v>0</v>
      </c>
      <c r="AC309" s="90">
        <f t="shared" si="391"/>
        <v>0</v>
      </c>
      <c r="AD309" s="90">
        <f t="shared" si="391"/>
        <v>0</v>
      </c>
      <c r="AE309" s="90">
        <f t="shared" si="391"/>
        <v>0</v>
      </c>
      <c r="AF309" s="54">
        <f t="shared" si="388"/>
        <v>0</v>
      </c>
      <c r="AG309" s="2"/>
    </row>
    <row r="310" spans="1:33" ht="16" thickBot="1" x14ac:dyDescent="0.25">
      <c r="A310" s="148" t="s">
        <v>163</v>
      </c>
      <c r="B310" s="91" t="s">
        <v>3</v>
      </c>
      <c r="C310" s="92" t="s">
        <v>245</v>
      </c>
      <c r="D310" s="92" t="s">
        <v>168</v>
      </c>
      <c r="E310" s="94" t="s">
        <v>76</v>
      </c>
      <c r="F310" s="95"/>
      <c r="G310" s="142">
        <f t="shared" si="390"/>
        <v>0</v>
      </c>
      <c r="H310" s="93">
        <v>0</v>
      </c>
      <c r="I310" s="93">
        <v>0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0">
        <f t="shared" si="392"/>
        <v>0</v>
      </c>
      <c r="U310" s="90">
        <f t="shared" si="391"/>
        <v>0</v>
      </c>
      <c r="V310" s="90">
        <f t="shared" si="391"/>
        <v>0</v>
      </c>
      <c r="W310" s="90">
        <f t="shared" si="391"/>
        <v>0</v>
      </c>
      <c r="X310" s="90">
        <f t="shared" si="391"/>
        <v>0</v>
      </c>
      <c r="Y310" s="90">
        <f t="shared" si="391"/>
        <v>0</v>
      </c>
      <c r="Z310" s="90">
        <f t="shared" si="391"/>
        <v>0</v>
      </c>
      <c r="AA310" s="90">
        <f t="shared" si="391"/>
        <v>0</v>
      </c>
      <c r="AB310" s="90">
        <f t="shared" si="391"/>
        <v>0</v>
      </c>
      <c r="AC310" s="90">
        <f t="shared" si="391"/>
        <v>0</v>
      </c>
      <c r="AD310" s="90">
        <f t="shared" si="391"/>
        <v>0</v>
      </c>
      <c r="AE310" s="90">
        <f t="shared" si="391"/>
        <v>0</v>
      </c>
      <c r="AF310" s="54">
        <f t="shared" si="388"/>
        <v>0</v>
      </c>
      <c r="AG310" s="2"/>
    </row>
    <row r="311" spans="1:33" ht="16" thickBot="1" x14ac:dyDescent="0.25">
      <c r="A311" s="148" t="s">
        <v>163</v>
      </c>
      <c r="B311" s="91" t="s">
        <v>4</v>
      </c>
      <c r="C311" s="92" t="s">
        <v>245</v>
      </c>
      <c r="D311" s="92" t="s">
        <v>168</v>
      </c>
      <c r="E311" s="94" t="s">
        <v>76</v>
      </c>
      <c r="F311" s="95"/>
      <c r="G311" s="142">
        <f t="shared" si="390"/>
        <v>0.16666666666666666</v>
      </c>
      <c r="H311" s="93">
        <v>0</v>
      </c>
      <c r="I311" s="93">
        <v>0</v>
      </c>
      <c r="J311" s="93">
        <v>0</v>
      </c>
      <c r="K311" s="93">
        <v>0</v>
      </c>
      <c r="L311" s="93">
        <v>0</v>
      </c>
      <c r="M311" s="93">
        <v>0</v>
      </c>
      <c r="N311" s="93">
        <v>0</v>
      </c>
      <c r="O311" s="93">
        <v>0</v>
      </c>
      <c r="P311" s="93">
        <v>0.5</v>
      </c>
      <c r="Q311" s="93">
        <v>0.5</v>
      </c>
      <c r="R311" s="93">
        <v>0.5</v>
      </c>
      <c r="S311" s="93">
        <v>0.5</v>
      </c>
      <c r="T311" s="90">
        <f t="shared" si="392"/>
        <v>0</v>
      </c>
      <c r="U311" s="90">
        <f t="shared" si="391"/>
        <v>0</v>
      </c>
      <c r="V311" s="90">
        <f t="shared" si="391"/>
        <v>0</v>
      </c>
      <c r="W311" s="90">
        <f t="shared" si="391"/>
        <v>0</v>
      </c>
      <c r="X311" s="90">
        <f t="shared" si="391"/>
        <v>0</v>
      </c>
      <c r="Y311" s="90">
        <f t="shared" si="391"/>
        <v>0</v>
      </c>
      <c r="Z311" s="90">
        <f t="shared" si="391"/>
        <v>0</v>
      </c>
      <c r="AA311" s="90">
        <f t="shared" si="391"/>
        <v>0</v>
      </c>
      <c r="AB311" s="90">
        <f t="shared" si="391"/>
        <v>9625</v>
      </c>
      <c r="AC311" s="90">
        <f t="shared" si="391"/>
        <v>9625</v>
      </c>
      <c r="AD311" s="90">
        <f t="shared" si="391"/>
        <v>9625</v>
      </c>
      <c r="AE311" s="90">
        <f t="shared" si="391"/>
        <v>9625</v>
      </c>
      <c r="AF311" s="54">
        <f t="shared" si="388"/>
        <v>38500</v>
      </c>
      <c r="AG311" s="2"/>
    </row>
    <row r="312" spans="1:33" ht="16" thickBot="1" x14ac:dyDescent="0.25">
      <c r="A312" s="148" t="s">
        <v>163</v>
      </c>
      <c r="B312" s="91" t="s">
        <v>5</v>
      </c>
      <c r="C312" s="92" t="s">
        <v>245</v>
      </c>
      <c r="D312" s="92" t="s">
        <v>168</v>
      </c>
      <c r="E312" s="94" t="s">
        <v>76</v>
      </c>
      <c r="F312" s="95"/>
      <c r="G312" s="142">
        <f t="shared" si="390"/>
        <v>0.16666666666666666</v>
      </c>
      <c r="H312" s="93">
        <v>0</v>
      </c>
      <c r="I312" s="93">
        <v>0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0.5</v>
      </c>
      <c r="Q312" s="93">
        <v>0.5</v>
      </c>
      <c r="R312" s="93">
        <v>0.5</v>
      </c>
      <c r="S312" s="93">
        <v>0.5</v>
      </c>
      <c r="T312" s="90">
        <f t="shared" si="392"/>
        <v>0</v>
      </c>
      <c r="U312" s="90">
        <f t="shared" si="391"/>
        <v>0</v>
      </c>
      <c r="V312" s="90">
        <f t="shared" si="391"/>
        <v>0</v>
      </c>
      <c r="W312" s="90">
        <f t="shared" si="391"/>
        <v>0</v>
      </c>
      <c r="X312" s="90">
        <f t="shared" si="391"/>
        <v>0</v>
      </c>
      <c r="Y312" s="90">
        <f t="shared" si="391"/>
        <v>0</v>
      </c>
      <c r="Z312" s="90">
        <f t="shared" si="391"/>
        <v>0</v>
      </c>
      <c r="AA312" s="90">
        <f t="shared" si="391"/>
        <v>0</v>
      </c>
      <c r="AB312" s="90">
        <f t="shared" si="391"/>
        <v>9625</v>
      </c>
      <c r="AC312" s="90">
        <f t="shared" si="391"/>
        <v>9625</v>
      </c>
      <c r="AD312" s="90">
        <f t="shared" si="391"/>
        <v>9625</v>
      </c>
      <c r="AE312" s="90">
        <f t="shared" si="391"/>
        <v>9625</v>
      </c>
      <c r="AF312" s="54">
        <f t="shared" si="388"/>
        <v>38500</v>
      </c>
      <c r="AG312" s="2"/>
    </row>
    <row r="313" spans="1:33" ht="16" thickBot="1" x14ac:dyDescent="0.25">
      <c r="A313" s="148" t="s">
        <v>163</v>
      </c>
      <c r="B313" s="91" t="s">
        <v>9</v>
      </c>
      <c r="C313" s="92" t="s">
        <v>245</v>
      </c>
      <c r="D313" s="92" t="s">
        <v>168</v>
      </c>
      <c r="E313" s="94" t="s">
        <v>76</v>
      </c>
      <c r="F313" s="95"/>
      <c r="G313" s="142">
        <f t="shared" si="390"/>
        <v>0</v>
      </c>
      <c r="H313" s="93">
        <v>0</v>
      </c>
      <c r="I313" s="93">
        <v>0</v>
      </c>
      <c r="J313" s="93">
        <v>0</v>
      </c>
      <c r="K313" s="93">
        <v>0</v>
      </c>
      <c r="L313" s="93">
        <v>0</v>
      </c>
      <c r="M313" s="93">
        <v>0</v>
      </c>
      <c r="N313" s="93">
        <v>0</v>
      </c>
      <c r="O313" s="93">
        <v>0</v>
      </c>
      <c r="P313" s="93">
        <v>0</v>
      </c>
      <c r="Q313" s="93">
        <v>0</v>
      </c>
      <c r="R313" s="93">
        <v>0</v>
      </c>
      <c r="S313" s="93">
        <v>0</v>
      </c>
      <c r="T313" s="90">
        <f t="shared" si="392"/>
        <v>0</v>
      </c>
      <c r="U313" s="90">
        <f t="shared" si="391"/>
        <v>0</v>
      </c>
      <c r="V313" s="90">
        <f t="shared" si="391"/>
        <v>0</v>
      </c>
      <c r="W313" s="90">
        <f t="shared" si="391"/>
        <v>0</v>
      </c>
      <c r="X313" s="90">
        <f t="shared" si="391"/>
        <v>0</v>
      </c>
      <c r="Y313" s="90">
        <f t="shared" si="391"/>
        <v>0</v>
      </c>
      <c r="Z313" s="90">
        <f t="shared" si="391"/>
        <v>0</v>
      </c>
      <c r="AA313" s="90">
        <f t="shared" si="391"/>
        <v>0</v>
      </c>
      <c r="AB313" s="90">
        <f t="shared" si="391"/>
        <v>0</v>
      </c>
      <c r="AC313" s="90">
        <f t="shared" si="391"/>
        <v>0</v>
      </c>
      <c r="AD313" s="90">
        <f t="shared" si="391"/>
        <v>0</v>
      </c>
      <c r="AE313" s="90">
        <f t="shared" si="391"/>
        <v>0</v>
      </c>
      <c r="AF313" s="54">
        <f t="shared" si="388"/>
        <v>0</v>
      </c>
      <c r="AG313" s="2"/>
    </row>
    <row r="314" spans="1:33" ht="16" thickBot="1" x14ac:dyDescent="0.25">
      <c r="A314" s="148" t="s">
        <v>163</v>
      </c>
      <c r="B314" s="91" t="s">
        <v>10</v>
      </c>
      <c r="C314" s="92" t="s">
        <v>245</v>
      </c>
      <c r="D314" s="92" t="s">
        <v>168</v>
      </c>
      <c r="E314" s="94" t="s">
        <v>76</v>
      </c>
      <c r="F314" s="95"/>
      <c r="G314" s="142">
        <f t="shared" si="390"/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0">
        <f t="shared" si="392"/>
        <v>0</v>
      </c>
      <c r="U314" s="90">
        <f t="shared" si="391"/>
        <v>0</v>
      </c>
      <c r="V314" s="90">
        <f t="shared" si="391"/>
        <v>0</v>
      </c>
      <c r="W314" s="90">
        <f t="shared" si="391"/>
        <v>0</v>
      </c>
      <c r="X314" s="90">
        <f t="shared" si="391"/>
        <v>0</v>
      </c>
      <c r="Y314" s="90">
        <f t="shared" si="391"/>
        <v>0</v>
      </c>
      <c r="Z314" s="90">
        <f t="shared" si="391"/>
        <v>0</v>
      </c>
      <c r="AA314" s="90">
        <f t="shared" si="391"/>
        <v>0</v>
      </c>
      <c r="AB314" s="90">
        <f t="shared" si="391"/>
        <v>0</v>
      </c>
      <c r="AC314" s="90">
        <f t="shared" si="391"/>
        <v>0</v>
      </c>
      <c r="AD314" s="90">
        <f t="shared" si="391"/>
        <v>0</v>
      </c>
      <c r="AE314" s="90">
        <f t="shared" si="391"/>
        <v>0</v>
      </c>
      <c r="AF314" s="54">
        <f t="shared" si="388"/>
        <v>0</v>
      </c>
      <c r="AG314" s="2"/>
    </row>
    <row r="315" spans="1:33" ht="16" thickBot="1" x14ac:dyDescent="0.25">
      <c r="A315" s="148" t="s">
        <v>51</v>
      </c>
      <c r="B315" s="91" t="s">
        <v>177</v>
      </c>
      <c r="C315" s="92" t="s">
        <v>250</v>
      </c>
      <c r="D315" s="92" t="s">
        <v>251</v>
      </c>
      <c r="E315" s="94" t="s">
        <v>198</v>
      </c>
      <c r="F315" s="95"/>
      <c r="G315" s="142">
        <f t="shared" si="390"/>
        <v>0</v>
      </c>
      <c r="H315" s="93">
        <v>0</v>
      </c>
      <c r="I315" s="93">
        <v>0</v>
      </c>
      <c r="J315" s="93">
        <v>0</v>
      </c>
      <c r="K315" s="93">
        <v>0</v>
      </c>
      <c r="L315" s="93">
        <v>0</v>
      </c>
      <c r="M315" s="93">
        <v>0</v>
      </c>
      <c r="N315" s="93">
        <v>0</v>
      </c>
      <c r="O315" s="93">
        <v>0</v>
      </c>
      <c r="P315" s="93">
        <v>0</v>
      </c>
      <c r="Q315" s="93">
        <v>0</v>
      </c>
      <c r="R315" s="93">
        <v>0</v>
      </c>
      <c r="S315" s="93">
        <v>0</v>
      </c>
      <c r="T315" s="90">
        <f>H315*$F$25</f>
        <v>0</v>
      </c>
      <c r="U315" s="90">
        <f t="shared" ref="U315:AE321" si="393">I315*$F$25</f>
        <v>0</v>
      </c>
      <c r="V315" s="90">
        <f t="shared" si="393"/>
        <v>0</v>
      </c>
      <c r="W315" s="90">
        <f t="shared" si="393"/>
        <v>0</v>
      </c>
      <c r="X315" s="90">
        <f t="shared" si="393"/>
        <v>0</v>
      </c>
      <c r="Y315" s="90">
        <f t="shared" si="393"/>
        <v>0</v>
      </c>
      <c r="Z315" s="90">
        <f t="shared" si="393"/>
        <v>0</v>
      </c>
      <c r="AA315" s="90">
        <f t="shared" si="393"/>
        <v>0</v>
      </c>
      <c r="AB315" s="90">
        <f t="shared" si="393"/>
        <v>0</v>
      </c>
      <c r="AC315" s="90">
        <f t="shared" si="393"/>
        <v>0</v>
      </c>
      <c r="AD315" s="90">
        <f t="shared" si="393"/>
        <v>0</v>
      </c>
      <c r="AE315" s="90">
        <f t="shared" si="393"/>
        <v>0</v>
      </c>
      <c r="AF315" s="54">
        <f t="shared" ref="AF315:AF370" si="394">SUM(T315:AE315)</f>
        <v>0</v>
      </c>
      <c r="AG315" s="2"/>
    </row>
    <row r="316" spans="1:33" ht="16" thickBot="1" x14ac:dyDescent="0.25">
      <c r="A316" s="148" t="s">
        <v>51</v>
      </c>
      <c r="B316" s="91" t="s">
        <v>2</v>
      </c>
      <c r="C316" s="92" t="s">
        <v>250</v>
      </c>
      <c r="D316" s="92" t="s">
        <v>251</v>
      </c>
      <c r="E316" s="94" t="s">
        <v>198</v>
      </c>
      <c r="F316" s="95"/>
      <c r="G316" s="142">
        <f t="shared" si="390"/>
        <v>0.45833333333333331</v>
      </c>
      <c r="H316" s="93">
        <v>0</v>
      </c>
      <c r="I316" s="93">
        <v>0.5</v>
      </c>
      <c r="J316" s="93">
        <v>0.5</v>
      </c>
      <c r="K316" s="93">
        <v>0.5</v>
      </c>
      <c r="L316" s="93">
        <v>0.5</v>
      </c>
      <c r="M316" s="93">
        <v>0.5</v>
      </c>
      <c r="N316" s="93">
        <v>0.5</v>
      </c>
      <c r="O316" s="93">
        <v>0.5</v>
      </c>
      <c r="P316" s="93">
        <v>0.5</v>
      </c>
      <c r="Q316" s="93">
        <v>0.5</v>
      </c>
      <c r="R316" s="93">
        <v>0.5</v>
      </c>
      <c r="S316" s="93">
        <v>0.5</v>
      </c>
      <c r="T316" s="90">
        <f t="shared" ref="T316:T321" si="395">H316*$F$25</f>
        <v>0</v>
      </c>
      <c r="U316" s="90">
        <f t="shared" si="393"/>
        <v>22550</v>
      </c>
      <c r="V316" s="90">
        <f t="shared" si="393"/>
        <v>22550</v>
      </c>
      <c r="W316" s="90">
        <f t="shared" si="393"/>
        <v>22550</v>
      </c>
      <c r="X316" s="90">
        <f t="shared" si="393"/>
        <v>22550</v>
      </c>
      <c r="Y316" s="90">
        <f t="shared" si="393"/>
        <v>22550</v>
      </c>
      <c r="Z316" s="90">
        <f t="shared" si="393"/>
        <v>22550</v>
      </c>
      <c r="AA316" s="90">
        <f t="shared" si="393"/>
        <v>22550</v>
      </c>
      <c r="AB316" s="90">
        <f t="shared" si="393"/>
        <v>22550</v>
      </c>
      <c r="AC316" s="90">
        <f t="shared" si="393"/>
        <v>22550</v>
      </c>
      <c r="AD316" s="90">
        <f t="shared" si="393"/>
        <v>22550</v>
      </c>
      <c r="AE316" s="90">
        <f t="shared" si="393"/>
        <v>22550</v>
      </c>
      <c r="AF316" s="54">
        <f t="shared" si="394"/>
        <v>248050</v>
      </c>
      <c r="AG316" s="2"/>
    </row>
    <row r="317" spans="1:33" ht="16" thickBot="1" x14ac:dyDescent="0.25">
      <c r="A317" s="148" t="s">
        <v>51</v>
      </c>
      <c r="B317" s="91" t="s">
        <v>3</v>
      </c>
      <c r="C317" s="92" t="s">
        <v>250</v>
      </c>
      <c r="D317" s="92" t="s">
        <v>251</v>
      </c>
      <c r="E317" s="94" t="s">
        <v>198</v>
      </c>
      <c r="F317" s="95"/>
      <c r="G317" s="142">
        <f t="shared" si="390"/>
        <v>0.45833333333333331</v>
      </c>
      <c r="H317" s="93">
        <v>0</v>
      </c>
      <c r="I317" s="93">
        <v>0.5</v>
      </c>
      <c r="J317" s="93">
        <v>0.5</v>
      </c>
      <c r="K317" s="93">
        <v>0.5</v>
      </c>
      <c r="L317" s="93">
        <v>0.5</v>
      </c>
      <c r="M317" s="93">
        <v>0.5</v>
      </c>
      <c r="N317" s="93">
        <v>0.5</v>
      </c>
      <c r="O317" s="93">
        <v>0.5</v>
      </c>
      <c r="P317" s="93">
        <v>0.5</v>
      </c>
      <c r="Q317" s="93">
        <v>0.5</v>
      </c>
      <c r="R317" s="93">
        <v>0.5</v>
      </c>
      <c r="S317" s="93">
        <v>0.5</v>
      </c>
      <c r="T317" s="90">
        <f t="shared" si="395"/>
        <v>0</v>
      </c>
      <c r="U317" s="90">
        <f t="shared" si="393"/>
        <v>22550</v>
      </c>
      <c r="V317" s="90">
        <f t="shared" si="393"/>
        <v>22550</v>
      </c>
      <c r="W317" s="90">
        <f t="shared" si="393"/>
        <v>22550</v>
      </c>
      <c r="X317" s="90">
        <f t="shared" si="393"/>
        <v>22550</v>
      </c>
      <c r="Y317" s="90">
        <f t="shared" si="393"/>
        <v>22550</v>
      </c>
      <c r="Z317" s="90">
        <f t="shared" si="393"/>
        <v>22550</v>
      </c>
      <c r="AA317" s="90">
        <f t="shared" si="393"/>
        <v>22550</v>
      </c>
      <c r="AB317" s="90">
        <f t="shared" si="393"/>
        <v>22550</v>
      </c>
      <c r="AC317" s="90">
        <f t="shared" si="393"/>
        <v>22550</v>
      </c>
      <c r="AD317" s="90">
        <f t="shared" si="393"/>
        <v>22550</v>
      </c>
      <c r="AE317" s="90">
        <f t="shared" si="393"/>
        <v>22550</v>
      </c>
      <c r="AF317" s="54">
        <f t="shared" si="394"/>
        <v>248050</v>
      </c>
      <c r="AG317" s="2"/>
    </row>
    <row r="318" spans="1:33" ht="16" thickBot="1" x14ac:dyDescent="0.25">
      <c r="A318" s="148" t="s">
        <v>51</v>
      </c>
      <c r="B318" s="91" t="s">
        <v>4</v>
      </c>
      <c r="C318" s="92" t="s">
        <v>250</v>
      </c>
      <c r="D318" s="92" t="s">
        <v>251</v>
      </c>
      <c r="E318" s="94" t="s">
        <v>198</v>
      </c>
      <c r="F318" s="95"/>
      <c r="G318" s="142">
        <f t="shared" si="390"/>
        <v>0</v>
      </c>
      <c r="H318" s="93">
        <v>0</v>
      </c>
      <c r="I318" s="93">
        <v>0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0">
        <f t="shared" si="395"/>
        <v>0</v>
      </c>
      <c r="U318" s="90">
        <f t="shared" si="393"/>
        <v>0</v>
      </c>
      <c r="V318" s="90">
        <f t="shared" si="393"/>
        <v>0</v>
      </c>
      <c r="W318" s="90">
        <f t="shared" si="393"/>
        <v>0</v>
      </c>
      <c r="X318" s="90">
        <f t="shared" si="393"/>
        <v>0</v>
      </c>
      <c r="Y318" s="90">
        <f t="shared" si="393"/>
        <v>0</v>
      </c>
      <c r="Z318" s="90">
        <f t="shared" si="393"/>
        <v>0</v>
      </c>
      <c r="AA318" s="90">
        <f t="shared" si="393"/>
        <v>0</v>
      </c>
      <c r="AB318" s="90">
        <f t="shared" si="393"/>
        <v>0</v>
      </c>
      <c r="AC318" s="90">
        <f t="shared" si="393"/>
        <v>0</v>
      </c>
      <c r="AD318" s="90">
        <f t="shared" si="393"/>
        <v>0</v>
      </c>
      <c r="AE318" s="90">
        <f t="shared" si="393"/>
        <v>0</v>
      </c>
      <c r="AF318" s="54">
        <f t="shared" si="394"/>
        <v>0</v>
      </c>
      <c r="AG318" s="2"/>
    </row>
    <row r="319" spans="1:33" ht="16" thickBot="1" x14ac:dyDescent="0.25">
      <c r="A319" s="148" t="s">
        <v>51</v>
      </c>
      <c r="B319" s="91" t="s">
        <v>5</v>
      </c>
      <c r="C319" s="92" t="s">
        <v>250</v>
      </c>
      <c r="D319" s="92" t="s">
        <v>251</v>
      </c>
      <c r="E319" s="94" t="s">
        <v>198</v>
      </c>
      <c r="F319" s="95"/>
      <c r="G319" s="142">
        <f t="shared" si="390"/>
        <v>0</v>
      </c>
      <c r="H319" s="93">
        <v>0</v>
      </c>
      <c r="I319" s="93">
        <v>0</v>
      </c>
      <c r="J319" s="93">
        <v>0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0">
        <f t="shared" si="395"/>
        <v>0</v>
      </c>
      <c r="U319" s="90">
        <f t="shared" si="393"/>
        <v>0</v>
      </c>
      <c r="V319" s="90">
        <f t="shared" si="393"/>
        <v>0</v>
      </c>
      <c r="W319" s="90">
        <f t="shared" si="393"/>
        <v>0</v>
      </c>
      <c r="X319" s="90">
        <f t="shared" si="393"/>
        <v>0</v>
      </c>
      <c r="Y319" s="90">
        <f t="shared" si="393"/>
        <v>0</v>
      </c>
      <c r="Z319" s="90">
        <f t="shared" si="393"/>
        <v>0</v>
      </c>
      <c r="AA319" s="90">
        <f t="shared" si="393"/>
        <v>0</v>
      </c>
      <c r="AB319" s="90">
        <f t="shared" si="393"/>
        <v>0</v>
      </c>
      <c r="AC319" s="90">
        <f t="shared" si="393"/>
        <v>0</v>
      </c>
      <c r="AD319" s="90">
        <f t="shared" si="393"/>
        <v>0</v>
      </c>
      <c r="AE319" s="90">
        <f t="shared" si="393"/>
        <v>0</v>
      </c>
      <c r="AF319" s="54">
        <f t="shared" si="394"/>
        <v>0</v>
      </c>
      <c r="AG319" s="2"/>
    </row>
    <row r="320" spans="1:33" ht="16" thickBot="1" x14ac:dyDescent="0.25">
      <c r="A320" s="148" t="s">
        <v>51</v>
      </c>
      <c r="B320" s="91" t="s">
        <v>9</v>
      </c>
      <c r="C320" s="92" t="s">
        <v>250</v>
      </c>
      <c r="D320" s="92" t="s">
        <v>251</v>
      </c>
      <c r="E320" s="94" t="s">
        <v>198</v>
      </c>
      <c r="F320" s="95"/>
      <c r="G320" s="142">
        <f t="shared" si="390"/>
        <v>0</v>
      </c>
      <c r="H320" s="93">
        <v>0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0">
        <f t="shared" si="395"/>
        <v>0</v>
      </c>
      <c r="U320" s="90">
        <f t="shared" si="393"/>
        <v>0</v>
      </c>
      <c r="V320" s="90">
        <f t="shared" si="393"/>
        <v>0</v>
      </c>
      <c r="W320" s="90">
        <f t="shared" si="393"/>
        <v>0</v>
      </c>
      <c r="X320" s="90">
        <f t="shared" si="393"/>
        <v>0</v>
      </c>
      <c r="Y320" s="90">
        <f t="shared" si="393"/>
        <v>0</v>
      </c>
      <c r="Z320" s="90">
        <f t="shared" si="393"/>
        <v>0</v>
      </c>
      <c r="AA320" s="90">
        <f t="shared" si="393"/>
        <v>0</v>
      </c>
      <c r="AB320" s="90">
        <f t="shared" si="393"/>
        <v>0</v>
      </c>
      <c r="AC320" s="90">
        <f t="shared" si="393"/>
        <v>0</v>
      </c>
      <c r="AD320" s="90">
        <f t="shared" si="393"/>
        <v>0</v>
      </c>
      <c r="AE320" s="90">
        <f t="shared" si="393"/>
        <v>0</v>
      </c>
      <c r="AF320" s="54">
        <f t="shared" si="394"/>
        <v>0</v>
      </c>
      <c r="AG320" s="2"/>
    </row>
    <row r="321" spans="1:33" ht="16" thickBot="1" x14ac:dyDescent="0.25">
      <c r="A321" s="148" t="s">
        <v>51</v>
      </c>
      <c r="B321" s="91" t="s">
        <v>10</v>
      </c>
      <c r="C321" s="92" t="s">
        <v>250</v>
      </c>
      <c r="D321" s="92" t="s">
        <v>251</v>
      </c>
      <c r="E321" s="94" t="s">
        <v>198</v>
      </c>
      <c r="F321" s="95"/>
      <c r="G321" s="142">
        <f t="shared" si="390"/>
        <v>0</v>
      </c>
      <c r="H321" s="93">
        <v>0</v>
      </c>
      <c r="I321" s="93">
        <v>0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0">
        <f t="shared" si="395"/>
        <v>0</v>
      </c>
      <c r="U321" s="90">
        <f t="shared" si="393"/>
        <v>0</v>
      </c>
      <c r="V321" s="90">
        <f t="shared" si="393"/>
        <v>0</v>
      </c>
      <c r="W321" s="90">
        <f t="shared" si="393"/>
        <v>0</v>
      </c>
      <c r="X321" s="90">
        <f t="shared" si="393"/>
        <v>0</v>
      </c>
      <c r="Y321" s="90">
        <f t="shared" si="393"/>
        <v>0</v>
      </c>
      <c r="Z321" s="90">
        <f t="shared" si="393"/>
        <v>0</v>
      </c>
      <c r="AA321" s="90">
        <f t="shared" si="393"/>
        <v>0</v>
      </c>
      <c r="AB321" s="90">
        <f t="shared" si="393"/>
        <v>0</v>
      </c>
      <c r="AC321" s="90">
        <f t="shared" si="393"/>
        <v>0</v>
      </c>
      <c r="AD321" s="90">
        <f t="shared" si="393"/>
        <v>0</v>
      </c>
      <c r="AE321" s="90">
        <f t="shared" si="393"/>
        <v>0</v>
      </c>
      <c r="AF321" s="54">
        <f t="shared" si="394"/>
        <v>0</v>
      </c>
      <c r="AG321" s="2"/>
    </row>
    <row r="322" spans="1:33" ht="16" thickBot="1" x14ac:dyDescent="0.25">
      <c r="A322" s="148" t="s">
        <v>51</v>
      </c>
      <c r="B322" s="91" t="s">
        <v>177</v>
      </c>
      <c r="C322" s="92" t="s">
        <v>247</v>
      </c>
      <c r="D322" s="92" t="s">
        <v>168</v>
      </c>
      <c r="E322" s="94" t="s">
        <v>198</v>
      </c>
      <c r="F322" s="95"/>
      <c r="G322" s="142">
        <f t="shared" si="390"/>
        <v>0</v>
      </c>
      <c r="H322" s="93">
        <v>0</v>
      </c>
      <c r="I322" s="93">
        <v>0</v>
      </c>
      <c r="J322" s="93">
        <v>0</v>
      </c>
      <c r="K322" s="93">
        <v>0</v>
      </c>
      <c r="L322" s="93">
        <v>0</v>
      </c>
      <c r="M322" s="93">
        <v>0</v>
      </c>
      <c r="N322" s="93">
        <v>0</v>
      </c>
      <c r="O322" s="93">
        <v>0</v>
      </c>
      <c r="P322" s="93">
        <v>0</v>
      </c>
      <c r="Q322" s="93">
        <v>0</v>
      </c>
      <c r="R322" s="93">
        <v>0</v>
      </c>
      <c r="S322" s="93">
        <v>0</v>
      </c>
      <c r="T322" s="90">
        <f>H322*$F$28</f>
        <v>0</v>
      </c>
      <c r="U322" s="90">
        <f t="shared" ref="U322:AE328" si="396">I322*$F$28</f>
        <v>0</v>
      </c>
      <c r="V322" s="90">
        <f t="shared" si="396"/>
        <v>0</v>
      </c>
      <c r="W322" s="90">
        <f t="shared" si="396"/>
        <v>0</v>
      </c>
      <c r="X322" s="90">
        <f t="shared" si="396"/>
        <v>0</v>
      </c>
      <c r="Y322" s="90">
        <f t="shared" si="396"/>
        <v>0</v>
      </c>
      <c r="Z322" s="90">
        <f t="shared" si="396"/>
        <v>0</v>
      </c>
      <c r="AA322" s="90">
        <f t="shared" si="396"/>
        <v>0</v>
      </c>
      <c r="AB322" s="90">
        <f t="shared" si="396"/>
        <v>0</v>
      </c>
      <c r="AC322" s="90">
        <f t="shared" si="396"/>
        <v>0</v>
      </c>
      <c r="AD322" s="90">
        <f t="shared" si="396"/>
        <v>0</v>
      </c>
      <c r="AE322" s="90">
        <f t="shared" si="396"/>
        <v>0</v>
      </c>
      <c r="AF322" s="54">
        <f t="shared" si="394"/>
        <v>0</v>
      </c>
      <c r="AG322" s="2"/>
    </row>
    <row r="323" spans="1:33" ht="16" thickBot="1" x14ac:dyDescent="0.25">
      <c r="A323" s="148" t="s">
        <v>51</v>
      </c>
      <c r="B323" s="91" t="s">
        <v>2</v>
      </c>
      <c r="C323" s="92" t="s">
        <v>247</v>
      </c>
      <c r="D323" s="92" t="s">
        <v>168</v>
      </c>
      <c r="E323" s="94" t="s">
        <v>198</v>
      </c>
      <c r="F323" s="95"/>
      <c r="G323" s="142">
        <f t="shared" si="390"/>
        <v>0</v>
      </c>
      <c r="H323" s="93">
        <v>0</v>
      </c>
      <c r="I323" s="93">
        <v>0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0">
        <f t="shared" ref="T323:T328" si="397">H323*$F$28</f>
        <v>0</v>
      </c>
      <c r="U323" s="90">
        <f t="shared" si="396"/>
        <v>0</v>
      </c>
      <c r="V323" s="90">
        <f t="shared" si="396"/>
        <v>0</v>
      </c>
      <c r="W323" s="90">
        <f t="shared" si="396"/>
        <v>0</v>
      </c>
      <c r="X323" s="90">
        <f t="shared" si="396"/>
        <v>0</v>
      </c>
      <c r="Y323" s="90">
        <f t="shared" si="396"/>
        <v>0</v>
      </c>
      <c r="Z323" s="90">
        <f t="shared" si="396"/>
        <v>0</v>
      </c>
      <c r="AA323" s="90">
        <f t="shared" si="396"/>
        <v>0</v>
      </c>
      <c r="AB323" s="90">
        <f t="shared" si="396"/>
        <v>0</v>
      </c>
      <c r="AC323" s="90">
        <f t="shared" si="396"/>
        <v>0</v>
      </c>
      <c r="AD323" s="90">
        <f t="shared" si="396"/>
        <v>0</v>
      </c>
      <c r="AE323" s="90">
        <f t="shared" si="396"/>
        <v>0</v>
      </c>
      <c r="AF323" s="54">
        <f t="shared" si="394"/>
        <v>0</v>
      </c>
      <c r="AG323" s="2"/>
    </row>
    <row r="324" spans="1:33" ht="16" thickBot="1" x14ac:dyDescent="0.25">
      <c r="A324" s="148" t="s">
        <v>51</v>
      </c>
      <c r="B324" s="91" t="s">
        <v>3</v>
      </c>
      <c r="C324" s="92" t="s">
        <v>247</v>
      </c>
      <c r="D324" s="92" t="s">
        <v>168</v>
      </c>
      <c r="E324" s="94" t="s">
        <v>198</v>
      </c>
      <c r="F324" s="95"/>
      <c r="G324" s="142">
        <f t="shared" si="390"/>
        <v>0</v>
      </c>
      <c r="H324" s="93">
        <v>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0">
        <f t="shared" si="397"/>
        <v>0</v>
      </c>
      <c r="U324" s="90">
        <f t="shared" si="396"/>
        <v>0</v>
      </c>
      <c r="V324" s="90">
        <f t="shared" si="396"/>
        <v>0</v>
      </c>
      <c r="W324" s="90">
        <f t="shared" si="396"/>
        <v>0</v>
      </c>
      <c r="X324" s="90">
        <f t="shared" si="396"/>
        <v>0</v>
      </c>
      <c r="Y324" s="90">
        <f t="shared" si="396"/>
        <v>0</v>
      </c>
      <c r="Z324" s="90">
        <f t="shared" si="396"/>
        <v>0</v>
      </c>
      <c r="AA324" s="90">
        <f t="shared" si="396"/>
        <v>0</v>
      </c>
      <c r="AB324" s="90">
        <f t="shared" si="396"/>
        <v>0</v>
      </c>
      <c r="AC324" s="90">
        <f t="shared" si="396"/>
        <v>0</v>
      </c>
      <c r="AD324" s="90">
        <f t="shared" si="396"/>
        <v>0</v>
      </c>
      <c r="AE324" s="90">
        <f t="shared" si="396"/>
        <v>0</v>
      </c>
      <c r="AF324" s="54">
        <f t="shared" si="394"/>
        <v>0</v>
      </c>
      <c r="AG324" s="2"/>
    </row>
    <row r="325" spans="1:33" ht="16" thickBot="1" x14ac:dyDescent="0.25">
      <c r="A325" s="148" t="s">
        <v>51</v>
      </c>
      <c r="B325" s="91" t="s">
        <v>4</v>
      </c>
      <c r="C325" s="92" t="s">
        <v>247</v>
      </c>
      <c r="D325" s="92" t="s">
        <v>168</v>
      </c>
      <c r="E325" s="94" t="s">
        <v>198</v>
      </c>
      <c r="F325" s="95"/>
      <c r="G325" s="142">
        <f t="shared" si="390"/>
        <v>0</v>
      </c>
      <c r="H325" s="93">
        <v>0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0">
        <f t="shared" si="397"/>
        <v>0</v>
      </c>
      <c r="U325" s="90">
        <f t="shared" si="396"/>
        <v>0</v>
      </c>
      <c r="V325" s="90">
        <f t="shared" si="396"/>
        <v>0</v>
      </c>
      <c r="W325" s="90">
        <f t="shared" si="396"/>
        <v>0</v>
      </c>
      <c r="X325" s="90">
        <f t="shared" si="396"/>
        <v>0</v>
      </c>
      <c r="Y325" s="90">
        <f t="shared" si="396"/>
        <v>0</v>
      </c>
      <c r="Z325" s="90">
        <f t="shared" si="396"/>
        <v>0</v>
      </c>
      <c r="AA325" s="90">
        <f t="shared" si="396"/>
        <v>0</v>
      </c>
      <c r="AB325" s="90">
        <f t="shared" si="396"/>
        <v>0</v>
      </c>
      <c r="AC325" s="90">
        <f t="shared" si="396"/>
        <v>0</v>
      </c>
      <c r="AD325" s="90">
        <f t="shared" si="396"/>
        <v>0</v>
      </c>
      <c r="AE325" s="90">
        <f t="shared" si="396"/>
        <v>0</v>
      </c>
      <c r="AF325" s="54">
        <f t="shared" si="394"/>
        <v>0</v>
      </c>
      <c r="AG325" s="2"/>
    </row>
    <row r="326" spans="1:33" ht="16" thickBot="1" x14ac:dyDescent="0.25">
      <c r="A326" s="148" t="s">
        <v>51</v>
      </c>
      <c r="B326" s="91" t="s">
        <v>5</v>
      </c>
      <c r="C326" s="92" t="s">
        <v>247</v>
      </c>
      <c r="D326" s="92" t="s">
        <v>168</v>
      </c>
      <c r="E326" s="94" t="s">
        <v>198</v>
      </c>
      <c r="F326" s="95"/>
      <c r="G326" s="142">
        <f t="shared" si="390"/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0">
        <f t="shared" si="397"/>
        <v>0</v>
      </c>
      <c r="U326" s="90">
        <f t="shared" si="396"/>
        <v>0</v>
      </c>
      <c r="V326" s="90">
        <f t="shared" si="396"/>
        <v>0</v>
      </c>
      <c r="W326" s="90">
        <f t="shared" si="396"/>
        <v>0</v>
      </c>
      <c r="X326" s="90">
        <f t="shared" si="396"/>
        <v>0</v>
      </c>
      <c r="Y326" s="90">
        <f t="shared" si="396"/>
        <v>0</v>
      </c>
      <c r="Z326" s="90">
        <f t="shared" si="396"/>
        <v>0</v>
      </c>
      <c r="AA326" s="90">
        <f t="shared" si="396"/>
        <v>0</v>
      </c>
      <c r="AB326" s="90">
        <f t="shared" si="396"/>
        <v>0</v>
      </c>
      <c r="AC326" s="90">
        <f t="shared" si="396"/>
        <v>0</v>
      </c>
      <c r="AD326" s="90">
        <f t="shared" si="396"/>
        <v>0</v>
      </c>
      <c r="AE326" s="90">
        <f t="shared" si="396"/>
        <v>0</v>
      </c>
      <c r="AF326" s="54">
        <f t="shared" si="394"/>
        <v>0</v>
      </c>
      <c r="AG326" s="2"/>
    </row>
    <row r="327" spans="1:33" ht="16" thickBot="1" x14ac:dyDescent="0.25">
      <c r="A327" s="148" t="s">
        <v>51</v>
      </c>
      <c r="B327" s="91" t="s">
        <v>9</v>
      </c>
      <c r="C327" s="92" t="s">
        <v>247</v>
      </c>
      <c r="D327" s="92" t="s">
        <v>168</v>
      </c>
      <c r="E327" s="94" t="s">
        <v>198</v>
      </c>
      <c r="F327" s="95"/>
      <c r="G327" s="142">
        <f t="shared" si="390"/>
        <v>0</v>
      </c>
      <c r="H327" s="93">
        <v>0</v>
      </c>
      <c r="I327" s="93">
        <v>0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0">
        <f t="shared" si="397"/>
        <v>0</v>
      </c>
      <c r="U327" s="90">
        <f t="shared" si="396"/>
        <v>0</v>
      </c>
      <c r="V327" s="90">
        <f t="shared" si="396"/>
        <v>0</v>
      </c>
      <c r="W327" s="90">
        <f t="shared" si="396"/>
        <v>0</v>
      </c>
      <c r="X327" s="90">
        <f t="shared" si="396"/>
        <v>0</v>
      </c>
      <c r="Y327" s="90">
        <f t="shared" si="396"/>
        <v>0</v>
      </c>
      <c r="Z327" s="90">
        <f t="shared" si="396"/>
        <v>0</v>
      </c>
      <c r="AA327" s="90">
        <f t="shared" si="396"/>
        <v>0</v>
      </c>
      <c r="AB327" s="90">
        <f t="shared" si="396"/>
        <v>0</v>
      </c>
      <c r="AC327" s="90">
        <f t="shared" si="396"/>
        <v>0</v>
      </c>
      <c r="AD327" s="90">
        <f t="shared" si="396"/>
        <v>0</v>
      </c>
      <c r="AE327" s="90">
        <f t="shared" si="396"/>
        <v>0</v>
      </c>
      <c r="AF327" s="54">
        <f t="shared" si="394"/>
        <v>0</v>
      </c>
      <c r="AG327" s="2"/>
    </row>
    <row r="328" spans="1:33" ht="16" thickBot="1" x14ac:dyDescent="0.25">
      <c r="A328" s="148" t="s">
        <v>51</v>
      </c>
      <c r="B328" s="91" t="s">
        <v>10</v>
      </c>
      <c r="C328" s="92" t="s">
        <v>247</v>
      </c>
      <c r="D328" s="92" t="s">
        <v>168</v>
      </c>
      <c r="E328" s="94" t="s">
        <v>198</v>
      </c>
      <c r="F328" s="95"/>
      <c r="G328" s="142">
        <f t="shared" si="390"/>
        <v>0.5</v>
      </c>
      <c r="H328" s="93">
        <v>0</v>
      </c>
      <c r="I328" s="93">
        <v>0</v>
      </c>
      <c r="J328" s="93">
        <v>0</v>
      </c>
      <c r="K328" s="93">
        <v>0</v>
      </c>
      <c r="L328" s="93">
        <v>0</v>
      </c>
      <c r="M328" s="93">
        <v>0</v>
      </c>
      <c r="N328" s="93">
        <v>1</v>
      </c>
      <c r="O328" s="93">
        <v>1</v>
      </c>
      <c r="P328" s="93">
        <v>1</v>
      </c>
      <c r="Q328" s="93">
        <v>1</v>
      </c>
      <c r="R328" s="93">
        <v>1</v>
      </c>
      <c r="S328" s="93">
        <v>1</v>
      </c>
      <c r="T328" s="90">
        <f t="shared" si="397"/>
        <v>0</v>
      </c>
      <c r="U328" s="90">
        <f t="shared" si="396"/>
        <v>0</v>
      </c>
      <c r="V328" s="90">
        <f t="shared" si="396"/>
        <v>0</v>
      </c>
      <c r="W328" s="90">
        <f t="shared" si="396"/>
        <v>0</v>
      </c>
      <c r="X328" s="90">
        <f t="shared" si="396"/>
        <v>0</v>
      </c>
      <c r="Y328" s="90">
        <f t="shared" si="396"/>
        <v>0</v>
      </c>
      <c r="Z328" s="90">
        <f t="shared" si="396"/>
        <v>30000</v>
      </c>
      <c r="AA328" s="90">
        <f t="shared" si="396"/>
        <v>30000</v>
      </c>
      <c r="AB328" s="90">
        <f t="shared" si="396"/>
        <v>30000</v>
      </c>
      <c r="AC328" s="90">
        <f t="shared" si="396"/>
        <v>30000</v>
      </c>
      <c r="AD328" s="90">
        <f t="shared" si="396"/>
        <v>30000</v>
      </c>
      <c r="AE328" s="90">
        <f t="shared" si="396"/>
        <v>30000</v>
      </c>
      <c r="AF328" s="54">
        <f t="shared" si="394"/>
        <v>180000</v>
      </c>
      <c r="AG328" s="2"/>
    </row>
    <row r="329" spans="1:33" ht="16" thickBot="1" x14ac:dyDescent="0.25">
      <c r="A329" s="148" t="s">
        <v>51</v>
      </c>
      <c r="B329" s="91" t="s">
        <v>177</v>
      </c>
      <c r="C329" s="92" t="s">
        <v>248</v>
      </c>
      <c r="D329" s="92" t="s">
        <v>168</v>
      </c>
      <c r="E329" s="94" t="s">
        <v>198</v>
      </c>
      <c r="F329" s="95"/>
      <c r="G329" s="142">
        <f t="shared" si="390"/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0">
        <f>H329*$F$29</f>
        <v>0</v>
      </c>
      <c r="U329" s="90">
        <f t="shared" ref="U329:AE335" si="398">I329*$F$29</f>
        <v>0</v>
      </c>
      <c r="V329" s="90">
        <f t="shared" si="398"/>
        <v>0</v>
      </c>
      <c r="W329" s="90">
        <f t="shared" si="398"/>
        <v>0</v>
      </c>
      <c r="X329" s="90">
        <f t="shared" si="398"/>
        <v>0</v>
      </c>
      <c r="Y329" s="90">
        <f t="shared" si="398"/>
        <v>0</v>
      </c>
      <c r="Z329" s="90">
        <f t="shared" si="398"/>
        <v>0</v>
      </c>
      <c r="AA329" s="90">
        <f t="shared" si="398"/>
        <v>0</v>
      </c>
      <c r="AB329" s="90">
        <f t="shared" si="398"/>
        <v>0</v>
      </c>
      <c r="AC329" s="90">
        <f t="shared" si="398"/>
        <v>0</v>
      </c>
      <c r="AD329" s="90">
        <f t="shared" si="398"/>
        <v>0</v>
      </c>
      <c r="AE329" s="90">
        <f t="shared" si="398"/>
        <v>0</v>
      </c>
      <c r="AF329" s="54">
        <f t="shared" si="394"/>
        <v>0</v>
      </c>
      <c r="AG329" s="2"/>
    </row>
    <row r="330" spans="1:33" ht="16" thickBot="1" x14ac:dyDescent="0.25">
      <c r="A330" s="148" t="s">
        <v>51</v>
      </c>
      <c r="B330" s="91" t="s">
        <v>2</v>
      </c>
      <c r="C330" s="92" t="s">
        <v>248</v>
      </c>
      <c r="D330" s="92" t="s">
        <v>168</v>
      </c>
      <c r="E330" s="94" t="s">
        <v>198</v>
      </c>
      <c r="F330" s="95"/>
      <c r="G330" s="142">
        <f t="shared" si="390"/>
        <v>6.25E-2</v>
      </c>
      <c r="H330" s="93">
        <v>0</v>
      </c>
      <c r="I330" s="93">
        <v>0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0.25</v>
      </c>
      <c r="R330" s="93">
        <v>0.25</v>
      </c>
      <c r="S330" s="93">
        <v>0.25</v>
      </c>
      <c r="T330" s="90">
        <f t="shared" ref="T330:T335" si="399">H330*$F$29</f>
        <v>0</v>
      </c>
      <c r="U330" s="90">
        <f t="shared" si="398"/>
        <v>0</v>
      </c>
      <c r="V330" s="90">
        <f t="shared" si="398"/>
        <v>0</v>
      </c>
      <c r="W330" s="90">
        <f t="shared" si="398"/>
        <v>0</v>
      </c>
      <c r="X330" s="90">
        <f t="shared" si="398"/>
        <v>0</v>
      </c>
      <c r="Y330" s="90">
        <f t="shared" si="398"/>
        <v>0</v>
      </c>
      <c r="Z330" s="90">
        <f t="shared" si="398"/>
        <v>0</v>
      </c>
      <c r="AA330" s="90">
        <f t="shared" si="398"/>
        <v>0</v>
      </c>
      <c r="AB330" s="90">
        <f t="shared" si="398"/>
        <v>0</v>
      </c>
      <c r="AC330" s="90">
        <f t="shared" si="398"/>
        <v>11275</v>
      </c>
      <c r="AD330" s="90">
        <f t="shared" si="398"/>
        <v>11275</v>
      </c>
      <c r="AE330" s="90">
        <f t="shared" si="398"/>
        <v>11275</v>
      </c>
      <c r="AF330" s="54">
        <f t="shared" si="394"/>
        <v>33825</v>
      </c>
      <c r="AG330" s="2"/>
    </row>
    <row r="331" spans="1:33" ht="16" thickBot="1" x14ac:dyDescent="0.25">
      <c r="A331" s="148" t="s">
        <v>51</v>
      </c>
      <c r="B331" s="91" t="s">
        <v>3</v>
      </c>
      <c r="C331" s="92" t="s">
        <v>248</v>
      </c>
      <c r="D331" s="92" t="s">
        <v>168</v>
      </c>
      <c r="E331" s="94" t="s">
        <v>198</v>
      </c>
      <c r="F331" s="95"/>
      <c r="G331" s="142">
        <f t="shared" si="390"/>
        <v>6.25E-2</v>
      </c>
      <c r="H331" s="93">
        <v>0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0.25</v>
      </c>
      <c r="R331" s="93">
        <v>0.25</v>
      </c>
      <c r="S331" s="93">
        <v>0.25</v>
      </c>
      <c r="T331" s="90">
        <f t="shared" si="399"/>
        <v>0</v>
      </c>
      <c r="U331" s="90">
        <f t="shared" si="398"/>
        <v>0</v>
      </c>
      <c r="V331" s="90">
        <f t="shared" si="398"/>
        <v>0</v>
      </c>
      <c r="W331" s="90">
        <f t="shared" si="398"/>
        <v>0</v>
      </c>
      <c r="X331" s="90">
        <f t="shared" si="398"/>
        <v>0</v>
      </c>
      <c r="Y331" s="90">
        <f t="shared" si="398"/>
        <v>0</v>
      </c>
      <c r="Z331" s="90">
        <f t="shared" si="398"/>
        <v>0</v>
      </c>
      <c r="AA331" s="90">
        <f t="shared" si="398"/>
        <v>0</v>
      </c>
      <c r="AB331" s="90">
        <f t="shared" si="398"/>
        <v>0</v>
      </c>
      <c r="AC331" s="90">
        <f t="shared" si="398"/>
        <v>11275</v>
      </c>
      <c r="AD331" s="90">
        <f t="shared" si="398"/>
        <v>11275</v>
      </c>
      <c r="AE331" s="90">
        <f t="shared" si="398"/>
        <v>11275</v>
      </c>
      <c r="AF331" s="54">
        <f t="shared" si="394"/>
        <v>33825</v>
      </c>
      <c r="AG331" s="2"/>
    </row>
    <row r="332" spans="1:33" ht="16" thickBot="1" x14ac:dyDescent="0.25">
      <c r="A332" s="148" t="s">
        <v>51</v>
      </c>
      <c r="B332" s="91" t="s">
        <v>4</v>
      </c>
      <c r="C332" s="92" t="s">
        <v>248</v>
      </c>
      <c r="D332" s="92" t="s">
        <v>168</v>
      </c>
      <c r="E332" s="94" t="s">
        <v>198</v>
      </c>
      <c r="F332" s="95"/>
      <c r="G332" s="142">
        <f t="shared" si="390"/>
        <v>0</v>
      </c>
      <c r="H332" s="93">
        <v>0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0">
        <f t="shared" si="399"/>
        <v>0</v>
      </c>
      <c r="U332" s="90">
        <f t="shared" si="398"/>
        <v>0</v>
      </c>
      <c r="V332" s="90">
        <f t="shared" si="398"/>
        <v>0</v>
      </c>
      <c r="W332" s="90">
        <f t="shared" si="398"/>
        <v>0</v>
      </c>
      <c r="X332" s="90">
        <f t="shared" si="398"/>
        <v>0</v>
      </c>
      <c r="Y332" s="90">
        <f t="shared" si="398"/>
        <v>0</v>
      </c>
      <c r="Z332" s="90">
        <f t="shared" si="398"/>
        <v>0</v>
      </c>
      <c r="AA332" s="90">
        <f t="shared" si="398"/>
        <v>0</v>
      </c>
      <c r="AB332" s="90">
        <f t="shared" si="398"/>
        <v>0</v>
      </c>
      <c r="AC332" s="90">
        <f t="shared" si="398"/>
        <v>0</v>
      </c>
      <c r="AD332" s="90">
        <f t="shared" si="398"/>
        <v>0</v>
      </c>
      <c r="AE332" s="90">
        <f t="shared" si="398"/>
        <v>0</v>
      </c>
      <c r="AF332" s="54">
        <f t="shared" si="394"/>
        <v>0</v>
      </c>
      <c r="AG332" s="2"/>
    </row>
    <row r="333" spans="1:33" ht="16" thickBot="1" x14ac:dyDescent="0.25">
      <c r="A333" s="148" t="s">
        <v>51</v>
      </c>
      <c r="B333" s="91" t="s">
        <v>5</v>
      </c>
      <c r="C333" s="92" t="s">
        <v>248</v>
      </c>
      <c r="D333" s="92" t="s">
        <v>168</v>
      </c>
      <c r="E333" s="94" t="s">
        <v>198</v>
      </c>
      <c r="F333" s="95"/>
      <c r="G333" s="142">
        <f t="shared" si="390"/>
        <v>0</v>
      </c>
      <c r="H333" s="93">
        <v>0</v>
      </c>
      <c r="I333" s="93">
        <v>0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0">
        <f t="shared" si="399"/>
        <v>0</v>
      </c>
      <c r="U333" s="90">
        <f t="shared" si="398"/>
        <v>0</v>
      </c>
      <c r="V333" s="90">
        <f t="shared" si="398"/>
        <v>0</v>
      </c>
      <c r="W333" s="90">
        <f t="shared" si="398"/>
        <v>0</v>
      </c>
      <c r="X333" s="90">
        <f t="shared" si="398"/>
        <v>0</v>
      </c>
      <c r="Y333" s="90">
        <f t="shared" si="398"/>
        <v>0</v>
      </c>
      <c r="Z333" s="90">
        <f t="shared" si="398"/>
        <v>0</v>
      </c>
      <c r="AA333" s="90">
        <f t="shared" si="398"/>
        <v>0</v>
      </c>
      <c r="AB333" s="90">
        <f t="shared" si="398"/>
        <v>0</v>
      </c>
      <c r="AC333" s="90">
        <f t="shared" si="398"/>
        <v>0</v>
      </c>
      <c r="AD333" s="90">
        <f t="shared" si="398"/>
        <v>0</v>
      </c>
      <c r="AE333" s="90">
        <f t="shared" si="398"/>
        <v>0</v>
      </c>
      <c r="AF333" s="54">
        <f t="shared" si="394"/>
        <v>0</v>
      </c>
      <c r="AG333" s="2"/>
    </row>
    <row r="334" spans="1:33" ht="16" thickBot="1" x14ac:dyDescent="0.25">
      <c r="A334" s="148" t="s">
        <v>51</v>
      </c>
      <c r="B334" s="91" t="s">
        <v>9</v>
      </c>
      <c r="C334" s="92" t="s">
        <v>248</v>
      </c>
      <c r="D334" s="92" t="s">
        <v>168</v>
      </c>
      <c r="E334" s="94" t="s">
        <v>198</v>
      </c>
      <c r="F334" s="95"/>
      <c r="G334" s="142">
        <f t="shared" si="390"/>
        <v>6.25E-2</v>
      </c>
      <c r="H334" s="93">
        <v>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0.25</v>
      </c>
      <c r="R334" s="93">
        <v>0.25</v>
      </c>
      <c r="S334" s="93">
        <v>0.25</v>
      </c>
      <c r="T334" s="90">
        <f t="shared" si="399"/>
        <v>0</v>
      </c>
      <c r="U334" s="90">
        <f t="shared" si="398"/>
        <v>0</v>
      </c>
      <c r="V334" s="90">
        <f t="shared" si="398"/>
        <v>0</v>
      </c>
      <c r="W334" s="90">
        <f t="shared" si="398"/>
        <v>0</v>
      </c>
      <c r="X334" s="90">
        <f t="shared" si="398"/>
        <v>0</v>
      </c>
      <c r="Y334" s="90">
        <f t="shared" si="398"/>
        <v>0</v>
      </c>
      <c r="Z334" s="90">
        <f t="shared" si="398"/>
        <v>0</v>
      </c>
      <c r="AA334" s="90">
        <f t="shared" si="398"/>
        <v>0</v>
      </c>
      <c r="AB334" s="90">
        <f t="shared" si="398"/>
        <v>0</v>
      </c>
      <c r="AC334" s="90">
        <f t="shared" si="398"/>
        <v>11275</v>
      </c>
      <c r="AD334" s="90">
        <f t="shared" si="398"/>
        <v>11275</v>
      </c>
      <c r="AE334" s="90">
        <f t="shared" si="398"/>
        <v>11275</v>
      </c>
      <c r="AF334" s="54">
        <f t="shared" si="394"/>
        <v>33825</v>
      </c>
      <c r="AG334" s="2"/>
    </row>
    <row r="335" spans="1:33" ht="16" thickBot="1" x14ac:dyDescent="0.25">
      <c r="A335" s="148" t="s">
        <v>51</v>
      </c>
      <c r="B335" s="91" t="s">
        <v>10</v>
      </c>
      <c r="C335" s="92" t="s">
        <v>248</v>
      </c>
      <c r="D335" s="92" t="s">
        <v>168</v>
      </c>
      <c r="E335" s="94" t="s">
        <v>198</v>
      </c>
      <c r="F335" s="95"/>
      <c r="G335" s="142">
        <f t="shared" si="390"/>
        <v>6.25E-2</v>
      </c>
      <c r="H335" s="93">
        <v>0</v>
      </c>
      <c r="I335" s="93">
        <v>0</v>
      </c>
      <c r="J335" s="93">
        <v>0</v>
      </c>
      <c r="K335" s="93">
        <v>0</v>
      </c>
      <c r="L335" s="93">
        <v>0</v>
      </c>
      <c r="M335" s="93">
        <v>0</v>
      </c>
      <c r="N335" s="93">
        <v>0</v>
      </c>
      <c r="O335" s="93">
        <v>0</v>
      </c>
      <c r="P335" s="93">
        <v>0</v>
      </c>
      <c r="Q335" s="93">
        <v>0.25</v>
      </c>
      <c r="R335" s="93">
        <v>0.25</v>
      </c>
      <c r="S335" s="93">
        <v>0.25</v>
      </c>
      <c r="T335" s="90">
        <f t="shared" si="399"/>
        <v>0</v>
      </c>
      <c r="U335" s="90">
        <f t="shared" si="398"/>
        <v>0</v>
      </c>
      <c r="V335" s="90">
        <f t="shared" si="398"/>
        <v>0</v>
      </c>
      <c r="W335" s="90">
        <f t="shared" si="398"/>
        <v>0</v>
      </c>
      <c r="X335" s="90">
        <f t="shared" si="398"/>
        <v>0</v>
      </c>
      <c r="Y335" s="90">
        <f t="shared" si="398"/>
        <v>0</v>
      </c>
      <c r="Z335" s="90">
        <f t="shared" si="398"/>
        <v>0</v>
      </c>
      <c r="AA335" s="90">
        <f t="shared" si="398"/>
        <v>0</v>
      </c>
      <c r="AB335" s="90">
        <f t="shared" si="398"/>
        <v>0</v>
      </c>
      <c r="AC335" s="90">
        <f t="shared" si="398"/>
        <v>11275</v>
      </c>
      <c r="AD335" s="90">
        <f t="shared" si="398"/>
        <v>11275</v>
      </c>
      <c r="AE335" s="90">
        <f t="shared" si="398"/>
        <v>11275</v>
      </c>
      <c r="AF335" s="54">
        <f t="shared" si="394"/>
        <v>33825</v>
      </c>
      <c r="AG335" s="2"/>
    </row>
    <row r="336" spans="1:33" ht="16" thickBot="1" x14ac:dyDescent="0.25">
      <c r="A336" s="148" t="s">
        <v>51</v>
      </c>
      <c r="B336" s="91" t="s">
        <v>177</v>
      </c>
      <c r="C336" s="92" t="s">
        <v>255</v>
      </c>
      <c r="D336" s="92" t="s">
        <v>168</v>
      </c>
      <c r="E336" s="94" t="s">
        <v>198</v>
      </c>
      <c r="F336" s="95"/>
      <c r="G336" s="142">
        <f t="shared" si="390"/>
        <v>0</v>
      </c>
      <c r="H336" s="93">
        <v>0</v>
      </c>
      <c r="I336" s="93">
        <v>0</v>
      </c>
      <c r="J336" s="93">
        <v>0</v>
      </c>
      <c r="K336" s="93">
        <v>0</v>
      </c>
      <c r="L336" s="93">
        <v>0</v>
      </c>
      <c r="M336" s="93">
        <v>0</v>
      </c>
      <c r="N336" s="93">
        <v>0</v>
      </c>
      <c r="O336" s="93">
        <v>0</v>
      </c>
      <c r="P336" s="93">
        <v>0</v>
      </c>
      <c r="Q336" s="93">
        <v>0</v>
      </c>
      <c r="R336" s="93">
        <v>0</v>
      </c>
      <c r="S336" s="93">
        <v>0</v>
      </c>
      <c r="T336" s="90">
        <f>H336*$F$30</f>
        <v>0</v>
      </c>
      <c r="U336" s="90">
        <f t="shared" ref="U336:AE342" si="400">I336*$F$30</f>
        <v>0</v>
      </c>
      <c r="V336" s="90">
        <f t="shared" si="400"/>
        <v>0</v>
      </c>
      <c r="W336" s="90">
        <f t="shared" si="400"/>
        <v>0</v>
      </c>
      <c r="X336" s="90">
        <f t="shared" si="400"/>
        <v>0</v>
      </c>
      <c r="Y336" s="90">
        <f t="shared" si="400"/>
        <v>0</v>
      </c>
      <c r="Z336" s="90">
        <f t="shared" si="400"/>
        <v>0</v>
      </c>
      <c r="AA336" s="90">
        <f t="shared" si="400"/>
        <v>0</v>
      </c>
      <c r="AB336" s="90">
        <f t="shared" si="400"/>
        <v>0</v>
      </c>
      <c r="AC336" s="90">
        <f t="shared" si="400"/>
        <v>0</v>
      </c>
      <c r="AD336" s="90">
        <f t="shared" si="400"/>
        <v>0</v>
      </c>
      <c r="AE336" s="90">
        <f t="shared" si="400"/>
        <v>0</v>
      </c>
      <c r="AF336" s="54">
        <f t="shared" si="394"/>
        <v>0</v>
      </c>
      <c r="AG336" s="2"/>
    </row>
    <row r="337" spans="1:33" ht="16" thickBot="1" x14ac:dyDescent="0.25">
      <c r="A337" s="148" t="s">
        <v>51</v>
      </c>
      <c r="B337" s="91" t="s">
        <v>2</v>
      </c>
      <c r="C337" s="92" t="s">
        <v>255</v>
      </c>
      <c r="D337" s="92" t="s">
        <v>168</v>
      </c>
      <c r="E337" s="94" t="s">
        <v>198</v>
      </c>
      <c r="F337" s="95"/>
      <c r="G337" s="142">
        <f t="shared" si="390"/>
        <v>0.375</v>
      </c>
      <c r="H337" s="93">
        <v>0</v>
      </c>
      <c r="I337" s="93">
        <v>0</v>
      </c>
      <c r="J337" s="93">
        <v>0</v>
      </c>
      <c r="K337" s="93">
        <v>0.5</v>
      </c>
      <c r="L337" s="93">
        <v>0.5</v>
      </c>
      <c r="M337" s="93">
        <v>0.5</v>
      </c>
      <c r="N337" s="93">
        <v>0.5</v>
      </c>
      <c r="O337" s="93">
        <v>0.5</v>
      </c>
      <c r="P337" s="93">
        <v>0.5</v>
      </c>
      <c r="Q337" s="93">
        <v>0.5</v>
      </c>
      <c r="R337" s="93">
        <v>0.5</v>
      </c>
      <c r="S337" s="93">
        <v>0.5</v>
      </c>
      <c r="T337" s="90">
        <f t="shared" ref="T337:T342" si="401">H337*$F$30</f>
        <v>0</v>
      </c>
      <c r="U337" s="90">
        <f t="shared" si="400"/>
        <v>0</v>
      </c>
      <c r="V337" s="90">
        <f t="shared" si="400"/>
        <v>0</v>
      </c>
      <c r="W337" s="90">
        <f t="shared" si="400"/>
        <v>22550</v>
      </c>
      <c r="X337" s="90">
        <f t="shared" si="400"/>
        <v>22550</v>
      </c>
      <c r="Y337" s="90">
        <f t="shared" si="400"/>
        <v>22550</v>
      </c>
      <c r="Z337" s="90">
        <f t="shared" si="400"/>
        <v>22550</v>
      </c>
      <c r="AA337" s="90">
        <f t="shared" si="400"/>
        <v>22550</v>
      </c>
      <c r="AB337" s="90">
        <f t="shared" si="400"/>
        <v>22550</v>
      </c>
      <c r="AC337" s="90">
        <f t="shared" si="400"/>
        <v>22550</v>
      </c>
      <c r="AD337" s="90">
        <f t="shared" si="400"/>
        <v>22550</v>
      </c>
      <c r="AE337" s="90">
        <f t="shared" si="400"/>
        <v>22550</v>
      </c>
      <c r="AF337" s="54">
        <f t="shared" si="394"/>
        <v>202950</v>
      </c>
      <c r="AG337" s="2"/>
    </row>
    <row r="338" spans="1:33" ht="16" thickBot="1" x14ac:dyDescent="0.25">
      <c r="A338" s="148" t="s">
        <v>51</v>
      </c>
      <c r="B338" s="91" t="s">
        <v>3</v>
      </c>
      <c r="C338" s="92" t="s">
        <v>255</v>
      </c>
      <c r="D338" s="92" t="s">
        <v>168</v>
      </c>
      <c r="E338" s="94" t="s">
        <v>198</v>
      </c>
      <c r="F338" s="95"/>
      <c r="G338" s="142">
        <f t="shared" si="390"/>
        <v>0.375</v>
      </c>
      <c r="H338" s="93">
        <v>0</v>
      </c>
      <c r="I338" s="93">
        <v>0</v>
      </c>
      <c r="J338" s="93">
        <v>0</v>
      </c>
      <c r="K338" s="93">
        <v>0.5</v>
      </c>
      <c r="L338" s="93">
        <v>0.5</v>
      </c>
      <c r="M338" s="93">
        <v>0.5</v>
      </c>
      <c r="N338" s="93">
        <v>0.5</v>
      </c>
      <c r="O338" s="93">
        <v>0.5</v>
      </c>
      <c r="P338" s="93">
        <v>0.5</v>
      </c>
      <c r="Q338" s="93">
        <v>0.5</v>
      </c>
      <c r="R338" s="93">
        <v>0.5</v>
      </c>
      <c r="S338" s="93">
        <v>0.5</v>
      </c>
      <c r="T338" s="90">
        <f t="shared" si="401"/>
        <v>0</v>
      </c>
      <c r="U338" s="90">
        <f t="shared" si="400"/>
        <v>0</v>
      </c>
      <c r="V338" s="90">
        <f t="shared" si="400"/>
        <v>0</v>
      </c>
      <c r="W338" s="90">
        <f t="shared" si="400"/>
        <v>22550</v>
      </c>
      <c r="X338" s="90">
        <f t="shared" si="400"/>
        <v>22550</v>
      </c>
      <c r="Y338" s="90">
        <f t="shared" si="400"/>
        <v>22550</v>
      </c>
      <c r="Z338" s="90">
        <f t="shared" si="400"/>
        <v>22550</v>
      </c>
      <c r="AA338" s="90">
        <f t="shared" si="400"/>
        <v>22550</v>
      </c>
      <c r="AB338" s="90">
        <f t="shared" si="400"/>
        <v>22550</v>
      </c>
      <c r="AC338" s="90">
        <f t="shared" si="400"/>
        <v>22550</v>
      </c>
      <c r="AD338" s="90">
        <f t="shared" si="400"/>
        <v>22550</v>
      </c>
      <c r="AE338" s="90">
        <f t="shared" si="400"/>
        <v>22550</v>
      </c>
      <c r="AF338" s="54">
        <f t="shared" si="394"/>
        <v>202950</v>
      </c>
      <c r="AG338" s="2"/>
    </row>
    <row r="339" spans="1:33" ht="16" thickBot="1" x14ac:dyDescent="0.25">
      <c r="A339" s="148" t="s">
        <v>51</v>
      </c>
      <c r="B339" s="91" t="s">
        <v>4</v>
      </c>
      <c r="C339" s="92" t="s">
        <v>255</v>
      </c>
      <c r="D339" s="92" t="s">
        <v>168</v>
      </c>
      <c r="E339" s="94" t="s">
        <v>198</v>
      </c>
      <c r="F339" s="95"/>
      <c r="G339" s="142">
        <f t="shared" si="390"/>
        <v>0</v>
      </c>
      <c r="H339" s="93">
        <v>0</v>
      </c>
      <c r="I339" s="93">
        <v>0</v>
      </c>
      <c r="J339" s="93">
        <v>0</v>
      </c>
      <c r="K339" s="93">
        <v>0</v>
      </c>
      <c r="L339" s="93">
        <v>0</v>
      </c>
      <c r="M339" s="93">
        <v>0</v>
      </c>
      <c r="N339" s="93">
        <v>0</v>
      </c>
      <c r="O339" s="93">
        <v>0</v>
      </c>
      <c r="P339" s="93">
        <v>0</v>
      </c>
      <c r="Q339" s="93">
        <v>0</v>
      </c>
      <c r="R339" s="93">
        <v>0</v>
      </c>
      <c r="S339" s="93">
        <v>0</v>
      </c>
      <c r="T339" s="90">
        <f t="shared" si="401"/>
        <v>0</v>
      </c>
      <c r="U339" s="90">
        <f t="shared" si="400"/>
        <v>0</v>
      </c>
      <c r="V339" s="90">
        <f t="shared" si="400"/>
        <v>0</v>
      </c>
      <c r="W339" s="90">
        <f t="shared" si="400"/>
        <v>0</v>
      </c>
      <c r="X339" s="90">
        <f t="shared" si="400"/>
        <v>0</v>
      </c>
      <c r="Y339" s="90">
        <f t="shared" si="400"/>
        <v>0</v>
      </c>
      <c r="Z339" s="90">
        <f t="shared" si="400"/>
        <v>0</v>
      </c>
      <c r="AA339" s="90">
        <f t="shared" si="400"/>
        <v>0</v>
      </c>
      <c r="AB339" s="90">
        <f t="shared" si="400"/>
        <v>0</v>
      </c>
      <c r="AC339" s="90">
        <f t="shared" si="400"/>
        <v>0</v>
      </c>
      <c r="AD339" s="90">
        <f t="shared" si="400"/>
        <v>0</v>
      </c>
      <c r="AE339" s="90">
        <f t="shared" si="400"/>
        <v>0</v>
      </c>
      <c r="AF339" s="54">
        <f t="shared" si="394"/>
        <v>0</v>
      </c>
      <c r="AG339" s="2"/>
    </row>
    <row r="340" spans="1:33" ht="16" thickBot="1" x14ac:dyDescent="0.25">
      <c r="A340" s="148" t="s">
        <v>51</v>
      </c>
      <c r="B340" s="91" t="s">
        <v>5</v>
      </c>
      <c r="C340" s="92" t="s">
        <v>255</v>
      </c>
      <c r="D340" s="92" t="s">
        <v>168</v>
      </c>
      <c r="E340" s="94" t="s">
        <v>198</v>
      </c>
      <c r="F340" s="95"/>
      <c r="G340" s="142">
        <f t="shared" si="390"/>
        <v>0</v>
      </c>
      <c r="H340" s="93">
        <v>0</v>
      </c>
      <c r="I340" s="93">
        <v>0</v>
      </c>
      <c r="J340" s="93">
        <v>0</v>
      </c>
      <c r="K340" s="93">
        <v>0</v>
      </c>
      <c r="L340" s="93">
        <v>0</v>
      </c>
      <c r="M340" s="93">
        <v>0</v>
      </c>
      <c r="N340" s="93">
        <v>0</v>
      </c>
      <c r="O340" s="93">
        <v>0</v>
      </c>
      <c r="P340" s="93">
        <v>0</v>
      </c>
      <c r="Q340" s="93">
        <v>0</v>
      </c>
      <c r="R340" s="93">
        <v>0</v>
      </c>
      <c r="S340" s="93">
        <v>0</v>
      </c>
      <c r="T340" s="90">
        <f t="shared" si="401"/>
        <v>0</v>
      </c>
      <c r="U340" s="90">
        <f t="shared" si="400"/>
        <v>0</v>
      </c>
      <c r="V340" s="90">
        <f t="shared" si="400"/>
        <v>0</v>
      </c>
      <c r="W340" s="90">
        <f t="shared" si="400"/>
        <v>0</v>
      </c>
      <c r="X340" s="90">
        <f t="shared" si="400"/>
        <v>0</v>
      </c>
      <c r="Y340" s="90">
        <f t="shared" si="400"/>
        <v>0</v>
      </c>
      <c r="Z340" s="90">
        <f t="shared" si="400"/>
        <v>0</v>
      </c>
      <c r="AA340" s="90">
        <f t="shared" si="400"/>
        <v>0</v>
      </c>
      <c r="AB340" s="90">
        <f t="shared" si="400"/>
        <v>0</v>
      </c>
      <c r="AC340" s="90">
        <f t="shared" si="400"/>
        <v>0</v>
      </c>
      <c r="AD340" s="90">
        <f t="shared" si="400"/>
        <v>0</v>
      </c>
      <c r="AE340" s="90">
        <f t="shared" si="400"/>
        <v>0</v>
      </c>
      <c r="AF340" s="54">
        <f t="shared" si="394"/>
        <v>0</v>
      </c>
      <c r="AG340" s="2"/>
    </row>
    <row r="341" spans="1:33" ht="16" thickBot="1" x14ac:dyDescent="0.25">
      <c r="A341" s="148" t="s">
        <v>51</v>
      </c>
      <c r="B341" s="91" t="s">
        <v>9</v>
      </c>
      <c r="C341" s="92" t="s">
        <v>255</v>
      </c>
      <c r="D341" s="92" t="s">
        <v>168</v>
      </c>
      <c r="E341" s="94" t="s">
        <v>198</v>
      </c>
      <c r="F341" s="95"/>
      <c r="G341" s="142">
        <f t="shared" si="390"/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0">
        <f t="shared" si="401"/>
        <v>0</v>
      </c>
      <c r="U341" s="90">
        <f t="shared" si="400"/>
        <v>0</v>
      </c>
      <c r="V341" s="90">
        <f t="shared" si="400"/>
        <v>0</v>
      </c>
      <c r="W341" s="90">
        <f t="shared" si="400"/>
        <v>0</v>
      </c>
      <c r="X341" s="90">
        <f t="shared" si="400"/>
        <v>0</v>
      </c>
      <c r="Y341" s="90">
        <f t="shared" si="400"/>
        <v>0</v>
      </c>
      <c r="Z341" s="90">
        <f t="shared" si="400"/>
        <v>0</v>
      </c>
      <c r="AA341" s="90">
        <f t="shared" si="400"/>
        <v>0</v>
      </c>
      <c r="AB341" s="90">
        <f t="shared" si="400"/>
        <v>0</v>
      </c>
      <c r="AC341" s="90">
        <f t="shared" si="400"/>
        <v>0</v>
      </c>
      <c r="AD341" s="90">
        <f t="shared" si="400"/>
        <v>0</v>
      </c>
      <c r="AE341" s="90">
        <f t="shared" si="400"/>
        <v>0</v>
      </c>
      <c r="AF341" s="54">
        <f t="shared" si="394"/>
        <v>0</v>
      </c>
      <c r="AG341" s="2"/>
    </row>
    <row r="342" spans="1:33" ht="16" thickBot="1" x14ac:dyDescent="0.25">
      <c r="A342" s="148" t="s">
        <v>51</v>
      </c>
      <c r="B342" s="91" t="s">
        <v>10</v>
      </c>
      <c r="C342" s="92" t="s">
        <v>255</v>
      </c>
      <c r="D342" s="92" t="s">
        <v>168</v>
      </c>
      <c r="E342" s="94" t="s">
        <v>198</v>
      </c>
      <c r="F342" s="95"/>
      <c r="G342" s="142">
        <f t="shared" si="390"/>
        <v>0</v>
      </c>
      <c r="H342" s="93">
        <v>0</v>
      </c>
      <c r="I342" s="93">
        <v>0</v>
      </c>
      <c r="J342" s="93">
        <v>0</v>
      </c>
      <c r="K342" s="93">
        <v>0</v>
      </c>
      <c r="L342" s="93">
        <v>0</v>
      </c>
      <c r="M342" s="93">
        <v>0</v>
      </c>
      <c r="N342" s="93">
        <v>0</v>
      </c>
      <c r="O342" s="93">
        <v>0</v>
      </c>
      <c r="P342" s="93">
        <v>0</v>
      </c>
      <c r="Q342" s="93">
        <v>0</v>
      </c>
      <c r="R342" s="93">
        <v>0</v>
      </c>
      <c r="S342" s="93">
        <v>0</v>
      </c>
      <c r="T342" s="90">
        <f t="shared" si="401"/>
        <v>0</v>
      </c>
      <c r="U342" s="90">
        <f t="shared" si="400"/>
        <v>0</v>
      </c>
      <c r="V342" s="90">
        <f t="shared" si="400"/>
        <v>0</v>
      </c>
      <c r="W342" s="90">
        <f t="shared" si="400"/>
        <v>0</v>
      </c>
      <c r="X342" s="90">
        <f t="shared" si="400"/>
        <v>0</v>
      </c>
      <c r="Y342" s="90">
        <f t="shared" si="400"/>
        <v>0</v>
      </c>
      <c r="Z342" s="90">
        <f t="shared" si="400"/>
        <v>0</v>
      </c>
      <c r="AA342" s="90">
        <f t="shared" si="400"/>
        <v>0</v>
      </c>
      <c r="AB342" s="90">
        <f t="shared" si="400"/>
        <v>0</v>
      </c>
      <c r="AC342" s="90">
        <f t="shared" si="400"/>
        <v>0</v>
      </c>
      <c r="AD342" s="90">
        <f t="shared" si="400"/>
        <v>0</v>
      </c>
      <c r="AE342" s="90">
        <f t="shared" si="400"/>
        <v>0</v>
      </c>
      <c r="AF342" s="54">
        <f t="shared" si="394"/>
        <v>0</v>
      </c>
      <c r="AG342" s="2"/>
    </row>
    <row r="343" spans="1:33" ht="16" thickBot="1" x14ac:dyDescent="0.25">
      <c r="A343" s="148" t="s">
        <v>51</v>
      </c>
      <c r="B343" s="91" t="s">
        <v>177</v>
      </c>
      <c r="C343" s="92" t="s">
        <v>256</v>
      </c>
      <c r="D343" s="92" t="s">
        <v>168</v>
      </c>
      <c r="E343" s="94" t="s">
        <v>198</v>
      </c>
      <c r="F343" s="95"/>
      <c r="G343" s="142">
        <f t="shared" si="390"/>
        <v>0</v>
      </c>
      <c r="H343" s="93">
        <v>0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0">
        <f>H343*$F$31</f>
        <v>0</v>
      </c>
      <c r="U343" s="90">
        <f t="shared" ref="U343:AE343" si="402">I343*$F$31</f>
        <v>0</v>
      </c>
      <c r="V343" s="90">
        <f t="shared" si="402"/>
        <v>0</v>
      </c>
      <c r="W343" s="90">
        <f t="shared" si="402"/>
        <v>0</v>
      </c>
      <c r="X343" s="90">
        <f t="shared" si="402"/>
        <v>0</v>
      </c>
      <c r="Y343" s="90">
        <f t="shared" si="402"/>
        <v>0</v>
      </c>
      <c r="Z343" s="90">
        <f t="shared" si="402"/>
        <v>0</v>
      </c>
      <c r="AA343" s="90">
        <f t="shared" si="402"/>
        <v>0</v>
      </c>
      <c r="AB343" s="90">
        <f t="shared" si="402"/>
        <v>0</v>
      </c>
      <c r="AC343" s="90">
        <f t="shared" si="402"/>
        <v>0</v>
      </c>
      <c r="AD343" s="90">
        <f t="shared" si="402"/>
        <v>0</v>
      </c>
      <c r="AE343" s="90">
        <f t="shared" si="402"/>
        <v>0</v>
      </c>
      <c r="AF343" s="54">
        <f t="shared" si="394"/>
        <v>0</v>
      </c>
      <c r="AG343" s="2"/>
    </row>
    <row r="344" spans="1:33" ht="16" thickBot="1" x14ac:dyDescent="0.25">
      <c r="A344" s="148" t="s">
        <v>51</v>
      </c>
      <c r="B344" s="91" t="s">
        <v>2</v>
      </c>
      <c r="C344" s="92" t="s">
        <v>256</v>
      </c>
      <c r="D344" s="92" t="s">
        <v>168</v>
      </c>
      <c r="E344" s="94" t="s">
        <v>198</v>
      </c>
      <c r="F344" s="95"/>
      <c r="G344" s="142">
        <f t="shared" si="390"/>
        <v>0</v>
      </c>
      <c r="H344" s="93">
        <v>0</v>
      </c>
      <c r="I344" s="93">
        <v>0</v>
      </c>
      <c r="J344" s="93">
        <v>0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0">
        <f t="shared" ref="T344:T349" si="403">H344*$F$31</f>
        <v>0</v>
      </c>
      <c r="U344" s="90">
        <f t="shared" ref="U344:U349" si="404">I344*$F$31</f>
        <v>0</v>
      </c>
      <c r="V344" s="90">
        <f t="shared" ref="V344:V349" si="405">J344*$F$31</f>
        <v>0</v>
      </c>
      <c r="W344" s="90">
        <f t="shared" ref="W344:W349" si="406">K344*$F$31</f>
        <v>0</v>
      </c>
      <c r="X344" s="90">
        <f t="shared" ref="X344:X349" si="407">L344*$F$31</f>
        <v>0</v>
      </c>
      <c r="Y344" s="90">
        <f t="shared" ref="Y344:Y349" si="408">M344*$F$31</f>
        <v>0</v>
      </c>
      <c r="Z344" s="90">
        <f t="shared" ref="Z344:Z349" si="409">N344*$F$31</f>
        <v>0</v>
      </c>
      <c r="AA344" s="90">
        <f t="shared" ref="AA344:AA349" si="410">O344*$F$31</f>
        <v>0</v>
      </c>
      <c r="AB344" s="90">
        <f t="shared" ref="AB344:AB349" si="411">P344*$F$31</f>
        <v>0</v>
      </c>
      <c r="AC344" s="90">
        <f t="shared" ref="AC344:AC349" si="412">Q344*$F$31</f>
        <v>0</v>
      </c>
      <c r="AD344" s="90">
        <f t="shared" ref="AD344:AD349" si="413">R344*$F$31</f>
        <v>0</v>
      </c>
      <c r="AE344" s="90">
        <f t="shared" ref="AE344:AE349" si="414">S344*$F$31</f>
        <v>0</v>
      </c>
      <c r="AF344" s="54">
        <f t="shared" si="394"/>
        <v>0</v>
      </c>
      <c r="AG344" s="2"/>
    </row>
    <row r="345" spans="1:33" ht="16" thickBot="1" x14ac:dyDescent="0.25">
      <c r="A345" s="148" t="s">
        <v>51</v>
      </c>
      <c r="B345" s="91" t="s">
        <v>3</v>
      </c>
      <c r="C345" s="92" t="s">
        <v>256</v>
      </c>
      <c r="D345" s="92" t="s">
        <v>168</v>
      </c>
      <c r="E345" s="94" t="s">
        <v>198</v>
      </c>
      <c r="F345" s="95"/>
      <c r="G345" s="142">
        <f t="shared" si="390"/>
        <v>0</v>
      </c>
      <c r="H345" s="93">
        <v>0</v>
      </c>
      <c r="I345" s="93">
        <v>0</v>
      </c>
      <c r="J345" s="93">
        <v>0</v>
      </c>
      <c r="K345" s="93">
        <v>0</v>
      </c>
      <c r="L345" s="93">
        <v>0</v>
      </c>
      <c r="M345" s="93">
        <v>0</v>
      </c>
      <c r="N345" s="93">
        <v>0</v>
      </c>
      <c r="O345" s="93">
        <v>0</v>
      </c>
      <c r="P345" s="93">
        <v>0</v>
      </c>
      <c r="Q345" s="93">
        <v>0</v>
      </c>
      <c r="R345" s="93">
        <v>0</v>
      </c>
      <c r="S345" s="93">
        <v>0</v>
      </c>
      <c r="T345" s="90">
        <f t="shared" si="403"/>
        <v>0</v>
      </c>
      <c r="U345" s="90">
        <f t="shared" si="404"/>
        <v>0</v>
      </c>
      <c r="V345" s="90">
        <f t="shared" si="405"/>
        <v>0</v>
      </c>
      <c r="W345" s="90">
        <f t="shared" si="406"/>
        <v>0</v>
      </c>
      <c r="X345" s="90">
        <f t="shared" si="407"/>
        <v>0</v>
      </c>
      <c r="Y345" s="90">
        <f t="shared" si="408"/>
        <v>0</v>
      </c>
      <c r="Z345" s="90">
        <f t="shared" si="409"/>
        <v>0</v>
      </c>
      <c r="AA345" s="90">
        <f t="shared" si="410"/>
        <v>0</v>
      </c>
      <c r="AB345" s="90">
        <f t="shared" si="411"/>
        <v>0</v>
      </c>
      <c r="AC345" s="90">
        <f t="shared" si="412"/>
        <v>0</v>
      </c>
      <c r="AD345" s="90">
        <f t="shared" si="413"/>
        <v>0</v>
      </c>
      <c r="AE345" s="90">
        <f t="shared" si="414"/>
        <v>0</v>
      </c>
      <c r="AF345" s="54">
        <f t="shared" si="394"/>
        <v>0</v>
      </c>
      <c r="AG345" s="2"/>
    </row>
    <row r="346" spans="1:33" ht="16" thickBot="1" x14ac:dyDescent="0.25">
      <c r="A346" s="148" t="s">
        <v>51</v>
      </c>
      <c r="B346" s="91" t="s">
        <v>4</v>
      </c>
      <c r="C346" s="92" t="s">
        <v>256</v>
      </c>
      <c r="D346" s="92" t="s">
        <v>168</v>
      </c>
      <c r="E346" s="94" t="s">
        <v>198</v>
      </c>
      <c r="F346" s="95"/>
      <c r="G346" s="142">
        <f t="shared" si="390"/>
        <v>0</v>
      </c>
      <c r="H346" s="93">
        <v>0</v>
      </c>
      <c r="I346" s="93">
        <v>0</v>
      </c>
      <c r="J346" s="93">
        <v>0</v>
      </c>
      <c r="K346" s="93">
        <v>0</v>
      </c>
      <c r="L346" s="93">
        <v>0</v>
      </c>
      <c r="M346" s="93">
        <v>0</v>
      </c>
      <c r="N346" s="93">
        <v>0</v>
      </c>
      <c r="O346" s="93">
        <v>0</v>
      </c>
      <c r="P346" s="93">
        <v>0</v>
      </c>
      <c r="Q346" s="93">
        <v>0</v>
      </c>
      <c r="R346" s="93">
        <v>0</v>
      </c>
      <c r="S346" s="93">
        <v>0</v>
      </c>
      <c r="T346" s="90">
        <f t="shared" si="403"/>
        <v>0</v>
      </c>
      <c r="U346" s="90">
        <f t="shared" si="404"/>
        <v>0</v>
      </c>
      <c r="V346" s="90">
        <f t="shared" si="405"/>
        <v>0</v>
      </c>
      <c r="W346" s="90">
        <f t="shared" si="406"/>
        <v>0</v>
      </c>
      <c r="X346" s="90">
        <f t="shared" si="407"/>
        <v>0</v>
      </c>
      <c r="Y346" s="90">
        <f t="shared" si="408"/>
        <v>0</v>
      </c>
      <c r="Z346" s="90">
        <f t="shared" si="409"/>
        <v>0</v>
      </c>
      <c r="AA346" s="90">
        <f t="shared" si="410"/>
        <v>0</v>
      </c>
      <c r="AB346" s="90">
        <f t="shared" si="411"/>
        <v>0</v>
      </c>
      <c r="AC346" s="90">
        <f t="shared" si="412"/>
        <v>0</v>
      </c>
      <c r="AD346" s="90">
        <f t="shared" si="413"/>
        <v>0</v>
      </c>
      <c r="AE346" s="90">
        <f t="shared" si="414"/>
        <v>0</v>
      </c>
      <c r="AF346" s="54">
        <f t="shared" si="394"/>
        <v>0</v>
      </c>
      <c r="AG346" s="2"/>
    </row>
    <row r="347" spans="1:33" ht="16" thickBot="1" x14ac:dyDescent="0.25">
      <c r="A347" s="148" t="s">
        <v>51</v>
      </c>
      <c r="B347" s="91" t="s">
        <v>5</v>
      </c>
      <c r="C347" s="92" t="s">
        <v>256</v>
      </c>
      <c r="D347" s="92" t="s">
        <v>168</v>
      </c>
      <c r="E347" s="94" t="s">
        <v>198</v>
      </c>
      <c r="F347" s="95"/>
      <c r="G347" s="142">
        <f t="shared" si="390"/>
        <v>0</v>
      </c>
      <c r="H347" s="93">
        <v>0</v>
      </c>
      <c r="I347" s="93">
        <v>0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0">
        <f t="shared" si="403"/>
        <v>0</v>
      </c>
      <c r="U347" s="90">
        <f t="shared" si="404"/>
        <v>0</v>
      </c>
      <c r="V347" s="90">
        <f t="shared" si="405"/>
        <v>0</v>
      </c>
      <c r="W347" s="90">
        <f t="shared" si="406"/>
        <v>0</v>
      </c>
      <c r="X347" s="90">
        <f t="shared" si="407"/>
        <v>0</v>
      </c>
      <c r="Y347" s="90">
        <f t="shared" si="408"/>
        <v>0</v>
      </c>
      <c r="Z347" s="90">
        <f t="shared" si="409"/>
        <v>0</v>
      </c>
      <c r="AA347" s="90">
        <f t="shared" si="410"/>
        <v>0</v>
      </c>
      <c r="AB347" s="90">
        <f t="shared" si="411"/>
        <v>0</v>
      </c>
      <c r="AC347" s="90">
        <f t="shared" si="412"/>
        <v>0</v>
      </c>
      <c r="AD347" s="90">
        <f t="shared" si="413"/>
        <v>0</v>
      </c>
      <c r="AE347" s="90">
        <f t="shared" si="414"/>
        <v>0</v>
      </c>
      <c r="AF347" s="54">
        <f t="shared" si="394"/>
        <v>0</v>
      </c>
      <c r="AG347" s="2"/>
    </row>
    <row r="348" spans="1:33" ht="16" thickBot="1" x14ac:dyDescent="0.25">
      <c r="A348" s="148" t="s">
        <v>51</v>
      </c>
      <c r="B348" s="91" t="s">
        <v>9</v>
      </c>
      <c r="C348" s="92" t="s">
        <v>256</v>
      </c>
      <c r="D348" s="92" t="s">
        <v>168</v>
      </c>
      <c r="E348" s="94" t="s">
        <v>198</v>
      </c>
      <c r="F348" s="95"/>
      <c r="G348" s="142">
        <f t="shared" si="390"/>
        <v>0</v>
      </c>
      <c r="H348" s="93">
        <v>0</v>
      </c>
      <c r="I348" s="93">
        <v>0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0">
        <f t="shared" si="403"/>
        <v>0</v>
      </c>
      <c r="U348" s="90">
        <f t="shared" si="404"/>
        <v>0</v>
      </c>
      <c r="V348" s="90">
        <f t="shared" si="405"/>
        <v>0</v>
      </c>
      <c r="W348" s="90">
        <f t="shared" si="406"/>
        <v>0</v>
      </c>
      <c r="X348" s="90">
        <f t="shared" si="407"/>
        <v>0</v>
      </c>
      <c r="Y348" s="90">
        <f t="shared" si="408"/>
        <v>0</v>
      </c>
      <c r="Z348" s="90">
        <f t="shared" si="409"/>
        <v>0</v>
      </c>
      <c r="AA348" s="90">
        <f t="shared" si="410"/>
        <v>0</v>
      </c>
      <c r="AB348" s="90">
        <f t="shared" si="411"/>
        <v>0</v>
      </c>
      <c r="AC348" s="90">
        <f t="shared" si="412"/>
        <v>0</v>
      </c>
      <c r="AD348" s="90">
        <f t="shared" si="413"/>
        <v>0</v>
      </c>
      <c r="AE348" s="90">
        <f t="shared" si="414"/>
        <v>0</v>
      </c>
      <c r="AF348" s="54">
        <f t="shared" si="394"/>
        <v>0</v>
      </c>
      <c r="AG348" s="2"/>
    </row>
    <row r="349" spans="1:33" ht="16" thickBot="1" x14ac:dyDescent="0.25">
      <c r="A349" s="148" t="s">
        <v>51</v>
      </c>
      <c r="B349" s="91" t="s">
        <v>10</v>
      </c>
      <c r="C349" s="92" t="s">
        <v>256</v>
      </c>
      <c r="D349" s="92" t="s">
        <v>168</v>
      </c>
      <c r="E349" s="94" t="s">
        <v>198</v>
      </c>
      <c r="F349" s="95"/>
      <c r="G349" s="142">
        <f t="shared" si="390"/>
        <v>0.875</v>
      </c>
      <c r="H349" s="93">
        <v>0</v>
      </c>
      <c r="I349" s="93">
        <v>0.5</v>
      </c>
      <c r="J349" s="93">
        <v>1</v>
      </c>
      <c r="K349" s="93">
        <v>1</v>
      </c>
      <c r="L349" s="93">
        <v>1</v>
      </c>
      <c r="M349" s="93">
        <v>1</v>
      </c>
      <c r="N349" s="93">
        <v>1</v>
      </c>
      <c r="O349" s="93">
        <v>1</v>
      </c>
      <c r="P349" s="93">
        <v>1</v>
      </c>
      <c r="Q349" s="93">
        <v>1</v>
      </c>
      <c r="R349" s="93">
        <v>1</v>
      </c>
      <c r="S349" s="93">
        <v>1</v>
      </c>
      <c r="T349" s="90">
        <f t="shared" si="403"/>
        <v>0</v>
      </c>
      <c r="U349" s="90">
        <f t="shared" si="404"/>
        <v>15000</v>
      </c>
      <c r="V349" s="90">
        <f t="shared" si="405"/>
        <v>30000</v>
      </c>
      <c r="W349" s="90">
        <f t="shared" si="406"/>
        <v>30000</v>
      </c>
      <c r="X349" s="90">
        <f t="shared" si="407"/>
        <v>30000</v>
      </c>
      <c r="Y349" s="90">
        <f t="shared" si="408"/>
        <v>30000</v>
      </c>
      <c r="Z349" s="90">
        <f t="shared" si="409"/>
        <v>30000</v>
      </c>
      <c r="AA349" s="90">
        <f t="shared" si="410"/>
        <v>30000</v>
      </c>
      <c r="AB349" s="90">
        <f t="shared" si="411"/>
        <v>30000</v>
      </c>
      <c r="AC349" s="90">
        <f t="shared" si="412"/>
        <v>30000</v>
      </c>
      <c r="AD349" s="90">
        <f t="shared" si="413"/>
        <v>30000</v>
      </c>
      <c r="AE349" s="90">
        <f t="shared" si="414"/>
        <v>30000</v>
      </c>
      <c r="AF349" s="54">
        <f t="shared" si="394"/>
        <v>315000</v>
      </c>
      <c r="AG349" s="2"/>
    </row>
    <row r="350" spans="1:33" ht="16" thickBot="1" x14ac:dyDescent="0.25">
      <c r="A350" s="148" t="s">
        <v>180</v>
      </c>
      <c r="B350" s="91" t="s">
        <v>177</v>
      </c>
      <c r="C350" s="92" t="s">
        <v>260</v>
      </c>
      <c r="D350" s="92" t="s">
        <v>168</v>
      </c>
      <c r="E350" s="94" t="s">
        <v>198</v>
      </c>
      <c r="F350" s="95"/>
      <c r="G350" s="142">
        <f t="shared" si="390"/>
        <v>0</v>
      </c>
      <c r="H350" s="93">
        <v>0</v>
      </c>
      <c r="I350" s="93">
        <v>0</v>
      </c>
      <c r="J350" s="93">
        <v>0</v>
      </c>
      <c r="K350" s="93">
        <v>0</v>
      </c>
      <c r="L350" s="93">
        <v>0</v>
      </c>
      <c r="M350" s="93">
        <v>0</v>
      </c>
      <c r="N350" s="93">
        <v>0</v>
      </c>
      <c r="O350" s="93">
        <v>0</v>
      </c>
      <c r="P350" s="93">
        <v>0</v>
      </c>
      <c r="Q350" s="93">
        <v>0</v>
      </c>
      <c r="R350" s="93">
        <v>0</v>
      </c>
      <c r="S350" s="93">
        <v>0</v>
      </c>
      <c r="T350" s="90">
        <f>H350*$F$47</f>
        <v>0</v>
      </c>
      <c r="U350" s="90">
        <f t="shared" ref="U350:AE356" si="415">I350*$F$47</f>
        <v>0</v>
      </c>
      <c r="V350" s="90">
        <f t="shared" si="415"/>
        <v>0</v>
      </c>
      <c r="W350" s="90">
        <f t="shared" si="415"/>
        <v>0</v>
      </c>
      <c r="X350" s="90">
        <f t="shared" si="415"/>
        <v>0</v>
      </c>
      <c r="Y350" s="90">
        <f t="shared" si="415"/>
        <v>0</v>
      </c>
      <c r="Z350" s="90">
        <f t="shared" si="415"/>
        <v>0</v>
      </c>
      <c r="AA350" s="90">
        <f t="shared" si="415"/>
        <v>0</v>
      </c>
      <c r="AB350" s="90">
        <f t="shared" si="415"/>
        <v>0</v>
      </c>
      <c r="AC350" s="90">
        <f t="shared" si="415"/>
        <v>0</v>
      </c>
      <c r="AD350" s="90">
        <f t="shared" si="415"/>
        <v>0</v>
      </c>
      <c r="AE350" s="90">
        <f t="shared" si="415"/>
        <v>0</v>
      </c>
      <c r="AF350" s="54">
        <f t="shared" si="394"/>
        <v>0</v>
      </c>
      <c r="AG350" s="2"/>
    </row>
    <row r="351" spans="1:33" ht="16" thickBot="1" x14ac:dyDescent="0.25">
      <c r="A351" s="148" t="s">
        <v>180</v>
      </c>
      <c r="B351" s="91" t="s">
        <v>2</v>
      </c>
      <c r="C351" s="92" t="s">
        <v>260</v>
      </c>
      <c r="D351" s="92" t="s">
        <v>168</v>
      </c>
      <c r="E351" s="94" t="s">
        <v>198</v>
      </c>
      <c r="F351" s="95"/>
      <c r="G351" s="142">
        <f t="shared" si="390"/>
        <v>0</v>
      </c>
      <c r="H351" s="93">
        <v>0</v>
      </c>
      <c r="I351" s="93">
        <v>0</v>
      </c>
      <c r="J351" s="93">
        <v>0</v>
      </c>
      <c r="K351" s="93">
        <v>0</v>
      </c>
      <c r="L351" s="93">
        <v>0</v>
      </c>
      <c r="M351" s="93">
        <v>0</v>
      </c>
      <c r="N351" s="93">
        <v>0</v>
      </c>
      <c r="O351" s="93">
        <v>0</v>
      </c>
      <c r="P351" s="93">
        <v>0</v>
      </c>
      <c r="Q351" s="93">
        <v>0</v>
      </c>
      <c r="R351" s="93">
        <v>0</v>
      </c>
      <c r="S351" s="93">
        <v>0</v>
      </c>
      <c r="T351" s="90">
        <f t="shared" ref="T351:T356" si="416">H351*$F$47</f>
        <v>0</v>
      </c>
      <c r="U351" s="90">
        <f t="shared" si="415"/>
        <v>0</v>
      </c>
      <c r="V351" s="90">
        <f t="shared" si="415"/>
        <v>0</v>
      </c>
      <c r="W351" s="90">
        <f t="shared" si="415"/>
        <v>0</v>
      </c>
      <c r="X351" s="90">
        <f t="shared" si="415"/>
        <v>0</v>
      </c>
      <c r="Y351" s="90">
        <f t="shared" si="415"/>
        <v>0</v>
      </c>
      <c r="Z351" s="90">
        <f t="shared" si="415"/>
        <v>0</v>
      </c>
      <c r="AA351" s="90">
        <f t="shared" si="415"/>
        <v>0</v>
      </c>
      <c r="AB351" s="90">
        <f t="shared" si="415"/>
        <v>0</v>
      </c>
      <c r="AC351" s="90">
        <f t="shared" si="415"/>
        <v>0</v>
      </c>
      <c r="AD351" s="90">
        <f t="shared" si="415"/>
        <v>0</v>
      </c>
      <c r="AE351" s="90">
        <f t="shared" si="415"/>
        <v>0</v>
      </c>
      <c r="AF351" s="54">
        <f t="shared" si="394"/>
        <v>0</v>
      </c>
      <c r="AG351" s="2"/>
    </row>
    <row r="352" spans="1:33" ht="16" thickBot="1" x14ac:dyDescent="0.25">
      <c r="A352" s="148" t="s">
        <v>180</v>
      </c>
      <c r="B352" s="91" t="s">
        <v>3</v>
      </c>
      <c r="C352" s="92" t="s">
        <v>260</v>
      </c>
      <c r="D352" s="92" t="s">
        <v>168</v>
      </c>
      <c r="E352" s="94" t="s">
        <v>198</v>
      </c>
      <c r="F352" s="95"/>
      <c r="G352" s="142">
        <f t="shared" si="390"/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0">
        <f t="shared" si="416"/>
        <v>0</v>
      </c>
      <c r="U352" s="90">
        <f t="shared" si="415"/>
        <v>0</v>
      </c>
      <c r="V352" s="90">
        <f t="shared" si="415"/>
        <v>0</v>
      </c>
      <c r="W352" s="90">
        <f t="shared" si="415"/>
        <v>0</v>
      </c>
      <c r="X352" s="90">
        <f t="shared" si="415"/>
        <v>0</v>
      </c>
      <c r="Y352" s="90">
        <f t="shared" si="415"/>
        <v>0</v>
      </c>
      <c r="Z352" s="90">
        <f t="shared" si="415"/>
        <v>0</v>
      </c>
      <c r="AA352" s="90">
        <f t="shared" si="415"/>
        <v>0</v>
      </c>
      <c r="AB352" s="90">
        <f t="shared" si="415"/>
        <v>0</v>
      </c>
      <c r="AC352" s="90">
        <f t="shared" si="415"/>
        <v>0</v>
      </c>
      <c r="AD352" s="90">
        <f t="shared" si="415"/>
        <v>0</v>
      </c>
      <c r="AE352" s="90">
        <f t="shared" si="415"/>
        <v>0</v>
      </c>
      <c r="AF352" s="54">
        <f t="shared" si="394"/>
        <v>0</v>
      </c>
      <c r="AG352" s="2"/>
    </row>
    <row r="353" spans="1:33" ht="16" thickBot="1" x14ac:dyDescent="0.25">
      <c r="A353" s="148" t="s">
        <v>180</v>
      </c>
      <c r="B353" s="91" t="s">
        <v>4</v>
      </c>
      <c r="C353" s="92" t="s">
        <v>260</v>
      </c>
      <c r="D353" s="92" t="s">
        <v>168</v>
      </c>
      <c r="E353" s="94" t="s">
        <v>198</v>
      </c>
      <c r="F353" s="95"/>
      <c r="G353" s="142">
        <f t="shared" si="390"/>
        <v>0</v>
      </c>
      <c r="H353" s="93">
        <v>0</v>
      </c>
      <c r="I353" s="93">
        <v>0</v>
      </c>
      <c r="J353" s="93">
        <v>0</v>
      </c>
      <c r="K353" s="93">
        <v>0</v>
      </c>
      <c r="L353" s="93">
        <v>0</v>
      </c>
      <c r="M353" s="93">
        <v>0</v>
      </c>
      <c r="N353" s="93">
        <v>0</v>
      </c>
      <c r="O353" s="93">
        <v>0</v>
      </c>
      <c r="P353" s="93">
        <v>0</v>
      </c>
      <c r="Q353" s="93">
        <v>0</v>
      </c>
      <c r="R353" s="93">
        <v>0</v>
      </c>
      <c r="S353" s="93">
        <v>0</v>
      </c>
      <c r="T353" s="90">
        <f t="shared" si="416"/>
        <v>0</v>
      </c>
      <c r="U353" s="90">
        <f t="shared" si="415"/>
        <v>0</v>
      </c>
      <c r="V353" s="90">
        <f t="shared" si="415"/>
        <v>0</v>
      </c>
      <c r="W353" s="90">
        <f t="shared" si="415"/>
        <v>0</v>
      </c>
      <c r="X353" s="90">
        <f t="shared" si="415"/>
        <v>0</v>
      </c>
      <c r="Y353" s="90">
        <f t="shared" si="415"/>
        <v>0</v>
      </c>
      <c r="Z353" s="90">
        <f t="shared" si="415"/>
        <v>0</v>
      </c>
      <c r="AA353" s="90">
        <f t="shared" si="415"/>
        <v>0</v>
      </c>
      <c r="AB353" s="90">
        <f t="shared" si="415"/>
        <v>0</v>
      </c>
      <c r="AC353" s="90">
        <f t="shared" si="415"/>
        <v>0</v>
      </c>
      <c r="AD353" s="90">
        <f t="shared" si="415"/>
        <v>0</v>
      </c>
      <c r="AE353" s="90">
        <f t="shared" si="415"/>
        <v>0</v>
      </c>
      <c r="AF353" s="54">
        <f t="shared" si="394"/>
        <v>0</v>
      </c>
      <c r="AG353" s="2"/>
    </row>
    <row r="354" spans="1:33" ht="16" thickBot="1" x14ac:dyDescent="0.25">
      <c r="A354" s="148" t="s">
        <v>180</v>
      </c>
      <c r="B354" s="91" t="s">
        <v>5</v>
      </c>
      <c r="C354" s="92" t="s">
        <v>260</v>
      </c>
      <c r="D354" s="92" t="s">
        <v>168</v>
      </c>
      <c r="E354" s="94" t="s">
        <v>198</v>
      </c>
      <c r="F354" s="95"/>
      <c r="G354" s="142">
        <f t="shared" si="390"/>
        <v>0</v>
      </c>
      <c r="H354" s="93">
        <v>0</v>
      </c>
      <c r="I354" s="93">
        <v>0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0">
        <f t="shared" si="416"/>
        <v>0</v>
      </c>
      <c r="U354" s="90">
        <f t="shared" si="415"/>
        <v>0</v>
      </c>
      <c r="V354" s="90">
        <f t="shared" si="415"/>
        <v>0</v>
      </c>
      <c r="W354" s="90">
        <f t="shared" si="415"/>
        <v>0</v>
      </c>
      <c r="X354" s="90">
        <f t="shared" si="415"/>
        <v>0</v>
      </c>
      <c r="Y354" s="90">
        <f t="shared" si="415"/>
        <v>0</v>
      </c>
      <c r="Z354" s="90">
        <f t="shared" si="415"/>
        <v>0</v>
      </c>
      <c r="AA354" s="90">
        <f t="shared" si="415"/>
        <v>0</v>
      </c>
      <c r="AB354" s="90">
        <f t="shared" si="415"/>
        <v>0</v>
      </c>
      <c r="AC354" s="90">
        <f t="shared" si="415"/>
        <v>0</v>
      </c>
      <c r="AD354" s="90">
        <f t="shared" si="415"/>
        <v>0</v>
      </c>
      <c r="AE354" s="90">
        <f t="shared" si="415"/>
        <v>0</v>
      </c>
      <c r="AF354" s="54">
        <f t="shared" si="394"/>
        <v>0</v>
      </c>
      <c r="AG354" s="2"/>
    </row>
    <row r="355" spans="1:33" ht="16" thickBot="1" x14ac:dyDescent="0.25">
      <c r="A355" s="148" t="s">
        <v>180</v>
      </c>
      <c r="B355" s="91" t="s">
        <v>9</v>
      </c>
      <c r="C355" s="92" t="s">
        <v>260</v>
      </c>
      <c r="D355" s="92" t="s">
        <v>168</v>
      </c>
      <c r="E355" s="94" t="s">
        <v>198</v>
      </c>
      <c r="F355" s="95"/>
      <c r="G355" s="142">
        <f t="shared" si="390"/>
        <v>0.5</v>
      </c>
      <c r="H355" s="93">
        <v>0</v>
      </c>
      <c r="I355" s="93">
        <v>0</v>
      </c>
      <c r="J355" s="93">
        <v>0</v>
      </c>
      <c r="K355" s="93">
        <v>0</v>
      </c>
      <c r="L355" s="210">
        <v>0</v>
      </c>
      <c r="M355" s="210">
        <v>0</v>
      </c>
      <c r="N355" s="93">
        <v>1</v>
      </c>
      <c r="O355" s="93">
        <v>1</v>
      </c>
      <c r="P355" s="93">
        <v>1</v>
      </c>
      <c r="Q355" s="93">
        <v>1</v>
      </c>
      <c r="R355" s="93">
        <v>1</v>
      </c>
      <c r="S355" s="93">
        <v>1</v>
      </c>
      <c r="T355" s="90">
        <f t="shared" si="416"/>
        <v>0</v>
      </c>
      <c r="U355" s="90">
        <f t="shared" si="415"/>
        <v>0</v>
      </c>
      <c r="V355" s="90">
        <f t="shared" si="415"/>
        <v>0</v>
      </c>
      <c r="W355" s="90">
        <f t="shared" si="415"/>
        <v>0</v>
      </c>
      <c r="X355" s="90">
        <f t="shared" si="415"/>
        <v>0</v>
      </c>
      <c r="Y355" s="90">
        <f t="shared" si="415"/>
        <v>0</v>
      </c>
      <c r="Z355" s="90">
        <f t="shared" si="415"/>
        <v>30250</v>
      </c>
      <c r="AA355" s="90">
        <f t="shared" si="415"/>
        <v>30250</v>
      </c>
      <c r="AB355" s="90">
        <f t="shared" si="415"/>
        <v>30250</v>
      </c>
      <c r="AC355" s="90">
        <f t="shared" si="415"/>
        <v>30250</v>
      </c>
      <c r="AD355" s="90">
        <f t="shared" si="415"/>
        <v>30250</v>
      </c>
      <c r="AE355" s="90">
        <f t="shared" si="415"/>
        <v>30250</v>
      </c>
      <c r="AF355" s="54">
        <f t="shared" si="394"/>
        <v>181500</v>
      </c>
      <c r="AG355" s="2"/>
    </row>
    <row r="356" spans="1:33" ht="16" thickBot="1" x14ac:dyDescent="0.25">
      <c r="A356" s="148" t="s">
        <v>180</v>
      </c>
      <c r="B356" s="91" t="s">
        <v>10</v>
      </c>
      <c r="C356" s="92" t="s">
        <v>260</v>
      </c>
      <c r="D356" s="92" t="s">
        <v>168</v>
      </c>
      <c r="E356" s="94" t="s">
        <v>198</v>
      </c>
      <c r="F356" s="95"/>
      <c r="G356" s="142">
        <f t="shared" si="390"/>
        <v>0</v>
      </c>
      <c r="H356" s="93">
        <v>0</v>
      </c>
      <c r="I356" s="93">
        <v>0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0">
        <f t="shared" si="416"/>
        <v>0</v>
      </c>
      <c r="U356" s="90">
        <f t="shared" si="415"/>
        <v>0</v>
      </c>
      <c r="V356" s="90">
        <f t="shared" si="415"/>
        <v>0</v>
      </c>
      <c r="W356" s="90">
        <f t="shared" si="415"/>
        <v>0</v>
      </c>
      <c r="X356" s="90">
        <f t="shared" si="415"/>
        <v>0</v>
      </c>
      <c r="Y356" s="90">
        <f t="shared" si="415"/>
        <v>0</v>
      </c>
      <c r="Z356" s="90">
        <f t="shared" si="415"/>
        <v>0</v>
      </c>
      <c r="AA356" s="90">
        <f t="shared" si="415"/>
        <v>0</v>
      </c>
      <c r="AB356" s="90">
        <f t="shared" si="415"/>
        <v>0</v>
      </c>
      <c r="AC356" s="90">
        <f t="shared" si="415"/>
        <v>0</v>
      </c>
      <c r="AD356" s="90">
        <f t="shared" si="415"/>
        <v>0</v>
      </c>
      <c r="AE356" s="90">
        <f t="shared" si="415"/>
        <v>0</v>
      </c>
      <c r="AF356" s="54">
        <f t="shared" si="394"/>
        <v>0</v>
      </c>
      <c r="AG356" s="2"/>
    </row>
    <row r="357" spans="1:33" ht="16" thickBot="1" x14ac:dyDescent="0.25">
      <c r="A357" s="148" t="s">
        <v>51</v>
      </c>
      <c r="B357" s="91" t="s">
        <v>177</v>
      </c>
      <c r="C357" s="92" t="s">
        <v>262</v>
      </c>
      <c r="D357" s="92" t="s">
        <v>168</v>
      </c>
      <c r="E357" s="94" t="s">
        <v>198</v>
      </c>
      <c r="F357" s="95"/>
      <c r="G357" s="142">
        <f t="shared" si="390"/>
        <v>0</v>
      </c>
      <c r="H357" s="93">
        <v>0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0">
        <f>H357*$F$32</f>
        <v>0</v>
      </c>
      <c r="U357" s="90">
        <f t="shared" ref="U357:AE363" si="417">I357*$F$32</f>
        <v>0</v>
      </c>
      <c r="V357" s="90">
        <f t="shared" si="417"/>
        <v>0</v>
      </c>
      <c r="W357" s="90">
        <f t="shared" si="417"/>
        <v>0</v>
      </c>
      <c r="X357" s="90">
        <f t="shared" si="417"/>
        <v>0</v>
      </c>
      <c r="Y357" s="90">
        <f t="shared" si="417"/>
        <v>0</v>
      </c>
      <c r="Z357" s="90">
        <f t="shared" si="417"/>
        <v>0</v>
      </c>
      <c r="AA357" s="90">
        <f t="shared" si="417"/>
        <v>0</v>
      </c>
      <c r="AB357" s="90">
        <f t="shared" si="417"/>
        <v>0</v>
      </c>
      <c r="AC357" s="90">
        <f t="shared" si="417"/>
        <v>0</v>
      </c>
      <c r="AD357" s="90">
        <f t="shared" si="417"/>
        <v>0</v>
      </c>
      <c r="AE357" s="90">
        <f t="shared" si="417"/>
        <v>0</v>
      </c>
      <c r="AF357" s="54">
        <f t="shared" si="394"/>
        <v>0</v>
      </c>
      <c r="AG357" s="2"/>
    </row>
    <row r="358" spans="1:33" ht="16" thickBot="1" x14ac:dyDescent="0.25">
      <c r="A358" s="148" t="s">
        <v>51</v>
      </c>
      <c r="B358" s="91" t="s">
        <v>2</v>
      </c>
      <c r="C358" s="92" t="s">
        <v>262</v>
      </c>
      <c r="D358" s="92" t="s">
        <v>168</v>
      </c>
      <c r="E358" s="94" t="s">
        <v>198</v>
      </c>
      <c r="F358" s="95"/>
      <c r="G358" s="142">
        <f t="shared" si="390"/>
        <v>0.45833333333333331</v>
      </c>
      <c r="H358" s="93">
        <v>0</v>
      </c>
      <c r="I358" s="93">
        <v>0.5</v>
      </c>
      <c r="J358" s="93">
        <v>0.5</v>
      </c>
      <c r="K358" s="93">
        <v>0.5</v>
      </c>
      <c r="L358" s="93">
        <v>0.5</v>
      </c>
      <c r="M358" s="93">
        <v>0.5</v>
      </c>
      <c r="N358" s="93">
        <v>0.5</v>
      </c>
      <c r="O358" s="93">
        <v>0.5</v>
      </c>
      <c r="P358" s="93">
        <v>0.5</v>
      </c>
      <c r="Q358" s="93">
        <v>0.5</v>
      </c>
      <c r="R358" s="93">
        <v>0.5</v>
      </c>
      <c r="S358" s="93">
        <v>0.5</v>
      </c>
      <c r="T358" s="90">
        <f t="shared" ref="T358:T363" si="418">H358*$F$32</f>
        <v>0</v>
      </c>
      <c r="U358" s="90">
        <f t="shared" si="417"/>
        <v>22550</v>
      </c>
      <c r="V358" s="90">
        <f t="shared" si="417"/>
        <v>22550</v>
      </c>
      <c r="W358" s="90">
        <f t="shared" si="417"/>
        <v>22550</v>
      </c>
      <c r="X358" s="90">
        <f t="shared" si="417"/>
        <v>22550</v>
      </c>
      <c r="Y358" s="90">
        <f t="shared" si="417"/>
        <v>22550</v>
      </c>
      <c r="Z358" s="90">
        <f t="shared" si="417"/>
        <v>22550</v>
      </c>
      <c r="AA358" s="90">
        <f t="shared" si="417"/>
        <v>22550</v>
      </c>
      <c r="AB358" s="90">
        <f t="shared" si="417"/>
        <v>22550</v>
      </c>
      <c r="AC358" s="90">
        <f t="shared" si="417"/>
        <v>22550</v>
      </c>
      <c r="AD358" s="90">
        <f t="shared" si="417"/>
        <v>22550</v>
      </c>
      <c r="AE358" s="90">
        <f t="shared" si="417"/>
        <v>22550</v>
      </c>
      <c r="AF358" s="54">
        <f t="shared" si="394"/>
        <v>248050</v>
      </c>
      <c r="AG358" s="2"/>
    </row>
    <row r="359" spans="1:33" ht="16" thickBot="1" x14ac:dyDescent="0.25">
      <c r="A359" s="148" t="s">
        <v>51</v>
      </c>
      <c r="B359" s="91" t="s">
        <v>3</v>
      </c>
      <c r="C359" s="92" t="s">
        <v>262</v>
      </c>
      <c r="D359" s="92" t="s">
        <v>168</v>
      </c>
      <c r="E359" s="94" t="s">
        <v>198</v>
      </c>
      <c r="F359" s="95"/>
      <c r="G359" s="142">
        <f t="shared" si="390"/>
        <v>0.45833333333333331</v>
      </c>
      <c r="H359" s="93">
        <v>0</v>
      </c>
      <c r="I359" s="93">
        <v>0.5</v>
      </c>
      <c r="J359" s="93">
        <v>0.5</v>
      </c>
      <c r="K359" s="93">
        <v>0.5</v>
      </c>
      <c r="L359" s="93">
        <v>0.5</v>
      </c>
      <c r="M359" s="93">
        <v>0.5</v>
      </c>
      <c r="N359" s="93">
        <v>0.5</v>
      </c>
      <c r="O359" s="93">
        <v>0.5</v>
      </c>
      <c r="P359" s="93">
        <v>0.5</v>
      </c>
      <c r="Q359" s="93">
        <v>0.5</v>
      </c>
      <c r="R359" s="93">
        <v>0.5</v>
      </c>
      <c r="S359" s="93">
        <v>0.5</v>
      </c>
      <c r="T359" s="90">
        <f t="shared" si="418"/>
        <v>0</v>
      </c>
      <c r="U359" s="90">
        <f t="shared" si="417"/>
        <v>22550</v>
      </c>
      <c r="V359" s="90">
        <f t="shared" si="417"/>
        <v>22550</v>
      </c>
      <c r="W359" s="90">
        <f t="shared" si="417"/>
        <v>22550</v>
      </c>
      <c r="X359" s="90">
        <f t="shared" si="417"/>
        <v>22550</v>
      </c>
      <c r="Y359" s="90">
        <f t="shared" si="417"/>
        <v>22550</v>
      </c>
      <c r="Z359" s="90">
        <f t="shared" si="417"/>
        <v>22550</v>
      </c>
      <c r="AA359" s="90">
        <f t="shared" si="417"/>
        <v>22550</v>
      </c>
      <c r="AB359" s="90">
        <f t="shared" si="417"/>
        <v>22550</v>
      </c>
      <c r="AC359" s="90">
        <f t="shared" si="417"/>
        <v>22550</v>
      </c>
      <c r="AD359" s="90">
        <f t="shared" si="417"/>
        <v>22550</v>
      </c>
      <c r="AE359" s="90">
        <f t="shared" si="417"/>
        <v>22550</v>
      </c>
      <c r="AF359" s="54">
        <f t="shared" si="394"/>
        <v>248050</v>
      </c>
      <c r="AG359" s="2"/>
    </row>
    <row r="360" spans="1:33" ht="16" thickBot="1" x14ac:dyDescent="0.25">
      <c r="A360" s="148" t="s">
        <v>51</v>
      </c>
      <c r="B360" s="91" t="s">
        <v>4</v>
      </c>
      <c r="C360" s="92" t="s">
        <v>262</v>
      </c>
      <c r="D360" s="92" t="s">
        <v>168</v>
      </c>
      <c r="E360" s="94" t="s">
        <v>198</v>
      </c>
      <c r="F360" s="95"/>
      <c r="G360" s="142">
        <f t="shared" si="390"/>
        <v>0</v>
      </c>
      <c r="H360" s="93">
        <v>0</v>
      </c>
      <c r="I360" s="93">
        <v>0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0">
        <f t="shared" si="418"/>
        <v>0</v>
      </c>
      <c r="U360" s="90">
        <f t="shared" si="417"/>
        <v>0</v>
      </c>
      <c r="V360" s="90">
        <f t="shared" si="417"/>
        <v>0</v>
      </c>
      <c r="W360" s="90">
        <f t="shared" si="417"/>
        <v>0</v>
      </c>
      <c r="X360" s="90">
        <f t="shared" si="417"/>
        <v>0</v>
      </c>
      <c r="Y360" s="90">
        <f t="shared" si="417"/>
        <v>0</v>
      </c>
      <c r="Z360" s="90">
        <f t="shared" si="417"/>
        <v>0</v>
      </c>
      <c r="AA360" s="90">
        <f t="shared" si="417"/>
        <v>0</v>
      </c>
      <c r="AB360" s="90">
        <f t="shared" si="417"/>
        <v>0</v>
      </c>
      <c r="AC360" s="90">
        <f t="shared" si="417"/>
        <v>0</v>
      </c>
      <c r="AD360" s="90">
        <f t="shared" si="417"/>
        <v>0</v>
      </c>
      <c r="AE360" s="90">
        <f t="shared" si="417"/>
        <v>0</v>
      </c>
      <c r="AF360" s="54">
        <f t="shared" si="394"/>
        <v>0</v>
      </c>
      <c r="AG360" s="2"/>
    </row>
    <row r="361" spans="1:33" ht="16" thickBot="1" x14ac:dyDescent="0.25">
      <c r="A361" s="148" t="s">
        <v>51</v>
      </c>
      <c r="B361" s="91" t="s">
        <v>5</v>
      </c>
      <c r="C361" s="92" t="s">
        <v>262</v>
      </c>
      <c r="D361" s="92" t="s">
        <v>168</v>
      </c>
      <c r="E361" s="94" t="s">
        <v>198</v>
      </c>
      <c r="F361" s="95"/>
      <c r="G361" s="142">
        <f t="shared" si="390"/>
        <v>0</v>
      </c>
      <c r="H361" s="93">
        <v>0</v>
      </c>
      <c r="I361" s="93">
        <v>0</v>
      </c>
      <c r="J361" s="93">
        <v>0</v>
      </c>
      <c r="K361" s="93">
        <v>0</v>
      </c>
      <c r="L361" s="93">
        <v>0</v>
      </c>
      <c r="M361" s="93">
        <v>0</v>
      </c>
      <c r="N361" s="93">
        <v>0</v>
      </c>
      <c r="O361" s="93">
        <v>0</v>
      </c>
      <c r="P361" s="93">
        <v>0</v>
      </c>
      <c r="Q361" s="93">
        <v>0</v>
      </c>
      <c r="R361" s="93">
        <v>0</v>
      </c>
      <c r="S361" s="93">
        <v>0</v>
      </c>
      <c r="T361" s="90">
        <f t="shared" si="418"/>
        <v>0</v>
      </c>
      <c r="U361" s="90">
        <f t="shared" si="417"/>
        <v>0</v>
      </c>
      <c r="V361" s="90">
        <f t="shared" si="417"/>
        <v>0</v>
      </c>
      <c r="W361" s="90">
        <f t="shared" si="417"/>
        <v>0</v>
      </c>
      <c r="X361" s="90">
        <f t="shared" si="417"/>
        <v>0</v>
      </c>
      <c r="Y361" s="90">
        <f t="shared" si="417"/>
        <v>0</v>
      </c>
      <c r="Z361" s="90">
        <f t="shared" si="417"/>
        <v>0</v>
      </c>
      <c r="AA361" s="90">
        <f t="shared" si="417"/>
        <v>0</v>
      </c>
      <c r="AB361" s="90">
        <f t="shared" si="417"/>
        <v>0</v>
      </c>
      <c r="AC361" s="90">
        <f t="shared" si="417"/>
        <v>0</v>
      </c>
      <c r="AD361" s="90">
        <f t="shared" si="417"/>
        <v>0</v>
      </c>
      <c r="AE361" s="90">
        <f t="shared" si="417"/>
        <v>0</v>
      </c>
      <c r="AF361" s="54">
        <f t="shared" si="394"/>
        <v>0</v>
      </c>
      <c r="AG361" s="2"/>
    </row>
    <row r="362" spans="1:33" ht="16" thickBot="1" x14ac:dyDescent="0.25">
      <c r="A362" s="148" t="s">
        <v>51</v>
      </c>
      <c r="B362" s="91" t="s">
        <v>9</v>
      </c>
      <c r="C362" s="92" t="s">
        <v>262</v>
      </c>
      <c r="D362" s="92" t="s">
        <v>168</v>
      </c>
      <c r="E362" s="94" t="s">
        <v>198</v>
      </c>
      <c r="F362" s="95"/>
      <c r="G362" s="142">
        <f t="shared" si="390"/>
        <v>0</v>
      </c>
      <c r="H362" s="93">
        <v>0</v>
      </c>
      <c r="I362" s="93">
        <v>0</v>
      </c>
      <c r="J362" s="93">
        <v>0</v>
      </c>
      <c r="K362" s="93">
        <v>0</v>
      </c>
      <c r="L362" s="93">
        <v>0</v>
      </c>
      <c r="M362" s="93">
        <v>0</v>
      </c>
      <c r="N362" s="93">
        <v>0</v>
      </c>
      <c r="O362" s="93">
        <v>0</v>
      </c>
      <c r="P362" s="93">
        <v>0</v>
      </c>
      <c r="Q362" s="93">
        <v>0</v>
      </c>
      <c r="R362" s="93">
        <v>0</v>
      </c>
      <c r="S362" s="93">
        <v>0</v>
      </c>
      <c r="T362" s="90">
        <f t="shared" si="418"/>
        <v>0</v>
      </c>
      <c r="U362" s="90">
        <f t="shared" si="417"/>
        <v>0</v>
      </c>
      <c r="V362" s="90">
        <f t="shared" si="417"/>
        <v>0</v>
      </c>
      <c r="W362" s="90">
        <f t="shared" si="417"/>
        <v>0</v>
      </c>
      <c r="X362" s="90">
        <f t="shared" si="417"/>
        <v>0</v>
      </c>
      <c r="Y362" s="90">
        <f t="shared" si="417"/>
        <v>0</v>
      </c>
      <c r="Z362" s="90">
        <f t="shared" si="417"/>
        <v>0</v>
      </c>
      <c r="AA362" s="90">
        <f t="shared" si="417"/>
        <v>0</v>
      </c>
      <c r="AB362" s="90">
        <f t="shared" si="417"/>
        <v>0</v>
      </c>
      <c r="AC362" s="90">
        <f t="shared" si="417"/>
        <v>0</v>
      </c>
      <c r="AD362" s="90">
        <f t="shared" si="417"/>
        <v>0</v>
      </c>
      <c r="AE362" s="90">
        <f t="shared" si="417"/>
        <v>0</v>
      </c>
      <c r="AF362" s="54">
        <f t="shared" si="394"/>
        <v>0</v>
      </c>
      <c r="AG362" s="2"/>
    </row>
    <row r="363" spans="1:33" ht="16" thickBot="1" x14ac:dyDescent="0.25">
      <c r="A363" s="148" t="s">
        <v>51</v>
      </c>
      <c r="B363" s="91" t="s">
        <v>10</v>
      </c>
      <c r="C363" s="92" t="s">
        <v>262</v>
      </c>
      <c r="D363" s="92" t="s">
        <v>168</v>
      </c>
      <c r="E363" s="94" t="s">
        <v>198</v>
      </c>
      <c r="F363" s="95"/>
      <c r="G363" s="142">
        <f t="shared" si="390"/>
        <v>0</v>
      </c>
      <c r="H363" s="93">
        <v>0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0">
        <f t="shared" si="418"/>
        <v>0</v>
      </c>
      <c r="U363" s="90">
        <f t="shared" si="417"/>
        <v>0</v>
      </c>
      <c r="V363" s="90">
        <f t="shared" si="417"/>
        <v>0</v>
      </c>
      <c r="W363" s="90">
        <f t="shared" si="417"/>
        <v>0</v>
      </c>
      <c r="X363" s="90">
        <f t="shared" si="417"/>
        <v>0</v>
      </c>
      <c r="Y363" s="90">
        <f t="shared" si="417"/>
        <v>0</v>
      </c>
      <c r="Z363" s="90">
        <f t="shared" si="417"/>
        <v>0</v>
      </c>
      <c r="AA363" s="90">
        <f t="shared" si="417"/>
        <v>0</v>
      </c>
      <c r="AB363" s="90">
        <f t="shared" si="417"/>
        <v>0</v>
      </c>
      <c r="AC363" s="90">
        <f t="shared" si="417"/>
        <v>0</v>
      </c>
      <c r="AD363" s="90">
        <f t="shared" si="417"/>
        <v>0</v>
      </c>
      <c r="AE363" s="90">
        <f t="shared" si="417"/>
        <v>0</v>
      </c>
      <c r="AF363" s="54">
        <f t="shared" si="394"/>
        <v>0</v>
      </c>
      <c r="AG363" s="2"/>
    </row>
    <row r="364" spans="1:33" ht="16" thickBot="1" x14ac:dyDescent="0.25">
      <c r="A364" s="148" t="s">
        <v>51</v>
      </c>
      <c r="B364" s="91" t="s">
        <v>177</v>
      </c>
      <c r="C364" s="92" t="s">
        <v>263</v>
      </c>
      <c r="D364" s="92" t="s">
        <v>168</v>
      </c>
      <c r="E364" s="94" t="s">
        <v>198</v>
      </c>
      <c r="F364" s="95"/>
      <c r="G364" s="142">
        <f t="shared" si="390"/>
        <v>0</v>
      </c>
      <c r="H364" s="93">
        <v>0</v>
      </c>
      <c r="I364" s="93">
        <v>0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0">
        <f>H364*$F$33</f>
        <v>0</v>
      </c>
      <c r="U364" s="90">
        <f t="shared" ref="U364:AE370" si="419">I364*$F$33</f>
        <v>0</v>
      </c>
      <c r="V364" s="90">
        <f t="shared" si="419"/>
        <v>0</v>
      </c>
      <c r="W364" s="90">
        <f t="shared" si="419"/>
        <v>0</v>
      </c>
      <c r="X364" s="90">
        <f t="shared" si="419"/>
        <v>0</v>
      </c>
      <c r="Y364" s="90">
        <f t="shared" si="419"/>
        <v>0</v>
      </c>
      <c r="Z364" s="90">
        <f t="shared" si="419"/>
        <v>0</v>
      </c>
      <c r="AA364" s="90">
        <f t="shared" si="419"/>
        <v>0</v>
      </c>
      <c r="AB364" s="90">
        <f t="shared" si="419"/>
        <v>0</v>
      </c>
      <c r="AC364" s="90">
        <f t="shared" si="419"/>
        <v>0</v>
      </c>
      <c r="AD364" s="90">
        <f t="shared" si="419"/>
        <v>0</v>
      </c>
      <c r="AE364" s="90">
        <f t="shared" si="419"/>
        <v>0</v>
      </c>
      <c r="AF364" s="54">
        <f t="shared" si="394"/>
        <v>0</v>
      </c>
      <c r="AG364" s="2"/>
    </row>
    <row r="365" spans="1:33" ht="16" thickBot="1" x14ac:dyDescent="0.25">
      <c r="A365" s="148" t="s">
        <v>51</v>
      </c>
      <c r="B365" s="91" t="s">
        <v>2</v>
      </c>
      <c r="C365" s="92" t="s">
        <v>263</v>
      </c>
      <c r="D365" s="92" t="s">
        <v>168</v>
      </c>
      <c r="E365" s="94" t="s">
        <v>198</v>
      </c>
      <c r="F365" s="95"/>
      <c r="G365" s="142">
        <f t="shared" si="390"/>
        <v>0</v>
      </c>
      <c r="H365" s="93">
        <v>0</v>
      </c>
      <c r="I365" s="93">
        <v>0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0">
        <f t="shared" ref="T365:T370" si="420">H365*$F$33</f>
        <v>0</v>
      </c>
      <c r="U365" s="90">
        <f t="shared" si="419"/>
        <v>0</v>
      </c>
      <c r="V365" s="90">
        <f t="shared" si="419"/>
        <v>0</v>
      </c>
      <c r="W365" s="90">
        <f t="shared" si="419"/>
        <v>0</v>
      </c>
      <c r="X365" s="90">
        <f t="shared" si="419"/>
        <v>0</v>
      </c>
      <c r="Y365" s="90">
        <f t="shared" si="419"/>
        <v>0</v>
      </c>
      <c r="Z365" s="90">
        <f t="shared" si="419"/>
        <v>0</v>
      </c>
      <c r="AA365" s="90">
        <f t="shared" si="419"/>
        <v>0</v>
      </c>
      <c r="AB365" s="90">
        <f t="shared" si="419"/>
        <v>0</v>
      </c>
      <c r="AC365" s="90">
        <f t="shared" si="419"/>
        <v>0</v>
      </c>
      <c r="AD365" s="90">
        <f t="shared" si="419"/>
        <v>0</v>
      </c>
      <c r="AE365" s="90">
        <f t="shared" si="419"/>
        <v>0</v>
      </c>
      <c r="AF365" s="54">
        <f t="shared" si="394"/>
        <v>0</v>
      </c>
      <c r="AG365" s="2"/>
    </row>
    <row r="366" spans="1:33" ht="16" thickBot="1" x14ac:dyDescent="0.25">
      <c r="A366" s="148" t="s">
        <v>51</v>
      </c>
      <c r="B366" s="91" t="s">
        <v>3</v>
      </c>
      <c r="C366" s="92" t="s">
        <v>263</v>
      </c>
      <c r="D366" s="92" t="s">
        <v>168</v>
      </c>
      <c r="E366" s="94" t="s">
        <v>198</v>
      </c>
      <c r="F366" s="95"/>
      <c r="G366" s="142">
        <f t="shared" si="390"/>
        <v>0</v>
      </c>
      <c r="H366" s="93">
        <v>0</v>
      </c>
      <c r="I366" s="93">
        <v>0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0">
        <f t="shared" si="420"/>
        <v>0</v>
      </c>
      <c r="U366" s="90">
        <f t="shared" si="419"/>
        <v>0</v>
      </c>
      <c r="V366" s="90">
        <f t="shared" si="419"/>
        <v>0</v>
      </c>
      <c r="W366" s="90">
        <f t="shared" si="419"/>
        <v>0</v>
      </c>
      <c r="X366" s="90">
        <f t="shared" si="419"/>
        <v>0</v>
      </c>
      <c r="Y366" s="90">
        <f t="shared" si="419"/>
        <v>0</v>
      </c>
      <c r="Z366" s="90">
        <f t="shared" si="419"/>
        <v>0</v>
      </c>
      <c r="AA366" s="90">
        <f t="shared" si="419"/>
        <v>0</v>
      </c>
      <c r="AB366" s="90">
        <f t="shared" si="419"/>
        <v>0</v>
      </c>
      <c r="AC366" s="90">
        <f t="shared" si="419"/>
        <v>0</v>
      </c>
      <c r="AD366" s="90">
        <f t="shared" si="419"/>
        <v>0</v>
      </c>
      <c r="AE366" s="90">
        <f t="shared" si="419"/>
        <v>0</v>
      </c>
      <c r="AF366" s="54">
        <f t="shared" si="394"/>
        <v>0</v>
      </c>
      <c r="AG366" s="2"/>
    </row>
    <row r="367" spans="1:33" ht="16" thickBot="1" x14ac:dyDescent="0.25">
      <c r="A367" s="148" t="s">
        <v>51</v>
      </c>
      <c r="B367" s="91" t="s">
        <v>4</v>
      </c>
      <c r="C367" s="92" t="s">
        <v>263</v>
      </c>
      <c r="D367" s="92" t="s">
        <v>168</v>
      </c>
      <c r="E367" s="94" t="s">
        <v>198</v>
      </c>
      <c r="F367" s="95"/>
      <c r="G367" s="142">
        <f t="shared" si="390"/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0">
        <f t="shared" si="420"/>
        <v>0</v>
      </c>
      <c r="U367" s="90">
        <f t="shared" si="419"/>
        <v>0</v>
      </c>
      <c r="V367" s="90">
        <f t="shared" si="419"/>
        <v>0</v>
      </c>
      <c r="W367" s="90">
        <f t="shared" si="419"/>
        <v>0</v>
      </c>
      <c r="X367" s="90">
        <f t="shared" si="419"/>
        <v>0</v>
      </c>
      <c r="Y367" s="90">
        <f t="shared" si="419"/>
        <v>0</v>
      </c>
      <c r="Z367" s="90">
        <f t="shared" si="419"/>
        <v>0</v>
      </c>
      <c r="AA367" s="90">
        <f t="shared" si="419"/>
        <v>0</v>
      </c>
      <c r="AB367" s="90">
        <f t="shared" si="419"/>
        <v>0</v>
      </c>
      <c r="AC367" s="90">
        <f t="shared" si="419"/>
        <v>0</v>
      </c>
      <c r="AD367" s="90">
        <f t="shared" si="419"/>
        <v>0</v>
      </c>
      <c r="AE367" s="90">
        <f t="shared" si="419"/>
        <v>0</v>
      </c>
      <c r="AF367" s="54">
        <f t="shared" si="394"/>
        <v>0</v>
      </c>
      <c r="AG367" s="2"/>
    </row>
    <row r="368" spans="1:33" ht="16" thickBot="1" x14ac:dyDescent="0.25">
      <c r="A368" s="148" t="s">
        <v>51</v>
      </c>
      <c r="B368" s="91" t="s">
        <v>5</v>
      </c>
      <c r="C368" s="92" t="s">
        <v>263</v>
      </c>
      <c r="D368" s="92" t="s">
        <v>168</v>
      </c>
      <c r="E368" s="94" t="s">
        <v>198</v>
      </c>
      <c r="F368" s="95"/>
      <c r="G368" s="142">
        <f t="shared" si="390"/>
        <v>0</v>
      </c>
      <c r="H368" s="93">
        <v>0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0">
        <f t="shared" si="420"/>
        <v>0</v>
      </c>
      <c r="U368" s="90">
        <f t="shared" si="419"/>
        <v>0</v>
      </c>
      <c r="V368" s="90">
        <f t="shared" si="419"/>
        <v>0</v>
      </c>
      <c r="W368" s="90">
        <f t="shared" si="419"/>
        <v>0</v>
      </c>
      <c r="X368" s="90">
        <f t="shared" si="419"/>
        <v>0</v>
      </c>
      <c r="Y368" s="90">
        <f t="shared" si="419"/>
        <v>0</v>
      </c>
      <c r="Z368" s="90">
        <f t="shared" si="419"/>
        <v>0</v>
      </c>
      <c r="AA368" s="90">
        <f t="shared" si="419"/>
        <v>0</v>
      </c>
      <c r="AB368" s="90">
        <f t="shared" si="419"/>
        <v>0</v>
      </c>
      <c r="AC368" s="90">
        <f t="shared" si="419"/>
        <v>0</v>
      </c>
      <c r="AD368" s="90">
        <f t="shared" si="419"/>
        <v>0</v>
      </c>
      <c r="AE368" s="90">
        <f t="shared" si="419"/>
        <v>0</v>
      </c>
      <c r="AF368" s="54">
        <f t="shared" si="394"/>
        <v>0</v>
      </c>
      <c r="AG368" s="2"/>
    </row>
    <row r="369" spans="1:33" ht="16" thickBot="1" x14ac:dyDescent="0.25">
      <c r="A369" s="148" t="s">
        <v>51</v>
      </c>
      <c r="B369" s="91" t="s">
        <v>9</v>
      </c>
      <c r="C369" s="92" t="s">
        <v>263</v>
      </c>
      <c r="D369" s="92" t="s">
        <v>168</v>
      </c>
      <c r="E369" s="94" t="s">
        <v>198</v>
      </c>
      <c r="F369" s="95"/>
      <c r="G369" s="142">
        <f t="shared" ref="G369:G370" si="421">AVERAGE(H369:S369)</f>
        <v>0</v>
      </c>
      <c r="H369" s="93">
        <v>0</v>
      </c>
      <c r="I369" s="93">
        <v>0</v>
      </c>
      <c r="J369" s="93">
        <v>0</v>
      </c>
      <c r="K369" s="93">
        <v>0</v>
      </c>
      <c r="L369" s="93">
        <v>0</v>
      </c>
      <c r="M369" s="93">
        <v>0</v>
      </c>
      <c r="N369" s="93">
        <v>0</v>
      </c>
      <c r="O369" s="93">
        <v>0</v>
      </c>
      <c r="P369" s="93">
        <v>0</v>
      </c>
      <c r="Q369" s="93">
        <v>0</v>
      </c>
      <c r="R369" s="93">
        <v>0</v>
      </c>
      <c r="S369" s="93">
        <v>0</v>
      </c>
      <c r="T369" s="90">
        <f t="shared" si="420"/>
        <v>0</v>
      </c>
      <c r="U369" s="90">
        <f t="shared" si="419"/>
        <v>0</v>
      </c>
      <c r="V369" s="90">
        <f t="shared" si="419"/>
        <v>0</v>
      </c>
      <c r="W369" s="90">
        <f t="shared" si="419"/>
        <v>0</v>
      </c>
      <c r="X369" s="90">
        <f t="shared" si="419"/>
        <v>0</v>
      </c>
      <c r="Y369" s="90">
        <f t="shared" si="419"/>
        <v>0</v>
      </c>
      <c r="Z369" s="90">
        <f t="shared" si="419"/>
        <v>0</v>
      </c>
      <c r="AA369" s="90">
        <f t="shared" si="419"/>
        <v>0</v>
      </c>
      <c r="AB369" s="90">
        <f t="shared" si="419"/>
        <v>0</v>
      </c>
      <c r="AC369" s="90">
        <f t="shared" si="419"/>
        <v>0</v>
      </c>
      <c r="AD369" s="90">
        <f t="shared" si="419"/>
        <v>0</v>
      </c>
      <c r="AE369" s="90">
        <f t="shared" si="419"/>
        <v>0</v>
      </c>
      <c r="AF369" s="54">
        <f t="shared" si="394"/>
        <v>0</v>
      </c>
      <c r="AG369" s="2"/>
    </row>
    <row r="370" spans="1:33" x14ac:dyDescent="0.2">
      <c r="A370" s="148" t="s">
        <v>51</v>
      </c>
      <c r="B370" s="91" t="s">
        <v>10</v>
      </c>
      <c r="C370" s="92" t="s">
        <v>263</v>
      </c>
      <c r="D370" s="92" t="s">
        <v>168</v>
      </c>
      <c r="E370" s="94" t="s">
        <v>198</v>
      </c>
      <c r="F370" s="95"/>
      <c r="G370" s="142">
        <f t="shared" si="421"/>
        <v>0.5</v>
      </c>
      <c r="H370" s="93">
        <v>0</v>
      </c>
      <c r="I370" s="93">
        <v>0</v>
      </c>
      <c r="J370" s="93">
        <v>0</v>
      </c>
      <c r="K370" s="93">
        <v>0</v>
      </c>
      <c r="L370" s="93">
        <v>0</v>
      </c>
      <c r="M370" s="93">
        <v>0</v>
      </c>
      <c r="N370" s="93">
        <v>1</v>
      </c>
      <c r="O370" s="93">
        <v>1</v>
      </c>
      <c r="P370" s="93">
        <v>1</v>
      </c>
      <c r="Q370" s="93">
        <v>1</v>
      </c>
      <c r="R370" s="93">
        <v>1</v>
      </c>
      <c r="S370" s="93">
        <v>1</v>
      </c>
      <c r="T370" s="90">
        <f t="shared" si="420"/>
        <v>0</v>
      </c>
      <c r="U370" s="90">
        <f t="shared" si="419"/>
        <v>0</v>
      </c>
      <c r="V370" s="90">
        <f t="shared" si="419"/>
        <v>0</v>
      </c>
      <c r="W370" s="90">
        <f t="shared" si="419"/>
        <v>0</v>
      </c>
      <c r="X370" s="90">
        <f t="shared" si="419"/>
        <v>0</v>
      </c>
      <c r="Y370" s="90">
        <f t="shared" si="419"/>
        <v>0</v>
      </c>
      <c r="Z370" s="90">
        <f t="shared" si="419"/>
        <v>30000</v>
      </c>
      <c r="AA370" s="90">
        <f t="shared" si="419"/>
        <v>30000</v>
      </c>
      <c r="AB370" s="90">
        <f t="shared" si="419"/>
        <v>30000</v>
      </c>
      <c r="AC370" s="90">
        <f t="shared" si="419"/>
        <v>30000</v>
      </c>
      <c r="AD370" s="90">
        <f t="shared" si="419"/>
        <v>30000</v>
      </c>
      <c r="AE370" s="90">
        <f t="shared" si="419"/>
        <v>30000</v>
      </c>
      <c r="AF370" s="54">
        <f t="shared" si="394"/>
        <v>180000</v>
      </c>
      <c r="AG370" s="2"/>
    </row>
  </sheetData>
  <autoFilter ref="A53:AG370" xr:uid="{6D469428-AA64-419C-9F1D-8404E9A86168}"/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84A-6971-4B58-B864-7777E2D00221}">
  <dimension ref="A1:Q22"/>
  <sheetViews>
    <sheetView workbookViewId="0">
      <selection activeCell="G29" sqref="G29"/>
    </sheetView>
  </sheetViews>
  <sheetFormatPr baseColWidth="10" defaultColWidth="10.83203125" defaultRowHeight="15" x14ac:dyDescent="0.2"/>
  <cols>
    <col min="2" max="2" width="16.1640625" bestFit="1" customWidth="1"/>
    <col min="16" max="16" width="11" bestFit="1" customWidth="1"/>
  </cols>
  <sheetData>
    <row r="1" spans="1:17" x14ac:dyDescent="0.2">
      <c r="B1" s="14" t="s">
        <v>194</v>
      </c>
      <c r="C1" s="144" t="s">
        <v>116</v>
      </c>
      <c r="D1" s="144" t="s">
        <v>117</v>
      </c>
      <c r="E1" s="144" t="s">
        <v>118</v>
      </c>
      <c r="F1" s="144" t="s">
        <v>119</v>
      </c>
      <c r="G1" s="144" t="s">
        <v>120</v>
      </c>
      <c r="H1" s="144" t="s">
        <v>121</v>
      </c>
      <c r="I1" s="144" t="s">
        <v>123</v>
      </c>
      <c r="J1" s="144" t="s">
        <v>124</v>
      </c>
      <c r="K1" s="144" t="s">
        <v>125</v>
      </c>
      <c r="L1" s="144" t="s">
        <v>126</v>
      </c>
      <c r="M1" s="144" t="s">
        <v>122</v>
      </c>
      <c r="N1" s="144" t="s">
        <v>135</v>
      </c>
    </row>
    <row r="2" spans="1:17" s="212" customFormat="1" ht="32" x14ac:dyDescent="0.2">
      <c r="B2" s="213" t="s">
        <v>266</v>
      </c>
      <c r="C2" s="211">
        <v>55</v>
      </c>
      <c r="D2" s="211">
        <v>55</v>
      </c>
      <c r="E2" s="211">
        <v>55</v>
      </c>
      <c r="F2" s="211">
        <v>55</v>
      </c>
      <c r="G2" s="211">
        <v>55</v>
      </c>
      <c r="H2" s="211">
        <v>55</v>
      </c>
      <c r="I2" s="211">
        <v>55</v>
      </c>
      <c r="J2" s="211">
        <v>55</v>
      </c>
      <c r="K2" s="211">
        <f>(30+45)/2</f>
        <v>37.5</v>
      </c>
      <c r="L2" s="211">
        <f t="shared" ref="L2:N2" si="0">(30+45)/2</f>
        <v>37.5</v>
      </c>
      <c r="M2" s="211">
        <f t="shared" si="0"/>
        <v>37.5</v>
      </c>
      <c r="N2" s="211">
        <f t="shared" si="0"/>
        <v>37.5</v>
      </c>
    </row>
    <row r="3" spans="1:17" s="212" customFormat="1" ht="32" x14ac:dyDescent="0.2">
      <c r="B3" s="213" t="s">
        <v>267</v>
      </c>
      <c r="C3" s="211">
        <f>(80+120)/2</f>
        <v>100</v>
      </c>
      <c r="D3" s="211">
        <f t="shared" ref="D3:N3" si="1">(80+120)/2</f>
        <v>100</v>
      </c>
      <c r="E3" s="211">
        <f t="shared" si="1"/>
        <v>100</v>
      </c>
      <c r="F3" s="211">
        <f t="shared" si="1"/>
        <v>100</v>
      </c>
      <c r="G3" s="211">
        <f t="shared" si="1"/>
        <v>100</v>
      </c>
      <c r="H3" s="211">
        <f t="shared" si="1"/>
        <v>100</v>
      </c>
      <c r="I3" s="211">
        <f t="shared" si="1"/>
        <v>100</v>
      </c>
      <c r="J3" s="211">
        <f t="shared" si="1"/>
        <v>100</v>
      </c>
      <c r="K3" s="211">
        <f t="shared" si="1"/>
        <v>100</v>
      </c>
      <c r="L3" s="211">
        <f t="shared" si="1"/>
        <v>100</v>
      </c>
      <c r="M3" s="211">
        <f t="shared" si="1"/>
        <v>100</v>
      </c>
      <c r="N3" s="211">
        <f t="shared" si="1"/>
        <v>100</v>
      </c>
    </row>
    <row r="5" spans="1:17" ht="16" thickBot="1" x14ac:dyDescent="0.25"/>
    <row r="6" spans="1:17" ht="16" thickBot="1" x14ac:dyDescent="0.25">
      <c r="A6" s="203" t="s">
        <v>242</v>
      </c>
      <c r="B6" s="205"/>
      <c r="C6" s="205" t="s">
        <v>116</v>
      </c>
      <c r="D6" s="205" t="s">
        <v>117</v>
      </c>
      <c r="E6" s="205" t="s">
        <v>118</v>
      </c>
      <c r="F6" s="205" t="s">
        <v>119</v>
      </c>
      <c r="G6" s="205" t="s">
        <v>120</v>
      </c>
      <c r="H6" s="205" t="s">
        <v>121</v>
      </c>
      <c r="I6" s="205" t="s">
        <v>123</v>
      </c>
      <c r="J6" s="205" t="s">
        <v>124</v>
      </c>
      <c r="K6" s="205" t="s">
        <v>125</v>
      </c>
      <c r="L6" s="205" t="s">
        <v>126</v>
      </c>
      <c r="M6" s="205" t="s">
        <v>122</v>
      </c>
      <c r="N6" s="205" t="s">
        <v>135</v>
      </c>
      <c r="O6" s="205" t="s">
        <v>55</v>
      </c>
    </row>
    <row r="7" spans="1:17" x14ac:dyDescent="0.2">
      <c r="A7" s="270" t="s">
        <v>206</v>
      </c>
      <c r="B7" s="201" t="s">
        <v>243</v>
      </c>
      <c r="C7" s="149">
        <v>10.214197</v>
      </c>
      <c r="D7" s="149">
        <v>20.428394000000001</v>
      </c>
      <c r="E7" s="149">
        <v>48.855090999999994</v>
      </c>
      <c r="F7" s="149">
        <v>59.069288</v>
      </c>
      <c r="G7" s="149">
        <v>159.00475537500003</v>
      </c>
      <c r="H7" s="149">
        <v>223.56989824999999</v>
      </c>
      <c r="I7" s="149">
        <v>288.13504112500004</v>
      </c>
      <c r="J7" s="149">
        <v>352.70018400000004</v>
      </c>
      <c r="K7" s="149">
        <v>762.57381387500004</v>
      </c>
      <c r="L7" s="149">
        <v>762.57381387500004</v>
      </c>
      <c r="M7" s="149">
        <v>762.57381387500004</v>
      </c>
      <c r="N7" s="149">
        <v>762.57381387500004</v>
      </c>
      <c r="O7" s="150">
        <f>SUM(C7:N7)</f>
        <v>4212.2721042500007</v>
      </c>
    </row>
    <row r="8" spans="1:17" ht="16" thickBot="1" x14ac:dyDescent="0.25">
      <c r="A8" s="271"/>
      <c r="B8" s="202" t="s">
        <v>194</v>
      </c>
      <c r="C8" s="151">
        <f t="shared" ref="C8:N8" si="2">C7*C2</f>
        <v>561.78083500000002</v>
      </c>
      <c r="D8" s="151">
        <f t="shared" si="2"/>
        <v>1123.56167</v>
      </c>
      <c r="E8" s="151">
        <f t="shared" si="2"/>
        <v>2687.0300049999996</v>
      </c>
      <c r="F8" s="151">
        <f t="shared" si="2"/>
        <v>3248.8108400000001</v>
      </c>
      <c r="G8" s="151">
        <f t="shared" si="2"/>
        <v>8745.2615456250023</v>
      </c>
      <c r="H8" s="151">
        <f t="shared" si="2"/>
        <v>12296.344403749999</v>
      </c>
      <c r="I8" s="151">
        <f t="shared" si="2"/>
        <v>15847.427261875002</v>
      </c>
      <c r="J8" s="151">
        <f t="shared" si="2"/>
        <v>19398.510120000003</v>
      </c>
      <c r="K8" s="151">
        <f t="shared" si="2"/>
        <v>28596.518020312502</v>
      </c>
      <c r="L8" s="151">
        <f t="shared" si="2"/>
        <v>28596.518020312502</v>
      </c>
      <c r="M8" s="151">
        <f t="shared" si="2"/>
        <v>28596.518020312502</v>
      </c>
      <c r="N8" s="151">
        <f t="shared" si="2"/>
        <v>28596.518020312502</v>
      </c>
      <c r="O8" s="152">
        <f t="shared" ref="O8:O19" si="3">SUM(C8:N8)</f>
        <v>178294.79876250002</v>
      </c>
    </row>
    <row r="9" spans="1:17" x14ac:dyDescent="0.2">
      <c r="A9" s="270" t="s">
        <v>207</v>
      </c>
      <c r="B9" s="201" t="s">
        <v>243</v>
      </c>
      <c r="C9" s="149">
        <v>32.481533951999999</v>
      </c>
      <c r="D9" s="149">
        <v>96.148019903999995</v>
      </c>
      <c r="E9" s="149">
        <v>144.22202985600001</v>
      </c>
      <c r="F9" s="149">
        <v>207.88851580799999</v>
      </c>
      <c r="G9" s="149">
        <v>643.75366413333336</v>
      </c>
      <c r="H9" s="149">
        <v>643.75366413333336</v>
      </c>
      <c r="I9" s="149">
        <v>643.75366413333336</v>
      </c>
      <c r="J9" s="149">
        <v>643.75366413333336</v>
      </c>
      <c r="K9" s="149">
        <v>1509.127168</v>
      </c>
      <c r="L9" s="149">
        <v>1509.127168</v>
      </c>
      <c r="M9" s="149">
        <v>1509.127168</v>
      </c>
      <c r="N9" s="149">
        <v>1509.127168</v>
      </c>
      <c r="O9" s="150">
        <f t="shared" si="3"/>
        <v>9092.263428053333</v>
      </c>
      <c r="P9" s="206">
        <v>2892.4392437499996</v>
      </c>
      <c r="Q9">
        <f>P9/O9</f>
        <v>0.31812092408427667</v>
      </c>
    </row>
    <row r="10" spans="1:17" ht="16" thickBot="1" x14ac:dyDescent="0.25">
      <c r="A10" s="271"/>
      <c r="B10" s="202" t="s">
        <v>194</v>
      </c>
      <c r="C10" s="151">
        <f>C9*C2</f>
        <v>1786.4843673600001</v>
      </c>
      <c r="D10" s="151">
        <f t="shared" ref="D10:N10" si="4">D9*$Q$9*D2+D9*$Q$10*D3</f>
        <v>7561.6193928390076</v>
      </c>
      <c r="E10" s="151">
        <f t="shared" si="4"/>
        <v>11342.429089258512</v>
      </c>
      <c r="F10" s="151">
        <f t="shared" si="4"/>
        <v>16349.518526245733</v>
      </c>
      <c r="G10" s="151">
        <f t="shared" si="4"/>
        <v>50628.397712008096</v>
      </c>
      <c r="H10" s="151">
        <f t="shared" si="4"/>
        <v>50628.397712008096</v>
      </c>
      <c r="I10" s="151">
        <f t="shared" si="4"/>
        <v>50628.397712008096</v>
      </c>
      <c r="J10" s="151">
        <f t="shared" si="4"/>
        <v>50628.397712008096</v>
      </c>
      <c r="K10" s="151">
        <f t="shared" si="4"/>
        <v>110284.73599430415</v>
      </c>
      <c r="L10" s="151">
        <f t="shared" si="4"/>
        <v>110284.73599430415</v>
      </c>
      <c r="M10" s="151">
        <f t="shared" si="4"/>
        <v>110284.73599430415</v>
      </c>
      <c r="N10" s="151">
        <f t="shared" si="4"/>
        <v>110284.73599430415</v>
      </c>
      <c r="O10" s="152">
        <f t="shared" si="3"/>
        <v>680692.5862009523</v>
      </c>
      <c r="P10" s="206">
        <v>5559.8241843033338</v>
      </c>
      <c r="Q10">
        <f>P10/O9</f>
        <v>0.61148956234033136</v>
      </c>
    </row>
    <row r="11" spans="1:17" x14ac:dyDescent="0.2">
      <c r="A11" s="270" t="s">
        <v>203</v>
      </c>
      <c r="B11" s="201" t="s">
        <v>243</v>
      </c>
      <c r="C11" s="149">
        <v>0</v>
      </c>
      <c r="D11" s="149">
        <v>0</v>
      </c>
      <c r="E11" s="149">
        <v>0</v>
      </c>
      <c r="F11" s="149">
        <v>0</v>
      </c>
      <c r="G11" s="149">
        <v>0</v>
      </c>
      <c r="H11" s="149">
        <v>0</v>
      </c>
      <c r="I11" s="149">
        <v>0</v>
      </c>
      <c r="J11" s="149">
        <v>0</v>
      </c>
      <c r="K11" s="149">
        <v>0</v>
      </c>
      <c r="L11" s="149">
        <v>0</v>
      </c>
      <c r="M11" s="149">
        <v>0</v>
      </c>
      <c r="N11" s="149">
        <v>0</v>
      </c>
      <c r="O11" s="150">
        <f t="shared" si="3"/>
        <v>0</v>
      </c>
    </row>
    <row r="12" spans="1:17" ht="16" thickBot="1" x14ac:dyDescent="0.25">
      <c r="A12" s="271"/>
      <c r="B12" s="202" t="s">
        <v>194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51">
        <v>0</v>
      </c>
      <c r="L12" s="151">
        <v>0</v>
      </c>
      <c r="M12" s="151">
        <v>0</v>
      </c>
      <c r="N12" s="151">
        <v>0</v>
      </c>
      <c r="O12" s="152">
        <f t="shared" si="3"/>
        <v>0</v>
      </c>
      <c r="P12" s="76"/>
    </row>
    <row r="13" spans="1:17" x14ac:dyDescent="0.2">
      <c r="A13" s="270" t="s">
        <v>208</v>
      </c>
      <c r="B13" s="201" t="s">
        <v>243</v>
      </c>
      <c r="C13" s="149">
        <v>0</v>
      </c>
      <c r="D13" s="149">
        <v>0</v>
      </c>
      <c r="E13" s="149">
        <v>0</v>
      </c>
      <c r="F13" s="149">
        <v>0</v>
      </c>
      <c r="G13" s="149">
        <v>0</v>
      </c>
      <c r="H13" s="149">
        <v>0</v>
      </c>
      <c r="I13" s="149">
        <v>0</v>
      </c>
      <c r="J13" s="149">
        <v>0</v>
      </c>
      <c r="K13" s="149">
        <v>0</v>
      </c>
      <c r="L13" s="149">
        <v>0</v>
      </c>
      <c r="M13" s="149">
        <v>0</v>
      </c>
      <c r="N13" s="149">
        <v>0</v>
      </c>
      <c r="O13" s="150">
        <f t="shared" si="3"/>
        <v>0</v>
      </c>
    </row>
    <row r="14" spans="1:17" ht="16" thickBot="1" x14ac:dyDescent="0.25">
      <c r="A14" s="271"/>
      <c r="B14" s="202" t="s">
        <v>194</v>
      </c>
      <c r="C14" s="151">
        <v>0</v>
      </c>
      <c r="D14" s="151">
        <v>0</v>
      </c>
      <c r="E14" s="151">
        <v>0</v>
      </c>
      <c r="F14" s="151"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0</v>
      </c>
      <c r="L14" s="151">
        <v>0</v>
      </c>
      <c r="M14" s="151">
        <v>0</v>
      </c>
      <c r="N14" s="151">
        <v>0</v>
      </c>
      <c r="O14" s="152">
        <f t="shared" si="3"/>
        <v>0</v>
      </c>
    </row>
    <row r="15" spans="1:17" x14ac:dyDescent="0.2">
      <c r="A15" s="270" t="s">
        <v>209</v>
      </c>
      <c r="B15" s="201" t="s">
        <v>243</v>
      </c>
      <c r="C15" s="149">
        <v>0</v>
      </c>
      <c r="D15" s="149">
        <v>0</v>
      </c>
      <c r="E15" s="149">
        <v>0</v>
      </c>
      <c r="F15" s="149">
        <v>0</v>
      </c>
      <c r="G15" s="149">
        <v>0</v>
      </c>
      <c r="H15" s="149">
        <v>0</v>
      </c>
      <c r="I15" s="149">
        <v>0</v>
      </c>
      <c r="J15" s="149">
        <v>0</v>
      </c>
      <c r="K15" s="149">
        <v>0</v>
      </c>
      <c r="L15" s="149">
        <v>0</v>
      </c>
      <c r="M15" s="149">
        <v>0</v>
      </c>
      <c r="N15" s="149">
        <v>0</v>
      </c>
      <c r="O15" s="150">
        <f t="shared" si="3"/>
        <v>0</v>
      </c>
    </row>
    <row r="16" spans="1:17" ht="16" thickBot="1" x14ac:dyDescent="0.25">
      <c r="A16" s="271"/>
      <c r="B16" s="202" t="s">
        <v>194</v>
      </c>
      <c r="C16" s="151">
        <v>0</v>
      </c>
      <c r="D16" s="151">
        <v>0</v>
      </c>
      <c r="E16" s="151">
        <v>0</v>
      </c>
      <c r="F16" s="151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1">
        <v>0</v>
      </c>
      <c r="N16" s="151">
        <v>0</v>
      </c>
      <c r="O16" s="152">
        <f t="shared" si="3"/>
        <v>0</v>
      </c>
    </row>
    <row r="17" spans="1:16" x14ac:dyDescent="0.2">
      <c r="A17" s="270" t="s">
        <v>205</v>
      </c>
      <c r="B17" s="201" t="s">
        <v>243</v>
      </c>
      <c r="C17" s="149">
        <v>0</v>
      </c>
      <c r="D17" s="149">
        <v>0</v>
      </c>
      <c r="E17" s="149">
        <v>0</v>
      </c>
      <c r="F17" s="149">
        <v>2000</v>
      </c>
      <c r="G17" s="149">
        <v>1250</v>
      </c>
      <c r="H17" s="149">
        <v>1250</v>
      </c>
      <c r="I17" s="149">
        <v>1250</v>
      </c>
      <c r="J17" s="149">
        <v>1250</v>
      </c>
      <c r="K17" s="149">
        <v>2000</v>
      </c>
      <c r="L17" s="149">
        <v>2000</v>
      </c>
      <c r="M17" s="149">
        <v>2000</v>
      </c>
      <c r="N17" s="149">
        <v>2000</v>
      </c>
      <c r="O17" s="150">
        <f t="shared" si="3"/>
        <v>15000</v>
      </c>
      <c r="P17" s="2"/>
    </row>
    <row r="18" spans="1:16" ht="16" thickBot="1" x14ac:dyDescent="0.25">
      <c r="A18" s="271"/>
      <c r="B18" s="202" t="s">
        <v>194</v>
      </c>
      <c r="C18" s="151">
        <f t="shared" ref="C18:N18" si="5">C17*C3</f>
        <v>0</v>
      </c>
      <c r="D18" s="151">
        <f t="shared" si="5"/>
        <v>0</v>
      </c>
      <c r="E18" s="151">
        <f t="shared" si="5"/>
        <v>0</v>
      </c>
      <c r="F18" s="151">
        <f t="shared" si="5"/>
        <v>200000</v>
      </c>
      <c r="G18" s="151">
        <f t="shared" si="5"/>
        <v>125000</v>
      </c>
      <c r="H18" s="151">
        <f t="shared" si="5"/>
        <v>125000</v>
      </c>
      <c r="I18" s="151">
        <f t="shared" si="5"/>
        <v>125000</v>
      </c>
      <c r="J18" s="151">
        <f t="shared" si="5"/>
        <v>125000</v>
      </c>
      <c r="K18" s="151">
        <f t="shared" si="5"/>
        <v>200000</v>
      </c>
      <c r="L18" s="151">
        <f t="shared" si="5"/>
        <v>200000</v>
      </c>
      <c r="M18" s="151">
        <f t="shared" si="5"/>
        <v>200000</v>
      </c>
      <c r="N18" s="151">
        <f t="shared" si="5"/>
        <v>200000</v>
      </c>
      <c r="O18" s="152">
        <f t="shared" si="3"/>
        <v>1500000</v>
      </c>
    </row>
    <row r="19" spans="1:16" ht="16" thickBot="1" x14ac:dyDescent="0.25">
      <c r="A19" s="269" t="s">
        <v>243</v>
      </c>
      <c r="B19" s="269"/>
      <c r="C19" s="204">
        <f>C7+C9+C11+C13+C15+C17</f>
        <v>42.695730951999998</v>
      </c>
      <c r="D19" s="204">
        <f t="shared" ref="D19:N19" si="6">D7+D9+D11+D13+D15+D17</f>
        <v>116.57641390399999</v>
      </c>
      <c r="E19" s="204">
        <f t="shared" si="6"/>
        <v>193.07712085599999</v>
      </c>
      <c r="F19" s="204">
        <f t="shared" si="6"/>
        <v>2266.9578038079999</v>
      </c>
      <c r="G19" s="204">
        <f t="shared" si="6"/>
        <v>2052.7584195083336</v>
      </c>
      <c r="H19" s="204">
        <f t="shared" si="6"/>
        <v>2117.3235623833334</v>
      </c>
      <c r="I19" s="204">
        <f t="shared" si="6"/>
        <v>2181.8887052583332</v>
      </c>
      <c r="J19" s="204">
        <f t="shared" si="6"/>
        <v>2246.4538481333334</v>
      </c>
      <c r="K19" s="204">
        <f t="shared" si="6"/>
        <v>4271.7009818750003</v>
      </c>
      <c r="L19" s="204">
        <f t="shared" si="6"/>
        <v>4271.7009818750003</v>
      </c>
      <c r="M19" s="204">
        <f t="shared" si="6"/>
        <v>4271.7009818750003</v>
      </c>
      <c r="N19" s="204">
        <f t="shared" si="6"/>
        <v>4271.7009818750003</v>
      </c>
      <c r="O19" s="204">
        <f t="shared" si="3"/>
        <v>28304.535532303336</v>
      </c>
    </row>
    <row r="20" spans="1:16" ht="16" thickBot="1" x14ac:dyDescent="0.25">
      <c r="A20" s="269" t="s">
        <v>194</v>
      </c>
      <c r="B20" s="269"/>
      <c r="C20" s="204">
        <f>C8+C10+C12+C14+C16+C18</f>
        <v>2348.2652023600003</v>
      </c>
      <c r="D20" s="204">
        <f t="shared" ref="D20:O20" si="7">D8+D10+D12+D14+D16+D18</f>
        <v>8685.1810628390085</v>
      </c>
      <c r="E20" s="204">
        <f t="shared" si="7"/>
        <v>14029.459094258513</v>
      </c>
      <c r="F20" s="204">
        <f t="shared" si="7"/>
        <v>219598.32936624574</v>
      </c>
      <c r="G20" s="204">
        <f t="shared" si="7"/>
        <v>184373.65925763309</v>
      </c>
      <c r="H20" s="204">
        <f t="shared" si="7"/>
        <v>187924.7421157581</v>
      </c>
      <c r="I20" s="204">
        <f t="shared" si="7"/>
        <v>191475.82497388311</v>
      </c>
      <c r="J20" s="204">
        <f t="shared" si="7"/>
        <v>195026.90783200809</v>
      </c>
      <c r="K20" s="204">
        <f t="shared" si="7"/>
        <v>338881.25401461666</v>
      </c>
      <c r="L20" s="204">
        <f t="shared" si="7"/>
        <v>338881.25401461666</v>
      </c>
      <c r="M20" s="204">
        <f t="shared" si="7"/>
        <v>338881.25401461666</v>
      </c>
      <c r="N20" s="204">
        <f t="shared" si="7"/>
        <v>338881.25401461666</v>
      </c>
      <c r="O20" s="204">
        <f t="shared" si="7"/>
        <v>2358987.3849634524</v>
      </c>
    </row>
    <row r="21" spans="1:16" x14ac:dyDescent="0.2">
      <c r="A21" s="196" t="s">
        <v>261</v>
      </c>
      <c r="B21" s="196"/>
      <c r="C21" s="197">
        <f>C12</f>
        <v>0</v>
      </c>
      <c r="D21" s="197">
        <f t="shared" ref="D21:N21" si="8">D12</f>
        <v>0</v>
      </c>
      <c r="E21" s="197">
        <f t="shared" si="8"/>
        <v>0</v>
      </c>
      <c r="F21" s="197">
        <f t="shared" si="8"/>
        <v>0</v>
      </c>
      <c r="G21" s="197">
        <f t="shared" si="8"/>
        <v>0</v>
      </c>
      <c r="H21" s="197">
        <f t="shared" si="8"/>
        <v>0</v>
      </c>
      <c r="I21" s="197">
        <f t="shared" si="8"/>
        <v>0</v>
      </c>
      <c r="J21" s="197">
        <f t="shared" si="8"/>
        <v>0</v>
      </c>
      <c r="K21" s="197">
        <f t="shared" si="8"/>
        <v>0</v>
      </c>
      <c r="L21" s="197">
        <f t="shared" si="8"/>
        <v>0</v>
      </c>
      <c r="M21" s="197">
        <f t="shared" si="8"/>
        <v>0</v>
      </c>
      <c r="N21" s="197">
        <f t="shared" si="8"/>
        <v>0</v>
      </c>
      <c r="O21" s="197">
        <f>O12</f>
        <v>0</v>
      </c>
    </row>
    <row r="22" spans="1:16" x14ac:dyDescent="0.2">
      <c r="O22" s="2"/>
    </row>
  </sheetData>
  <mergeCells count="8">
    <mergeCell ref="A19:B19"/>
    <mergeCell ref="A20:B20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8DE40EB5CA54A94A7300EFAC0E23D" ma:contentTypeVersion="4" ma:contentTypeDescription="Create a new document." ma:contentTypeScope="" ma:versionID="e091a65f4560b6897821b4bdc165434b">
  <xsd:schema xmlns:xsd="http://www.w3.org/2001/XMLSchema" xmlns:xs="http://www.w3.org/2001/XMLSchema" xmlns:p="http://schemas.microsoft.com/office/2006/metadata/properties" xmlns:ns2="243e5e7c-de05-4ab9-bf0c-c329e68c3011" targetNamespace="http://schemas.microsoft.com/office/2006/metadata/properties" ma:root="true" ma:fieldsID="0eb8239e96eee3f1bec0a570d09cc319" ns2:_="">
    <xsd:import namespace="243e5e7c-de05-4ab9-bf0c-c329e68c3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e5e7c-de05-4ab9-bf0c-c329e68c3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86E98C-9C76-4AFF-9329-D17237CF4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FF569E-00A6-4BE9-90C2-F226376C12EE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43e5e7c-de05-4ab9-bf0c-c329e68c3011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180A6B-94D1-4F87-B677-94D87B421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3e5e7c-de05-4ab9-bf0c-c329e68c30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 Balance sheet</vt:lpstr>
      <vt:lpstr>2 P&amp;L</vt:lpstr>
      <vt:lpstr>3 Cash Flow</vt:lpstr>
      <vt:lpstr>Tableau recap</vt:lpstr>
      <vt:lpstr>PT Recap costs</vt:lpstr>
      <vt:lpstr>Recap costs</vt:lpstr>
      <vt:lpstr>Target allocation</vt:lpstr>
      <vt:lpstr>COGS</vt:lpstr>
      <vt:lpstr>'Tableau recap'!Print_Area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Deboot</dc:creator>
  <cp:lastModifiedBy>Jean-Claude Havaux</cp:lastModifiedBy>
  <cp:lastPrinted>2019-12-09T09:07:10Z</cp:lastPrinted>
  <dcterms:created xsi:type="dcterms:W3CDTF">2019-03-26T14:06:30Z</dcterms:created>
  <dcterms:modified xsi:type="dcterms:W3CDTF">2022-09-13T11:53:17Z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0x01010017A8DE40EB5CA54A94A7300EFAC0E23D</vt:lpwstr>
  </property>
</Properties>
</file>