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showInkAnnotation="0" checkCompatibility="1" autoCompressPictures="0"/>
  <mc:AlternateContent xmlns:mc="http://schemas.openxmlformats.org/markup-compatibility/2006">
    <mc:Choice Requires="x15">
      <x15ac:absPath xmlns:x15ac="http://schemas.microsoft.com/office/spreadsheetml/2010/11/ac" url="/Users/jch/Dropbox/Mac/Desktop/BAXTER MEETING SALES/"/>
    </mc:Choice>
  </mc:AlternateContent>
  <xr:revisionPtr revIDLastSave="0" documentId="8_{E641973A-27E6-AF42-A614-3A3E30EEEADF}" xr6:coauthVersionLast="47" xr6:coauthVersionMax="47" xr10:uidLastSave="{00000000-0000-0000-0000-000000000000}"/>
  <bookViews>
    <workbookView xWindow="0" yWindow="760" windowWidth="30240" windowHeight="18880" tabRatio="500" activeTab="1" xr2:uid="{00000000-000D-0000-FFFF-FFFF00000000}"/>
  </bookViews>
  <sheets>
    <sheet name="DATA FROM BIBLIO" sheetId="1" r:id="rId1"/>
    <sheet name="CASE STUDY LIEGE" sheetId="3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5" i="3" l="1"/>
  <c r="G6" i="3"/>
  <c r="G7" i="3"/>
  <c r="G8" i="3"/>
  <c r="G9" i="3" s="1"/>
  <c r="G10" i="3" s="1"/>
  <c r="G11" i="3" s="1"/>
  <c r="G12" i="3" s="1"/>
  <c r="G3" i="1"/>
  <c r="N3" i="1"/>
  <c r="N21" i="1" s="1"/>
  <c r="N22" i="1" s="1"/>
  <c r="G4" i="1"/>
  <c r="N4" i="1"/>
  <c r="G6" i="1"/>
  <c r="N6" i="1"/>
  <c r="G7" i="1"/>
  <c r="N7" i="1"/>
  <c r="G10" i="1"/>
  <c r="N10" i="1" s="1"/>
  <c r="G11" i="1"/>
  <c r="N11" i="1"/>
  <c r="G12" i="1"/>
  <c r="N12" i="1"/>
  <c r="G13" i="1"/>
  <c r="N13" i="1"/>
  <c r="G15" i="1"/>
  <c r="N15" i="1"/>
  <c r="G16" i="1"/>
  <c r="N16" i="1" s="1"/>
  <c r="G17" i="1"/>
  <c r="N17" i="1"/>
  <c r="G18" i="1"/>
  <c r="N18" i="1"/>
  <c r="G19" i="1"/>
  <c r="N19" i="1"/>
  <c r="I5" i="3"/>
  <c r="I8" i="3" s="1"/>
  <c r="C6" i="3"/>
  <c r="I6" i="3"/>
  <c r="I7" i="3"/>
  <c r="D13" i="3"/>
  <c r="D14" i="3"/>
  <c r="D15" i="3"/>
  <c r="D8" i="3"/>
  <c r="L9" i="1"/>
  <c r="H5" i="3"/>
  <c r="H6" i="3"/>
  <c r="H7" i="3"/>
  <c r="B8" i="3"/>
  <c r="M3" i="1"/>
  <c r="H4" i="1"/>
  <c r="L4" i="1"/>
  <c r="M4" i="1"/>
  <c r="L5" i="1"/>
  <c r="M5" i="1" s="1"/>
  <c r="H6" i="1"/>
  <c r="L6" i="1"/>
  <c r="M6" i="1"/>
  <c r="H7" i="1"/>
  <c r="L7" i="1"/>
  <c r="M7" i="1"/>
  <c r="M8" i="1"/>
  <c r="H10" i="1"/>
  <c r="L10" i="1"/>
  <c r="M10" i="1" s="1"/>
  <c r="H11" i="1"/>
  <c r="L11" i="1"/>
  <c r="M11" i="1"/>
  <c r="H13" i="1"/>
  <c r="L13" i="1"/>
  <c r="M13" i="1" s="1"/>
  <c r="L14" i="1"/>
  <c r="M14" i="1"/>
  <c r="H15" i="1"/>
  <c r="L15" i="1" s="1"/>
  <c r="M15" i="1" s="1"/>
  <c r="H16" i="1"/>
  <c r="L16" i="1"/>
  <c r="M16" i="1"/>
  <c r="H17" i="1"/>
  <c r="L17" i="1"/>
  <c r="M17" i="1"/>
  <c r="H18" i="1"/>
  <c r="L18" i="1"/>
  <c r="M18" i="1" s="1"/>
  <c r="H19" i="1"/>
  <c r="L19" i="1"/>
  <c r="M19" i="1"/>
  <c r="D21" i="1"/>
  <c r="E21" i="1"/>
  <c r="F21" i="1"/>
  <c r="G21" i="1"/>
  <c r="H3" i="1"/>
  <c r="H21" i="1" s="1"/>
  <c r="H12" i="1"/>
  <c r="I4" i="1"/>
  <c r="I21" i="1"/>
  <c r="J4" i="1"/>
  <c r="J21" i="1"/>
  <c r="K21" i="1"/>
  <c r="L12" i="1"/>
  <c r="H8" i="3" l="1"/>
  <c r="D16" i="3"/>
  <c r="M21" i="1"/>
  <c r="J5" i="3"/>
  <c r="C7" i="3"/>
  <c r="J7" i="3" s="1"/>
  <c r="J6" i="3"/>
  <c r="L21" i="1"/>
  <c r="M7" i="3" l="1"/>
  <c r="K7" i="3"/>
  <c r="L7" i="3"/>
  <c r="L6" i="3"/>
  <c r="K6" i="3"/>
  <c r="M6" i="3"/>
  <c r="J8" i="3"/>
  <c r="L5" i="3"/>
  <c r="M5" i="3"/>
  <c r="K5" i="3"/>
  <c r="C8" i="3"/>
  <c r="L8" i="3" l="1"/>
  <c r="K8" i="3"/>
  <c r="M8" i="3"/>
</calcChain>
</file>

<file path=xl/sharedStrings.xml><?xml version="1.0" encoding="utf-8"?>
<sst xmlns="http://schemas.openxmlformats.org/spreadsheetml/2006/main" count="67" uniqueCount="54">
  <si>
    <t>Nutr Hosp. 2012;27(4):1049-1059 ISSN 0212-1611 • CODEN NUHOEQ S.V.R. 318</t>
  </si>
  <si>
    <t>Malnutrition rate</t>
  </si>
  <si>
    <t>Score</t>
  </si>
  <si>
    <t>NRS2002</t>
  </si>
  <si>
    <t>LOS Normal</t>
  </si>
  <si>
    <t>LOS MN</t>
  </si>
  <si>
    <t>Delta %</t>
  </si>
  <si>
    <t>Delta days</t>
  </si>
  <si>
    <t>PRICE/DAY</t>
  </si>
  <si>
    <t>Am J Clin Nutr-2005-Kruizenga-1082-9</t>
  </si>
  <si>
    <t>53 undetected</t>
  </si>
  <si>
    <t>SNAQ</t>
  </si>
  <si>
    <t xml:space="preserve">Clin Nutr 2003; 22:147–52. </t>
  </si>
  <si>
    <t>LOS MN Treated</t>
  </si>
  <si>
    <t>ASPEN report</t>
  </si>
  <si>
    <t>TOTAL OVERCOST LOS/PATIENT</t>
  </si>
  <si>
    <t>Max/min out</t>
  </si>
  <si>
    <t>Number hospitalization/year</t>
  </si>
  <si>
    <t>BEDS</t>
  </si>
  <si>
    <t>Mean LOS</t>
  </si>
  <si>
    <t>CHC</t>
  </si>
  <si>
    <t>CHU</t>
  </si>
  <si>
    <t>Number of days</t>
  </si>
  <si>
    <t>CHR</t>
  </si>
  <si>
    <t>Admission/day</t>
  </si>
  <si>
    <t>IF 0% MALNUTRITION</t>
  </si>
  <si>
    <t>Admission Screening tool</t>
  </si>
  <si>
    <t>% Extra Cost</t>
  </si>
  <si>
    <t>Theoretical gain</t>
  </si>
  <si>
    <t>SCOPE LOWER LOS %</t>
  </si>
  <si>
    <t>euros/patient at admission</t>
  </si>
  <si>
    <t>Malnutrished Patients</t>
  </si>
  <si>
    <t>Gain in euros</t>
  </si>
  <si>
    <t>Euros/admission</t>
  </si>
  <si>
    <r>
      <t xml:space="preserve">Mazolewski P, Turner JF, Baker M, et al: The impact of nutritional status on the outcome of lung volume reduction surgery: A prospective study. </t>
    </r>
    <r>
      <rPr>
        <b/>
        <i/>
        <sz val="9"/>
        <color theme="1"/>
        <rFont val="Goudy"/>
      </rPr>
      <t xml:space="preserve">Chest </t>
    </r>
    <r>
      <rPr>
        <b/>
        <sz val="9"/>
        <color theme="1"/>
        <rFont val="Goudy"/>
      </rPr>
      <t xml:space="preserve">1999;116(3):693–696. </t>
    </r>
  </si>
  <si>
    <r>
      <t xml:space="preserve"> Pirlich M, Schütz T, Kemps M, et al: Prevalence of malnutrition in hospitalized medical patients: Impact of underlying disease. </t>
    </r>
    <r>
      <rPr>
        <b/>
        <i/>
        <sz val="9"/>
        <color theme="1"/>
        <rFont val="Goudy"/>
      </rPr>
      <t xml:space="preserve">Dig Dis </t>
    </r>
    <r>
      <rPr>
        <b/>
        <sz val="9"/>
        <color theme="1"/>
        <rFont val="Goudy"/>
      </rPr>
      <t xml:space="preserve">2003;21:245–251. </t>
    </r>
  </si>
  <si>
    <r>
      <t xml:space="preserve">Santoso JT, Canada T, Latson B, et al: Prognostic Nutritional Index in relation to hospital stay in women with gynecologic cancer. </t>
    </r>
    <r>
      <rPr>
        <b/>
        <i/>
        <sz val="9"/>
        <color theme="1"/>
        <rFont val="Goudy"/>
      </rPr>
      <t xml:space="preserve">Obstetr Gynecol </t>
    </r>
    <r>
      <rPr>
        <b/>
        <sz val="9"/>
        <color theme="1"/>
        <rFont val="Goudy"/>
      </rPr>
      <t xml:space="preserve">2000;95(6):844–846. </t>
    </r>
  </si>
  <si>
    <t xml:space="preserve">Desport JC, Preux PM, Truong TC, et al: Nutritional status is a prognostic factor for survival in ALS patients. Neurology 1999;53(5):1059–1073. </t>
  </si>
  <si>
    <r>
      <t xml:space="preserve"> Thomas DR, Zdrowski CD, Wilson MM, et al: Malnutrition in subacute care. </t>
    </r>
    <r>
      <rPr>
        <b/>
        <i/>
        <sz val="9"/>
        <color theme="1"/>
        <rFont val="Goudy"/>
      </rPr>
      <t xml:space="preserve">Am J Clin Nutr </t>
    </r>
    <r>
      <rPr>
        <b/>
        <sz val="9"/>
        <color theme="1"/>
        <rFont val="Goudy"/>
      </rPr>
      <t xml:space="preserve">2002;75:308–313. </t>
    </r>
  </si>
  <si>
    <r>
      <t xml:space="preserve">Planas M, Audivert S, Pérez-Portabella C, et al: Nutritional status among adult patients admitted to an university- affiliated hospital in Spain at the time of genoma. </t>
    </r>
    <r>
      <rPr>
        <b/>
        <i/>
        <sz val="9"/>
        <color theme="1"/>
        <rFont val="Goudy"/>
      </rPr>
      <t xml:space="preserve">Clin Nutr </t>
    </r>
    <r>
      <rPr>
        <b/>
        <sz val="9"/>
        <color theme="1"/>
        <rFont val="Goudy"/>
      </rPr>
      <t xml:space="preserve">2004;23:1016–1024. </t>
    </r>
  </si>
  <si>
    <r>
      <t xml:space="preserve">Bauer J, Capra S, Ferguson M: Use of the scored Patient- Generated Subjective Global Assessment (PG-SGA) as a nutrition assessment tool in patients with cancer. </t>
    </r>
    <r>
      <rPr>
        <b/>
        <i/>
        <sz val="9"/>
        <color theme="1"/>
        <rFont val="Goudy"/>
      </rPr>
      <t xml:space="preserve">Eur J Clin Nutr </t>
    </r>
    <r>
      <rPr>
        <b/>
        <sz val="9"/>
        <color theme="1"/>
        <rFont val="Goudy"/>
      </rPr>
      <t xml:space="preserve">2002;56:779–785. </t>
    </r>
  </si>
  <si>
    <r>
      <t xml:space="preserve">Marinella MA, Markert RJ: Admission serum albumin level and length of hospitalization in elderly patients. </t>
    </r>
    <r>
      <rPr>
        <b/>
        <i/>
        <sz val="9"/>
        <color theme="1"/>
        <rFont val="Goudy"/>
      </rPr>
      <t xml:space="preserve">So Med J </t>
    </r>
    <r>
      <rPr>
        <b/>
        <sz val="9"/>
        <color theme="1"/>
        <rFont val="Goudy"/>
      </rPr>
      <t xml:space="preserve">1998;91(9):851–854. </t>
    </r>
  </si>
  <si>
    <r>
      <t xml:space="preserve">Edington J, Boorman J, Durrant ER, et al: Prevalence of malnutrition on admission to four hospitals in England. </t>
    </r>
    <r>
      <rPr>
        <b/>
        <i/>
        <sz val="9"/>
        <color theme="1"/>
        <rFont val="Goudy"/>
      </rPr>
      <t xml:space="preserve">Clin Nutr </t>
    </r>
    <r>
      <rPr>
        <b/>
        <sz val="9"/>
        <color theme="1"/>
        <rFont val="Goudy"/>
      </rPr>
      <t xml:space="preserve">2000;19(3):191–195. </t>
    </r>
  </si>
  <si>
    <r>
      <t xml:space="preserve">Pupim LB, Evanson JA, Hakim RM, Ikizler TA: The extent of uremic malnutrition at the time of initiation of maintenance hemodialysis is associated with subsequent hospitalization. </t>
    </r>
    <r>
      <rPr>
        <b/>
        <i/>
        <sz val="9"/>
        <color theme="1"/>
        <rFont val="Goudy"/>
      </rPr>
      <t xml:space="preserve">J Renal Nutr </t>
    </r>
    <r>
      <rPr>
        <b/>
        <sz val="9"/>
        <color theme="1"/>
        <rFont val="Goudy"/>
      </rPr>
      <t xml:space="preserve">2003;13(4):259–266. </t>
    </r>
  </si>
  <si>
    <t>HOSPITAL LIEGE</t>
  </si>
  <si>
    <t>unknown</t>
  </si>
  <si>
    <t>Average Day Cost €</t>
  </si>
  <si>
    <t>SECURITY DATA</t>
  </si>
  <si>
    <t>minutes</t>
  </si>
  <si>
    <t>Heures</t>
  </si>
  <si>
    <t>Heures/an</t>
  </si>
  <si>
    <t>Jours/an</t>
  </si>
  <si>
    <t>c</t>
  </si>
  <si>
    <t>SCORSO Renting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</si>
</sst>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 * #,##0.00_)\ _€_ ;_ * \(#,##0.00\)\ _€_ ;_ * &quot;-&quot;??_)\ _€_ ;_ @_ "/>
    <numFmt numFmtId="166" formatCode="_ * #,##0_)\ _€_ ;_ * \(#,##0\)\ _€_ ;_ * &quot;-&quot;??_)\ _€_ ;_ @_ "/>
  </numFmts>
  <fonts count="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9"/>
      <color theme="1"/>
      <name val="Goudy"/>
    </font>
    <font>
      <b/>
      <i/>
      <sz val="9"/>
      <color theme="1"/>
      <name val="Goudy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5" fontId="1" fillId="0" borderId="0" applyFont="0" applyFill="0" applyBorder="0" applyAlignment="0" applyProtection="0"/>
  </cellStyleXfs>
  <cellXfs count="33">
    <xf numFmtId="0" fontId="0" fillId="0" borderId="0" xfId="0"/>
    <xf numFmtId="9" fontId="0" fillId="0" borderId="0" xfId="1" applyFont="1"/>
    <xf numFmtId="0" fontId="3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0" fillId="0" borderId="1" xfId="0" applyBorder="1"/>
    <xf numFmtId="9" fontId="0" fillId="0" borderId="1" xfId="1" applyFont="1" applyBorder="1"/>
    <xf numFmtId="1" fontId="0" fillId="0" borderId="1" xfId="0" applyNumberFormat="1" applyBorder="1"/>
    <xf numFmtId="9" fontId="0" fillId="0" borderId="1" xfId="0" applyNumberFormat="1" applyBorder="1"/>
    <xf numFmtId="1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3" fontId="0" fillId="0" borderId="1" xfId="0" applyNumberFormat="1" applyBorder="1"/>
    <xf numFmtId="3" fontId="3" fillId="0" borderId="1" xfId="0" applyNumberFormat="1" applyFont="1" applyBorder="1"/>
    <xf numFmtId="2" fontId="0" fillId="0" borderId="1" xfId="0" applyNumberFormat="1" applyBorder="1"/>
    <xf numFmtId="2" fontId="3" fillId="0" borderId="1" xfId="0" applyNumberFormat="1" applyFont="1" applyBorder="1"/>
    <xf numFmtId="0" fontId="3" fillId="0" borderId="1" xfId="0" applyFont="1" applyBorder="1"/>
    <xf numFmtId="3" fontId="0" fillId="0" borderId="1" xfId="0" applyNumberFormat="1" applyBorder="1" applyAlignment="1">
      <alignment horizontal="right"/>
    </xf>
    <xf numFmtId="1" fontId="0" fillId="0" borderId="2" xfId="0" applyNumberFormat="1" applyBorder="1"/>
    <xf numFmtId="1" fontId="3" fillId="0" borderId="2" xfId="0" applyNumberFormat="1" applyFont="1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3" fontId="3" fillId="2" borderId="1" xfId="0" applyNumberFormat="1" applyFont="1" applyFill="1" applyBorder="1"/>
    <xf numFmtId="9" fontId="3" fillId="2" borderId="1" xfId="0" applyNumberFormat="1" applyFont="1" applyFill="1" applyBorder="1"/>
    <xf numFmtId="0" fontId="3" fillId="2" borderId="0" xfId="0" applyFont="1" applyFill="1"/>
    <xf numFmtId="0" fontId="0" fillId="0" borderId="1" xfId="0" applyBorder="1" applyAlignment="1">
      <alignment horizontal="right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wrapText="1"/>
    </xf>
    <xf numFmtId="166" fontId="0" fillId="0" borderId="1" xfId="43" applyNumberFormat="1" applyFont="1" applyBorder="1"/>
  </cellXfs>
  <cellStyles count="44">
    <cellStyle name="Comma" xfId="43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3"/>
  <sheetViews>
    <sheetView topLeftCell="A17" zoomScale="178" zoomScaleNormal="178" zoomScalePageLayoutView="178" workbookViewId="0">
      <selection activeCell="N21" sqref="N21"/>
    </sheetView>
  </sheetViews>
  <sheetFormatPr baseColWidth="10" defaultRowHeight="16"/>
  <cols>
    <col min="1" max="1" width="36.33203125" style="5" customWidth="1"/>
    <col min="2" max="2" width="15.33203125" hidden="1" customWidth="1"/>
    <col min="3" max="3" width="13.1640625" hidden="1" customWidth="1"/>
    <col min="4" max="4" width="7.5" bestFit="1" customWidth="1"/>
    <col min="5" max="5" width="7.83203125" bestFit="1" customWidth="1"/>
    <col min="6" max="6" width="14.5" hidden="1" customWidth="1"/>
    <col min="7" max="7" width="11.6640625" customWidth="1"/>
    <col min="8" max="8" width="5.6640625" bestFit="1" customWidth="1"/>
    <col min="9" max="9" width="7.5" hidden="1" customWidth="1"/>
    <col min="10" max="10" width="9.6640625" hidden="1" customWidth="1"/>
    <col min="11" max="11" width="10.83203125" customWidth="1"/>
    <col min="12" max="13" width="16" bestFit="1" customWidth="1"/>
    <col min="14" max="14" width="7.33203125" bestFit="1" customWidth="1"/>
    <col min="15" max="15" width="14" bestFit="1" customWidth="1"/>
  </cols>
  <sheetData>
    <row r="1" spans="1:14" s="30" customFormat="1" ht="48">
      <c r="A1" s="29"/>
      <c r="B1" s="30" t="s">
        <v>1</v>
      </c>
      <c r="C1" s="30" t="s">
        <v>2</v>
      </c>
      <c r="D1" s="31" t="s">
        <v>4</v>
      </c>
      <c r="E1" s="31" t="s">
        <v>5</v>
      </c>
      <c r="F1" s="31" t="s">
        <v>13</v>
      </c>
      <c r="G1" s="31" t="s">
        <v>6</v>
      </c>
      <c r="H1" s="31" t="s">
        <v>7</v>
      </c>
      <c r="I1" s="31" t="s">
        <v>6</v>
      </c>
      <c r="J1" s="31" t="s">
        <v>7</v>
      </c>
      <c r="K1" s="31" t="s">
        <v>8</v>
      </c>
      <c r="L1" s="31" t="s">
        <v>15</v>
      </c>
      <c r="M1" s="31" t="s">
        <v>15</v>
      </c>
      <c r="N1" s="31" t="s">
        <v>27</v>
      </c>
    </row>
    <row r="2" spans="1:14">
      <c r="M2" t="s">
        <v>16</v>
      </c>
    </row>
    <row r="3" spans="1:14" ht="34">
      <c r="A3" s="7" t="s">
        <v>0</v>
      </c>
      <c r="B3" s="8">
        <v>23.7</v>
      </c>
      <c r="C3" s="8" t="s">
        <v>3</v>
      </c>
      <c r="D3" s="8">
        <v>8</v>
      </c>
      <c r="E3" s="8">
        <v>15.2</v>
      </c>
      <c r="F3" s="8"/>
      <c r="G3" s="9">
        <f>+E3/D3</f>
        <v>1.9</v>
      </c>
      <c r="H3" s="8">
        <f>+E3-D3</f>
        <v>7.1999999999999993</v>
      </c>
      <c r="I3" s="8"/>
      <c r="J3" s="8"/>
      <c r="K3" s="8"/>
      <c r="L3" s="10">
        <v>5829</v>
      </c>
      <c r="M3" s="10">
        <f>+L3</f>
        <v>5829</v>
      </c>
      <c r="N3" s="11">
        <f>+G3-100%</f>
        <v>0.89999999999999991</v>
      </c>
    </row>
    <row r="4" spans="1:14">
      <c r="A4" s="7" t="s">
        <v>9</v>
      </c>
      <c r="B4" s="8">
        <v>26</v>
      </c>
      <c r="C4" s="8" t="s">
        <v>11</v>
      </c>
      <c r="D4" s="8">
        <v>9.6</v>
      </c>
      <c r="E4" s="8">
        <v>14</v>
      </c>
      <c r="F4" s="8">
        <v>11.5</v>
      </c>
      <c r="G4" s="9">
        <f t="shared" ref="G4:G19" si="0">+E4/D4</f>
        <v>1.4583333333333335</v>
      </c>
      <c r="H4" s="8">
        <f>+E4-D4</f>
        <v>4.4000000000000004</v>
      </c>
      <c r="I4" s="9">
        <f>+F4/E4</f>
        <v>0.8214285714285714</v>
      </c>
      <c r="J4" s="8">
        <f>+E4-F4</f>
        <v>2.5</v>
      </c>
      <c r="K4" s="8">
        <v>476</v>
      </c>
      <c r="L4" s="10">
        <f>+K4*H4</f>
        <v>2094.4</v>
      </c>
      <c r="M4" s="10">
        <f t="shared" ref="M4:M19" si="1">+L4</f>
        <v>2094.4</v>
      </c>
      <c r="N4" s="11">
        <f>+G4-100%</f>
        <v>0.45833333333333348</v>
      </c>
    </row>
    <row r="5" spans="1:14" ht="17">
      <c r="A5" s="7" t="s">
        <v>12</v>
      </c>
      <c r="B5" s="8"/>
      <c r="C5" s="8" t="s">
        <v>10</v>
      </c>
      <c r="D5" s="8"/>
      <c r="E5" s="8"/>
      <c r="F5" s="8"/>
      <c r="G5" s="9"/>
      <c r="H5" s="8">
        <v>11</v>
      </c>
      <c r="I5" s="8"/>
      <c r="J5" s="8"/>
      <c r="K5" s="8">
        <v>476</v>
      </c>
      <c r="L5" s="10">
        <f>+K5*H5</f>
        <v>5236</v>
      </c>
      <c r="M5" s="10">
        <f t="shared" si="1"/>
        <v>5236</v>
      </c>
      <c r="N5" s="11"/>
    </row>
    <row r="6" spans="1:14">
      <c r="A6" s="7" t="s">
        <v>14</v>
      </c>
      <c r="B6" s="8"/>
      <c r="C6" s="8"/>
      <c r="D6" s="8">
        <v>3.9</v>
      </c>
      <c r="E6" s="8">
        <v>10.8</v>
      </c>
      <c r="F6" s="8"/>
      <c r="G6" s="9">
        <f t="shared" si="0"/>
        <v>2.7692307692307696</v>
      </c>
      <c r="H6" s="8">
        <f>+E6-D6</f>
        <v>6.9</v>
      </c>
      <c r="I6" s="8"/>
      <c r="J6" s="8"/>
      <c r="K6" s="8">
        <v>476</v>
      </c>
      <c r="L6" s="10">
        <f>+K6*H6</f>
        <v>3284.4</v>
      </c>
      <c r="M6" s="10">
        <f t="shared" si="1"/>
        <v>3284.4</v>
      </c>
      <c r="N6" s="11">
        <f>+G6-100%</f>
        <v>1.7692307692307696</v>
      </c>
    </row>
    <row r="7" spans="1:14">
      <c r="A7" s="7" t="s">
        <v>14</v>
      </c>
      <c r="B7" s="8"/>
      <c r="C7" s="8"/>
      <c r="D7" s="8">
        <v>6</v>
      </c>
      <c r="E7" s="8">
        <v>9</v>
      </c>
      <c r="F7" s="8"/>
      <c r="G7" s="9">
        <f t="shared" si="0"/>
        <v>1.5</v>
      </c>
      <c r="H7" s="8">
        <f>+E7-D7</f>
        <v>3</v>
      </c>
      <c r="I7" s="8"/>
      <c r="J7" s="8"/>
      <c r="K7" s="8">
        <v>476</v>
      </c>
      <c r="L7" s="10">
        <f>+K7*H7</f>
        <v>1428</v>
      </c>
      <c r="M7" s="10">
        <f t="shared" si="1"/>
        <v>1428</v>
      </c>
      <c r="N7" s="11">
        <f>+G7-100%</f>
        <v>0.5</v>
      </c>
    </row>
    <row r="8" spans="1:14">
      <c r="A8" s="7" t="s">
        <v>14</v>
      </c>
      <c r="B8" s="8"/>
      <c r="C8" s="8"/>
      <c r="D8" s="8"/>
      <c r="E8" s="8"/>
      <c r="F8" s="8"/>
      <c r="G8" s="9"/>
      <c r="H8" s="8"/>
      <c r="I8" s="8"/>
      <c r="J8" s="8"/>
      <c r="K8" s="8"/>
      <c r="L8" s="10">
        <v>6196</v>
      </c>
      <c r="M8" s="10">
        <f t="shared" si="1"/>
        <v>6196</v>
      </c>
      <c r="N8" s="11"/>
    </row>
    <row r="9" spans="1:14">
      <c r="A9" s="7" t="s">
        <v>14</v>
      </c>
      <c r="B9" s="8"/>
      <c r="C9" s="8"/>
      <c r="D9" s="8"/>
      <c r="E9" s="8"/>
      <c r="F9" s="8"/>
      <c r="G9" s="9"/>
      <c r="H9" s="8"/>
      <c r="I9" s="8"/>
      <c r="J9" s="8"/>
      <c r="K9" s="8"/>
      <c r="L9" s="10">
        <f>(45762-28631)/1.35</f>
        <v>12689.62962962963</v>
      </c>
      <c r="M9" s="10"/>
      <c r="N9" s="11"/>
    </row>
    <row r="10" spans="1:14" ht="82">
      <c r="A10" s="7" t="s">
        <v>34</v>
      </c>
      <c r="B10" s="8"/>
      <c r="C10" s="8"/>
      <c r="D10" s="8">
        <v>11.7</v>
      </c>
      <c r="E10" s="8">
        <v>15.8</v>
      </c>
      <c r="F10" s="8"/>
      <c r="G10" s="9">
        <f t="shared" si="0"/>
        <v>1.3504273504273505</v>
      </c>
      <c r="H10" s="8">
        <f>+E10-D10</f>
        <v>4.1000000000000014</v>
      </c>
      <c r="I10" s="8"/>
      <c r="J10" s="8"/>
      <c r="K10" s="8">
        <v>476</v>
      </c>
      <c r="L10" s="10">
        <f t="shared" ref="L10:L19" si="2">+K10*H10</f>
        <v>1951.6000000000006</v>
      </c>
      <c r="M10" s="10">
        <f t="shared" si="1"/>
        <v>1951.6000000000006</v>
      </c>
      <c r="N10" s="11">
        <f>+G10-100%</f>
        <v>0.35042735042735051</v>
      </c>
    </row>
    <row r="11" spans="1:14" ht="68">
      <c r="A11" s="7" t="s">
        <v>35</v>
      </c>
      <c r="B11" s="8"/>
      <c r="C11" s="8"/>
      <c r="D11" s="8">
        <v>9.3000000000000007</v>
      </c>
      <c r="E11" s="8">
        <v>13.1</v>
      </c>
      <c r="F11" s="8"/>
      <c r="G11" s="9">
        <f t="shared" si="0"/>
        <v>1.4086021505376343</v>
      </c>
      <c r="H11" s="8">
        <f t="shared" ref="H11:H19" si="3">+E11-D11</f>
        <v>3.7999999999999989</v>
      </c>
      <c r="I11" s="8"/>
      <c r="J11" s="8"/>
      <c r="K11" s="8">
        <v>476</v>
      </c>
      <c r="L11" s="10">
        <f t="shared" si="2"/>
        <v>1808.7999999999995</v>
      </c>
      <c r="M11" s="10">
        <f t="shared" si="1"/>
        <v>1808.7999999999995</v>
      </c>
      <c r="N11" s="11">
        <f>+G11-100%</f>
        <v>0.40860215053763427</v>
      </c>
    </row>
    <row r="12" spans="1:14" ht="68">
      <c r="A12" s="7" t="s">
        <v>36</v>
      </c>
      <c r="B12" s="8"/>
      <c r="C12" s="8"/>
      <c r="D12" s="8">
        <v>6</v>
      </c>
      <c r="E12" s="8">
        <v>8</v>
      </c>
      <c r="F12" s="8"/>
      <c r="G12" s="9">
        <f t="shared" si="0"/>
        <v>1.3333333333333333</v>
      </c>
      <c r="H12" s="8">
        <f t="shared" si="3"/>
        <v>2</v>
      </c>
      <c r="I12" s="8"/>
      <c r="J12" s="8"/>
      <c r="K12" s="8">
        <v>476</v>
      </c>
      <c r="L12" s="10">
        <f t="shared" si="2"/>
        <v>952</v>
      </c>
      <c r="M12" s="10"/>
      <c r="N12" s="11">
        <f>+G12-100%</f>
        <v>0.33333333333333326</v>
      </c>
    </row>
    <row r="13" spans="1:14" ht="68">
      <c r="A13" s="7" t="s">
        <v>37</v>
      </c>
      <c r="B13" s="8"/>
      <c r="C13" s="8"/>
      <c r="D13" s="8">
        <v>10.1</v>
      </c>
      <c r="E13" s="8">
        <v>16.7</v>
      </c>
      <c r="F13" s="8"/>
      <c r="G13" s="9">
        <f t="shared" si="0"/>
        <v>1.6534653465346534</v>
      </c>
      <c r="H13" s="8">
        <f t="shared" si="3"/>
        <v>6.6</v>
      </c>
      <c r="I13" s="8"/>
      <c r="J13" s="8"/>
      <c r="K13" s="8">
        <v>476</v>
      </c>
      <c r="L13" s="10">
        <f t="shared" si="2"/>
        <v>3141.6</v>
      </c>
      <c r="M13" s="10">
        <f t="shared" si="1"/>
        <v>3141.6</v>
      </c>
      <c r="N13" s="11">
        <f>+G13-100%</f>
        <v>0.65346534653465338</v>
      </c>
    </row>
    <row r="14" spans="1:14" ht="48">
      <c r="A14" s="7" t="s">
        <v>38</v>
      </c>
      <c r="B14" s="8"/>
      <c r="C14" s="8"/>
      <c r="D14" s="8"/>
      <c r="E14" s="8"/>
      <c r="F14" s="8"/>
      <c r="G14" s="9"/>
      <c r="H14" s="8">
        <v>11</v>
      </c>
      <c r="I14" s="8"/>
      <c r="J14" s="8"/>
      <c r="K14" s="8">
        <v>476</v>
      </c>
      <c r="L14" s="10">
        <f t="shared" si="2"/>
        <v>5236</v>
      </c>
      <c r="M14" s="10">
        <f t="shared" si="1"/>
        <v>5236</v>
      </c>
      <c r="N14" s="11"/>
    </row>
    <row r="15" spans="1:14" ht="85">
      <c r="A15" s="7" t="s">
        <v>39</v>
      </c>
      <c r="B15" s="8"/>
      <c r="C15" s="8"/>
      <c r="D15" s="8">
        <v>5</v>
      </c>
      <c r="E15" s="8">
        <v>7.5</v>
      </c>
      <c r="F15" s="8"/>
      <c r="G15" s="9">
        <f t="shared" si="0"/>
        <v>1.5</v>
      </c>
      <c r="H15" s="8">
        <f t="shared" si="3"/>
        <v>2.5</v>
      </c>
      <c r="I15" s="8"/>
      <c r="J15" s="8"/>
      <c r="K15" s="8">
        <v>476</v>
      </c>
      <c r="L15" s="10">
        <f t="shared" si="2"/>
        <v>1190</v>
      </c>
      <c r="M15" s="10">
        <f t="shared" si="1"/>
        <v>1190</v>
      </c>
      <c r="N15" s="11">
        <f>+G15-100%</f>
        <v>0.5</v>
      </c>
    </row>
    <row r="16" spans="1:14" ht="85">
      <c r="A16" s="7" t="s">
        <v>40</v>
      </c>
      <c r="B16" s="8"/>
      <c r="C16" s="8"/>
      <c r="D16" s="8">
        <v>7</v>
      </c>
      <c r="E16" s="8">
        <v>14</v>
      </c>
      <c r="F16" s="8"/>
      <c r="G16" s="9">
        <f t="shared" si="0"/>
        <v>2</v>
      </c>
      <c r="H16" s="8">
        <f t="shared" si="3"/>
        <v>7</v>
      </c>
      <c r="I16" s="8"/>
      <c r="J16" s="8"/>
      <c r="K16" s="8">
        <v>476</v>
      </c>
      <c r="L16" s="10">
        <f t="shared" si="2"/>
        <v>3332</v>
      </c>
      <c r="M16" s="10">
        <f t="shared" si="1"/>
        <v>3332</v>
      </c>
      <c r="N16" s="11">
        <f>+G16-100%</f>
        <v>1</v>
      </c>
    </row>
    <row r="17" spans="1:15" ht="65">
      <c r="A17" s="7" t="s">
        <v>41</v>
      </c>
      <c r="B17" s="8"/>
      <c r="C17" s="8"/>
      <c r="D17" s="8">
        <v>3.85</v>
      </c>
      <c r="E17" s="8">
        <v>6.74</v>
      </c>
      <c r="F17" s="8"/>
      <c r="G17" s="9">
        <f t="shared" si="0"/>
        <v>1.7506493506493506</v>
      </c>
      <c r="H17" s="8">
        <f t="shared" si="3"/>
        <v>2.89</v>
      </c>
      <c r="I17" s="8"/>
      <c r="J17" s="8"/>
      <c r="K17" s="8">
        <v>476</v>
      </c>
      <c r="L17" s="10">
        <f t="shared" si="2"/>
        <v>1375.64</v>
      </c>
      <c r="M17" s="10">
        <f t="shared" si="1"/>
        <v>1375.64</v>
      </c>
      <c r="N17" s="11">
        <f>+G17-100%</f>
        <v>0.75064935064935057</v>
      </c>
    </row>
    <row r="18" spans="1:15" ht="65">
      <c r="A18" s="7" t="s">
        <v>42</v>
      </c>
      <c r="B18" s="8"/>
      <c r="C18" s="8"/>
      <c r="D18" s="8">
        <v>5.72</v>
      </c>
      <c r="E18" s="8">
        <v>8.86</v>
      </c>
      <c r="F18" s="8"/>
      <c r="G18" s="9">
        <f t="shared" si="0"/>
        <v>1.548951048951049</v>
      </c>
      <c r="H18" s="8">
        <f t="shared" si="3"/>
        <v>3.1399999999999997</v>
      </c>
      <c r="I18" s="8"/>
      <c r="J18" s="8"/>
      <c r="K18" s="8">
        <v>476</v>
      </c>
      <c r="L18" s="10">
        <f t="shared" si="2"/>
        <v>1494.6399999999999</v>
      </c>
      <c r="M18" s="10">
        <f t="shared" si="1"/>
        <v>1494.6399999999999</v>
      </c>
      <c r="N18" s="11">
        <f>+G18-100%</f>
        <v>0.54895104895104896</v>
      </c>
    </row>
    <row r="19" spans="1:15" ht="99">
      <c r="A19" s="7" t="s">
        <v>43</v>
      </c>
      <c r="B19" s="8"/>
      <c r="C19" s="8"/>
      <c r="D19" s="8">
        <v>3.83</v>
      </c>
      <c r="E19" s="8">
        <v>8.9600000000000009</v>
      </c>
      <c r="F19" s="8"/>
      <c r="G19" s="9">
        <f t="shared" si="0"/>
        <v>2.3394255874673631</v>
      </c>
      <c r="H19" s="8">
        <f t="shared" si="3"/>
        <v>5.1300000000000008</v>
      </c>
      <c r="I19" s="8"/>
      <c r="J19" s="8"/>
      <c r="K19" s="8">
        <v>476</v>
      </c>
      <c r="L19" s="10">
        <f t="shared" si="2"/>
        <v>2441.8800000000006</v>
      </c>
      <c r="M19" s="10">
        <f t="shared" si="1"/>
        <v>2441.8800000000006</v>
      </c>
      <c r="N19" s="11">
        <f>+G19-100%</f>
        <v>1.3394255874673631</v>
      </c>
    </row>
    <row r="21" spans="1:15">
      <c r="A21" s="6"/>
      <c r="D21" s="12">
        <f t="shared" ref="D21:K21" si="4">AVERAGE(D3:D20)</f>
        <v>6.9230769230769216</v>
      </c>
      <c r="E21" s="12">
        <f t="shared" si="4"/>
        <v>11.435384615384615</v>
      </c>
      <c r="F21" s="12">
        <f t="shared" si="4"/>
        <v>11.5</v>
      </c>
      <c r="G21" s="9">
        <f t="shared" si="4"/>
        <v>1.731724482343449</v>
      </c>
      <c r="H21" s="12">
        <f t="shared" si="4"/>
        <v>5.3773333333333335</v>
      </c>
      <c r="I21" s="12">
        <f t="shared" si="4"/>
        <v>0.8214285714285714</v>
      </c>
      <c r="J21" s="12">
        <f t="shared" si="4"/>
        <v>2.5</v>
      </c>
      <c r="K21" s="12">
        <f t="shared" si="4"/>
        <v>476</v>
      </c>
      <c r="L21" s="12">
        <f>AVERAGE(L3:L20)</f>
        <v>3510.6817429193898</v>
      </c>
      <c r="M21" s="12">
        <f>AVERAGE(M3:M20)</f>
        <v>3069.3306666666667</v>
      </c>
      <c r="N21" s="11">
        <f>AVERAGE(N3:N20)</f>
        <v>0.73172448234344878</v>
      </c>
    </row>
    <row r="22" spans="1:15">
      <c r="N22" s="26">
        <f>+N21*0.6</f>
        <v>0.43903468940606927</v>
      </c>
      <c r="O22" s="27" t="s">
        <v>47</v>
      </c>
    </row>
    <row r="23" spans="1:15">
      <c r="A23" s="6"/>
      <c r="N23" s="1"/>
    </row>
  </sheetData>
  <phoneticPr fontId="8" type="noConversion"/>
  <pageMargins left="0.75000000000000011" right="0.75000000000000011" top="1" bottom="1" header="0.5" footer="0.5"/>
  <pageSetup paperSize="9" scale="67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tabSelected="1" topLeftCell="A37" zoomScale="181" zoomScaleNormal="181" zoomScalePageLayoutView="181" workbookViewId="0">
      <selection activeCell="D18" sqref="D18"/>
    </sheetView>
  </sheetViews>
  <sheetFormatPr baseColWidth="10" defaultRowHeight="16"/>
  <cols>
    <col min="1" max="1" width="16.5" bestFit="1" customWidth="1"/>
    <col min="2" max="2" width="14.1640625" bestFit="1" customWidth="1"/>
    <col min="3" max="3" width="15" bestFit="1" customWidth="1"/>
    <col min="4" max="4" width="24.6640625" bestFit="1" customWidth="1"/>
    <col min="5" max="5" width="14.1640625" bestFit="1" customWidth="1"/>
    <col min="6" max="6" width="17.1640625" bestFit="1" customWidth="1"/>
    <col min="7" max="7" width="19.33203125" customWidth="1"/>
    <col min="8" max="8" width="23.1640625" bestFit="1" customWidth="1"/>
    <col min="9" max="9" width="21.6640625" customWidth="1"/>
    <col min="10" max="10" width="19" bestFit="1" customWidth="1"/>
    <col min="11" max="12" width="19.5" bestFit="1" customWidth="1"/>
    <col min="13" max="13" width="20.5" bestFit="1" customWidth="1"/>
  </cols>
  <sheetData>
    <row r="1" spans="1:13">
      <c r="A1" t="s">
        <v>52</v>
      </c>
    </row>
    <row r="2" spans="1:13" s="3" customFormat="1">
      <c r="A2" s="13" t="s">
        <v>44</v>
      </c>
      <c r="B2" s="13" t="s">
        <v>18</v>
      </c>
      <c r="C2" s="13" t="s">
        <v>19</v>
      </c>
      <c r="D2" s="13" t="s">
        <v>17</v>
      </c>
      <c r="E2" s="13" t="s">
        <v>22</v>
      </c>
      <c r="F2" s="13" t="s">
        <v>46</v>
      </c>
      <c r="G2" s="13" t="s">
        <v>24</v>
      </c>
      <c r="H2" s="13" t="s">
        <v>26</v>
      </c>
      <c r="I2" s="13" t="s">
        <v>31</v>
      </c>
      <c r="J2" s="13" t="s">
        <v>28</v>
      </c>
      <c r="K2" s="13" t="s">
        <v>29</v>
      </c>
      <c r="L2" s="13" t="s">
        <v>29</v>
      </c>
      <c r="M2" s="13" t="s">
        <v>29</v>
      </c>
    </row>
    <row r="3" spans="1:13" s="3" customFormat="1">
      <c r="H3" s="13" t="s">
        <v>30</v>
      </c>
      <c r="I3" s="13"/>
      <c r="J3" s="23" t="s">
        <v>25</v>
      </c>
      <c r="K3" s="13" t="s">
        <v>32</v>
      </c>
      <c r="L3" s="13" t="s">
        <v>32</v>
      </c>
      <c r="M3" s="13" t="s">
        <v>32</v>
      </c>
    </row>
    <row r="4" spans="1:13">
      <c r="H4" s="23">
        <v>3</v>
      </c>
      <c r="I4" s="24">
        <v>0.4</v>
      </c>
      <c r="J4" s="8"/>
      <c r="K4" s="13">
        <v>1</v>
      </c>
      <c r="L4" s="13">
        <v>3</v>
      </c>
      <c r="M4" s="13">
        <v>5</v>
      </c>
    </row>
    <row r="5" spans="1:13">
      <c r="A5" s="14" t="s">
        <v>20</v>
      </c>
      <c r="B5" s="15">
        <v>1045</v>
      </c>
      <c r="C5" s="17">
        <v>7.66</v>
      </c>
      <c r="D5" s="15">
        <v>39500</v>
      </c>
      <c r="E5" s="15">
        <v>302796</v>
      </c>
      <c r="F5" s="15">
        <v>600</v>
      </c>
      <c r="G5" s="21">
        <f>+D5/265</f>
        <v>149.0566037735849</v>
      </c>
      <c r="H5" s="15">
        <f>+D5*H$4</f>
        <v>118500</v>
      </c>
      <c r="I5" s="15">
        <f>+D5*$I$4</f>
        <v>15800</v>
      </c>
      <c r="J5" s="15">
        <f>+C5*I5*'DATA FROM BIBLIO'!N$22*F5</f>
        <v>31881294.23366265</v>
      </c>
      <c r="K5" s="15">
        <f>+J5/100*K$4</f>
        <v>318812.94233662653</v>
      </c>
      <c r="L5" s="15">
        <f>+J5/100*L$4</f>
        <v>956438.82700987952</v>
      </c>
      <c r="M5" s="15">
        <f>+J5/100*M$4</f>
        <v>1594064.7116831327</v>
      </c>
    </row>
    <row r="6" spans="1:13">
      <c r="A6" s="14" t="s">
        <v>21</v>
      </c>
      <c r="B6" s="15">
        <v>925</v>
      </c>
      <c r="C6" s="17">
        <f>+E6/D6</f>
        <v>7.0245829675153644</v>
      </c>
      <c r="D6" s="15">
        <v>39865</v>
      </c>
      <c r="E6" s="15">
        <v>280035</v>
      </c>
      <c r="F6" s="15">
        <v>600</v>
      </c>
      <c r="G6" s="21">
        <f t="shared" ref="G6:G7" si="0">+D6/265</f>
        <v>150.43396226415095</v>
      </c>
      <c r="H6" s="15">
        <f>+D6*H$4</f>
        <v>119595</v>
      </c>
      <c r="I6" s="15">
        <f>+D6*$I$4</f>
        <v>15946</v>
      </c>
      <c r="J6" s="15">
        <f>+C6*I6*'DATA FROM BIBLIO'!N$22*F6</f>
        <v>29506819.019478865</v>
      </c>
      <c r="K6" s="15">
        <f t="shared" ref="K6:K7" si="1">+J6/100*K$4</f>
        <v>295068.19019478862</v>
      </c>
      <c r="L6" s="15">
        <f t="shared" ref="L6:L7" si="2">+J6/100*L$4</f>
        <v>885204.57058436587</v>
      </c>
      <c r="M6" s="15">
        <f t="shared" ref="M6:M7" si="3">+J6/100*M$4</f>
        <v>1475340.9509739431</v>
      </c>
    </row>
    <row r="7" spans="1:13">
      <c r="A7" s="14" t="s">
        <v>23</v>
      </c>
      <c r="B7" s="15">
        <v>1036</v>
      </c>
      <c r="C7" s="17">
        <f>+(C6+C5)/2</f>
        <v>7.3422914837576823</v>
      </c>
      <c r="D7" s="15">
        <v>37201</v>
      </c>
      <c r="E7" s="20" t="s">
        <v>45</v>
      </c>
      <c r="F7" s="15">
        <v>600</v>
      </c>
      <c r="G7" s="21">
        <f t="shared" si="0"/>
        <v>140.3811320754717</v>
      </c>
      <c r="H7" s="15">
        <f>+D7*H$4</f>
        <v>111603</v>
      </c>
      <c r="I7" s="15">
        <f>+D7*$I$4</f>
        <v>14880.400000000001</v>
      </c>
      <c r="J7" s="15">
        <f>+C7*I7*'DATA FROM BIBLIO'!N$22*F7</f>
        <v>28780366.107262872</v>
      </c>
      <c r="K7" s="15">
        <f t="shared" si="1"/>
        <v>287803.66107262875</v>
      </c>
      <c r="L7" s="15">
        <f t="shared" si="2"/>
        <v>863410.98321788618</v>
      </c>
      <c r="M7" s="15">
        <f t="shared" si="3"/>
        <v>1439018.3053631438</v>
      </c>
    </row>
    <row r="8" spans="1:13" s="2" customFormat="1">
      <c r="B8" s="16">
        <f>SUM(B5:B7)</f>
        <v>3006</v>
      </c>
      <c r="C8" s="18">
        <f>AVERAGE(C5:C7)</f>
        <v>7.3422914837576814</v>
      </c>
      <c r="D8" s="16">
        <f>SUM(D5:D7)</f>
        <v>116566</v>
      </c>
      <c r="E8" s="19"/>
      <c r="F8" s="19"/>
      <c r="G8" s="22">
        <f>AVERAGE(G5:G7)</f>
        <v>146.6238993710692</v>
      </c>
      <c r="H8" s="16">
        <f>SUM(H5:H7)</f>
        <v>349698</v>
      </c>
      <c r="I8" s="16">
        <f>SUM(I5:I7)</f>
        <v>46626.400000000001</v>
      </c>
      <c r="J8" s="16">
        <f>SUM(J5:J7)</f>
        <v>90168479.360404387</v>
      </c>
      <c r="K8" s="16">
        <f>SUM(K5:K7)</f>
        <v>901684.79360404401</v>
      </c>
      <c r="L8" s="25">
        <f t="shared" ref="L8:M8" si="4">SUM(L5:L7)</f>
        <v>2705054.3808121318</v>
      </c>
      <c r="M8" s="16">
        <f t="shared" si="4"/>
        <v>4508423.9680202194</v>
      </c>
    </row>
    <row r="9" spans="1:13">
      <c r="G9" s="32">
        <f>+G8*5</f>
        <v>733.11949685534603</v>
      </c>
      <c r="H9" s="8" t="s">
        <v>48</v>
      </c>
    </row>
    <row r="10" spans="1:13">
      <c r="G10" s="32">
        <f>+G9/60</f>
        <v>12.218658280922433</v>
      </c>
      <c r="H10" s="8" t="s">
        <v>49</v>
      </c>
    </row>
    <row r="11" spans="1:13">
      <c r="A11" s="19" t="s">
        <v>53</v>
      </c>
      <c r="C11" s="19"/>
      <c r="D11" s="8">
        <v>2.5</v>
      </c>
      <c r="G11" s="32">
        <f>+G10*200</f>
        <v>2443.7316561844868</v>
      </c>
      <c r="H11" s="8" t="s">
        <v>50</v>
      </c>
    </row>
    <row r="12" spans="1:13">
      <c r="C12" s="19"/>
      <c r="D12" s="28" t="s">
        <v>33</v>
      </c>
      <c r="G12" s="32">
        <f>+G11/8</f>
        <v>305.46645702306085</v>
      </c>
      <c r="H12" s="8" t="s">
        <v>51</v>
      </c>
    </row>
    <row r="13" spans="1:13">
      <c r="C13" s="14" t="s">
        <v>20</v>
      </c>
      <c r="D13" s="16">
        <f>+D$11*D5</f>
        <v>98750</v>
      </c>
    </row>
    <row r="14" spans="1:13">
      <c r="C14" s="14" t="s">
        <v>21</v>
      </c>
      <c r="D14" s="16">
        <f t="shared" ref="D14:D15" si="5">+D$11*D6</f>
        <v>99662.5</v>
      </c>
    </row>
    <row r="15" spans="1:13">
      <c r="C15" s="14" t="s">
        <v>23</v>
      </c>
      <c r="D15" s="16">
        <f t="shared" si="5"/>
        <v>93002.5</v>
      </c>
    </row>
    <row r="16" spans="1:13">
      <c r="D16" s="16">
        <f>SUM(D13:D15)</f>
        <v>291415</v>
      </c>
    </row>
    <row r="17" spans="4:4">
      <c r="D17" s="4"/>
    </row>
  </sheetData>
  <phoneticPr fontId="8" type="noConversion"/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FROM BIBLIO</vt:lpstr>
      <vt:lpstr>CASE STUDY LIEGE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jean-claude havaux</dc:creator>
  <cp:lastModifiedBy>Jean Claude havaux</cp:lastModifiedBy>
  <cp:lastPrinted>2014-05-11T19:29:20Z</cp:lastPrinted>
  <dcterms:created xsi:type="dcterms:W3CDTF">2014-02-17T12:53:14Z</dcterms:created>
  <dcterms:modified xsi:type="dcterms:W3CDTF">2023-03-05T20:15:23Z</dcterms:modified>
</cp:coreProperties>
</file>