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ch/Library/CloudStorage/Dropbox/_JCHYTECH STUFF/"/>
    </mc:Choice>
  </mc:AlternateContent>
  <xr:revisionPtr revIDLastSave="0" documentId="13_ncr:1_{CC340CC0-8A10-E940-8800-29299238D067}" xr6:coauthVersionLast="47" xr6:coauthVersionMax="47" xr10:uidLastSave="{00000000-0000-0000-0000-000000000000}"/>
  <bookViews>
    <workbookView xWindow="0" yWindow="620" windowWidth="68800" windowHeight="26460" xr2:uid="{00000000-000D-0000-FFFF-FFFF00000000}"/>
  </bookViews>
  <sheets>
    <sheet name="Suivi" sheetId="1" r:id="rId1"/>
    <sheet name="Intervenants" sheetId="2" r:id="rId2"/>
    <sheet name="Listes" sheetId="3" r:id="rId3"/>
    <sheet name="Dashboard" sheetId="4" r:id="rId4"/>
  </sheets>
  <definedNames>
    <definedName name="_xlnm.Print_Area" localSheetId="0">SuiviTable[[#All],[Phase]:[Work Day ex-Dim3''s]]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 l="1"/>
  <c r="F10" i="1"/>
  <c r="B21" i="4"/>
  <c r="B20" i="4"/>
  <c r="B19" i="4"/>
  <c r="B18" i="4"/>
  <c r="B17" i="4"/>
  <c r="B16" i="4"/>
  <c r="B15" i="4"/>
  <c r="B14" i="4"/>
  <c r="B13" i="4"/>
  <c r="E12" i="4"/>
  <c r="B12" i="4"/>
  <c r="E11" i="4"/>
  <c r="B11" i="4"/>
  <c r="E10" i="4"/>
  <c r="B10" i="4"/>
  <c r="B9" i="4"/>
  <c r="B8" i="4"/>
  <c r="B7" i="4"/>
  <c r="E6" i="4"/>
  <c r="B6" i="4"/>
  <c r="E5" i="4"/>
  <c r="B5" i="4"/>
  <c r="E4" i="4"/>
  <c r="B4" i="4"/>
</calcChain>
</file>

<file path=xl/sharedStrings.xml><?xml version="1.0" encoding="utf-8"?>
<sst xmlns="http://schemas.openxmlformats.org/spreadsheetml/2006/main" count="156" uniqueCount="124">
  <si>
    <t>Phase</t>
  </si>
  <si>
    <t>Tâches principales</t>
  </si>
  <si>
    <t>Responsable(s)</t>
  </si>
  <si>
    <t>Commentaires / Dépendances</t>
  </si>
  <si>
    <t>État d'avancement</t>
  </si>
  <si>
    <t>Date début (plan)</t>
  </si>
  <si>
    <t>Date fin (plan)</t>
  </si>
  <si>
    <t>Jours de prestations (estimé)</t>
  </si>
  <si>
    <t>Jours de prestations (réel)</t>
  </si>
  <si>
    <t>TJM (€)</t>
  </si>
  <si>
    <t>Budget total estimé (€)</t>
  </si>
  <si>
    <t>1. Préparation</t>
  </si>
  <si>
    <t>07/10/2025</t>
  </si>
  <si>
    <t>À faire</t>
  </si>
  <si>
    <t>No-Go</t>
  </si>
  <si>
    <t>Moyenne</t>
  </si>
  <si>
    <t>M</t>
  </si>
  <si>
    <t>08/10/2025</t>
  </si>
  <si>
    <t>Audit express requis avant offre finale</t>
  </si>
  <si>
    <t>Maintien opérationnel temporaire des serveurs et services critiques</t>
  </si>
  <si>
    <t>Immédiat</t>
  </si>
  <si>
    <t>Go</t>
  </si>
  <si>
    <t>2. Accès et sécurité</t>
  </si>
  <si>
    <t>Mise en place d’un accès sécurisé et contrôlé aux systèmes (VPN, comptes restreints)</t>
  </si>
  <si>
    <t>09/10/2025</t>
  </si>
  <si>
    <t>Vérification des droits de propriété et de transfert des licences logicielles</t>
  </si>
  <si>
    <t>10/10/2025</t>
  </si>
  <si>
    <t>3. Collaboration avec anciens dirigeants</t>
  </si>
  <si>
    <t>Organisation de sessions techniques entre ex-CEO / CTO et Facilitys</t>
  </si>
  <si>
    <t>09–12/10/2025</t>
  </si>
  <si>
    <t>Préparation d’un protocole de collaboration (ou contrat de prestation) pour les anciens dirigeants</t>
  </si>
  <si>
    <t>12/10/2025</t>
  </si>
  <si>
    <t>4. Proposition d’acquisition</t>
  </si>
  <si>
    <t>Rédaction de la proposition d’achat des actifs IT</t>
  </si>
  <si>
    <t>13/10/2025</t>
  </si>
  <si>
    <t>Transmission officielle de la proposition au liquidateur</t>
  </si>
  <si>
    <t>14/10/2025</t>
  </si>
  <si>
    <t>5. Phase de transfert</t>
  </si>
  <si>
    <t>Validation du protocole de cession et calendrier technique</t>
  </si>
  <si>
    <t>15–18/10/2025</t>
  </si>
  <si>
    <t>Transfert effectif des actifs (données, serveurs, sauvegardes, codes source, etc.)</t>
  </si>
  <si>
    <t>20–25/10/2025</t>
  </si>
  <si>
    <t>6. Clôture et redémarrage</t>
  </si>
  <si>
    <t>Reconnexion des systèmes transférés et test de fonctionnement</t>
  </si>
  <si>
    <t>Fin octobre 2025</t>
  </si>
  <si>
    <t>Rédaction d’un rapport de clôture de la reprise IT</t>
  </si>
  <si>
    <t>31/10/2025</t>
  </si>
  <si>
    <t>Nom</t>
  </si>
  <si>
    <t>Rôle</t>
  </si>
  <si>
    <t>Société</t>
  </si>
  <si>
    <t>Téléphone</t>
  </si>
  <si>
    <t>Email</t>
  </si>
  <si>
    <t>Disponibilité (dates/horaires)</t>
  </si>
  <si>
    <t>Jours prévus</t>
  </si>
  <si>
    <t>Jours réalisés</t>
  </si>
  <si>
    <t>Coût estimé (€)</t>
  </si>
  <si>
    <t>Coût réel (€)</t>
  </si>
  <si>
    <t>Commentaires</t>
  </si>
  <si>
    <t>Etat_list</t>
  </si>
  <si>
    <t>Priorité_list</t>
  </si>
  <si>
    <t>Risque_list</t>
  </si>
  <si>
    <t>GoNoGo_list</t>
  </si>
  <si>
    <t>Haute</t>
  </si>
  <si>
    <t>H</t>
  </si>
  <si>
    <t>En cours</t>
  </si>
  <si>
    <t>Terminé</t>
  </si>
  <si>
    <t>Basse</t>
  </si>
  <si>
    <t>B</t>
  </si>
  <si>
    <t>Plan de transfert IT – Tableau de bord</t>
  </si>
  <si>
    <t>Indicateur</t>
  </si>
  <si>
    <t>Valeur</t>
  </si>
  <si>
    <t>Statut</t>
  </si>
  <si>
    <t>Nombre</t>
  </si>
  <si>
    <t>Total tâches</t>
  </si>
  <si>
    <t>Tâches terminées</t>
  </si>
  <si>
    <t>Tâches en cours</t>
  </si>
  <si>
    <t>Tâches à faire</t>
  </si>
  <si>
    <t>% d’avancement global</t>
  </si>
  <si>
    <t>Points Go</t>
  </si>
  <si>
    <t>Risque</t>
  </si>
  <si>
    <t>Points No-Go</t>
  </si>
  <si>
    <t>Risques élevés (H)</t>
  </si>
  <si>
    <t>Risques moyens (M)</t>
  </si>
  <si>
    <t>Risques bas (B)</t>
  </si>
  <si>
    <t>Jours de prestations – estimés</t>
  </si>
  <si>
    <t>Jours de prestations – réels</t>
  </si>
  <si>
    <t>Coûts internes – estimés (€)</t>
  </si>
  <si>
    <t>Coûts internes – réels (€)</t>
  </si>
  <si>
    <t>Frais externes – estimés (€)</t>
  </si>
  <si>
    <t>Frais externes – réels (€)</t>
  </si>
  <si>
    <t>Écart coût total (réel - estimé)</t>
  </si>
  <si>
    <t>Livrable</t>
  </si>
  <si>
    <t>Création Data Room</t>
  </si>
  <si>
    <t>Data Room Accessible to candidate withNDA</t>
  </si>
  <si>
    <t>Calendar Duration</t>
  </si>
  <si>
    <t>JCHYTECH/STRIGO+Support</t>
  </si>
  <si>
    <t>NDA</t>
  </si>
  <si>
    <t xml:space="preserve">1. DATA room </t>
  </si>
  <si>
    <t>coo JCHYTECH/STRIGO+Support</t>
  </si>
  <si>
    <t>Report of IT assets/Pitfalls and Gap</t>
  </si>
  <si>
    <t>The identification of the IT assets concerned is a critical step in ensuring a smooth and transparent transition of technological resources. This process involves compiling a detailed inventory of all relevant components, including servers, software licenses, databases, applications, and associated data. Each asset must be clearly documented to establish ownership, assess its operational status, and determine dependencies with other systems. Such identification not only facilitates effective transfer or integration of infrastructure but also ensures compliance with security, licensing, and data protection requirements. Ultimately, a precise understanding of the IT assets in scope forms the foundation for successful project planning, risk management, and long-term system continuity.</t>
  </si>
  <si>
    <t>Identification of the IT assets concerned (servers, licenses, data, applications, etc.)</t>
  </si>
  <si>
    <t>Clarify understanding of Platform and prepare analyse of data room</t>
  </si>
  <si>
    <t>Demos done</t>
  </si>
  <si>
    <t>JCHYTECH</t>
  </si>
  <si>
    <t>3.Démo non active &amp; CHU Demo</t>
  </si>
  <si>
    <t>4. Analyse Data Room / Q&amp;A</t>
  </si>
  <si>
    <t>By Candidate internal a Dim3 analysis &amp; Q&amp;A meetings withex-Dim3</t>
  </si>
  <si>
    <t>Facilytis + Jchytech/Strigo</t>
  </si>
  <si>
    <t>5. Report on feasability/Swot by Candidate</t>
  </si>
  <si>
    <t>Meeting</t>
  </si>
  <si>
    <t>Coo STRIGO/Support/JCHYTECH</t>
  </si>
  <si>
    <t>2. Know how Candidate explained to ex-Dim3</t>
  </si>
  <si>
    <t>2.IT Structure / tools / code container</t>
  </si>
  <si>
    <t>4. Analysis of strategies markets / sales / business models</t>
  </si>
  <si>
    <t>Report with prospective BP</t>
  </si>
  <si>
    <t>Facilytis + Jchytech</t>
  </si>
  <si>
    <t>GO NON GO TWO WAYS</t>
  </si>
  <si>
    <t>Lisam</t>
  </si>
  <si>
    <t>Work Day ex-Dim3's</t>
  </si>
  <si>
    <t>Work Day Lisam</t>
  </si>
  <si>
    <t>MANDATORY</t>
  </si>
  <si>
    <t xml:space="preserve"> </t>
  </si>
  <si>
    <t>It is mandatory for IT ex-Dim3 to understand know how of candidate to prepare effciently the next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</si>
</sst>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b/>
      <sz val="16"/>
      <name val="Calibri"/>
      <family val="2"/>
    </font>
    <font>
      <b/>
      <sz val="11"/>
      <name val="Calibri"/>
      <family val="2"/>
    </font>
    <font>
      <sz val="11"/>
      <color theme="0"/>
      <name val="Calibri (Body)"/>
    </font>
    <font>
      <b/>
      <sz val="11"/>
      <color theme="0"/>
      <name val="Calibri (Body)"/>
    </font>
    <font>
      <sz val="8"/>
      <color theme="0"/>
      <name val="Calibri (Body)"/>
    </font>
    <font>
      <sz val="9"/>
      <color theme="0"/>
      <name val="Calibri"/>
      <family val="2"/>
      <scheme val="minor"/>
    </font>
  </fonts>
  <fills count="6">
    <fill>
      <patternFill patternType="none"/>
    </fill>
    <fill>
      <patternFill patternType="gray125"/>
    </fill>
    <fill>
      <patternFill patternType="solid">
        <fgColor rgb="FFEEECE1"/>
      </patternFill>
    </fill>
    <fill>
      <patternFill patternType="solid">
        <fgColor theme="0" tint="-0.499984740745262"/>
        <bgColor indexed="64"/>
      </patternFill>
    </fill>
    <fill>
      <patternFill patternType="solid">
        <fgColor theme="0"/>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center" wrapText="1"/>
    </xf>
    <xf numFmtId="9" fontId="0" fillId="0" borderId="0" xfId="0" applyNumberFormat="1"/>
    <xf numFmtId="0" fontId="2" fillId="0" borderId="0" xfId="0" applyFont="1" applyAlignment="1">
      <alignment vertical="center"/>
    </xf>
    <xf numFmtId="0" fontId="1" fillId="2" borderId="0" xfId="0" applyFont="1" applyFill="1"/>
    <xf numFmtId="0" fontId="0" fillId="0" borderId="0" xfId="0" applyAlignment="1">
      <alignment horizontal="center"/>
    </xf>
    <xf numFmtId="0" fontId="0" fillId="0" borderId="0" xfId="0" applyAlignment="1">
      <alignment horizontal="left"/>
    </xf>
    <xf numFmtId="0" fontId="1"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4" borderId="0" xfId="0" applyFill="1"/>
    <xf numFmtId="0" fontId="4" fillId="3" borderId="0" xfId="0" applyFont="1" applyFill="1"/>
    <xf numFmtId="0" fontId="4" fillId="3" borderId="0" xfId="0" applyFont="1" applyFill="1" applyAlignment="1">
      <alignment horizontal="center"/>
    </xf>
    <xf numFmtId="0" fontId="5" fillId="3" borderId="0" xfId="0" applyFont="1" applyFill="1" applyAlignment="1">
      <alignment horizontal="center" vertical="center" wrapText="1"/>
    </xf>
    <xf numFmtId="0" fontId="4" fillId="3" borderId="0" xfId="0" applyFont="1" applyFill="1" applyAlignment="1">
      <alignment horizontal="center" vertical="center" wrapText="1"/>
    </xf>
    <xf numFmtId="0" fontId="4" fillId="0" borderId="0" xfId="0" applyFont="1"/>
    <xf numFmtId="0" fontId="4" fillId="3" borderId="0" xfId="0" applyFont="1" applyFill="1" applyAlignment="1">
      <alignment horizontal="left"/>
    </xf>
    <xf numFmtId="0" fontId="6" fillId="3" borderId="0" xfId="0" applyFont="1" applyFill="1" applyAlignment="1">
      <alignment wrapText="1"/>
    </xf>
    <xf numFmtId="0" fontId="0" fillId="5" borderId="0" xfId="0" applyFill="1"/>
    <xf numFmtId="0" fontId="1" fillId="5" borderId="0" xfId="0" applyFont="1" applyFill="1" applyAlignment="1">
      <alignment horizontal="center" vertical="center" wrapText="1"/>
    </xf>
    <xf numFmtId="0" fontId="0" fillId="5" borderId="0" xfId="0" applyFill="1" applyAlignment="1">
      <alignment horizontal="center"/>
    </xf>
    <xf numFmtId="0" fontId="5" fillId="3" borderId="0" xfId="0" applyFont="1" applyFill="1" applyAlignment="1">
      <alignment horizontal="center"/>
    </xf>
    <xf numFmtId="0" fontId="7" fillId="3" borderId="0" xfId="0" applyFont="1" applyFill="1" applyAlignment="1">
      <alignment wrapText="1"/>
    </xf>
    <xf numFmtId="0" fontId="4" fillId="3" borderId="0" xfId="0" applyFont="1" applyFill="1" applyAlignment="1">
      <alignment horizontal="center" wrapText="1"/>
    </xf>
    <xf numFmtId="0" fontId="4" fillId="3" borderId="0" xfId="0" applyFont="1" applyFill="1" applyAlignment="1">
      <alignment wrapText="1"/>
    </xf>
    <xf numFmtId="0" fontId="0" fillId="5" borderId="0" xfId="0" applyFill="1" applyAlignment="1">
      <alignment wrapText="1"/>
    </xf>
    <xf numFmtId="0" fontId="0" fillId="0" borderId="0" xfId="0" applyAlignment="1">
      <alignment wrapText="1"/>
    </xf>
    <xf numFmtId="0" fontId="4" fillId="3" borderId="0" xfId="0" applyFont="1" applyFill="1" applyAlignment="1"/>
    <xf numFmtId="0" fontId="0" fillId="5" borderId="0" xfId="0" applyFill="1" applyAlignment="1">
      <alignment horizontal="left"/>
    </xf>
    <xf numFmtId="0" fontId="0" fillId="0" borderId="0" xfId="0" applyAlignment="1"/>
  </cellXfs>
  <cellStyles count="1">
    <cellStyle name="Normal" xfId="0" builtinId="0"/>
  </cellStyles>
  <dxfs count="14">
    <dxf>
      <alignment textRotation="0" indent="0" justifyLastLine="0" shrinkToFit="0" readingOrder="0"/>
    </dxf>
    <dxf>
      <alignment vertical="bottom" textRotation="0" wrapText="1" justifyLastLine="0" shrinkToFit="0" readingOrder="0"/>
    </dxf>
    <dxf>
      <fill>
        <patternFill patternType="solid">
          <fgColor rgb="FFFFC7CE"/>
        </patternFill>
      </fill>
    </dxf>
    <dxf>
      <fill>
        <patternFill patternType="solid">
          <fgColor rgb="FFBDD7EE"/>
        </patternFill>
      </fill>
    </dxf>
    <dxf>
      <fill>
        <patternFill patternType="solid">
          <fgColor rgb="FFC6E0B4"/>
        </patternFill>
      </fill>
    </dxf>
    <dxf>
      <fill>
        <patternFill patternType="solid">
          <fgColor rgb="FFFFE699"/>
        </patternFill>
      </fill>
    </dxf>
    <dxf>
      <fill>
        <patternFill patternType="solid">
          <fgColor rgb="FFF8CBAD"/>
        </patternFill>
      </fill>
    </dxf>
    <dxf>
      <fill>
        <patternFill patternType="solid">
          <fgColor rgb="FFC6E0B4"/>
        </patternFill>
      </fill>
    </dxf>
    <dxf>
      <fill>
        <patternFill patternType="solid">
          <fgColor rgb="FFFFE699"/>
        </patternFill>
      </fill>
    </dxf>
    <dxf>
      <fill>
        <patternFill patternType="solid">
          <fgColor rgb="FFF8CBAD"/>
        </patternFill>
      </fill>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fill>
        <patternFill>
          <fgColor indexed="64"/>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Répartition par statut</a:t>
            </a:r>
          </a:p>
        </c:rich>
      </c:tx>
      <c:overlay val="0"/>
    </c:title>
    <c:autoTitleDeleted val="0"/>
    <c:plotArea>
      <c:layout/>
      <c:barChart>
        <c:barDir val="col"/>
        <c:grouping val="clustered"/>
        <c:varyColors val="0"/>
        <c:ser>
          <c:idx val="0"/>
          <c:order val="0"/>
          <c:spPr>
            <a:ln>
              <a:prstDash val="solid"/>
            </a:ln>
          </c:spPr>
          <c:invertIfNegative val="0"/>
          <c:cat>
            <c:strRef>
              <c:f>Dashboard!$D$4:$D$6</c:f>
              <c:strCache>
                <c:ptCount val="3"/>
                <c:pt idx="0">
                  <c:v>À faire</c:v>
                </c:pt>
                <c:pt idx="1">
                  <c:v>En cours</c:v>
                </c:pt>
                <c:pt idx="2">
                  <c:v>Terminé</c:v>
                </c:pt>
              </c:strCache>
            </c:strRef>
          </c:cat>
          <c:val>
            <c:numRef>
              <c:f>Dashboard!$E$4:$E$6</c:f>
              <c:numCache>
                <c:formatCode>General</c:formatCode>
                <c:ptCount val="3"/>
                <c:pt idx="0">
                  <c:v>18</c:v>
                </c:pt>
                <c:pt idx="1">
                  <c:v>0</c:v>
                </c:pt>
                <c:pt idx="2">
                  <c:v>0</c:v>
                </c:pt>
              </c:numCache>
            </c:numRef>
          </c:val>
          <c:extLst>
            <c:ext xmlns:c16="http://schemas.microsoft.com/office/drawing/2014/chart" uri="{C3380CC4-5D6E-409C-BE32-E72D297353CC}">
              <c16:uniqueId val="{00000000-9EAD-1C40-8998-84C85898CE6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t>Statut</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Nombre de tâches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Répartition du risque</a:t>
            </a:r>
          </a:p>
        </c:rich>
      </c:tx>
      <c:overlay val="0"/>
    </c:title>
    <c:autoTitleDeleted val="0"/>
    <c:plotArea>
      <c:layout/>
      <c:pieChart>
        <c:varyColors val="1"/>
        <c:ser>
          <c:idx val="0"/>
          <c:order val="0"/>
          <c:spPr>
            <a:ln>
              <a:prstDash val="solid"/>
            </a:ln>
          </c:spPr>
          <c:cat>
            <c:strRef>
              <c:f>Dashboard!$D$10:$D$12</c:f>
              <c:strCache>
                <c:ptCount val="3"/>
                <c:pt idx="0">
                  <c:v>H</c:v>
                </c:pt>
                <c:pt idx="1">
                  <c:v>M</c:v>
                </c:pt>
                <c:pt idx="2">
                  <c:v>B</c:v>
                </c:pt>
              </c:strCache>
            </c:strRef>
          </c:cat>
          <c:val>
            <c:numRef>
              <c:f>Dashboard!$E$10:$E$12</c:f>
              <c:numCache>
                <c:formatCode>General</c:formatCode>
                <c:ptCount val="3"/>
                <c:pt idx="0">
                  <c:v>0</c:v>
                </c:pt>
                <c:pt idx="1">
                  <c:v>0</c:v>
                </c:pt>
                <c:pt idx="2">
                  <c:v>0</c:v>
                </c:pt>
              </c:numCache>
            </c:numRef>
          </c:val>
          <c:extLst>
            <c:ext xmlns:c16="http://schemas.microsoft.com/office/drawing/2014/chart" uri="{C3380CC4-5D6E-409C-BE32-E72D297353CC}">
              <c16:uniqueId val="{00000000-E855-1043-9284-BB9899651A30}"/>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2</xdr:row>
      <xdr:rowOff>0</xdr:rowOff>
    </xdr:from>
    <xdr:ext cx="6480000" cy="36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19</xdr:row>
      <xdr:rowOff>0</xdr:rowOff>
    </xdr:from>
    <xdr:ext cx="4320000" cy="36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iviTable" displayName="SuiviTable" ref="A1:M22" headerRowDxfId="13">
  <autoFilter ref="A1:M22" xr:uid="{00000000-0009-0000-0100-000001000000}"/>
  <tableColumns count="13">
    <tableColumn id="1" xr3:uid="{00000000-0010-0000-0000-000001000000}" name="Phase"/>
    <tableColumn id="2" xr3:uid="{00000000-0010-0000-0000-000002000000}" name="Tâches principales" dataDxfId="0"/>
    <tableColumn id="26" xr3:uid="{12073D8A-3088-8E4F-AAC7-8538745EF06F}" name="Livrable" dataDxfId="1"/>
    <tableColumn id="3" xr3:uid="{00000000-0010-0000-0000-000003000000}" name="Responsable(s)"/>
    <tableColumn id="4" xr3:uid="{00000000-0010-0000-0000-000004000000}" name="Calendar Duration"/>
    <tableColumn id="27" xr3:uid="{BF01FCF3-6536-3E4B-92BA-413ECE7A2D7B}" name="Work Day ex-Dim3's" dataDxfId="12"/>
    <tableColumn id="28" xr3:uid="{A784521F-8D0E-C044-AAC3-F1A069D6FD08}" name="Work Day Lisam" dataDxfId="11"/>
    <tableColumn id="5" xr3:uid="{00000000-0010-0000-0000-000005000000}" name="Commentaires / Dépendances"/>
    <tableColumn id="6" xr3:uid="{00000000-0010-0000-0000-000006000000}" name="État d'avancement" dataDxfId="10"/>
    <tableColumn id="8" xr3:uid="{00000000-0010-0000-0000-000008000000}" name="Date début (plan)"/>
    <tableColumn id="9" xr3:uid="{00000000-0010-0000-0000-000009000000}" name="Date fin (plan)"/>
    <tableColumn id="12" xr3:uid="{00000000-0010-0000-0000-00000C000000}" name="Jours de prestations (estimé)"/>
    <tableColumn id="13" xr3:uid="{00000000-0010-0000-0000-00000D000000}" name="Jours de prestations (rée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2"/>
  <sheetViews>
    <sheetView tabSelected="1" zoomScale="188" workbookViewId="0">
      <pane ySplit="1" topLeftCell="A4" activePane="bottomLeft" state="frozen"/>
      <selection pane="bottomLeft" sqref="A1:F22"/>
    </sheetView>
  </sheetViews>
  <sheetFormatPr baseColWidth="10" defaultColWidth="8.83203125" defaultRowHeight="15" x14ac:dyDescent="0.2"/>
  <cols>
    <col min="1" max="1" width="44.83203125" bestFit="1" customWidth="1"/>
    <col min="2" max="2" width="49.5" style="29" customWidth="1"/>
    <col min="3" max="3" width="18.1640625" customWidth="1"/>
    <col min="4" max="4" width="13" customWidth="1"/>
    <col min="5" max="5" width="10" customWidth="1"/>
    <col min="6" max="6" width="11" style="6" customWidth="1"/>
    <col min="7" max="7" width="22" style="6" hidden="1" customWidth="1"/>
    <col min="8" max="8" width="51.83203125" hidden="1" customWidth="1"/>
    <col min="9" max="9" width="20.5" style="6" hidden="1" customWidth="1"/>
    <col min="10" max="13" width="22" hidden="1" customWidth="1"/>
    <col min="14" max="17" width="0" hidden="1" customWidth="1"/>
  </cols>
  <sheetData>
    <row r="1" spans="1:13" s="10" customFormat="1" ht="32" x14ac:dyDescent="0.2">
      <c r="A1" s="8" t="s">
        <v>0</v>
      </c>
      <c r="B1" s="8" t="s">
        <v>1</v>
      </c>
      <c r="C1" s="9" t="s">
        <v>91</v>
      </c>
      <c r="D1" s="8" t="s">
        <v>2</v>
      </c>
      <c r="E1" s="8" t="s">
        <v>94</v>
      </c>
      <c r="F1" s="8" t="s">
        <v>119</v>
      </c>
      <c r="G1" s="8" t="s">
        <v>120</v>
      </c>
      <c r="H1" s="8" t="s">
        <v>3</v>
      </c>
      <c r="I1" s="8" t="s">
        <v>4</v>
      </c>
      <c r="J1" s="8" t="s">
        <v>5</v>
      </c>
      <c r="K1" s="8" t="s">
        <v>6</v>
      </c>
      <c r="L1" s="8" t="s">
        <v>7</v>
      </c>
      <c r="M1" s="8" t="s">
        <v>8</v>
      </c>
    </row>
    <row r="2" spans="1:13" s="15" customFormat="1" ht="32" x14ac:dyDescent="0.2">
      <c r="A2" s="11" t="s">
        <v>97</v>
      </c>
      <c r="B2" s="27" t="s">
        <v>92</v>
      </c>
      <c r="C2" s="23" t="s">
        <v>93</v>
      </c>
      <c r="D2" s="13" t="s">
        <v>95</v>
      </c>
      <c r="E2" s="14">
        <v>7</v>
      </c>
      <c r="F2" s="12">
        <v>3</v>
      </c>
      <c r="G2" s="12"/>
      <c r="H2" s="11" t="s">
        <v>96</v>
      </c>
      <c r="I2" s="12" t="s">
        <v>13</v>
      </c>
      <c r="J2" s="11"/>
      <c r="K2" s="11"/>
      <c r="L2" s="13"/>
      <c r="M2" s="13"/>
    </row>
    <row r="3" spans="1:13" s="15" customFormat="1" ht="48" x14ac:dyDescent="0.2">
      <c r="A3" s="11" t="s">
        <v>112</v>
      </c>
      <c r="B3" s="24" t="s">
        <v>123</v>
      </c>
      <c r="C3" s="23" t="s">
        <v>110</v>
      </c>
      <c r="D3" s="13" t="s">
        <v>111</v>
      </c>
      <c r="E3" s="14">
        <v>1</v>
      </c>
      <c r="F3" s="12">
        <v>1.2</v>
      </c>
      <c r="G3" s="12"/>
      <c r="H3" s="11" t="s">
        <v>121</v>
      </c>
      <c r="I3" s="12" t="s">
        <v>13</v>
      </c>
      <c r="J3" s="11"/>
      <c r="K3" s="11"/>
      <c r="L3" s="13"/>
      <c r="M3" s="13"/>
    </row>
    <row r="4" spans="1:13" s="15" customFormat="1" ht="48" x14ac:dyDescent="0.2">
      <c r="A4" s="16" t="s">
        <v>113</v>
      </c>
      <c r="B4" s="24" t="s">
        <v>101</v>
      </c>
      <c r="C4" s="23" t="s">
        <v>99</v>
      </c>
      <c r="D4" s="13" t="s">
        <v>98</v>
      </c>
      <c r="E4" s="12">
        <v>15</v>
      </c>
      <c r="F4" s="12">
        <v>10</v>
      </c>
      <c r="G4" s="12"/>
      <c r="H4" s="11" t="s">
        <v>99</v>
      </c>
      <c r="I4" s="12" t="s">
        <v>13</v>
      </c>
      <c r="J4" s="11"/>
      <c r="K4" s="11" t="s">
        <v>12</v>
      </c>
      <c r="L4" s="11"/>
      <c r="M4" s="11"/>
    </row>
    <row r="5" spans="1:13" s="15" customFormat="1" ht="109" x14ac:dyDescent="0.2">
      <c r="A5" s="16"/>
      <c r="B5" s="17" t="s">
        <v>100</v>
      </c>
      <c r="C5" s="23"/>
      <c r="D5" s="13"/>
      <c r="E5" s="12"/>
      <c r="F5" s="12"/>
      <c r="G5" s="12"/>
      <c r="H5" s="11"/>
      <c r="I5" s="12"/>
      <c r="J5" s="11"/>
      <c r="K5" s="11"/>
      <c r="L5" s="11"/>
      <c r="M5" s="11"/>
    </row>
    <row r="6" spans="1:13" s="15" customFormat="1" ht="32" x14ac:dyDescent="0.2">
      <c r="A6" s="16" t="s">
        <v>105</v>
      </c>
      <c r="B6" s="24" t="s">
        <v>102</v>
      </c>
      <c r="C6" s="23" t="s">
        <v>103</v>
      </c>
      <c r="D6" s="13" t="s">
        <v>104</v>
      </c>
      <c r="E6" s="12">
        <v>2</v>
      </c>
      <c r="F6" s="12">
        <v>2</v>
      </c>
      <c r="G6" s="12"/>
      <c r="H6" s="11"/>
      <c r="I6" s="12" t="s">
        <v>13</v>
      </c>
      <c r="J6" s="11"/>
      <c r="K6" s="11"/>
      <c r="L6" s="11"/>
      <c r="M6" s="11"/>
    </row>
    <row r="7" spans="1:13" s="15" customFormat="1" ht="32" x14ac:dyDescent="0.2">
      <c r="A7" s="16" t="s">
        <v>114</v>
      </c>
      <c r="B7" s="16"/>
      <c r="C7" s="23" t="s">
        <v>115</v>
      </c>
      <c r="D7" s="13" t="s">
        <v>116</v>
      </c>
      <c r="E7" s="12">
        <v>2</v>
      </c>
      <c r="F7" s="12">
        <v>3</v>
      </c>
      <c r="G7" s="12"/>
      <c r="H7" s="11"/>
      <c r="I7" s="12" t="s">
        <v>13</v>
      </c>
      <c r="J7" s="11"/>
      <c r="K7" s="11"/>
      <c r="L7" s="11"/>
      <c r="M7" s="11"/>
    </row>
    <row r="8" spans="1:13" s="15" customFormat="1" ht="48" x14ac:dyDescent="0.2">
      <c r="A8" s="11" t="s">
        <v>106</v>
      </c>
      <c r="B8" s="24" t="s">
        <v>107</v>
      </c>
      <c r="C8" s="24"/>
      <c r="D8" s="13" t="s">
        <v>108</v>
      </c>
      <c r="E8" s="12">
        <v>5</v>
      </c>
      <c r="F8" s="12">
        <v>2</v>
      </c>
      <c r="G8" s="12"/>
      <c r="H8" s="11" t="s">
        <v>18</v>
      </c>
      <c r="I8" s="12" t="s">
        <v>13</v>
      </c>
      <c r="J8" s="11"/>
      <c r="K8" s="11" t="s">
        <v>17</v>
      </c>
      <c r="L8" s="11"/>
      <c r="M8" s="11"/>
    </row>
    <row r="9" spans="1:13" s="15" customFormat="1" x14ac:dyDescent="0.2">
      <c r="A9" s="11" t="s">
        <v>109</v>
      </c>
      <c r="B9" s="16"/>
      <c r="C9" s="24"/>
      <c r="D9" s="13"/>
      <c r="E9" s="12">
        <v>5</v>
      </c>
      <c r="F9" s="12"/>
      <c r="G9" s="12"/>
      <c r="H9" s="11"/>
      <c r="I9" s="12" t="s">
        <v>13</v>
      </c>
      <c r="J9" s="11"/>
      <c r="K9" s="11"/>
      <c r="L9" s="11"/>
      <c r="M9" s="11"/>
    </row>
    <row r="10" spans="1:13" s="15" customFormat="1" x14ac:dyDescent="0.2">
      <c r="A10" s="11"/>
      <c r="B10" s="16"/>
      <c r="C10" s="24"/>
      <c r="D10" s="13"/>
      <c r="E10" s="21">
        <f>SUBTOTAL(109,E2:E9)</f>
        <v>37</v>
      </c>
      <c r="F10" s="21">
        <f>SUBTOTAL(109,F2:F9)</f>
        <v>21.2</v>
      </c>
      <c r="G10" s="21"/>
      <c r="H10" s="11"/>
      <c r="I10" s="12"/>
      <c r="J10" s="11"/>
      <c r="K10" s="11"/>
      <c r="L10" s="11"/>
      <c r="M10" s="11"/>
    </row>
    <row r="11" spans="1:13" ht="16" x14ac:dyDescent="0.2">
      <c r="A11" s="18" t="s">
        <v>117</v>
      </c>
      <c r="B11" s="28"/>
      <c r="C11" s="25"/>
      <c r="D11" s="19" t="s">
        <v>118</v>
      </c>
      <c r="E11" s="18"/>
      <c r="F11" s="20"/>
      <c r="G11" s="20"/>
      <c r="H11" s="18"/>
      <c r="I11" s="20"/>
      <c r="J11" s="18"/>
      <c r="K11" s="18"/>
      <c r="L11" s="18"/>
      <c r="M11" s="18"/>
    </row>
    <row r="12" spans="1:13" x14ac:dyDescent="0.2">
      <c r="A12" s="7" t="s">
        <v>11</v>
      </c>
      <c r="B12" s="22" t="s">
        <v>19</v>
      </c>
      <c r="C12" s="26"/>
      <c r="E12" t="s">
        <v>122</v>
      </c>
      <c r="I12" s="6" t="s">
        <v>13</v>
      </c>
      <c r="K12" t="s">
        <v>20</v>
      </c>
    </row>
    <row r="13" spans="1:13" ht="27" x14ac:dyDescent="0.2">
      <c r="A13" t="s">
        <v>22</v>
      </c>
      <c r="B13" s="22" t="s">
        <v>23</v>
      </c>
      <c r="C13" s="26"/>
      <c r="E13" t="s">
        <v>122</v>
      </c>
      <c r="I13" s="6" t="s">
        <v>13</v>
      </c>
      <c r="K13" t="s">
        <v>24</v>
      </c>
    </row>
    <row r="14" spans="1:13" x14ac:dyDescent="0.2">
      <c r="A14" t="s">
        <v>22</v>
      </c>
      <c r="B14" s="22" t="s">
        <v>25</v>
      </c>
      <c r="C14" s="26"/>
      <c r="I14" s="6" t="s">
        <v>13</v>
      </c>
      <c r="K14" t="s">
        <v>26</v>
      </c>
    </row>
    <row r="15" spans="1:13" x14ac:dyDescent="0.2">
      <c r="A15" t="s">
        <v>27</v>
      </c>
      <c r="B15" s="22" t="s">
        <v>28</v>
      </c>
      <c r="C15" s="26"/>
      <c r="I15" s="6" t="s">
        <v>13</v>
      </c>
      <c r="K15" t="s">
        <v>29</v>
      </c>
    </row>
    <row r="16" spans="1:13" ht="27" x14ac:dyDescent="0.2">
      <c r="A16" t="s">
        <v>27</v>
      </c>
      <c r="B16" s="22" t="s">
        <v>30</v>
      </c>
      <c r="C16" s="26"/>
      <c r="I16" s="6" t="s">
        <v>13</v>
      </c>
      <c r="K16" t="s">
        <v>31</v>
      </c>
    </row>
    <row r="17" spans="1:11" x14ac:dyDescent="0.2">
      <c r="A17" t="s">
        <v>32</v>
      </c>
      <c r="B17" s="22" t="s">
        <v>33</v>
      </c>
      <c r="C17" s="26"/>
      <c r="I17" s="6" t="s">
        <v>13</v>
      </c>
      <c r="K17" t="s">
        <v>34</v>
      </c>
    </row>
    <row r="18" spans="1:11" x14ac:dyDescent="0.2">
      <c r="A18" t="s">
        <v>32</v>
      </c>
      <c r="B18" s="22" t="s">
        <v>35</v>
      </c>
      <c r="C18" s="26"/>
      <c r="I18" s="6" t="s">
        <v>13</v>
      </c>
      <c r="K18" t="s">
        <v>36</v>
      </c>
    </row>
    <row r="19" spans="1:11" x14ac:dyDescent="0.2">
      <c r="A19" t="s">
        <v>37</v>
      </c>
      <c r="B19" s="22" t="s">
        <v>38</v>
      </c>
      <c r="C19" s="26"/>
      <c r="I19" s="6" t="s">
        <v>13</v>
      </c>
      <c r="K19" t="s">
        <v>39</v>
      </c>
    </row>
    <row r="20" spans="1:11" x14ac:dyDescent="0.2">
      <c r="A20" t="s">
        <v>37</v>
      </c>
      <c r="B20" s="22" t="s">
        <v>40</v>
      </c>
      <c r="C20" s="26"/>
      <c r="I20" s="6" t="s">
        <v>13</v>
      </c>
      <c r="K20" t="s">
        <v>41</v>
      </c>
    </row>
    <row r="21" spans="1:11" x14ac:dyDescent="0.2">
      <c r="A21" t="s">
        <v>42</v>
      </c>
      <c r="B21" s="22" t="s">
        <v>43</v>
      </c>
      <c r="C21" s="26"/>
      <c r="I21" s="6" t="s">
        <v>13</v>
      </c>
      <c r="K21" t="s">
        <v>44</v>
      </c>
    </row>
    <row r="22" spans="1:11" x14ac:dyDescent="0.2">
      <c r="A22" t="s">
        <v>42</v>
      </c>
      <c r="B22" s="22" t="s">
        <v>45</v>
      </c>
      <c r="C22" s="26"/>
      <c r="I22" s="6" t="s">
        <v>13</v>
      </c>
      <c r="K22" t="s">
        <v>46</v>
      </c>
    </row>
  </sheetData>
  <conditionalFormatting sqref="F2:H3">
    <cfRule type="expression" dxfId="9" priority="3">
      <formula>F2="À faire"</formula>
    </cfRule>
    <cfRule type="expression" dxfId="8" priority="4">
      <formula>F2="En cours"</formula>
    </cfRule>
    <cfRule type="expression" dxfId="7" priority="5">
      <formula>F2="Terminé"</formula>
    </cfRule>
  </conditionalFormatting>
  <conditionalFormatting sqref="I2:I22">
    <cfRule type="expression" dxfId="6" priority="6">
      <formula>I2="À faire"</formula>
    </cfRule>
    <cfRule type="expression" dxfId="5" priority="7">
      <formula>I2="En cours"</formula>
    </cfRule>
    <cfRule type="expression" dxfId="4" priority="8">
      <formula>I2="Terminé"</formula>
    </cfRule>
  </conditionalFormatting>
  <conditionalFormatting sqref="J2:K3">
    <cfRule type="expression" dxfId="3" priority="1">
      <formula>J2="Go"</formula>
    </cfRule>
    <cfRule type="expression" dxfId="2" priority="2">
      <formula>J2="No-Go"</formula>
    </cfRule>
  </conditionalFormatting>
  <pageMargins left="0.75" right="0.75" top="1" bottom="1" header="0.5" footer="0.5"/>
  <pageSetup paperSize="9" scale="79" orientation="landscape"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Listes!$A$2:$A$4</xm:f>
          </x14:formula1>
          <xm:sqref>I2:I22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
  <sheetViews>
    <sheetView workbookViewId="0">
      <pane ySplit="1" topLeftCell="A2" activePane="bottomLeft" state="frozen"/>
      <selection pane="bottomLeft"/>
    </sheetView>
  </sheetViews>
  <sheetFormatPr baseColWidth="10" defaultColWidth="8.83203125" defaultRowHeight="15" x14ac:dyDescent="0.2"/>
  <cols>
    <col min="1" max="12" width="26" customWidth="1"/>
  </cols>
  <sheetData>
    <row r="1" spans="1:12" ht="16" x14ac:dyDescent="0.2">
      <c r="A1" s="2" t="s">
        <v>47</v>
      </c>
      <c r="B1" s="2" t="s">
        <v>48</v>
      </c>
      <c r="C1" s="2" t="s">
        <v>49</v>
      </c>
      <c r="D1" s="2" t="s">
        <v>50</v>
      </c>
      <c r="E1" s="2" t="s">
        <v>51</v>
      </c>
      <c r="F1" s="2" t="s">
        <v>52</v>
      </c>
      <c r="G1" s="2" t="s">
        <v>9</v>
      </c>
      <c r="H1" s="2" t="s">
        <v>53</v>
      </c>
      <c r="I1" s="2" t="s">
        <v>54</v>
      </c>
      <c r="J1" s="2" t="s">
        <v>55</v>
      </c>
      <c r="K1" s="2" t="s">
        <v>56</v>
      </c>
      <c r="L1" s="2" t="s">
        <v>57</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heetViews>
  <sheetFormatPr baseColWidth="10" defaultColWidth="8.83203125" defaultRowHeight="15" x14ac:dyDescent="0.2"/>
  <cols>
    <col min="1" max="1" width="7.5" bestFit="1" customWidth="1"/>
  </cols>
  <sheetData>
    <row r="1" spans="1:4" x14ac:dyDescent="0.2">
      <c r="A1" s="1" t="s">
        <v>58</v>
      </c>
      <c r="B1" s="1" t="s">
        <v>59</v>
      </c>
      <c r="C1" s="1" t="s">
        <v>60</v>
      </c>
      <c r="D1" s="1" t="s">
        <v>61</v>
      </c>
    </row>
    <row r="2" spans="1:4" x14ac:dyDescent="0.2">
      <c r="A2" t="s">
        <v>13</v>
      </c>
      <c r="B2" t="s">
        <v>62</v>
      </c>
      <c r="C2" t="s">
        <v>63</v>
      </c>
      <c r="D2" t="s">
        <v>21</v>
      </c>
    </row>
    <row r="3" spans="1:4" x14ac:dyDescent="0.2">
      <c r="A3" t="s">
        <v>64</v>
      </c>
      <c r="B3" t="s">
        <v>15</v>
      </c>
      <c r="C3" t="s">
        <v>16</v>
      </c>
      <c r="D3" t="s">
        <v>14</v>
      </c>
    </row>
    <row r="4" spans="1:4" x14ac:dyDescent="0.2">
      <c r="A4" t="s">
        <v>65</v>
      </c>
      <c r="B4" t="s">
        <v>66</v>
      </c>
      <c r="C4" t="s">
        <v>67</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heetViews>
  <sheetFormatPr baseColWidth="10" defaultColWidth="8.83203125" defaultRowHeight="15" x14ac:dyDescent="0.2"/>
  <cols>
    <col min="1" max="5" width="28" customWidth="1"/>
  </cols>
  <sheetData>
    <row r="1" spans="1:5" ht="21" x14ac:dyDescent="0.2">
      <c r="A1" s="4" t="s">
        <v>68</v>
      </c>
    </row>
    <row r="3" spans="1:5" x14ac:dyDescent="0.2">
      <c r="A3" s="5" t="s">
        <v>69</v>
      </c>
      <c r="B3" s="5" t="s">
        <v>70</v>
      </c>
      <c r="D3" s="5" t="s">
        <v>71</v>
      </c>
      <c r="E3" s="5" t="s">
        <v>72</v>
      </c>
    </row>
    <row r="4" spans="1:5" x14ac:dyDescent="0.2">
      <c r="A4" t="s">
        <v>73</v>
      </c>
      <c r="B4">
        <f>COUNTA(Suivi!A2:A22)</f>
        <v>19</v>
      </c>
      <c r="D4" t="s">
        <v>13</v>
      </c>
      <c r="E4">
        <f>COUNTIF(Suivi!I2:I22,"À faire")</f>
        <v>18</v>
      </c>
    </row>
    <row r="5" spans="1:5" x14ac:dyDescent="0.2">
      <c r="A5" t="s">
        <v>74</v>
      </c>
      <c r="B5">
        <f>COUNTIF(Suivi!I2:I22,"Terminé")</f>
        <v>0</v>
      </c>
      <c r="D5" t="s">
        <v>64</v>
      </c>
      <c r="E5">
        <f>COUNTIF(Suivi!I2:I22,"En cours")</f>
        <v>0</v>
      </c>
    </row>
    <row r="6" spans="1:5" x14ac:dyDescent="0.2">
      <c r="A6" t="s">
        <v>75</v>
      </c>
      <c r="B6">
        <f>COUNTIF(Suivi!I2:I22,"En cours")</f>
        <v>0</v>
      </c>
      <c r="D6" t="s">
        <v>65</v>
      </c>
      <c r="E6">
        <f>COUNTIF(Suivi!I2:I22,"Terminé")</f>
        <v>0</v>
      </c>
    </row>
    <row r="7" spans="1:5" x14ac:dyDescent="0.2">
      <c r="A7" t="s">
        <v>76</v>
      </c>
      <c r="B7" s="3">
        <f>COUNTIF(Suivi!I2:I22,"À faire")</f>
        <v>18</v>
      </c>
    </row>
    <row r="8" spans="1:5" x14ac:dyDescent="0.2">
      <c r="A8" t="s">
        <v>77</v>
      </c>
      <c r="B8">
        <f>IFERROR(AVERAGE(Suivi!#REF!),0)</f>
        <v>0</v>
      </c>
    </row>
    <row r="9" spans="1:5" x14ac:dyDescent="0.2">
      <c r="A9" t="s">
        <v>78</v>
      </c>
      <c r="B9" t="e">
        <f>COUNTIF(Suivi!#REF!,"Go")</f>
        <v>#REF!</v>
      </c>
      <c r="D9" s="5" t="s">
        <v>79</v>
      </c>
      <c r="E9" s="5" t="s">
        <v>72</v>
      </c>
    </row>
    <row r="10" spans="1:5" x14ac:dyDescent="0.2">
      <c r="A10" t="s">
        <v>80</v>
      </c>
      <c r="B10" t="e">
        <f>COUNTIF(Suivi!#REF!,"No-Go")</f>
        <v>#REF!</v>
      </c>
      <c r="D10" t="s">
        <v>63</v>
      </c>
      <c r="E10" t="e">
        <f>COUNTIF(Suivi!#REF!,"H")</f>
        <v>#REF!</v>
      </c>
    </row>
    <row r="11" spans="1:5" x14ac:dyDescent="0.2">
      <c r="A11" t="s">
        <v>81</v>
      </c>
      <c r="B11" t="e">
        <f>COUNTIF(Suivi!#REF!,"H")</f>
        <v>#REF!</v>
      </c>
      <c r="D11" t="s">
        <v>16</v>
      </c>
      <c r="E11" t="e">
        <f>COUNTIF(Suivi!#REF!,"M")</f>
        <v>#REF!</v>
      </c>
    </row>
    <row r="12" spans="1:5" x14ac:dyDescent="0.2">
      <c r="A12" t="s">
        <v>82</v>
      </c>
      <c r="B12" t="e">
        <f>COUNTIF(Suivi!#REF!,"M")</f>
        <v>#REF!</v>
      </c>
      <c r="D12" t="s">
        <v>67</v>
      </c>
      <c r="E12" t="e">
        <f>COUNTIF(Suivi!#REF!,"B")</f>
        <v>#REF!</v>
      </c>
    </row>
    <row r="13" spans="1:5" x14ac:dyDescent="0.2">
      <c r="A13" t="s">
        <v>83</v>
      </c>
      <c r="B13" t="e">
        <f>COUNTIF(Suivi!#REF!,"B")</f>
        <v>#REF!</v>
      </c>
    </row>
    <row r="14" spans="1:5" x14ac:dyDescent="0.2">
      <c r="A14" t="s">
        <v>84</v>
      </c>
      <c r="B14">
        <f>SUM(Suivi!L2:L22)</f>
        <v>0</v>
      </c>
    </row>
    <row r="15" spans="1:5" x14ac:dyDescent="0.2">
      <c r="A15" t="s">
        <v>85</v>
      </c>
      <c r="B15">
        <f>SUM(Suivi!M2:M22)</f>
        <v>0</v>
      </c>
    </row>
    <row r="16" spans="1:5" x14ac:dyDescent="0.2">
      <c r="A16" t="s">
        <v>86</v>
      </c>
      <c r="B16" t="e">
        <f>SUM(Suivi!#REF!)</f>
        <v>#REF!</v>
      </c>
    </row>
    <row r="17" spans="1:2" x14ac:dyDescent="0.2">
      <c r="A17" t="s">
        <v>87</v>
      </c>
      <c r="B17" t="e">
        <f>SUM(Suivi!#REF!)</f>
        <v>#REF!</v>
      </c>
    </row>
    <row r="18" spans="1:2" x14ac:dyDescent="0.2">
      <c r="A18" t="s">
        <v>88</v>
      </c>
      <c r="B18" t="e">
        <f>SUM(Suivi!#REF!)</f>
        <v>#REF!</v>
      </c>
    </row>
    <row r="19" spans="1:2" x14ac:dyDescent="0.2">
      <c r="A19" t="s">
        <v>89</v>
      </c>
      <c r="B19" t="e">
        <f>SUM(Suivi!#REF!)</f>
        <v>#REF!</v>
      </c>
    </row>
    <row r="20" spans="1:2" x14ac:dyDescent="0.2">
      <c r="A20" t="s">
        <v>10</v>
      </c>
      <c r="B20" t="e">
        <f>SUM(Suivi!#REF!)</f>
        <v>#REF!</v>
      </c>
    </row>
    <row r="21" spans="1:2" x14ac:dyDescent="0.2">
      <c r="A21" t="s">
        <v>90</v>
      </c>
      <c r="B21" t="e">
        <f>SUM(Suivi!#REF!)+SUM(Suivi!#REF!)-SUM(Suivi!#REF!)-SUM(Suivi!#REF!)</f>
        <v>#REF!</v>
      </c>
    </row>
  </sheetData>
  <pageMargins left="0.75" right="0.75" top="1" bottom="1" header="0.5" footer="0.5"/>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Suivi</vt:lpstr>
      <vt:lpstr>Intervenants</vt:lpstr>
      <vt:lpstr>Listes</vt:lpstr>
      <vt:lpstr>Dashboard</vt:lpstr>
      <vt:lpstr>Suivi!Print_Area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Jean-Claude Havaux - Brevo</cp:lastModifiedBy>
  <cp:lastPrinted>2025-10-16T09:18:34Z</cp:lastPrinted>
  <dcterms:created xsi:type="dcterms:W3CDTF">2025-10-15T18:32:41Z</dcterms:created>
  <dcterms:modified xsi:type="dcterms:W3CDTF">2025-10-16T19:41:22Z</dcterms:modified>
</cp:coreProperties>
</file>