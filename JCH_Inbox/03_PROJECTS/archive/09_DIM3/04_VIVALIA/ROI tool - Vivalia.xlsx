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h/Dropbox/Mac/Desktop/VIVALIA MEETING/"/>
    </mc:Choice>
  </mc:AlternateContent>
  <xr:revisionPtr revIDLastSave="0" documentId="13_ncr:1_{507C7782-5CB5-5840-8DA8-A1CDC814BF8C}" xr6:coauthVersionLast="47" xr6:coauthVersionMax="47" xr10:uidLastSave="{00000000-0000-0000-0000-000000000000}"/>
  <bookViews>
    <workbookView xWindow="0" yWindow="760" windowWidth="30240" windowHeight="18880" activeTab="3" xr2:uid="{63CDE3AC-2BC0-40C2-9E3E-DF23635FFEA6}"/>
  </bookViews>
  <sheets>
    <sheet name="Feuil1" sheetId="1" state="hidden" r:id="rId1"/>
    <sheet name="Value - Hospital" sheetId="2" state="hidden" r:id="rId2"/>
    <sheet name="Value -Homecare" sheetId="7" state="hidden" r:id="rId3"/>
    <sheet name="ROI tool" sheetId="10" r:id="rId4"/>
  </sheets>
  <definedNames>
    <definedName name="_xlchart.v1.0" hidden="1">'ROI tool'!$F$33:$F$36</definedName>
    <definedName name="_xlchart.v1.1" hidden="1">'ROI tool'!$G$33:$G$36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0" l="1"/>
  <c r="O71" i="10"/>
  <c r="O70" i="10"/>
  <c r="J72" i="10"/>
  <c r="J70" i="10"/>
  <c r="O56" i="10"/>
  <c r="J73" i="10"/>
  <c r="J63" i="10"/>
  <c r="J65" i="10" s="1"/>
  <c r="J66" i="10" s="1"/>
  <c r="O53" i="10" s="1"/>
  <c r="J54" i="10"/>
  <c r="J53" i="10"/>
  <c r="J64" i="10" l="1"/>
  <c r="J57" i="10"/>
  <c r="J56" i="10" s="1"/>
  <c r="J58" i="10" s="1"/>
  <c r="J67" i="10"/>
  <c r="J74" i="10" s="1"/>
  <c r="J75" i="10" s="1"/>
  <c r="O30" i="10" l="1"/>
  <c r="J71" i="10"/>
  <c r="O17" i="10"/>
  <c r="C11" i="2"/>
  <c r="C10" i="2"/>
  <c r="H26" i="10"/>
  <c r="O57" i="10" s="1"/>
  <c r="O58" i="10" s="1"/>
  <c r="O59" i="10" s="1"/>
  <c r="O60" i="10" s="1"/>
  <c r="G35" i="10" s="1"/>
  <c r="J55" i="10"/>
  <c r="J59" i="10" s="1"/>
  <c r="C34" i="2"/>
  <c r="J60" i="10" l="1"/>
  <c r="J61" i="10" s="1"/>
  <c r="O62" i="10"/>
  <c r="O63" i="10" s="1"/>
  <c r="O65" i="10" s="1"/>
  <c r="O72" i="10"/>
  <c r="P41" i="2"/>
  <c r="P40" i="2"/>
  <c r="O40" i="2"/>
  <c r="O54" i="10" l="1"/>
  <c r="G33" i="10" s="1"/>
  <c r="O73" i="10"/>
  <c r="C32" i="7"/>
  <c r="C21" i="7"/>
  <c r="C15" i="7"/>
  <c r="C16" i="7" s="1"/>
  <c r="C9" i="7"/>
  <c r="C11" i="7" s="1"/>
  <c r="G36" i="10" l="1"/>
  <c r="F38" i="10" s="1"/>
  <c r="J76" i="10"/>
  <c r="O74" i="10"/>
  <c r="O75" i="10" s="1"/>
  <c r="C20" i="2"/>
  <c r="C50" i="2"/>
  <c r="H40" i="2" l="1"/>
  <c r="C41" i="2" l="1"/>
  <c r="C32" i="2"/>
  <c r="C30" i="2" l="1"/>
  <c r="C33" i="2" s="1"/>
  <c r="C23" i="2" l="1"/>
  <c r="C39" i="2" l="1"/>
  <c r="C42" i="2"/>
  <c r="C43" i="2" s="1"/>
  <c r="C13" i="2"/>
  <c r="C12" i="2"/>
  <c r="C6" i="2"/>
  <c r="C26" i="2" s="1"/>
  <c r="L37" i="2"/>
  <c r="C35" i="2" l="1"/>
  <c r="C45" i="2"/>
  <c r="C61" i="2" s="1"/>
  <c r="C15" i="2"/>
  <c r="C14" i="2"/>
  <c r="L30" i="2"/>
  <c r="K18" i="2"/>
  <c r="K17" i="2"/>
  <c r="C16" i="2" l="1"/>
  <c r="C17" i="2" s="1"/>
  <c r="C36" i="2"/>
  <c r="C60" i="2" s="1"/>
  <c r="C27" i="2"/>
  <c r="C59" i="2" s="1"/>
  <c r="C54" i="2"/>
  <c r="C55" i="2"/>
  <c r="C56" i="2" s="1"/>
  <c r="D62" i="2" s="1"/>
  <c r="D63" i="2" s="1"/>
  <c r="C31" i="1"/>
  <c r="C63" i="2" l="1"/>
  <c r="C4" i="1"/>
  <c r="C10" i="1" s="1"/>
  <c r="C16" i="1" l="1"/>
  <c r="C12" i="1"/>
  <c r="C19" i="1"/>
  <c r="C20" i="1" s="1"/>
  <c r="C15" i="1"/>
  <c r="D15" i="1" s="1"/>
  <c r="C28" i="1"/>
  <c r="H47" i="1" l="1"/>
  <c r="D20" i="1"/>
  <c r="G33" i="1"/>
  <c r="G22" i="1"/>
  <c r="G37" i="1"/>
  <c r="C11" i="1"/>
  <c r="H62" i="1" l="1"/>
  <c r="D11" i="1"/>
  <c r="H41" i="1"/>
  <c r="I41" i="1" s="1"/>
  <c r="J41" i="1" s="1"/>
  <c r="G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tc={D9DDF13F-7BAD-47AC-ACCE-FDB9C50F9C5A}</author>
    <author>tc={2A770B06-6C5E-411D-869D-9B7B7FD28645}</author>
    <author>tc={B1DFEE1D-FFF3-453C-8E0E-49478F308C76}</author>
  </authors>
  <commentList>
    <comment ref="C35" authorId="0" shapeId="0" xr:uid="{D9DDF13F-7BAD-47AC-ACCE-FDB9C50F9C5A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Attention: ce n'est une économie nette pour l'hopital car ce nouveau séjour sera quand même financé (mais est il financé de la même façon ?)</t>
      </text>
    </comment>
    <comment ref="C39" authorId="1" shapeId="0" xr:uid="{2A770B06-6C5E-411D-869D-9B7B7FD2864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3 visits per patients with 15min in total per visit</t>
      </text>
    </comment>
    <comment ref="C52" authorId="2" shapeId="0" xr:uid="{B1DFEE1D-FFF3-453C-8E0E-49478F308C76}">
      <text>
        <t>[Threaded comment]
Your version of Excel allows you to read this threaded comment; however, any edits to it will get removed if the file is opened in a newer version of Excel. Learn more: https://go.microsoft.com/fwlink/?linkid=870924
Comment:
    Il faudrait plusieurs sources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tc={E85ECC2D-B1D2-4C11-B398-20524F227E9C}</author>
    <author>tc={55DCCB52-0A5D-4EC5-9B88-1742303EEEE7}</author>
    <author>tc={EF0619D1-7494-4120-9A7D-1486057DC44A}</author>
    <author>tc={A55F0946-63E0-4414-A23E-FAB540D306C1}</author>
  </authors>
  <commentList>
    <comment ref="C24" authorId="0" shapeId="0" xr:uid="{E85ECC2D-B1D2-4C11-B398-20524F227E9C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Hypotheses:  
-	#Technical visits per 365 days: 2
-	Average time/visit (ride incl.): 2 hours 
-	Avg technician hourly cost (EUR):100
-	Total cost/visit: 200
-	% visits avoided thanks to Feedim: 20%
-	Potential cost saving per year per patient: 80 EUR</t>
      </text>
    </comment>
    <comment ref="C25" authorId="1" shapeId="0" xr:uid="{55DCCB52-0A5D-4EC5-9B88-1742303EEEE7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Hypotheses:  
-	#Technical visits per 365 days: 2
-	10 minutes saved during on-site visits thanks to Feedim information received upfront. 
-	Avg technician hourly cost (EUR):100
-	20 minutes saved per patient per year
-	Calculation does not include administrative and communication costs 
-	Potential cost saving per year per patient: 
33 EUR</t>
      </text>
    </comment>
    <comment ref="C26" authorId="2" shapeId="0" xr:uid="{EF0619D1-7494-4120-9A7D-1486057DC44A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Hypotheses:
-	10% of products are not consumed or 36 days wasted per year
-	Nutrition products costs approximately 3 EUR per day
-	Optimization of delivered quantities could reduce waste by 50%
-	Potential cost saving per year and per patient: 54 EUR
Note: In certain countries, according local rules, products delivered at home are considered as biological wastes and must be managed as such.</t>
      </text>
    </comment>
    <comment ref="C27" authorId="3" shapeId="0" xr:uid="{A55F0946-63E0-4414-A23E-FAB540D306C1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Hypotheses:
-	#Technical visits per 365 days: 2
-	50% of technical visits do require pump replacement and pump refurbishing
-	Refurbishing cost includes: Administrative paperwork for return, shipment or transportation, decontamination, diagnosis of failure, functional tests and quality control. 
-	Refurbishing cost does not include spare parts.
-	Estimated cost of pump refurbishing: min. 150 EUR
-	Estimated pumps that could be fixed on-site: 25%. 
-	Potential cost saving per year: 37,5 EUR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tc={494B4ABF-B347-4109-83D8-7ADC8B82321D}</author>
  </authors>
  <commentList>
    <comment ref="H25" authorId="0" shapeId="0" xr:uid="{494B4ABF-B347-4109-83D8-7ADC8B82321D}">
      <text>
        <t>[Threaded comment]
Your version of Excel allows you to read this threaded comment; however, any edits to it will get removed if the file is opened in a newer version of Excel. Learn more: https://go.microsoft.com/fwlink/?linkid=870924
Comment:
    It's very much debatable, new studies found less impact to no impact.</t>
      </text>
    </comment>
  </commentList>
</comments>
</file>

<file path=xl/sharedStrings.xml><?xml version="1.0" encoding="utf-8"?>
<sst xmlns="http://schemas.openxmlformats.org/spreadsheetml/2006/main" count="349" uniqueCount="291">
  <si>
    <t>Informations</t>
  </si>
  <si>
    <t>Situation</t>
  </si>
  <si>
    <t xml:space="preserve">ICU Beds </t>
  </si>
  <si>
    <t>% ICU stays requiring clinical nutrition therapy</t>
  </si>
  <si>
    <t>EN &amp; PN pumps active in ICU</t>
  </si>
  <si>
    <t xml:space="preserve">Current Situation </t>
  </si>
  <si>
    <t>Nutrow</t>
  </si>
  <si>
    <t>Feedim</t>
  </si>
  <si>
    <t>Potential gains (EUR)</t>
  </si>
  <si>
    <t>Volume collection time</t>
  </si>
  <si>
    <t xml:space="preserve">Volume follow-up during the night </t>
  </si>
  <si>
    <t>Y/N</t>
  </si>
  <si>
    <t>Shift impact</t>
  </si>
  <si>
    <t>Time necessary to record volume per pump (min)</t>
  </si>
  <si>
    <t>Interval to check the pump volumes (hours)</t>
  </si>
  <si>
    <t>Total time per day (min)</t>
  </si>
  <si>
    <t>Total time per year (hour)</t>
  </si>
  <si>
    <t>Nurse hourly cost</t>
  </si>
  <si>
    <t>Prescription time</t>
  </si>
  <si>
    <t>Time for prescription per patient (min)</t>
  </si>
  <si>
    <t>Time for prescription per year (hour)</t>
  </si>
  <si>
    <t>Doctor hourly cost</t>
  </si>
  <si>
    <t>N/A</t>
  </si>
  <si>
    <t>Calculation time</t>
  </si>
  <si>
    <t>Time for calculations per patient (min)</t>
  </si>
  <si>
    <t>Time for calculations per day (min)</t>
  </si>
  <si>
    <t>Total calculation time per year (hour)</t>
  </si>
  <si>
    <t>Calculator hourly cost</t>
  </si>
  <si>
    <t>Error</t>
  </si>
  <si>
    <t xml:space="preserve">Error % </t>
  </si>
  <si>
    <t xml:space="preserve">Error Cost </t>
  </si>
  <si>
    <t xml:space="preserve">Untangible </t>
  </si>
  <si>
    <t xml:space="preserve">LOS Impact </t>
  </si>
  <si>
    <t>LOS avg. (days)</t>
  </si>
  <si>
    <t>LOS decrease thanks to better nutritionnal follow-up</t>
  </si>
  <si>
    <t xml:space="preserve"> LOS avg. w/Nutrow (days)</t>
  </si>
  <si>
    <t xml:space="preserve">ICU cost per admission day </t>
  </si>
  <si>
    <t>% Occupancy rate</t>
  </si>
  <si>
    <t xml:space="preserve">Total yearly stays </t>
  </si>
  <si>
    <t>Malnutrition</t>
  </si>
  <si>
    <t>% patients identified with malnutrition</t>
  </si>
  <si>
    <t xml:space="preserve">% Actually malnourished </t>
  </si>
  <si>
    <t>Average additional amount for malnutrition (Eur)</t>
  </si>
  <si>
    <t>Other Clinical Outcomes</t>
  </si>
  <si>
    <t xml:space="preserve">Value Creation </t>
  </si>
  <si>
    <t xml:space="preserve">Features </t>
  </si>
  <si>
    <t xml:space="preserve">Value points </t>
  </si>
  <si>
    <t>Customer Perceived Value (1 low - 5 high)</t>
  </si>
  <si>
    <t xml:space="preserve">Value Monetization </t>
  </si>
  <si>
    <t>Weighted Gain</t>
  </si>
  <si>
    <t xml:space="preserve">Goals Definition </t>
  </si>
  <si>
    <t>Standardization</t>
  </si>
  <si>
    <t>Prescription Support</t>
  </si>
  <si>
    <t xml:space="preserve">Time gained </t>
  </si>
  <si>
    <t>Calculations &amp; visualization</t>
  </si>
  <si>
    <t xml:space="preserve">Follow-up </t>
  </si>
  <si>
    <t>Clinical outcomes (LOS, morbidity)</t>
  </si>
  <si>
    <t>X-team tool</t>
  </si>
  <si>
    <t>Time gained/communication</t>
  </si>
  <si>
    <t>Charts and reports</t>
  </si>
  <si>
    <t xml:space="preserve">Analytical </t>
  </si>
  <si>
    <t>Malnutrition identification</t>
  </si>
  <si>
    <t>Money gained</t>
  </si>
  <si>
    <t xml:space="preserve">? </t>
  </si>
  <si>
    <t>Accreditation</t>
  </si>
  <si>
    <t xml:space="preserve">Traceability </t>
  </si>
  <si>
    <t>Readmission rate</t>
  </si>
  <si>
    <t xml:space="preserve">Clinical outcomes </t>
  </si>
  <si>
    <t>Lab data integration</t>
  </si>
  <si>
    <t xml:space="preserve">Support to decision-making </t>
  </si>
  <si>
    <t>Monitor nurse procedures and measurements</t>
  </si>
  <si>
    <t xml:space="preserve">Continuum with other departments </t>
  </si>
  <si>
    <t>Individual Follow-up</t>
  </si>
  <si>
    <t xml:space="preserve">Report to PDMS </t>
  </si>
  <si>
    <t xml:space="preserve">Homecare ready </t>
  </si>
  <si>
    <t xml:space="preserve">Inter-hospital tool </t>
  </si>
  <si>
    <t xml:space="preserve">Data Collection </t>
  </si>
  <si>
    <t>Time gained for nurses</t>
  </si>
  <si>
    <t xml:space="preserve">Error Reduction </t>
  </si>
  <si>
    <t xml:space="preserve">Accuracy </t>
  </si>
  <si>
    <t>?</t>
  </si>
  <si>
    <t>Source</t>
  </si>
  <si>
    <t>Hospital situation</t>
  </si>
  <si>
    <t>Beds</t>
  </si>
  <si>
    <t xml:space="preserve">CHU Ulg </t>
  </si>
  <si>
    <t>https://www.chuliege.be/jcms/c2_17231220/fr/le-chu-de-liege-en-quelques-chiffres</t>
  </si>
  <si>
    <t xml:space="preserve">Inpatient admissions per year </t>
  </si>
  <si>
    <t>Average cost per hospitalized day (EUR)</t>
  </si>
  <si>
    <t xml:space="preserve">Average LOS </t>
  </si>
  <si>
    <t xml:space="preserve">Belgium average </t>
  </si>
  <si>
    <t>https://ec.europa.eu/eurostat/statistics-explained/index.php?title=Hospital_discharges_and_length_of_stay_statistics</t>
  </si>
  <si>
    <t>Total hospitalized days per year</t>
  </si>
  <si>
    <t>Prevalence of malnutrition</t>
  </si>
  <si>
    <t>between 20% and 50%</t>
  </si>
  <si>
    <t>https://www.ncbi.nlm.nih.gov/pmc/articles/PMC3084475/</t>
  </si>
  <si>
    <t xml:space="preserve">Malnutrition impact on LOS </t>
  </si>
  <si>
    <t>conservative figure</t>
  </si>
  <si>
    <t>Major Problem(s)</t>
  </si>
  <si>
    <t xml:space="preserve">1. Cost and consequences assosicated with malnutrition </t>
  </si>
  <si>
    <t>Average LOS well-nourished (wLOS)</t>
  </si>
  <si>
    <t xml:space="preserve">2. Global nutrition compliance </t>
  </si>
  <si>
    <t>Average LOS malnourished (mLOS)</t>
  </si>
  <si>
    <t>Well-nourished patients</t>
  </si>
  <si>
    <t>The cost of the problems</t>
  </si>
  <si>
    <t>Malnourished patients</t>
  </si>
  <si>
    <t>Well-nourished hospitalized days</t>
  </si>
  <si>
    <t xml:space="preserve">Control </t>
  </si>
  <si>
    <t>Malnourished</t>
  </si>
  <si>
    <t xml:space="preserve">Diff. </t>
  </si>
  <si>
    <t>Malnourished hospitalized days</t>
  </si>
  <si>
    <t>Maximum days saved if malnourished burden was fully alleviated</t>
  </si>
  <si>
    <t>Results</t>
  </si>
  <si>
    <t>Associated Costs</t>
  </si>
  <si>
    <t xml:space="preserve">Cost of extra days due to malnutrition (EUR) </t>
  </si>
  <si>
    <t>Min</t>
  </si>
  <si>
    <t>Max</t>
  </si>
  <si>
    <t>Clinical Outcomes</t>
  </si>
  <si>
    <t xml:space="preserve">LOS </t>
  </si>
  <si>
    <t>Readmission</t>
  </si>
  <si>
    <t xml:space="preserve">NST 
Reach </t>
  </si>
  <si>
    <t xml:space="preserve">% of Screened patients </t>
  </si>
  <si>
    <t>Ask the hospital</t>
  </si>
  <si>
    <t>Complications</t>
  </si>
  <si>
    <t>% of at risk of malnutrition patients</t>
  </si>
  <si>
    <t>Twice the malnourished people</t>
  </si>
  <si>
    <t xml:space="preserve">TOTAL </t>
  </si>
  <si>
    <t>At risk patients on nutrition support</t>
  </si>
  <si>
    <t>Total patients followed up under nutrition support</t>
  </si>
  <si>
    <t xml:space="preserve">Solutions : </t>
  </si>
  <si>
    <t>Reduce the burdens of malnutrition by</t>
  </si>
  <si>
    <t>1. Implement SOP for nutrition interventions</t>
  </si>
  <si>
    <t xml:space="preserve">2. Provide means (incl. tools) to apply SOP </t>
  </si>
  <si>
    <t>NST Effect</t>
  </si>
  <si>
    <t>Effect of Nutrition support on LOS</t>
  </si>
  <si>
    <t xml:space="preserve">13.9 ± 6.6% according to a random effects meta-analysis of 12 studies involving patients with malnutrition. Marinos Elia. The cost of malnutrition in England and potential cost savings from nutritional interventions (full report). NIHR Southampton. </t>
  </si>
  <si>
    <t>Actual days avoided</t>
  </si>
  <si>
    <t>The benefits of the solution</t>
  </si>
  <si>
    <t>Actual cost savings - LOS (EUR)</t>
  </si>
  <si>
    <t>Control</t>
  </si>
  <si>
    <t>With software and/or nutrition-focused program</t>
  </si>
  <si>
    <t>Readmissions</t>
  </si>
  <si>
    <t xml:space="preserve">Current readmission rate at 10 days </t>
  </si>
  <si>
    <t>15% of acute beds in Belgium are within 30 days readmissions</t>
  </si>
  <si>
    <t>Reference</t>
  </si>
  <si>
    <t>https://gcm.rmnet.be/clients/rmnet/content/medias/715114f_antares_etude_2019.pdf</t>
  </si>
  <si>
    <t>Current yearly readmissions at 10 days</t>
  </si>
  <si>
    <t>Clinical</t>
  </si>
  <si>
    <t>% Nutrition Goals</t>
  </si>
  <si>
    <t>Potential readmission at 10 days rate with NS</t>
  </si>
  <si>
    <t>ONS reduced (re)admissions from 33.8% to 23.9% with a number needed to treat of 10.</t>
  </si>
  <si>
    <t xml:space="preserve">Financial </t>
  </si>
  <si>
    <t>https://www.sciencedirect.com/science/article/pii/S1568163713000627?via%3Dihub</t>
  </si>
  <si>
    <t xml:space="preserve">Total potential readmissions with NS </t>
  </si>
  <si>
    <t xml:space="preserve">Net avoided readmission at 10 days </t>
  </si>
  <si>
    <t>Readmission cost per stay (EUR)</t>
  </si>
  <si>
    <t xml:space="preserve">Avoided readmission cost saving (EUR) </t>
  </si>
  <si>
    <t>Non funded cost (18% in Belgium if within 10 days) (EUR)</t>
  </si>
  <si>
    <t>Workload</t>
  </si>
  <si>
    <t>Time spent per patient per day (min) 
- prescription
- documentation
- calculation</t>
  </si>
  <si>
    <t>Time spent per patient per day (min) without software
- prescription
- documentation
- calculation</t>
  </si>
  <si>
    <t>Dieticians FTE required to check patients 3 times per admission</t>
  </si>
  <si>
    <t>Time Time spent per patient per day (min) with CDS software</t>
  </si>
  <si>
    <t xml:space="preserve">Time saved with CDS software per patient per day (min) </t>
  </si>
  <si>
    <t>Total time saved yearly (working days)</t>
  </si>
  <si>
    <t xml:space="preserve">FTE </t>
  </si>
  <si>
    <t>FTE Cost (Dietician, EUR)</t>
  </si>
  <si>
    <t>FTE Cost Saving</t>
  </si>
  <si>
    <t xml:space="preserve">Coding </t>
  </si>
  <si>
    <t xml:space="preserve">Errors </t>
  </si>
  <si>
    <t>prescription error (per 1000 patient days)</t>
  </si>
  <si>
    <t>chiffres généraux - erreurs globales de prescription</t>
  </si>
  <si>
    <t>https://www.ncbi.nlm.nih.gov/pubmed/10428004</t>
  </si>
  <si>
    <t>Cost of an error</t>
  </si>
  <si>
    <t>% of avoided error with CDS software</t>
  </si>
  <si>
    <t>Prescription error with CDS</t>
  </si>
  <si>
    <t xml:space="preserve">DRG Coding </t>
  </si>
  <si>
    <t>Average additional budget per malnutrition day (EUR)</t>
  </si>
  <si>
    <t>https://www.ncbi.nlm.nih.gov/pubmed/23731960</t>
  </si>
  <si>
    <t>https://www.ncbi.nlm.nih.gov/pubmed/26688128</t>
  </si>
  <si>
    <t xml:space="preserve">% of malnutrition days Coded </t>
  </si>
  <si>
    <t>Malnourished hospitalized days - Coded</t>
  </si>
  <si>
    <t>Malnourished hospitalized days - Uncoded</t>
  </si>
  <si>
    <t>Missed additionnal budget (EUR)</t>
  </si>
  <si>
    <t>Cost Savings</t>
  </si>
  <si>
    <t>New revenues</t>
  </si>
  <si>
    <t>Total value created</t>
  </si>
  <si>
    <t>LOS - Cost saving (EUR)</t>
  </si>
  <si>
    <t>Readmission at 10 days - cost savings</t>
  </si>
  <si>
    <t>FTE - cost Saving</t>
  </si>
  <si>
    <t>Total (EUR)</t>
  </si>
  <si>
    <t>Cost Savings - Homecare Provider Perspective</t>
  </si>
  <si>
    <t xml:space="preserve">Hypotheses:  </t>
  </si>
  <si>
    <t xml:space="preserve"> Less unnecessary visits (EUR/365 follow-up days)</t>
  </si>
  <si>
    <t>#Technical visits per 365 days</t>
  </si>
  <si>
    <t>Average time/visit (ride incl.) (hours)</t>
  </si>
  <si>
    <t>Avg technician hourly cost (EUR)</t>
  </si>
  <si>
    <t>Total cost/visit: 200</t>
  </si>
  <si>
    <t>% visits avoided thanks to Feedim</t>
  </si>
  <si>
    <t>Potential cost saving per 365 days</t>
  </si>
  <si>
    <t>Save time during visit (EUR/365 follow-up days)</t>
  </si>
  <si>
    <t>Time saved during on-site visits thanks to Feedim information received upfront (min)</t>
  </si>
  <si>
    <t>Time saved per 365 days (min)</t>
  </si>
  <si>
    <t xml:space="preserve">Calculation does not include administrative and communication costs </t>
  </si>
  <si>
    <t>Potential cost saving 365 days (EUR)</t>
  </si>
  <si>
    <t>Waste</t>
  </si>
  <si>
    <t>Products not consumed  per 365 days</t>
  </si>
  <si>
    <t>Nutrition products costs per day (EUR)</t>
  </si>
  <si>
    <t xml:space="preserve">Optimization of delivered quantities could reduce waste </t>
  </si>
  <si>
    <t>Potential cost saving per year and per patient</t>
  </si>
  <si>
    <t>-</t>
  </si>
  <si>
    <t>33 EUR</t>
  </si>
  <si>
    <t>#Technical visits per 365 day</t>
  </si>
  <si>
    <t xml:space="preserve"> technical visits do require pump replacement and pump refurbishing</t>
  </si>
  <si>
    <t xml:space="preserve">Refurbishing cost includes: Administrative paperwork for return, shipment or transportation, decontamination, diagnosis of failure, functional tests and quality control. </t>
  </si>
  <si>
    <t>Refurbishing cost does not include spare parts.</t>
  </si>
  <si>
    <t>Estimated cost of pump refurbishing (EUR)</t>
  </si>
  <si>
    <t xml:space="preserve">Estimated pumps that could be fixed on-site: 25%. </t>
  </si>
  <si>
    <t>Potential cost saving per year: 37,5 EUR</t>
  </si>
  <si>
    <t>Nutrow ROI Tool</t>
  </si>
  <si>
    <t xml:space="preserve">Instructions: </t>
  </si>
  <si>
    <t>Modify the yellow cells only</t>
  </si>
  <si>
    <t>Key Assumptions</t>
  </si>
  <si>
    <t>Hospital Inputs</t>
  </si>
  <si>
    <t>Hospital Stay</t>
  </si>
  <si>
    <t xml:space="preserve">HCP </t>
  </si>
  <si>
    <t>Prevalence of at risk of malnutrition (%)</t>
  </si>
  <si>
    <t xml:space="preserve">Available FTE for NS </t>
  </si>
  <si>
    <t>Average Length of Stay (days)</t>
  </si>
  <si>
    <t>Prevalence of malnourished patients (%)</t>
  </si>
  <si>
    <t xml:space="preserve">Average cost per FTE </t>
  </si>
  <si>
    <t>Working days (annualy)</t>
  </si>
  <si>
    <t>Hours per working day for NS</t>
  </si>
  <si>
    <t>Readmission (only if applicable)</t>
  </si>
  <si>
    <t>ICD10/DRG coding (only if applicable)</t>
  </si>
  <si>
    <t>Desired reach of NS</t>
  </si>
  <si>
    <r>
      <t xml:space="preserve">Current readmission rate at 10 days </t>
    </r>
    <r>
      <rPr>
        <vertAlign val="superscript"/>
        <sz val="11"/>
        <color theme="1"/>
        <rFont val="Calibri"/>
        <family val="2"/>
        <scheme val="minor"/>
      </rPr>
      <t>5</t>
    </r>
  </si>
  <si>
    <t>Malnutrition codes actually documented</t>
  </si>
  <si>
    <t>Patients screened</t>
  </si>
  <si>
    <t>Additional revenue per day (EUR)</t>
  </si>
  <si>
    <t>Targeted patients for NS</t>
  </si>
  <si>
    <t>Malnourished only</t>
  </si>
  <si>
    <t>% of targeted patients on nutrition support</t>
  </si>
  <si>
    <t>Desired NS visits during a hospital stay</t>
  </si>
  <si>
    <t>NS visits per day per FTE</t>
  </si>
  <si>
    <t>Fixed Assumptions</t>
  </si>
  <si>
    <t>Effect of individualized nutritional support</t>
  </si>
  <si>
    <t xml:space="preserve">Impact of Malnutrition </t>
  </si>
  <si>
    <t>Decreased LOS with NS</t>
  </si>
  <si>
    <t xml:space="preserve">Increase on LOS </t>
  </si>
  <si>
    <t>Readmission at 10 days rate with NS</t>
  </si>
  <si>
    <t>Workload without Nutrow</t>
  </si>
  <si>
    <t>Workload with Nutrow</t>
  </si>
  <si>
    <t>Time spent on patient's file per visit (min)</t>
  </si>
  <si>
    <t>Decrease patient's file management</t>
  </si>
  <si>
    <t>Time spent per patient's file per visit (min)</t>
  </si>
  <si>
    <t>Output</t>
  </si>
  <si>
    <t>Shorthen LOS (EUR)</t>
  </si>
  <si>
    <t>FTE (EUR)</t>
  </si>
  <si>
    <t>Non financed readmissions (EUR)</t>
  </si>
  <si>
    <t>Additionnal DRG revenues (EUR)</t>
  </si>
  <si>
    <t>Total value created (EUR)</t>
  </si>
  <si>
    <t xml:space="preserve">Calculations (For Information Only) </t>
  </si>
  <si>
    <t xml:space="preserve">Hospital situation </t>
  </si>
  <si>
    <t>Effect of NST</t>
  </si>
  <si>
    <t>Total hospital days per year</t>
  </si>
  <si>
    <t>Actual days avoided with NS</t>
  </si>
  <si>
    <t>Actual cost savings on LOS (EUR)</t>
  </si>
  <si>
    <t xml:space="preserve">for </t>
  </si>
  <si>
    <t>Well-nourished hospital days</t>
  </si>
  <si>
    <t>Malnourished hospital days</t>
  </si>
  <si>
    <t>ICD10 coding (only if applicable)</t>
  </si>
  <si>
    <t>NS Needs</t>
  </si>
  <si>
    <t>At-risk patients</t>
  </si>
  <si>
    <t>Patients on nutrition support</t>
  </si>
  <si>
    <t>Total NS visits required</t>
  </si>
  <si>
    <t>NST - Current situation</t>
  </si>
  <si>
    <t>NST - Nutrow situation</t>
  </si>
  <si>
    <t>Total time (min) per NS visit - Current situation</t>
  </si>
  <si>
    <t>Total time (min) per NS visit - Nutrow</t>
  </si>
  <si>
    <t>NS visits per day per FTE - current situation</t>
  </si>
  <si>
    <t>NS visits per day per FTE - with Nutrow</t>
  </si>
  <si>
    <t>NST visits per FTE per year</t>
  </si>
  <si>
    <t>NST visits per FTE per year - with Nutrow</t>
  </si>
  <si>
    <t>Theorical NS visits with current ressources - with usual situation</t>
  </si>
  <si>
    <t>Theorical NS visits with current ressources - with Nutrow</t>
  </si>
  <si>
    <t>Gap - Resources vs Needs (NST visits)</t>
  </si>
  <si>
    <t>Savings or Investment required (EUR)</t>
  </si>
  <si>
    <t>References:</t>
  </si>
  <si>
    <t>https://www.bapen.org.uk/pdfs/economic-report-short.pdf</t>
  </si>
  <si>
    <t xml:space="preserve"> Skouroliakou M et. al. J Am Med Inform Assoc. 2009;16(6):802–805.</t>
  </si>
  <si>
    <t>Malnourished &amp; at-risk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</si>
</sst>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rgb="FF1A1B38"/>
      <name val="Montserrat Regular"/>
    </font>
    <font>
      <sz val="11"/>
      <color rgb="FFFF0000"/>
      <name val="Calibri"/>
      <family val="2"/>
      <scheme val="minor"/>
    </font>
    <font>
      <sz val="14"/>
      <color theme="0"/>
      <name val="Montserrat"/>
    </font>
    <font>
      <sz val="12"/>
      <color theme="0"/>
      <name val="Calibri"/>
      <family val="2"/>
      <scheme val="minor"/>
    </font>
    <font>
      <sz val="26"/>
      <color theme="1"/>
      <name val="Montserrat"/>
    </font>
    <font>
      <b/>
      <sz val="11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7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0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1" fontId="0" fillId="0" borderId="0" xfId="0" applyNumberFormat="1"/>
    <xf numFmtId="0" fontId="0" fillId="5" borderId="0" xfId="0" applyFill="1" applyAlignment="1">
      <alignment horizontal="center"/>
    </xf>
    <xf numFmtId="9" fontId="0" fillId="5" borderId="2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9" fontId="0" fillId="5" borderId="2" xfId="1" applyFont="1" applyFill="1" applyBorder="1" applyAlignment="1">
      <alignment horizontal="center"/>
    </xf>
    <xf numFmtId="9" fontId="0" fillId="5" borderId="0" xfId="0" applyNumberFormat="1" applyFill="1" applyAlignment="1">
      <alignment horizontal="center"/>
    </xf>
    <xf numFmtId="2" fontId="0" fillId="5" borderId="2" xfId="1" applyNumberFormat="1" applyFon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" fontId="0" fillId="6" borderId="0" xfId="0" applyNumberFormat="1" applyFill="1"/>
    <xf numFmtId="0" fontId="0" fillId="3" borderId="0" xfId="0" applyFill="1" applyAlignment="1">
      <alignment horizontal="left"/>
    </xf>
    <xf numFmtId="1" fontId="0" fillId="5" borderId="0" xfId="0" applyNumberFormat="1" applyFill="1" applyAlignment="1">
      <alignment horizontal="center"/>
    </xf>
    <xf numFmtId="1" fontId="2" fillId="2" borderId="1" xfId="2" applyNumberFormat="1"/>
    <xf numFmtId="0" fontId="2" fillId="2" borderId="1" xfId="2"/>
    <xf numFmtId="0" fontId="2" fillId="2" borderId="1" xfId="2" applyAlignment="1">
      <alignment horizontal="right"/>
    </xf>
    <xf numFmtId="0" fontId="3" fillId="4" borderId="0" xfId="0" applyFont="1" applyFill="1" applyAlignment="1">
      <alignment horizontal="center"/>
    </xf>
    <xf numFmtId="0" fontId="1" fillId="7" borderId="0" xfId="3" applyAlignment="1">
      <alignment horizontal="center"/>
    </xf>
    <xf numFmtId="1" fontId="1" fillId="7" borderId="0" xfId="3" applyNumberFormat="1" applyAlignment="1">
      <alignment horizontal="right"/>
    </xf>
    <xf numFmtId="0" fontId="0" fillId="7" borderId="0" xfId="3" applyFont="1" applyAlignment="1">
      <alignment horizontal="center"/>
    </xf>
    <xf numFmtId="1" fontId="0" fillId="7" borderId="0" xfId="3" applyNumberFormat="1" applyFont="1" applyAlignment="1">
      <alignment horizontal="right"/>
    </xf>
    <xf numFmtId="9" fontId="0" fillId="5" borderId="0" xfId="1" applyFont="1" applyFill="1" applyBorder="1" applyAlignment="1">
      <alignment horizontal="center"/>
    </xf>
    <xf numFmtId="2" fontId="0" fillId="5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0" fillId="0" borderId="2" xfId="1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vertical="top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 wrapText="1"/>
    </xf>
    <xf numFmtId="0" fontId="0" fillId="8" borderId="2" xfId="0" applyFill="1" applyBorder="1" applyAlignment="1">
      <alignment horizontal="center"/>
    </xf>
    <xf numFmtId="0" fontId="0" fillId="9" borderId="0" xfId="0" applyFill="1"/>
    <xf numFmtId="0" fontId="0" fillId="10" borderId="0" xfId="0" applyFill="1"/>
    <xf numFmtId="0" fontId="0" fillId="5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9" fontId="0" fillId="0" borderId="0" xfId="1" applyFont="1" applyAlignment="1">
      <alignment horizontal="center"/>
    </xf>
    <xf numFmtId="0" fontId="0" fillId="0" borderId="0" xfId="0" applyAlignment="1">
      <alignment vertical="top"/>
    </xf>
    <xf numFmtId="0" fontId="0" fillId="0" borderId="6" xfId="0" applyBorder="1" applyAlignment="1">
      <alignment horizontal="left" wrapText="1"/>
    </xf>
    <xf numFmtId="0" fontId="0" fillId="12" borderId="0" xfId="0" applyFill="1"/>
    <xf numFmtId="9" fontId="0" fillId="12" borderId="0" xfId="0" applyNumberFormat="1" applyFill="1"/>
    <xf numFmtId="164" fontId="0" fillId="0" borderId="0" xfId="0" applyNumberFormat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2" xfId="0" applyNumberFormat="1" applyBorder="1" applyAlignment="1">
      <alignment horizontal="center"/>
    </xf>
    <xf numFmtId="0" fontId="0" fillId="5" borderId="0" xfId="0" applyFill="1"/>
    <xf numFmtId="0" fontId="0" fillId="0" borderId="0" xfId="0" applyAlignment="1">
      <alignment vertical="center" wrapText="1"/>
    </xf>
    <xf numFmtId="9" fontId="0" fillId="12" borderId="0" xfId="1" applyFont="1" applyFill="1"/>
    <xf numFmtId="0" fontId="0" fillId="5" borderId="0" xfId="0" applyFill="1" applyAlignment="1">
      <alignment horizontal="left" wrapText="1"/>
    </xf>
    <xf numFmtId="165" fontId="0" fillId="12" borderId="0" xfId="0" applyNumberFormat="1" applyFill="1"/>
    <xf numFmtId="0" fontId="3" fillId="13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1" fontId="0" fillId="12" borderId="0" xfId="0" applyNumberFormat="1" applyFill="1"/>
    <xf numFmtId="0" fontId="0" fillId="6" borderId="2" xfId="0" applyFill="1" applyBorder="1" applyAlignment="1">
      <alignment horizontal="center"/>
    </xf>
    <xf numFmtId="0" fontId="4" fillId="0" borderId="0" xfId="4"/>
    <xf numFmtId="1" fontId="2" fillId="2" borderId="1" xfId="2" applyNumberFormat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vertical="center"/>
    </xf>
    <xf numFmtId="9" fontId="0" fillId="0" borderId="0" xfId="0" applyNumberFormat="1"/>
    <xf numFmtId="0" fontId="0" fillId="5" borderId="15" xfId="0" applyFill="1" applyBorder="1"/>
    <xf numFmtId="0" fontId="0" fillId="5" borderId="7" xfId="0" applyFill="1" applyBorder="1"/>
    <xf numFmtId="4" fontId="0" fillId="0" borderId="0" xfId="0" applyNumberFormat="1"/>
    <xf numFmtId="166" fontId="0" fillId="5" borderId="0" xfId="0" applyNumberFormat="1" applyFill="1"/>
    <xf numFmtId="166" fontId="0" fillId="5" borderId="11" xfId="0" applyNumberFormat="1" applyFill="1" applyBorder="1"/>
    <xf numFmtId="166" fontId="0" fillId="5" borderId="12" xfId="0" applyNumberFormat="1" applyFill="1" applyBorder="1"/>
    <xf numFmtId="166" fontId="0" fillId="5" borderId="14" xfId="0" applyNumberFormat="1" applyFill="1" applyBorder="1"/>
    <xf numFmtId="166" fontId="0" fillId="5" borderId="15" xfId="0" applyNumberFormat="1" applyFill="1" applyBorder="1"/>
    <xf numFmtId="166" fontId="0" fillId="5" borderId="7" xfId="0" applyNumberFormat="1" applyFill="1" applyBorder="1"/>
    <xf numFmtId="3" fontId="0" fillId="5" borderId="0" xfId="0" applyNumberFormat="1" applyFill="1"/>
    <xf numFmtId="3" fontId="0" fillId="5" borderId="11" xfId="0" applyNumberFormat="1" applyFill="1" applyBorder="1"/>
    <xf numFmtId="3" fontId="0" fillId="5" borderId="12" xfId="0" applyNumberFormat="1" applyFill="1" applyBorder="1"/>
    <xf numFmtId="3" fontId="0" fillId="19" borderId="13" xfId="0" applyNumberFormat="1" applyFill="1" applyBorder="1"/>
    <xf numFmtId="3" fontId="0" fillId="5" borderId="14" xfId="0" applyNumberFormat="1" applyFill="1" applyBorder="1"/>
    <xf numFmtId="3" fontId="0" fillId="19" borderId="3" xfId="0" applyNumberFormat="1" applyFill="1" applyBorder="1"/>
    <xf numFmtId="3" fontId="0" fillId="5" borderId="15" xfId="0" applyNumberFormat="1" applyFill="1" applyBorder="1"/>
    <xf numFmtId="3" fontId="0" fillId="5" borderId="7" xfId="0" applyNumberFormat="1" applyFill="1" applyBorder="1"/>
    <xf numFmtId="3" fontId="0" fillId="5" borderId="16" xfId="0" applyNumberFormat="1" applyFill="1" applyBorder="1"/>
    <xf numFmtId="4" fontId="0" fillId="5" borderId="0" xfId="0" applyNumberFormat="1" applyFill="1" applyAlignment="1">
      <alignment horizontal="left" wrapText="1"/>
    </xf>
    <xf numFmtId="166" fontId="0" fillId="5" borderId="6" xfId="0" applyNumberFormat="1" applyFill="1" applyBorder="1"/>
    <xf numFmtId="166" fontId="0" fillId="5" borderId="16" xfId="0" applyNumberFormat="1" applyFill="1" applyBorder="1"/>
    <xf numFmtId="4" fontId="0" fillId="5" borderId="12" xfId="0" applyNumberFormat="1" applyFill="1" applyBorder="1" applyAlignment="1">
      <alignment horizontal="left" wrapText="1"/>
    </xf>
    <xf numFmtId="4" fontId="0" fillId="5" borderId="7" xfId="0" applyNumberFormat="1" applyFill="1" applyBorder="1" applyAlignment="1">
      <alignment horizontal="left"/>
    </xf>
    <xf numFmtId="3" fontId="0" fillId="20" borderId="13" xfId="0" applyNumberFormat="1" applyFill="1" applyBorder="1" applyAlignment="1">
      <alignment horizontal="right" wrapText="1"/>
    </xf>
    <xf numFmtId="3" fontId="0" fillId="20" borderId="3" xfId="0" applyNumberFormat="1" applyFill="1" applyBorder="1" applyAlignment="1">
      <alignment horizontal="right" wrapText="1"/>
    </xf>
    <xf numFmtId="3" fontId="0" fillId="20" borderId="16" xfId="0" applyNumberFormat="1" applyFill="1" applyBorder="1" applyAlignment="1">
      <alignment horizontal="right" wrapText="1"/>
    </xf>
    <xf numFmtId="4" fontId="0" fillId="5" borderId="3" xfId="0" applyNumberFormat="1" applyFill="1" applyBorder="1" applyAlignment="1">
      <alignment horizontal="left" wrapText="1"/>
    </xf>
    <xf numFmtId="4" fontId="0" fillId="5" borderId="14" xfId="0" applyNumberFormat="1" applyFill="1" applyBorder="1" applyAlignment="1">
      <alignment horizontal="left" wrapText="1"/>
    </xf>
    <xf numFmtId="4" fontId="0" fillId="5" borderId="15" xfId="0" applyNumberFormat="1" applyFill="1" applyBorder="1" applyAlignment="1">
      <alignment horizontal="left" wrapText="1"/>
    </xf>
    <xf numFmtId="4" fontId="0" fillId="5" borderId="7" xfId="0" applyNumberFormat="1" applyFill="1" applyBorder="1" applyAlignment="1">
      <alignment horizontal="left" wrapText="1"/>
    </xf>
    <xf numFmtId="4" fontId="0" fillId="5" borderId="16" xfId="0" applyNumberFormat="1" applyFill="1" applyBorder="1" applyAlignment="1">
      <alignment horizontal="left" wrapText="1"/>
    </xf>
    <xf numFmtId="4" fontId="0" fillId="5" borderId="11" xfId="0" applyNumberFormat="1" applyFill="1" applyBorder="1"/>
    <xf numFmtId="4" fontId="0" fillId="5" borderId="12" xfId="0" applyNumberFormat="1" applyFill="1" applyBorder="1"/>
    <xf numFmtId="165" fontId="0" fillId="18" borderId="13" xfId="1" applyNumberFormat="1" applyFont="1" applyFill="1" applyBorder="1" applyProtection="1"/>
    <xf numFmtId="4" fontId="0" fillId="5" borderId="14" xfId="0" applyNumberFormat="1" applyFill="1" applyBorder="1"/>
    <xf numFmtId="4" fontId="0" fillId="5" borderId="0" xfId="0" applyNumberFormat="1" applyFill="1"/>
    <xf numFmtId="9" fontId="0" fillId="18" borderId="3" xfId="1" applyFont="1" applyFill="1" applyBorder="1" applyProtection="1"/>
    <xf numFmtId="4" fontId="0" fillId="5" borderId="15" xfId="0" applyNumberFormat="1" applyFill="1" applyBorder="1"/>
    <xf numFmtId="4" fontId="0" fillId="5" borderId="7" xfId="0" applyNumberFormat="1" applyFill="1" applyBorder="1"/>
    <xf numFmtId="165" fontId="0" fillId="18" borderId="16" xfId="1" applyNumberFormat="1" applyFont="1" applyFill="1" applyBorder="1" applyProtection="1"/>
    <xf numFmtId="4" fontId="0" fillId="5" borderId="16" xfId="0" applyNumberFormat="1" applyFill="1" applyBorder="1"/>
    <xf numFmtId="4" fontId="0" fillId="5" borderId="3" xfId="0" applyNumberFormat="1" applyFill="1" applyBorder="1"/>
    <xf numFmtId="4" fontId="0" fillId="18" borderId="13" xfId="0" applyNumberFormat="1" applyFill="1" applyBorder="1"/>
    <xf numFmtId="9" fontId="0" fillId="18" borderId="13" xfId="1" applyFont="1" applyFill="1" applyBorder="1" applyProtection="1"/>
    <xf numFmtId="4" fontId="0" fillId="18" borderId="16" xfId="0" applyNumberFormat="1" applyFill="1" applyBorder="1"/>
    <xf numFmtId="3" fontId="0" fillId="15" borderId="13" xfId="0" applyNumberFormat="1" applyFill="1" applyBorder="1" applyProtection="1">
      <protection locked="0"/>
    </xf>
    <xf numFmtId="166" fontId="0" fillId="15" borderId="3" xfId="0" applyNumberFormat="1" applyFill="1" applyBorder="1" applyProtection="1">
      <protection locked="0"/>
    </xf>
    <xf numFmtId="3" fontId="0" fillId="15" borderId="16" xfId="0" applyNumberFormat="1" applyFill="1" applyBorder="1" applyProtection="1">
      <protection locked="0"/>
    </xf>
    <xf numFmtId="9" fontId="0" fillId="15" borderId="3" xfId="1" applyFont="1" applyFill="1" applyBorder="1" applyProtection="1">
      <protection locked="0"/>
    </xf>
    <xf numFmtId="9" fontId="0" fillId="15" borderId="13" xfId="1" applyFont="1" applyFill="1" applyBorder="1" applyProtection="1">
      <protection locked="0"/>
    </xf>
    <xf numFmtId="166" fontId="0" fillId="5" borderId="16" xfId="0" applyNumberFormat="1" applyFill="1" applyBorder="1" applyProtection="1">
      <protection locked="0"/>
    </xf>
    <xf numFmtId="9" fontId="0" fillId="15" borderId="12" xfId="1" applyFont="1" applyFill="1" applyBorder="1" applyProtection="1">
      <protection locked="0"/>
    </xf>
    <xf numFmtId="3" fontId="0" fillId="15" borderId="3" xfId="0" applyNumberFormat="1" applyFill="1" applyBorder="1" applyProtection="1">
      <protection locked="0"/>
    </xf>
    <xf numFmtId="3" fontId="0" fillId="5" borderId="13" xfId="0" applyNumberFormat="1" applyFill="1" applyBorder="1"/>
    <xf numFmtId="3" fontId="0" fillId="5" borderId="3" xfId="0" applyNumberFormat="1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9" fillId="6" borderId="0" xfId="0" applyFont="1" applyFill="1" applyAlignment="1">
      <alignment horizontal="center"/>
    </xf>
    <xf numFmtId="0" fontId="0" fillId="6" borderId="3" xfId="0" applyFill="1" applyBorder="1"/>
    <xf numFmtId="0" fontId="0" fillId="6" borderId="15" xfId="0" applyFill="1" applyBorder="1"/>
    <xf numFmtId="0" fontId="0" fillId="6" borderId="7" xfId="0" applyFill="1" applyBorder="1"/>
    <xf numFmtId="0" fontId="0" fillId="6" borderId="16" xfId="0" applyFill="1" applyBorder="1"/>
    <xf numFmtId="0" fontId="6" fillId="6" borderId="4" xfId="0" applyFont="1" applyFill="1" applyBorder="1"/>
    <xf numFmtId="0" fontId="6" fillId="6" borderId="10" xfId="0" applyFont="1" applyFill="1" applyBorder="1"/>
    <xf numFmtId="0" fontId="0" fillId="6" borderId="10" xfId="0" applyFill="1" applyBorder="1"/>
    <xf numFmtId="0" fontId="0" fillId="6" borderId="5" xfId="0" applyFill="1" applyBorder="1"/>
    <xf numFmtId="166" fontId="0" fillId="5" borderId="3" xfId="0" applyNumberFormat="1" applyFill="1" applyBorder="1"/>
    <xf numFmtId="0" fontId="0" fillId="15" borderId="3" xfId="0" applyFill="1" applyBorder="1" applyAlignment="1">
      <alignment horizontal="right"/>
    </xf>
    <xf numFmtId="0" fontId="10" fillId="0" borderId="0" xfId="0" applyFont="1"/>
    <xf numFmtId="4" fontId="0" fillId="11" borderId="4" xfId="0" applyNumberFormat="1" applyFill="1" applyBorder="1"/>
    <xf numFmtId="4" fontId="0" fillId="11" borderId="10" xfId="0" applyNumberFormat="1" applyFill="1" applyBorder="1"/>
    <xf numFmtId="4" fontId="0" fillId="11" borderId="5" xfId="0" applyNumberFormat="1" applyFill="1" applyBorder="1"/>
    <xf numFmtId="4" fontId="0" fillId="11" borderId="15" xfId="0" applyNumberFormat="1" applyFill="1" applyBorder="1"/>
    <xf numFmtId="4" fontId="0" fillId="11" borderId="7" xfId="0" applyNumberFormat="1" applyFill="1" applyBorder="1"/>
    <xf numFmtId="4" fontId="0" fillId="11" borderId="16" xfId="0" applyNumberFormat="1" applyFill="1" applyBorder="1"/>
    <xf numFmtId="3" fontId="0" fillId="19" borderId="8" xfId="0" applyNumberFormat="1" applyFill="1" applyBorder="1"/>
    <xf numFmtId="3" fontId="0" fillId="19" borderId="6" xfId="0" applyNumberFormat="1" applyFill="1" applyBorder="1"/>
    <xf numFmtId="4" fontId="0" fillId="19" borderId="6" xfId="0" applyNumberFormat="1" applyFill="1" applyBorder="1"/>
    <xf numFmtId="3" fontId="0" fillId="19" borderId="9" xfId="0" applyNumberFormat="1" applyFill="1" applyBorder="1"/>
    <xf numFmtId="3" fontId="11" fillId="5" borderId="12" xfId="0" applyNumberFormat="1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3" fontId="0" fillId="15" borderId="3" xfId="0" applyNumberFormat="1" applyFill="1" applyBorder="1"/>
    <xf numFmtId="3" fontId="0" fillId="15" borderId="16" xfId="0" applyNumberFormat="1" applyFill="1" applyBorder="1"/>
    <xf numFmtId="9" fontId="0" fillId="15" borderId="13" xfId="1" applyFont="1" applyFill="1" applyBorder="1" applyProtection="1"/>
    <xf numFmtId="4" fontId="0" fillId="11" borderId="2" xfId="0" applyNumberFormat="1" applyFill="1" applyBorder="1" applyAlignment="1">
      <alignment vertical="center"/>
    </xf>
    <xf numFmtId="4" fontId="0" fillId="5" borderId="10" xfId="0" applyNumberFormat="1" applyFill="1" applyBorder="1" applyAlignment="1">
      <alignment horizontal="left"/>
    </xf>
    <xf numFmtId="3" fontId="0" fillId="20" borderId="5" xfId="0" applyNumberFormat="1" applyFill="1" applyBorder="1" applyAlignment="1">
      <alignment horizontal="right" wrapText="1"/>
    </xf>
    <xf numFmtId="3" fontId="0" fillId="19" borderId="2" xfId="0" applyNumberFormat="1" applyFill="1" applyBorder="1"/>
    <xf numFmtId="0" fontId="0" fillId="22" borderId="0" xfId="0" applyFill="1"/>
    <xf numFmtId="3" fontId="0" fillId="22" borderId="14" xfId="0" applyNumberFormat="1" applyFill="1" applyBorder="1"/>
    <xf numFmtId="3" fontId="0" fillId="22" borderId="0" xfId="0" applyNumberFormat="1" applyFill="1"/>
    <xf numFmtId="3" fontId="0" fillId="22" borderId="3" xfId="0" applyNumberFormat="1" applyFill="1" applyBorder="1"/>
    <xf numFmtId="3" fontId="0" fillId="22" borderId="12" xfId="0" applyNumberFormat="1" applyFill="1" applyBorder="1"/>
    <xf numFmtId="3" fontId="0" fillId="22" borderId="7" xfId="0" applyNumberFormat="1" applyFill="1" applyBorder="1"/>
    <xf numFmtId="3" fontId="10" fillId="21" borderId="2" xfId="0" applyNumberFormat="1" applyFont="1" applyFill="1" applyBorder="1"/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 textRotation="90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11" borderId="4" xfId="0" applyNumberFormat="1" applyFill="1" applyBorder="1" applyAlignment="1">
      <alignment horizontal="center"/>
    </xf>
    <xf numFmtId="3" fontId="0" fillId="11" borderId="10" xfId="0" applyNumberFormat="1" applyFill="1" applyBorder="1" applyAlignment="1">
      <alignment horizontal="center"/>
    </xf>
    <xf numFmtId="3" fontId="0" fillId="11" borderId="5" xfId="0" applyNumberFormat="1" applyFill="1" applyBorder="1" applyAlignment="1">
      <alignment horizontal="center"/>
    </xf>
    <xf numFmtId="0" fontId="7" fillId="17" borderId="0" xfId="0" applyFont="1" applyFill="1" applyAlignment="1">
      <alignment horizontal="center" vertical="center"/>
    </xf>
    <xf numFmtId="4" fontId="0" fillId="11" borderId="8" xfId="0" applyNumberFormat="1" applyFill="1" applyBorder="1" applyAlignment="1">
      <alignment horizontal="center" vertical="center" wrapText="1"/>
    </xf>
    <xf numFmtId="4" fontId="0" fillId="11" borderId="6" xfId="0" applyNumberFormat="1" applyFill="1" applyBorder="1" applyAlignment="1">
      <alignment horizontal="center" vertical="center" wrapText="1"/>
    </xf>
    <xf numFmtId="4" fontId="0" fillId="11" borderId="9" xfId="0" applyNumberFormat="1" applyFill="1" applyBorder="1" applyAlignment="1">
      <alignment horizontal="center" vertical="center" wrapText="1"/>
    </xf>
    <xf numFmtId="3" fontId="0" fillId="20" borderId="8" xfId="0" applyNumberFormat="1" applyFill="1" applyBorder="1" applyAlignment="1">
      <alignment horizontal="center" vertical="center" wrapText="1"/>
    </xf>
    <xf numFmtId="3" fontId="0" fillId="20" borderId="9" xfId="0" applyNumberFormat="1" applyFill="1" applyBorder="1" applyAlignment="1">
      <alignment horizontal="center" vertical="center" wrapText="1"/>
    </xf>
    <xf numFmtId="166" fontId="0" fillId="11" borderId="4" xfId="0" applyNumberFormat="1" applyFill="1" applyBorder="1" applyAlignment="1">
      <alignment horizontal="center"/>
    </xf>
    <xf numFmtId="166" fontId="0" fillId="11" borderId="10" xfId="0" applyNumberFormat="1" applyFill="1" applyBorder="1" applyAlignment="1">
      <alignment horizontal="center"/>
    </xf>
    <xf numFmtId="166" fontId="0" fillId="11" borderId="5" xfId="0" applyNumberFormat="1" applyFill="1" applyBorder="1" applyAlignment="1">
      <alignment horizontal="center"/>
    </xf>
    <xf numFmtId="4" fontId="8" fillId="16" borderId="11" xfId="0" applyNumberFormat="1" applyFont="1" applyFill="1" applyBorder="1" applyAlignment="1">
      <alignment horizontal="center"/>
    </xf>
    <xf numFmtId="4" fontId="8" fillId="16" borderId="12" xfId="0" applyNumberFormat="1" applyFont="1" applyFill="1" applyBorder="1" applyAlignment="1">
      <alignment horizontal="center"/>
    </xf>
    <xf numFmtId="4" fontId="8" fillId="16" borderId="13" xfId="0" applyNumberFormat="1" applyFont="1" applyFill="1" applyBorder="1" applyAlignment="1">
      <alignment horizontal="center"/>
    </xf>
    <xf numFmtId="4" fontId="0" fillId="11" borderId="4" xfId="0" applyNumberFormat="1" applyFill="1" applyBorder="1" applyAlignment="1">
      <alignment horizontal="center"/>
    </xf>
    <xf numFmtId="4" fontId="0" fillId="11" borderId="10" xfId="0" applyNumberFormat="1" applyFill="1" applyBorder="1" applyAlignment="1">
      <alignment horizontal="center"/>
    </xf>
    <xf numFmtId="4" fontId="0" fillId="11" borderId="5" xfId="0" applyNumberFormat="1" applyFill="1" applyBorder="1" applyAlignment="1">
      <alignment horizontal="center"/>
    </xf>
    <xf numFmtId="4" fontId="0" fillId="11" borderId="14" xfId="0" applyNumberFormat="1" applyFill="1" applyBorder="1" applyAlignment="1">
      <alignment horizontal="center"/>
    </xf>
    <xf numFmtId="4" fontId="0" fillId="11" borderId="0" xfId="0" applyNumberFormat="1" applyFill="1" applyAlignment="1">
      <alignment horizontal="center"/>
    </xf>
    <xf numFmtId="4" fontId="0" fillId="11" borderId="3" xfId="0" applyNumberFormat="1" applyFill="1" applyBorder="1" applyAlignment="1">
      <alignment horizontal="center"/>
    </xf>
    <xf numFmtId="4" fontId="8" fillId="16" borderId="4" xfId="0" applyNumberFormat="1" applyFont="1" applyFill="1" applyBorder="1" applyAlignment="1">
      <alignment horizontal="center"/>
    </xf>
    <xf numFmtId="4" fontId="8" fillId="16" borderId="10" xfId="0" applyNumberFormat="1" applyFont="1" applyFill="1" applyBorder="1" applyAlignment="1">
      <alignment horizontal="center"/>
    </xf>
    <xf numFmtId="4" fontId="8" fillId="16" borderId="5" xfId="0" applyNumberFormat="1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</cellXfs>
  <cellStyles count="5">
    <cellStyle name="60% - Accent2" xfId="3" builtinId="36"/>
    <cellStyle name="Calculation" xfId="2" builtinId="22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Total value created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value created</a:t>
          </a:r>
        </a:p>
      </cx:txPr>
    </cx:title>
    <cx:plotArea>
      <cx:plotAreaRegion>
        <cx:series layoutId="waterfall" uniqueId="{18D0B98E-B93C-424F-A628-F94D58D126FF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32</xdr:row>
      <xdr:rowOff>9524</xdr:rowOff>
    </xdr:from>
    <xdr:to>
      <xdr:col>14</xdr:col>
      <xdr:colOff>742950</xdr:colOff>
      <xdr:row>47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ABC7CC07-A3AF-43CA-BA04-724927EF56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85225" y="6677024"/>
              <a:ext cx="10309225" cy="30702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137272</xdr:colOff>
      <xdr:row>1</xdr:row>
      <xdr:rowOff>61319</xdr:rowOff>
    </xdr:from>
    <xdr:to>
      <xdr:col>8</xdr:col>
      <xdr:colOff>949138</xdr:colOff>
      <xdr:row>3</xdr:row>
      <xdr:rowOff>156994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452A632-3A77-4928-871F-928C88758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8684" y="442319"/>
          <a:ext cx="792816" cy="7942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stien Pirson" id="{DD773E78-9E0A-4E14-A1C2-B0C1B6F52E6D}" userId="Bastien Pirso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0-04-07T15:16:04.28" personId="{DD773E78-9E0A-4E14-A1C2-B0C1B6F52E6D}" id="{D9DDF13F-7BAD-47AC-ACCE-FDB9C50F9C5A}">
    <text>Attention: ce n'est une économie nette pour l'hopital car ce nouveau séjour sera quand même financé (mais est il financé de la même façon ?)</text>
  </threadedComment>
  <threadedComment ref="C39" dT="2020-04-28T14:06:10.69" personId="{DD773E78-9E0A-4E14-A1C2-B0C1B6F52E6D}" id="{2A770B06-6C5E-411D-869D-9B7B7FD28645}">
    <text>Assuming 3 visits per patients with 15min in total per visit</text>
  </threadedComment>
  <threadedComment ref="C52" dT="2020-04-07T15:27:59.14" personId="{DD773E78-9E0A-4E14-A1C2-B0C1B6F52E6D}" id="{B1DFEE1D-FFF3-453C-8E0E-49478F308C76}">
    <text>Il faudrait plusieurs sources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4" dT="2020-04-06T11:47:08.40" personId="{DD773E78-9E0A-4E14-A1C2-B0C1B6F52E6D}" id="{E85ECC2D-B1D2-4C11-B398-20524F227E9C}">
    <text>Hypotheses:  
-	#Technical visits per 365 days: 2
-	Average time/visit (ride incl.): 2 hours 
-	Avg technician hourly cost (EUR):100
-	Total cost/visit: 200
-	% visits avoided thanks to Feedim: 20%
-	Potential cost saving per year per patient: 80 EUR</text>
  </threadedComment>
  <threadedComment ref="C25" dT="2020-04-06T11:47:23.96" personId="{DD773E78-9E0A-4E14-A1C2-B0C1B6F52E6D}" id="{55DCCB52-0A5D-4EC5-9B88-1742303EEEE7}">
    <text>Hypotheses:  
-	#Technical visits per 365 days: 2
-	10 minutes saved during on-site visits thanks to Feedim information received upfront. 
-	Avg technician hourly cost (EUR):100
-	20 minutes saved per patient per year
-	Calculation does not include administrative and communication costs 
-	Potential cost saving per year per patient: 
33 EUR</text>
  </threadedComment>
  <threadedComment ref="C26" dT="2020-04-06T11:48:38.68" personId="{DD773E78-9E0A-4E14-A1C2-B0C1B6F52E6D}" id="{EF0619D1-7494-4120-9A7D-1486057DC44A}">
    <text>Hypotheses:
-	10% of products are not consumed or 36 days wasted per year
-	Nutrition products costs approximately 3 EUR per day
-	Optimization of delivered quantities could reduce waste by 50%
-	Potential cost saving per year and per patient: 54 EUR
Note: In certain countries, according local rules, products delivered at home are considered as biological wastes and must be managed as such.</text>
  </threadedComment>
  <threadedComment ref="C27" dT="2020-04-06T11:49:18.55" personId="{DD773E78-9E0A-4E14-A1C2-B0C1B6F52E6D}" id="{A55F0946-63E0-4414-A23E-FAB540D306C1}">
    <text>Hypotheses:
-	#Technical visits per 365 days: 2
-	50% of technical visits do require pump replacement and pump refurbishing
-	Refurbishing cost includes: Administrative paperwork for return, shipment or transportation, decontamination, diagnosis of failure, functional tests and quality control. 
-	Refurbishing cost does not include spare parts.
-	Estimated cost of pump refurbishing: min. 150 EUR
-	Estimated pumps that could be fixed on-site: 25%. 
-	Potential cost saving per year: 37,5 EUR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25" dT="2021-03-18T14:35:43.54" personId="{DD773E78-9E0A-4E14-A1C2-B0C1B6F52E6D}" id="{494B4ABF-B347-4109-83D8-7ADC8B82321D}">
    <text>It's very much debatable, new studies found less impact to no impact.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ubmed/10428004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www.ncbi.nlm.nih.gov/pmc/articles/PMC3084475/" TargetMode="External"/><Relationship Id="rId7" Type="http://schemas.openxmlformats.org/officeDocument/2006/relationships/hyperlink" Target="https://www.sciencedirect.com/science/article/pii/S1568163713000627?via%3Dihub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ncbi.nlm.nih.gov/pmc/articles/PMC3084475/" TargetMode="External"/><Relationship Id="rId1" Type="http://schemas.openxmlformats.org/officeDocument/2006/relationships/hyperlink" Target="https://ec.europa.eu/eurostat/statistics-explained/index.php?title=Hospital_discharges_and_length_of_stay_statistics" TargetMode="External"/><Relationship Id="rId6" Type="http://schemas.openxmlformats.org/officeDocument/2006/relationships/hyperlink" Target="https://gcm.rmnet.be/clients/rmnet/content/medias/715114f_antares_etude_2019.pdf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ncbi.nlm.nih.gov/pubmed/26688128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ncbi.nlm.nih.gov/pubmed/23731960" TargetMode="External"/><Relationship Id="rId9" Type="http://schemas.openxmlformats.org/officeDocument/2006/relationships/hyperlink" Target="https://www.chuliege.be/jcms/c2_17231220/fr/le-chu-de-liege-en-quelques-chiffr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microsoft.com/office/2017/10/relationships/threadedComment" Target="../threadedComments/threadedComment3.xml"/><Relationship Id="rId2" Type="http://schemas.openxmlformats.org/officeDocument/2006/relationships/hyperlink" Target="https://www.ncbi.nlm.nih.gov/pmc/articles/PMC3084475/" TargetMode="External"/><Relationship Id="rId1" Type="http://schemas.openxmlformats.org/officeDocument/2006/relationships/hyperlink" Target="https://www.bapen.org.uk/pdfs/economic-report-short.pdf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45FA-EF5D-4869-8A49-C51D3CC89E58}">
  <dimension ref="A1:L63"/>
  <sheetViews>
    <sheetView zoomScale="115" zoomScaleNormal="115" workbookViewId="0">
      <selection activeCell="C2" sqref="C2"/>
    </sheetView>
  </sheetViews>
  <sheetFormatPr baseColWidth="10" defaultColWidth="11.5" defaultRowHeight="15" x14ac:dyDescent="0.2"/>
  <cols>
    <col min="1" max="1" width="25.33203125" customWidth="1"/>
    <col min="2" max="2" width="47.5" customWidth="1"/>
    <col min="3" max="3" width="39.6640625" customWidth="1"/>
    <col min="4" max="4" width="21.83203125" customWidth="1"/>
    <col min="5" max="5" width="13.33203125" customWidth="1"/>
    <col min="6" max="6" width="12.33203125" customWidth="1"/>
    <col min="7" max="8" width="42.1640625" customWidth="1"/>
    <col min="9" max="9" width="35.83203125" customWidth="1"/>
    <col min="10" max="10" width="19.33203125" customWidth="1"/>
    <col min="11" max="11" width="23.1640625" customWidth="1"/>
    <col min="12" max="12" width="15.6640625" customWidth="1"/>
    <col min="13" max="13" width="15.33203125" customWidth="1"/>
  </cols>
  <sheetData>
    <row r="1" spans="1:12" x14ac:dyDescent="0.2">
      <c r="C1" s="20" t="s">
        <v>0</v>
      </c>
    </row>
    <row r="2" spans="1:12" x14ac:dyDescent="0.2">
      <c r="A2" s="166" t="s">
        <v>1</v>
      </c>
      <c r="B2" s="3" t="s">
        <v>2</v>
      </c>
      <c r="C2" s="3">
        <v>60</v>
      </c>
    </row>
    <row r="3" spans="1:12" x14ac:dyDescent="0.2">
      <c r="A3" s="166"/>
      <c r="B3" s="3" t="s">
        <v>3</v>
      </c>
      <c r="C3" s="6">
        <v>0.5</v>
      </c>
    </row>
    <row r="4" spans="1:12" x14ac:dyDescent="0.2">
      <c r="A4" s="166"/>
      <c r="B4" s="3" t="s">
        <v>4</v>
      </c>
      <c r="C4" s="3">
        <f>C2*C3</f>
        <v>30</v>
      </c>
      <c r="K4" s="1"/>
      <c r="L4" s="1"/>
    </row>
    <row r="5" spans="1:12" x14ac:dyDescent="0.2">
      <c r="D5" s="22" t="s">
        <v>5</v>
      </c>
      <c r="E5" s="22" t="s">
        <v>6</v>
      </c>
      <c r="F5" s="22" t="s">
        <v>7</v>
      </c>
      <c r="G5" s="22" t="s">
        <v>8</v>
      </c>
      <c r="K5" s="1"/>
      <c r="L5" s="1"/>
    </row>
    <row r="6" spans="1:12" x14ac:dyDescent="0.2">
      <c r="A6" s="166" t="s">
        <v>9</v>
      </c>
      <c r="B6" s="3" t="s">
        <v>10</v>
      </c>
      <c r="C6" s="3" t="s">
        <v>11</v>
      </c>
      <c r="D6" s="5"/>
      <c r="E6" s="5"/>
      <c r="F6" s="5"/>
      <c r="K6" s="1"/>
      <c r="L6" s="1"/>
    </row>
    <row r="7" spans="1:12" x14ac:dyDescent="0.2">
      <c r="A7" s="166"/>
      <c r="B7" s="3" t="s">
        <v>12</v>
      </c>
      <c r="C7" s="3" t="s">
        <v>11</v>
      </c>
      <c r="D7" s="5"/>
      <c r="E7" s="5"/>
      <c r="F7" s="5"/>
      <c r="K7" s="1"/>
      <c r="L7" s="1"/>
    </row>
    <row r="8" spans="1:12" x14ac:dyDescent="0.2">
      <c r="A8" s="166"/>
      <c r="B8" s="3" t="s">
        <v>13</v>
      </c>
      <c r="C8" s="3">
        <v>1</v>
      </c>
      <c r="D8" s="5"/>
      <c r="E8" s="5"/>
      <c r="F8" s="5"/>
      <c r="K8" s="1"/>
      <c r="L8" s="1"/>
    </row>
    <row r="9" spans="1:12" x14ac:dyDescent="0.2">
      <c r="A9" s="166"/>
      <c r="B9" s="3" t="s">
        <v>14</v>
      </c>
      <c r="C9" s="3">
        <v>24</v>
      </c>
      <c r="D9" s="5"/>
      <c r="E9" s="5"/>
      <c r="F9" s="5"/>
      <c r="K9" s="1"/>
      <c r="L9" s="1"/>
    </row>
    <row r="10" spans="1:12" x14ac:dyDescent="0.2">
      <c r="A10" s="166"/>
      <c r="B10" s="3" t="s">
        <v>15</v>
      </c>
      <c r="C10" s="3">
        <f>C8*C4*(24/C9)</f>
        <v>30</v>
      </c>
      <c r="D10" s="5"/>
      <c r="E10" s="5"/>
      <c r="F10" s="5"/>
      <c r="K10" s="1"/>
      <c r="L10" s="1"/>
    </row>
    <row r="11" spans="1:12" x14ac:dyDescent="0.2">
      <c r="A11" s="166"/>
      <c r="B11" s="3" t="s">
        <v>16</v>
      </c>
      <c r="C11" s="7">
        <f>(C10*365)/60</f>
        <v>182.5</v>
      </c>
      <c r="D11" s="15">
        <f>C11</f>
        <v>182.5</v>
      </c>
      <c r="E11" s="15"/>
      <c r="F11" s="15"/>
      <c r="K11" s="1"/>
      <c r="L11" s="1"/>
    </row>
    <row r="12" spans="1:12" x14ac:dyDescent="0.2">
      <c r="A12" s="166"/>
      <c r="B12" s="3" t="s">
        <v>17</v>
      </c>
      <c r="C12" s="7">
        <f>((2500*0.42)+2500)/160</f>
        <v>22.1875</v>
      </c>
      <c r="D12" s="15"/>
      <c r="E12" s="15"/>
      <c r="F12" s="15"/>
    </row>
    <row r="13" spans="1:12" x14ac:dyDescent="0.2">
      <c r="G13" s="21">
        <f>C12*C11</f>
        <v>4049.21875</v>
      </c>
    </row>
    <row r="14" spans="1:12" x14ac:dyDescent="0.2">
      <c r="A14" s="166" t="s">
        <v>18</v>
      </c>
      <c r="B14" s="3" t="s">
        <v>19</v>
      </c>
      <c r="C14" s="3">
        <v>3</v>
      </c>
      <c r="D14" s="5"/>
      <c r="E14" s="5"/>
      <c r="F14" s="5"/>
    </row>
    <row r="15" spans="1:12" x14ac:dyDescent="0.2">
      <c r="A15" s="166"/>
      <c r="B15" s="3" t="s">
        <v>20</v>
      </c>
      <c r="C15" s="7">
        <f>(C14*C31)/60</f>
        <v>109.49999999999997</v>
      </c>
      <c r="D15" s="15">
        <f>C15</f>
        <v>109.49999999999997</v>
      </c>
      <c r="E15" s="5"/>
      <c r="F15" s="5"/>
    </row>
    <row r="16" spans="1:12" x14ac:dyDescent="0.2">
      <c r="A16" s="166"/>
      <c r="B16" s="3" t="s">
        <v>21</v>
      </c>
      <c r="C16" s="15">
        <f>((5000*0.42)+5000)/160</f>
        <v>44.375</v>
      </c>
      <c r="D16" s="15"/>
      <c r="E16" s="15"/>
      <c r="F16" s="15"/>
    </row>
    <row r="17" spans="1:7" x14ac:dyDescent="0.2">
      <c r="G17" s="18" t="s">
        <v>22</v>
      </c>
    </row>
    <row r="18" spans="1:7" x14ac:dyDescent="0.2">
      <c r="A18" s="166" t="s">
        <v>23</v>
      </c>
      <c r="B18" s="3" t="s">
        <v>24</v>
      </c>
      <c r="C18" s="3">
        <v>5</v>
      </c>
      <c r="D18" s="5"/>
      <c r="E18" s="5"/>
      <c r="F18" s="5"/>
    </row>
    <row r="19" spans="1:7" x14ac:dyDescent="0.2">
      <c r="A19" s="166"/>
      <c r="B19" s="3" t="s">
        <v>25</v>
      </c>
      <c r="C19" s="3">
        <f>C18*C2*C30</f>
        <v>210</v>
      </c>
      <c r="D19" s="5"/>
      <c r="E19" s="5"/>
      <c r="F19" s="5"/>
    </row>
    <row r="20" spans="1:7" x14ac:dyDescent="0.2">
      <c r="A20" s="166"/>
      <c r="B20" s="3" t="s">
        <v>26</v>
      </c>
      <c r="C20" s="7">
        <f>(C19*365)/60</f>
        <v>1277.5</v>
      </c>
      <c r="D20" s="15">
        <f>C20</f>
        <v>1277.5</v>
      </c>
      <c r="E20" s="15"/>
      <c r="F20" s="15"/>
    </row>
    <row r="21" spans="1:7" x14ac:dyDescent="0.2">
      <c r="A21" s="166"/>
      <c r="B21" s="3" t="s">
        <v>27</v>
      </c>
      <c r="C21" s="3">
        <v>20</v>
      </c>
      <c r="D21" s="5"/>
      <c r="E21" s="5"/>
      <c r="F21" s="5"/>
    </row>
    <row r="22" spans="1:7" x14ac:dyDescent="0.2">
      <c r="G22" s="23">
        <f>C21*C20</f>
        <v>25550</v>
      </c>
    </row>
    <row r="23" spans="1:7" x14ac:dyDescent="0.2">
      <c r="A23" s="166" t="s">
        <v>28</v>
      </c>
      <c r="B23" s="3" t="s">
        <v>29</v>
      </c>
      <c r="C23" s="6">
        <v>0.1</v>
      </c>
      <c r="D23" s="9"/>
      <c r="E23" s="9"/>
      <c r="F23" s="9"/>
    </row>
    <row r="24" spans="1:7" ht="14.5" customHeight="1" x14ac:dyDescent="0.2">
      <c r="A24" s="166"/>
      <c r="B24" s="3" t="s">
        <v>30</v>
      </c>
      <c r="C24" s="3" t="s">
        <v>31</v>
      </c>
      <c r="D24" s="5"/>
      <c r="E24" s="5"/>
      <c r="F24" s="5"/>
    </row>
    <row r="25" spans="1:7" x14ac:dyDescent="0.2">
      <c r="G25" s="18" t="s">
        <v>31</v>
      </c>
    </row>
    <row r="26" spans="1:7" x14ac:dyDescent="0.2">
      <c r="A26" s="166" t="s">
        <v>32</v>
      </c>
      <c r="B26" s="3" t="s">
        <v>33</v>
      </c>
      <c r="C26" s="3">
        <v>7</v>
      </c>
      <c r="D26" s="5"/>
      <c r="E26" s="5"/>
      <c r="F26" s="5"/>
    </row>
    <row r="27" spans="1:7" x14ac:dyDescent="0.2">
      <c r="A27" s="166"/>
      <c r="B27" s="3" t="s">
        <v>34</v>
      </c>
      <c r="C27" s="8">
        <v>0.01</v>
      </c>
      <c r="D27" s="24"/>
      <c r="E27" s="24"/>
      <c r="F27" s="24"/>
    </row>
    <row r="28" spans="1:7" x14ac:dyDescent="0.2">
      <c r="A28" s="166"/>
      <c r="B28" s="3" t="s">
        <v>35</v>
      </c>
      <c r="C28" s="10">
        <f>C26-(C26*C27)</f>
        <v>6.93</v>
      </c>
      <c r="D28" s="25"/>
      <c r="E28" s="25"/>
      <c r="F28" s="25"/>
    </row>
    <row r="29" spans="1:7" x14ac:dyDescent="0.2">
      <c r="A29" s="166"/>
      <c r="B29" s="3" t="s">
        <v>36</v>
      </c>
      <c r="C29" s="3">
        <v>1500</v>
      </c>
      <c r="D29" s="5"/>
      <c r="E29" s="5"/>
      <c r="F29" s="5"/>
    </row>
    <row r="30" spans="1:7" x14ac:dyDescent="0.2">
      <c r="A30" s="166"/>
      <c r="B30" s="3" t="s">
        <v>37</v>
      </c>
      <c r="C30" s="8">
        <v>0.7</v>
      </c>
      <c r="D30" s="24"/>
      <c r="E30" s="24"/>
      <c r="F30" s="24"/>
    </row>
    <row r="31" spans="1:7" x14ac:dyDescent="0.2">
      <c r="A31" s="166"/>
      <c r="B31" s="3" t="s">
        <v>38</v>
      </c>
      <c r="C31" s="3">
        <f>((C2*365)/C26)*C30</f>
        <v>2189.9999999999995</v>
      </c>
      <c r="D31" s="5"/>
      <c r="E31" s="5"/>
      <c r="F31" s="5"/>
    </row>
    <row r="32" spans="1:7" x14ac:dyDescent="0.2">
      <c r="A32" s="166"/>
      <c r="B32" s="3" t="s">
        <v>3</v>
      </c>
      <c r="C32" s="9">
        <v>0.5</v>
      </c>
      <c r="D32" s="9"/>
      <c r="E32" s="9"/>
      <c r="F32" s="9"/>
    </row>
    <row r="33" spans="1:10" x14ac:dyDescent="0.2">
      <c r="G33" s="16">
        <f>(C28*C32*C31*C29)-(C26*C32*C31*C29)</f>
        <v>-114975</v>
      </c>
    </row>
    <row r="34" spans="1:10" x14ac:dyDescent="0.2">
      <c r="A34" s="169" t="s">
        <v>39</v>
      </c>
      <c r="B34" s="5" t="s">
        <v>40</v>
      </c>
      <c r="C34" s="6">
        <v>0.1</v>
      </c>
      <c r="D34" s="9"/>
      <c r="E34" s="9"/>
      <c r="F34" s="9"/>
    </row>
    <row r="35" spans="1:10" x14ac:dyDescent="0.2">
      <c r="A35" s="169"/>
      <c r="B35" s="3" t="s">
        <v>41</v>
      </c>
      <c r="C35" s="6">
        <v>0.2</v>
      </c>
      <c r="D35" s="9"/>
      <c r="E35" s="9"/>
      <c r="F35" s="9"/>
    </row>
    <row r="36" spans="1:10" x14ac:dyDescent="0.2">
      <c r="A36" s="169"/>
      <c r="B36" s="3" t="s">
        <v>42</v>
      </c>
      <c r="C36" s="3">
        <v>200</v>
      </c>
      <c r="D36" s="5"/>
      <c r="E36" s="5"/>
      <c r="F36" s="5"/>
    </row>
    <row r="37" spans="1:10" x14ac:dyDescent="0.2">
      <c r="G37" s="17">
        <f>(C31*(C35-C34))*C36</f>
        <v>43799.999999999993</v>
      </c>
    </row>
    <row r="38" spans="1:10" x14ac:dyDescent="0.2">
      <c r="A38" s="166" t="s">
        <v>43</v>
      </c>
    </row>
    <row r="39" spans="1:10" x14ac:dyDescent="0.2">
      <c r="A39" s="166"/>
    </row>
    <row r="40" spans="1:10" x14ac:dyDescent="0.2">
      <c r="A40" s="166"/>
    </row>
    <row r="41" spans="1:10" x14ac:dyDescent="0.2">
      <c r="H41">
        <f>-G33+G37</f>
        <v>158775</v>
      </c>
      <c r="I41">
        <f>(H41/14)/365</f>
        <v>31.071428571428573</v>
      </c>
      <c r="J41">
        <f>I41/2</f>
        <v>15.535714285714286</v>
      </c>
    </row>
    <row r="43" spans="1:10" x14ac:dyDescent="0.2">
      <c r="B43" s="19" t="s">
        <v>44</v>
      </c>
      <c r="C43" s="19"/>
      <c r="D43" s="19"/>
      <c r="E43" s="19"/>
      <c r="F43" s="19"/>
      <c r="G43" s="19"/>
      <c r="H43" s="19"/>
      <c r="I43" s="19"/>
    </row>
    <row r="44" spans="1:10" x14ac:dyDescent="0.2">
      <c r="B44" s="14" t="s">
        <v>45</v>
      </c>
      <c r="C44" s="14" t="s">
        <v>46</v>
      </c>
      <c r="D44" s="14"/>
      <c r="E44" s="14"/>
      <c r="F44" s="14"/>
      <c r="G44" s="2" t="s">
        <v>47</v>
      </c>
      <c r="H44" s="2" t="s">
        <v>48</v>
      </c>
      <c r="I44" s="2" t="s">
        <v>49</v>
      </c>
    </row>
    <row r="45" spans="1:10" ht="14.5" customHeight="1" x14ac:dyDescent="0.2">
      <c r="A45" s="168" t="s">
        <v>6</v>
      </c>
      <c r="B45" s="11" t="s">
        <v>50</v>
      </c>
      <c r="C45" s="11" t="s">
        <v>51</v>
      </c>
      <c r="D45" s="11"/>
      <c r="E45" s="11"/>
      <c r="F45" s="11"/>
      <c r="G45" s="12">
        <v>1</v>
      </c>
      <c r="H45" s="11">
        <v>0</v>
      </c>
      <c r="I45" s="11"/>
    </row>
    <row r="46" spans="1:10" x14ac:dyDescent="0.2">
      <c r="A46" s="168"/>
      <c r="B46" s="11" t="s">
        <v>52</v>
      </c>
      <c r="C46" s="11" t="s">
        <v>53</v>
      </c>
      <c r="D46" s="11"/>
      <c r="E46" s="11"/>
      <c r="F46" s="11"/>
      <c r="G46" s="12">
        <v>1</v>
      </c>
      <c r="H46" s="11">
        <v>0</v>
      </c>
      <c r="I46" s="11"/>
    </row>
    <row r="47" spans="1:10" x14ac:dyDescent="0.2">
      <c r="A47" s="168"/>
      <c r="B47" s="11" t="s">
        <v>54</v>
      </c>
      <c r="C47" s="11" t="s">
        <v>53</v>
      </c>
      <c r="D47" s="11"/>
      <c r="E47" s="11"/>
      <c r="F47" s="11"/>
      <c r="G47" s="12">
        <v>3</v>
      </c>
      <c r="H47" s="13">
        <f>C20*C21</f>
        <v>25550</v>
      </c>
      <c r="I47" s="11"/>
    </row>
    <row r="48" spans="1:10" x14ac:dyDescent="0.2">
      <c r="A48" s="168"/>
      <c r="B48" s="11" t="s">
        <v>55</v>
      </c>
      <c r="C48" s="11" t="s">
        <v>56</v>
      </c>
      <c r="D48" s="11"/>
      <c r="E48" s="11"/>
      <c r="F48" s="11"/>
      <c r="G48" s="12">
        <v>4</v>
      </c>
      <c r="H48" s="11"/>
      <c r="I48" s="11"/>
    </row>
    <row r="49" spans="1:9" x14ac:dyDescent="0.2">
      <c r="A49" s="168"/>
      <c r="B49" s="11" t="s">
        <v>57</v>
      </c>
      <c r="C49" s="11" t="s">
        <v>58</v>
      </c>
      <c r="D49" s="11"/>
      <c r="E49" s="11"/>
      <c r="F49" s="11"/>
      <c r="G49" s="12">
        <v>3</v>
      </c>
      <c r="H49" s="11"/>
      <c r="I49" s="11"/>
    </row>
    <row r="50" spans="1:9" x14ac:dyDescent="0.2">
      <c r="A50" s="168"/>
      <c r="B50" s="11" t="s">
        <v>59</v>
      </c>
      <c r="C50" s="11" t="s">
        <v>60</v>
      </c>
      <c r="D50" s="11"/>
      <c r="E50" s="11"/>
      <c r="F50" s="11"/>
      <c r="G50" s="12">
        <v>2</v>
      </c>
      <c r="H50" s="11"/>
      <c r="I50" s="11"/>
    </row>
    <row r="51" spans="1:9" x14ac:dyDescent="0.2">
      <c r="A51" s="168"/>
      <c r="B51" s="11" t="s">
        <v>61</v>
      </c>
      <c r="C51" s="11" t="s">
        <v>62</v>
      </c>
      <c r="D51" s="11"/>
      <c r="E51" s="11"/>
      <c r="F51" s="11"/>
      <c r="G51" s="12" t="s">
        <v>63</v>
      </c>
      <c r="H51" s="11"/>
      <c r="I51" s="11"/>
    </row>
    <row r="52" spans="1:9" x14ac:dyDescent="0.2">
      <c r="A52" s="168"/>
      <c r="B52" s="11" t="s">
        <v>64</v>
      </c>
      <c r="C52" s="11" t="s">
        <v>65</v>
      </c>
      <c r="D52" s="11"/>
      <c r="E52" s="11"/>
      <c r="F52" s="11"/>
      <c r="G52" s="11"/>
      <c r="H52" s="11"/>
      <c r="I52" s="11"/>
    </row>
    <row r="53" spans="1:9" x14ac:dyDescent="0.2">
      <c r="A53" s="168"/>
      <c r="B53" s="11" t="s">
        <v>66</v>
      </c>
      <c r="C53" s="11" t="s">
        <v>67</v>
      </c>
      <c r="D53" s="11"/>
      <c r="E53" s="11"/>
      <c r="F53" s="11"/>
      <c r="G53" s="11"/>
      <c r="H53" s="11"/>
      <c r="I53" s="11"/>
    </row>
    <row r="54" spans="1:9" x14ac:dyDescent="0.2">
      <c r="A54" s="168"/>
      <c r="B54" s="11" t="s">
        <v>68</v>
      </c>
      <c r="C54" s="11" t="s">
        <v>69</v>
      </c>
      <c r="D54" s="11"/>
      <c r="E54" s="11"/>
      <c r="F54" s="11"/>
      <c r="G54" s="11"/>
      <c r="H54" s="11"/>
      <c r="I54" s="11"/>
    </row>
    <row r="55" spans="1:9" x14ac:dyDescent="0.2">
      <c r="A55" s="168"/>
      <c r="B55" s="11" t="s">
        <v>70</v>
      </c>
      <c r="C55" s="11" t="s">
        <v>51</v>
      </c>
      <c r="D55" s="11"/>
      <c r="E55" s="11"/>
      <c r="F55" s="11"/>
      <c r="G55" s="11"/>
      <c r="H55" s="11"/>
      <c r="I55" s="11"/>
    </row>
    <row r="56" spans="1:9" x14ac:dyDescent="0.2">
      <c r="A56" s="168"/>
      <c r="B56" s="11" t="s">
        <v>71</v>
      </c>
      <c r="C56" s="11" t="s">
        <v>72</v>
      </c>
      <c r="D56" s="11"/>
      <c r="E56" s="11"/>
      <c r="F56" s="11"/>
      <c r="G56" s="11"/>
      <c r="H56" s="11"/>
      <c r="I56" s="11"/>
    </row>
    <row r="57" spans="1:9" x14ac:dyDescent="0.2">
      <c r="A57" s="168"/>
      <c r="B57" s="11" t="s">
        <v>73</v>
      </c>
      <c r="C57" s="11" t="s">
        <v>65</v>
      </c>
      <c r="D57" s="11"/>
      <c r="E57" s="11"/>
      <c r="F57" s="11"/>
      <c r="G57" s="11"/>
      <c r="H57" s="11"/>
      <c r="I57" s="11"/>
    </row>
    <row r="58" spans="1:9" x14ac:dyDescent="0.2">
      <c r="A58" s="168"/>
      <c r="B58" s="11" t="s">
        <v>74</v>
      </c>
      <c r="C58" s="11"/>
      <c r="D58" s="11"/>
      <c r="E58" s="11"/>
      <c r="F58" s="11"/>
      <c r="G58" s="11"/>
      <c r="H58" s="11"/>
      <c r="I58" s="11"/>
    </row>
    <row r="59" spans="1:9" x14ac:dyDescent="0.2">
      <c r="A59" s="168"/>
      <c r="B59" s="11" t="s">
        <v>75</v>
      </c>
      <c r="C59" s="11" t="s">
        <v>72</v>
      </c>
      <c r="D59" s="11"/>
      <c r="E59" s="11"/>
      <c r="F59" s="11"/>
      <c r="G59" s="11"/>
      <c r="H59" s="11"/>
      <c r="I59" s="11"/>
    </row>
    <row r="62" spans="1:9" x14ac:dyDescent="0.2">
      <c r="A62" s="167" t="s">
        <v>7</v>
      </c>
      <c r="B62" t="s">
        <v>76</v>
      </c>
      <c r="C62" t="s">
        <v>77</v>
      </c>
      <c r="G62" s="1">
        <v>2</v>
      </c>
      <c r="H62" s="4">
        <f>C11*C12</f>
        <v>4049.21875</v>
      </c>
    </row>
    <row r="63" spans="1:9" x14ac:dyDescent="0.2">
      <c r="A63" s="167"/>
      <c r="B63" t="s">
        <v>78</v>
      </c>
      <c r="C63" t="s">
        <v>79</v>
      </c>
      <c r="G63" s="1" t="s">
        <v>80</v>
      </c>
    </row>
  </sheetData>
  <mergeCells count="10">
    <mergeCell ref="A2:A4"/>
    <mergeCell ref="A26:A32"/>
    <mergeCell ref="A62:A63"/>
    <mergeCell ref="A45:A59"/>
    <mergeCell ref="A6:A12"/>
    <mergeCell ref="A14:A16"/>
    <mergeCell ref="A18:A21"/>
    <mergeCell ref="A23:A24"/>
    <mergeCell ref="A38:A40"/>
    <mergeCell ref="A34:A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294-80FB-4F1D-A188-3B8473F5D150}">
  <dimension ref="A1:R63"/>
  <sheetViews>
    <sheetView workbookViewId="0">
      <selection activeCell="C11" sqref="C11"/>
    </sheetView>
  </sheetViews>
  <sheetFormatPr baseColWidth="10" defaultColWidth="11.5" defaultRowHeight="15" x14ac:dyDescent="0.2"/>
  <cols>
    <col min="1" max="1" width="19.5" customWidth="1"/>
    <col min="2" max="2" width="59.5" customWidth="1"/>
    <col min="3" max="3" width="48.33203125" customWidth="1"/>
    <col min="4" max="4" width="44.5" customWidth="1"/>
    <col min="5" max="5" width="36.33203125" hidden="1" customWidth="1"/>
    <col min="6" max="6" width="34.5" hidden="1" customWidth="1"/>
    <col min="7" max="7" width="21.5" hidden="1" customWidth="1"/>
    <col min="8" max="8" width="16.5" hidden="1" customWidth="1"/>
    <col min="9" max="9" width="22.5" hidden="1" customWidth="1"/>
    <col min="10" max="11" width="15.83203125" hidden="1" customWidth="1"/>
    <col min="12" max="12" width="10.6640625" hidden="1" customWidth="1"/>
    <col min="13" max="13" width="18.1640625" hidden="1" customWidth="1"/>
    <col min="14" max="14" width="15.83203125" hidden="1" customWidth="1"/>
    <col min="15" max="15" width="20.5" customWidth="1"/>
    <col min="16" max="16" width="18.6640625" customWidth="1"/>
  </cols>
  <sheetData>
    <row r="1" spans="1:15" x14ac:dyDescent="0.2">
      <c r="D1" s="12" t="s">
        <v>81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 t="s">
        <v>81</v>
      </c>
    </row>
    <row r="2" spans="1:15" x14ac:dyDescent="0.2">
      <c r="A2" s="171" t="s">
        <v>82</v>
      </c>
      <c r="B2" s="54" t="s">
        <v>83</v>
      </c>
      <c r="C2" s="48">
        <v>925</v>
      </c>
      <c r="D2" t="s">
        <v>84</v>
      </c>
      <c r="O2" s="63" t="s">
        <v>85</v>
      </c>
    </row>
    <row r="3" spans="1:15" ht="15" customHeight="1" x14ac:dyDescent="0.2">
      <c r="A3" s="171"/>
      <c r="B3" s="54" t="s">
        <v>86</v>
      </c>
      <c r="C3" s="48">
        <v>10000</v>
      </c>
      <c r="D3" t="s">
        <v>84</v>
      </c>
      <c r="O3" s="63"/>
    </row>
    <row r="4" spans="1:15" x14ac:dyDescent="0.2">
      <c r="A4" s="171"/>
      <c r="B4" s="54" t="s">
        <v>87</v>
      </c>
      <c r="C4" s="48">
        <v>400</v>
      </c>
    </row>
    <row r="5" spans="1:15" x14ac:dyDescent="0.2">
      <c r="A5" s="171"/>
      <c r="B5" s="54" t="s">
        <v>88</v>
      </c>
      <c r="C5" s="48">
        <v>4</v>
      </c>
      <c r="D5" t="s">
        <v>89</v>
      </c>
      <c r="O5" s="63" t="s">
        <v>90</v>
      </c>
    </row>
    <row r="6" spans="1:15" x14ac:dyDescent="0.2">
      <c r="A6" s="171"/>
      <c r="B6" s="54" t="s">
        <v>91</v>
      </c>
      <c r="C6" s="4">
        <f>C3*C5</f>
        <v>40000</v>
      </c>
    </row>
    <row r="7" spans="1:15" x14ac:dyDescent="0.2">
      <c r="A7" s="55"/>
    </row>
    <row r="8" spans="1:15" x14ac:dyDescent="0.2">
      <c r="A8" s="171" t="s">
        <v>39</v>
      </c>
      <c r="B8" s="54" t="s">
        <v>92</v>
      </c>
      <c r="C8" s="49">
        <v>0.2</v>
      </c>
      <c r="D8" t="s">
        <v>93</v>
      </c>
      <c r="O8" s="63" t="s">
        <v>94</v>
      </c>
    </row>
    <row r="9" spans="1:15" x14ac:dyDescent="0.2">
      <c r="A9" s="171"/>
      <c r="B9" s="54" t="s">
        <v>95</v>
      </c>
      <c r="C9" s="49">
        <v>0.15</v>
      </c>
      <c r="D9" t="s">
        <v>96</v>
      </c>
      <c r="H9" s="37" t="s">
        <v>97</v>
      </c>
      <c r="I9" s="38" t="s">
        <v>98</v>
      </c>
      <c r="J9" s="38"/>
      <c r="K9" s="38"/>
      <c r="O9" s="63" t="s">
        <v>94</v>
      </c>
    </row>
    <row r="10" spans="1:15" x14ac:dyDescent="0.2">
      <c r="A10" s="171"/>
      <c r="B10" s="54" t="s">
        <v>99</v>
      </c>
      <c r="C10" s="50">
        <f>C11*(1-C9)</f>
        <v>3.8636363636363638</v>
      </c>
      <c r="I10" s="38" t="s">
        <v>100</v>
      </c>
      <c r="J10" s="38"/>
      <c r="K10" s="38"/>
    </row>
    <row r="11" spans="1:15" x14ac:dyDescent="0.2">
      <c r="A11" s="171"/>
      <c r="B11" s="54" t="s">
        <v>101</v>
      </c>
      <c r="C11" s="50">
        <f>C6/(C13+C12-(C9*C12))</f>
        <v>4.5454545454545459</v>
      </c>
    </row>
    <row r="12" spans="1:15" x14ac:dyDescent="0.2">
      <c r="A12" s="171"/>
      <c r="B12" s="54" t="s">
        <v>102</v>
      </c>
      <c r="C12" s="4">
        <f>C3*(1-C8)</f>
        <v>8000</v>
      </c>
      <c r="G12" s="170" t="s">
        <v>103</v>
      </c>
      <c r="H12" s="170"/>
      <c r="I12" s="170"/>
      <c r="J12" s="170"/>
      <c r="K12" s="170"/>
      <c r="L12" s="170"/>
    </row>
    <row r="13" spans="1:15" x14ac:dyDescent="0.2">
      <c r="A13" s="171"/>
      <c r="B13" s="54" t="s">
        <v>104</v>
      </c>
      <c r="C13" s="4">
        <f>C3*C8</f>
        <v>2000</v>
      </c>
    </row>
    <row r="14" spans="1:15" ht="15" customHeight="1" x14ac:dyDescent="0.2">
      <c r="A14" s="171"/>
      <c r="B14" s="54" t="s">
        <v>105</v>
      </c>
      <c r="C14" s="4">
        <f>C12*C10</f>
        <v>30909.090909090912</v>
      </c>
      <c r="G14" s="42" t="s">
        <v>106</v>
      </c>
      <c r="H14" s="44"/>
      <c r="I14" s="43" t="s">
        <v>107</v>
      </c>
      <c r="J14" s="44"/>
      <c r="K14" s="39"/>
      <c r="L14" s="27" t="s">
        <v>108</v>
      </c>
    </row>
    <row r="15" spans="1:15" ht="15" customHeight="1" x14ac:dyDescent="0.2">
      <c r="A15" s="171"/>
      <c r="B15" s="54" t="s">
        <v>109</v>
      </c>
      <c r="C15" s="4">
        <f>C13*C11</f>
        <v>9090.9090909090919</v>
      </c>
      <c r="G15" s="42"/>
      <c r="H15" s="44"/>
      <c r="I15" s="43"/>
      <c r="J15" s="44"/>
      <c r="K15" s="39"/>
      <c r="L15" s="26"/>
    </row>
    <row r="16" spans="1:15" ht="13.5" customHeight="1" x14ac:dyDescent="0.2">
      <c r="A16" s="171"/>
      <c r="B16" s="54" t="s">
        <v>110</v>
      </c>
      <c r="C16" s="4">
        <f>C15-(C13*C10)</f>
        <v>1363.636363636364</v>
      </c>
      <c r="G16" s="36" t="s">
        <v>111</v>
      </c>
      <c r="H16" s="36" t="s">
        <v>111</v>
      </c>
      <c r="I16" s="40" t="s">
        <v>112</v>
      </c>
      <c r="J16" s="41"/>
      <c r="K16" s="27"/>
    </row>
    <row r="17" spans="1:15" x14ac:dyDescent="0.2">
      <c r="A17" s="171"/>
      <c r="B17" s="54" t="s">
        <v>113</v>
      </c>
      <c r="C17" s="4">
        <f>C16*C4</f>
        <v>545454.54545454565</v>
      </c>
      <c r="G17" s="28"/>
      <c r="H17" s="28"/>
      <c r="I17" s="28" t="s">
        <v>114</v>
      </c>
      <c r="J17" s="28" t="s">
        <v>115</v>
      </c>
      <c r="K17" s="28">
        <f>G18-H18</f>
        <v>-5</v>
      </c>
    </row>
    <row r="18" spans="1:15" x14ac:dyDescent="0.2">
      <c r="A18" s="52"/>
      <c r="E18" t="s">
        <v>116</v>
      </c>
      <c r="F18" s="29" t="s">
        <v>117</v>
      </c>
      <c r="G18" s="28">
        <v>10</v>
      </c>
      <c r="H18" s="28">
        <v>15</v>
      </c>
      <c r="I18" s="28"/>
      <c r="J18" s="28"/>
      <c r="K18" s="28">
        <f>I32-H32</f>
        <v>-0.06</v>
      </c>
    </row>
    <row r="19" spans="1:15" x14ac:dyDescent="0.2">
      <c r="A19" s="52"/>
      <c r="F19" s="29" t="s">
        <v>118</v>
      </c>
      <c r="I19" s="28"/>
      <c r="J19" s="28"/>
      <c r="K19" s="28"/>
    </row>
    <row r="20" spans="1:15" ht="15" customHeight="1" x14ac:dyDescent="0.2">
      <c r="A20" s="171" t="s">
        <v>119</v>
      </c>
      <c r="B20" s="54" t="s">
        <v>120</v>
      </c>
      <c r="C20" s="56">
        <f>90%</f>
        <v>0.9</v>
      </c>
      <c r="D20" t="s">
        <v>121</v>
      </c>
      <c r="F20" s="29" t="s">
        <v>122</v>
      </c>
      <c r="G20" s="28"/>
      <c r="H20" s="28"/>
      <c r="I20" s="28"/>
      <c r="J20" s="28"/>
      <c r="K20" s="28"/>
    </row>
    <row r="21" spans="1:15" x14ac:dyDescent="0.2">
      <c r="A21" s="171"/>
      <c r="B21" s="54" t="s">
        <v>123</v>
      </c>
      <c r="C21" s="49">
        <v>0.4</v>
      </c>
      <c r="D21" t="s">
        <v>124</v>
      </c>
      <c r="F21" t="s">
        <v>125</v>
      </c>
      <c r="G21" s="28"/>
      <c r="H21" s="28"/>
      <c r="I21" s="28"/>
      <c r="J21" s="28"/>
      <c r="K21" s="28"/>
    </row>
    <row r="22" spans="1:15" x14ac:dyDescent="0.2">
      <c r="A22" s="171"/>
      <c r="B22" s="54" t="s">
        <v>126</v>
      </c>
      <c r="C22" s="49">
        <v>0.9</v>
      </c>
      <c r="D22" t="s">
        <v>121</v>
      </c>
    </row>
    <row r="23" spans="1:15" x14ac:dyDescent="0.2">
      <c r="A23" s="171"/>
      <c r="B23" s="54" t="s">
        <v>127</v>
      </c>
      <c r="C23" s="4">
        <f>C3*C20*C21*C22</f>
        <v>3240</v>
      </c>
      <c r="G23" s="37" t="s">
        <v>128</v>
      </c>
      <c r="H23" s="38" t="s">
        <v>129</v>
      </c>
      <c r="I23" s="38"/>
      <c r="J23" s="38" t="s">
        <v>130</v>
      </c>
      <c r="K23" s="38"/>
      <c r="L23" s="38"/>
    </row>
    <row r="24" spans="1:15" x14ac:dyDescent="0.2">
      <c r="J24" s="38" t="s">
        <v>131</v>
      </c>
      <c r="K24" s="38"/>
      <c r="L24" s="38"/>
    </row>
    <row r="25" spans="1:15" x14ac:dyDescent="0.2">
      <c r="A25" s="171" t="s">
        <v>132</v>
      </c>
      <c r="B25" s="54" t="s">
        <v>133</v>
      </c>
      <c r="C25" s="58">
        <v>-0.13900000000000001</v>
      </c>
      <c r="D25" s="1" t="s">
        <v>134</v>
      </c>
      <c r="O25" s="65"/>
    </row>
    <row r="26" spans="1:15" x14ac:dyDescent="0.2">
      <c r="A26" s="171"/>
      <c r="B26" s="54" t="s">
        <v>135</v>
      </c>
      <c r="C26" s="4">
        <f>C23*C11*C25</f>
        <v>-2047.0909090909095</v>
      </c>
      <c r="G26" s="170" t="s">
        <v>136</v>
      </c>
      <c r="H26" s="170"/>
      <c r="I26" s="170"/>
      <c r="J26" s="170"/>
      <c r="K26" s="170"/>
      <c r="L26" s="170"/>
    </row>
    <row r="27" spans="1:15" x14ac:dyDescent="0.2">
      <c r="A27" s="171"/>
      <c r="B27" s="54" t="s">
        <v>137</v>
      </c>
      <c r="C27" s="4">
        <f>C26*C4</f>
        <v>-818836.36363636376</v>
      </c>
    </row>
    <row r="28" spans="1:15" ht="15" customHeight="1" x14ac:dyDescent="0.2">
      <c r="H28" s="33" t="s">
        <v>138</v>
      </c>
      <c r="I28" s="33" t="s">
        <v>139</v>
      </c>
      <c r="J28" s="35"/>
      <c r="K28" s="34"/>
      <c r="L28" s="27" t="s">
        <v>108</v>
      </c>
    </row>
    <row r="29" spans="1:15" x14ac:dyDescent="0.2">
      <c r="A29" s="173" t="s">
        <v>140</v>
      </c>
      <c r="B29" s="54" t="s">
        <v>141</v>
      </c>
      <c r="C29" s="49">
        <v>7.0000000000000007E-2</v>
      </c>
      <c r="D29" t="s">
        <v>142</v>
      </c>
      <c r="H29" s="36" t="s">
        <v>111</v>
      </c>
      <c r="I29" s="36" t="s">
        <v>111</v>
      </c>
      <c r="K29" s="1"/>
      <c r="L29" s="27"/>
      <c r="M29" s="36" t="s">
        <v>112</v>
      </c>
      <c r="N29" t="s">
        <v>143</v>
      </c>
      <c r="O29" s="63" t="s">
        <v>144</v>
      </c>
    </row>
    <row r="30" spans="1:15" x14ac:dyDescent="0.2">
      <c r="A30" s="173"/>
      <c r="B30" s="54" t="s">
        <v>145</v>
      </c>
      <c r="C30" s="4">
        <f>C3*C29</f>
        <v>700.00000000000011</v>
      </c>
      <c r="F30" t="s">
        <v>146</v>
      </c>
      <c r="G30" s="29" t="s">
        <v>147</v>
      </c>
      <c r="H30" s="30">
        <v>0.78</v>
      </c>
      <c r="I30" s="30">
        <v>0.91</v>
      </c>
      <c r="J30" s="1"/>
      <c r="K30" s="1"/>
      <c r="L30" s="45">
        <f>I30-H30</f>
        <v>0.13</v>
      </c>
      <c r="M30" t="s">
        <v>63</v>
      </c>
    </row>
    <row r="31" spans="1:15" ht="16" x14ac:dyDescent="0.2">
      <c r="A31" s="173"/>
      <c r="B31" s="54" t="s">
        <v>148</v>
      </c>
      <c r="C31" s="49">
        <v>0.05</v>
      </c>
      <c r="D31" t="s">
        <v>149</v>
      </c>
      <c r="F31" t="s">
        <v>150</v>
      </c>
      <c r="G31" s="31" t="s">
        <v>117</v>
      </c>
      <c r="H31" s="29"/>
      <c r="I31" s="29"/>
      <c r="O31" s="63" t="s">
        <v>151</v>
      </c>
    </row>
    <row r="32" spans="1:15" ht="16" x14ac:dyDescent="0.2">
      <c r="A32" s="173"/>
      <c r="B32" s="54" t="s">
        <v>152</v>
      </c>
      <c r="C32" s="4">
        <f>C3*C31</f>
        <v>500</v>
      </c>
      <c r="F32" t="s">
        <v>150</v>
      </c>
      <c r="G32" s="31" t="s">
        <v>118</v>
      </c>
      <c r="H32" s="30">
        <v>0.36</v>
      </c>
      <c r="I32" s="30">
        <v>0.3</v>
      </c>
    </row>
    <row r="33" spans="1:18" ht="16" x14ac:dyDescent="0.2">
      <c r="A33" s="173"/>
      <c r="B33" s="54" t="s">
        <v>153</v>
      </c>
      <c r="C33" s="4">
        <f>C30-C32</f>
        <v>200.00000000000011</v>
      </c>
      <c r="G33" s="31" t="s">
        <v>122</v>
      </c>
      <c r="H33" s="29"/>
      <c r="I33" s="29"/>
    </row>
    <row r="34" spans="1:18" x14ac:dyDescent="0.2">
      <c r="A34" s="173"/>
      <c r="B34" s="54" t="s">
        <v>154</v>
      </c>
      <c r="C34" s="61">
        <f>C4*C5</f>
        <v>1600</v>
      </c>
      <c r="G34" s="31"/>
      <c r="H34" s="29"/>
      <c r="I34" s="29"/>
    </row>
    <row r="35" spans="1:18" x14ac:dyDescent="0.2">
      <c r="A35" s="60"/>
      <c r="B35" s="54" t="s">
        <v>155</v>
      </c>
      <c r="C35" s="4">
        <f>C34*C33</f>
        <v>320000.00000000017</v>
      </c>
      <c r="G35" s="31"/>
      <c r="H35" s="29"/>
      <c r="I35" s="29"/>
    </row>
    <row r="36" spans="1:18" x14ac:dyDescent="0.2">
      <c r="A36" s="60"/>
      <c r="B36" s="54" t="s">
        <v>156</v>
      </c>
      <c r="C36" s="4">
        <f>C35*18%</f>
        <v>57600.000000000029</v>
      </c>
      <c r="G36" s="31"/>
      <c r="H36" s="29"/>
      <c r="I36" s="29"/>
    </row>
    <row r="37" spans="1:18" ht="21.75" customHeight="1" x14ac:dyDescent="0.2">
      <c r="F37" s="46" t="s">
        <v>157</v>
      </c>
      <c r="G37" s="31" t="s">
        <v>158</v>
      </c>
      <c r="H37" s="32">
        <v>9.6999999999999993</v>
      </c>
      <c r="I37" s="32">
        <v>3.2</v>
      </c>
      <c r="L37" s="26">
        <f>I37-H37</f>
        <v>-6.4999999999999991</v>
      </c>
    </row>
    <row r="38" spans="1:18" ht="64" x14ac:dyDescent="0.2">
      <c r="A38" s="171" t="s">
        <v>157</v>
      </c>
      <c r="B38" s="57" t="s">
        <v>159</v>
      </c>
      <c r="C38" s="52">
        <v>9.6999999999999993</v>
      </c>
    </row>
    <row r="39" spans="1:18" ht="16" x14ac:dyDescent="0.2">
      <c r="A39" s="171"/>
      <c r="B39" s="57" t="s">
        <v>160</v>
      </c>
      <c r="C39" s="66">
        <f>(C23*3*15)/60/8/251</f>
        <v>1.2101593625498008</v>
      </c>
      <c r="R39" s="4"/>
    </row>
    <row r="40" spans="1:18" ht="14.25" customHeight="1" x14ac:dyDescent="0.2">
      <c r="A40" s="171"/>
      <c r="B40" s="57" t="s">
        <v>161</v>
      </c>
      <c r="C40">
        <v>3.2</v>
      </c>
      <c r="H40">
        <f>(36/100)*30</f>
        <v>10.799999999999999</v>
      </c>
      <c r="O40">
        <f>60/3.2</f>
        <v>18.75</v>
      </c>
      <c r="P40">
        <f>O40*6</f>
        <v>112.5</v>
      </c>
    </row>
    <row r="41" spans="1:18" ht="16" x14ac:dyDescent="0.2">
      <c r="A41" s="171"/>
      <c r="B41" s="57" t="s">
        <v>162</v>
      </c>
      <c r="C41">
        <f>C40-C38</f>
        <v>-6.4999999999999991</v>
      </c>
      <c r="P41">
        <f>P40*5</f>
        <v>562.5</v>
      </c>
    </row>
    <row r="42" spans="1:18" ht="16" x14ac:dyDescent="0.2">
      <c r="A42" s="59"/>
      <c r="B42" s="57" t="s">
        <v>163</v>
      </c>
      <c r="C42" s="4">
        <f>((C41*C23)/60)/8</f>
        <v>-43.874999999999993</v>
      </c>
    </row>
    <row r="43" spans="1:18" ht="16" x14ac:dyDescent="0.2">
      <c r="A43" s="59"/>
      <c r="B43" s="57" t="s">
        <v>164</v>
      </c>
      <c r="C43" s="50">
        <f>C42/261</f>
        <v>-0.16810344827586204</v>
      </c>
    </row>
    <row r="44" spans="1:18" ht="16" x14ac:dyDescent="0.2">
      <c r="A44" s="59"/>
      <c r="B44" s="57" t="s">
        <v>165</v>
      </c>
      <c r="C44">
        <v>50000</v>
      </c>
    </row>
    <row r="45" spans="1:18" ht="16" x14ac:dyDescent="0.2">
      <c r="A45" s="59"/>
      <c r="B45" s="57" t="s">
        <v>166</v>
      </c>
      <c r="C45" s="4">
        <f>C43*C44</f>
        <v>-8405.1724137931014</v>
      </c>
    </row>
    <row r="46" spans="1:18" ht="16" x14ac:dyDescent="0.2">
      <c r="F46" t="s">
        <v>150</v>
      </c>
      <c r="G46" s="47" t="s">
        <v>167</v>
      </c>
    </row>
    <row r="47" spans="1:18" ht="16" x14ac:dyDescent="0.2">
      <c r="A47" s="171" t="s">
        <v>168</v>
      </c>
      <c r="B47" s="57" t="s">
        <v>169</v>
      </c>
      <c r="C47">
        <v>142</v>
      </c>
      <c r="D47" t="s">
        <v>170</v>
      </c>
      <c r="O47" s="63" t="s">
        <v>171</v>
      </c>
    </row>
    <row r="48" spans="1:18" ht="16" x14ac:dyDescent="0.2">
      <c r="A48" s="171"/>
      <c r="B48" s="57" t="s">
        <v>172</v>
      </c>
      <c r="C48" s="48">
        <v>100</v>
      </c>
    </row>
    <row r="49" spans="1:18" ht="16" x14ac:dyDescent="0.2">
      <c r="A49" s="171"/>
      <c r="B49" s="57" t="s">
        <v>173</v>
      </c>
      <c r="C49" s="67">
        <v>-0.86</v>
      </c>
    </row>
    <row r="50" spans="1:18" ht="16" x14ac:dyDescent="0.2">
      <c r="A50" s="171"/>
      <c r="B50" s="57" t="s">
        <v>174</v>
      </c>
      <c r="C50" s="4">
        <f>C47*(1+C49)</f>
        <v>19.880000000000003</v>
      </c>
    </row>
    <row r="51" spans="1:18" x14ac:dyDescent="0.2">
      <c r="A51" s="52"/>
    </row>
    <row r="52" spans="1:18" x14ac:dyDescent="0.2">
      <c r="A52" s="171" t="s">
        <v>175</v>
      </c>
      <c r="B52" s="54" t="s">
        <v>176</v>
      </c>
      <c r="C52" s="48">
        <v>20</v>
      </c>
      <c r="O52" s="63" t="s">
        <v>177</v>
      </c>
      <c r="R52" s="63" t="s">
        <v>178</v>
      </c>
    </row>
    <row r="53" spans="1:18" x14ac:dyDescent="0.2">
      <c r="A53" s="171"/>
      <c r="B53" s="54" t="s">
        <v>179</v>
      </c>
      <c r="C53" s="49">
        <v>0.8</v>
      </c>
    </row>
    <row r="54" spans="1:18" x14ac:dyDescent="0.2">
      <c r="A54" s="171"/>
      <c r="B54" s="54" t="s">
        <v>180</v>
      </c>
      <c r="C54" s="4">
        <f>C53*C15</f>
        <v>7272.7272727272739</v>
      </c>
    </row>
    <row r="55" spans="1:18" x14ac:dyDescent="0.2">
      <c r="A55" s="171"/>
      <c r="B55" s="54" t="s">
        <v>181</v>
      </c>
      <c r="C55" s="4">
        <f>(1-C53)*C15</f>
        <v>1818.181818181818</v>
      </c>
    </row>
    <row r="56" spans="1:18" x14ac:dyDescent="0.2">
      <c r="A56" s="171"/>
      <c r="B56" s="54" t="s">
        <v>182</v>
      </c>
      <c r="C56" s="4">
        <f>C55*C52</f>
        <v>36363.63636363636</v>
      </c>
    </row>
    <row r="58" spans="1:18" x14ac:dyDescent="0.2">
      <c r="C58" s="62" t="s">
        <v>183</v>
      </c>
      <c r="D58" s="62" t="s">
        <v>184</v>
      </c>
    </row>
    <row r="59" spans="1:18" x14ac:dyDescent="0.2">
      <c r="A59" s="172" t="s">
        <v>185</v>
      </c>
      <c r="B59" s="54" t="s">
        <v>186</v>
      </c>
      <c r="C59" s="53">
        <f>C27</f>
        <v>-818836.36363636376</v>
      </c>
      <c r="D59" s="28"/>
    </row>
    <row r="60" spans="1:18" x14ac:dyDescent="0.2">
      <c r="A60" s="172"/>
      <c r="B60" s="54" t="s">
        <v>187</v>
      </c>
      <c r="C60" s="53">
        <f>-C36</f>
        <v>-57600.000000000029</v>
      </c>
      <c r="D60" s="28"/>
    </row>
    <row r="61" spans="1:18" ht="16" x14ac:dyDescent="0.2">
      <c r="A61" s="172"/>
      <c r="B61" s="57" t="s">
        <v>188</v>
      </c>
      <c r="C61" s="53">
        <f>C45</f>
        <v>-8405.1724137931014</v>
      </c>
      <c r="D61" s="28"/>
    </row>
    <row r="62" spans="1:18" x14ac:dyDescent="0.2">
      <c r="A62" s="172"/>
      <c r="B62" s="54" t="s">
        <v>182</v>
      </c>
      <c r="C62" s="28"/>
      <c r="D62" s="53">
        <f>C56</f>
        <v>36363.63636363636</v>
      </c>
    </row>
    <row r="63" spans="1:18" x14ac:dyDescent="0.2">
      <c r="B63" s="54" t="s">
        <v>189</v>
      </c>
      <c r="C63" s="64">
        <f>SUM(C59:C61)</f>
        <v>-884841.53605015692</v>
      </c>
      <c r="D63" s="64">
        <f>SUM(D59:D62)</f>
        <v>36363.63636363636</v>
      </c>
    </row>
  </sheetData>
  <mergeCells count="12">
    <mergeCell ref="A59:A62"/>
    <mergeCell ref="A52:A56"/>
    <mergeCell ref="A29:A31"/>
    <mergeCell ref="A32:A34"/>
    <mergeCell ref="A38:A41"/>
    <mergeCell ref="A47:A50"/>
    <mergeCell ref="G12:L12"/>
    <mergeCell ref="G26:L26"/>
    <mergeCell ref="A20:A23"/>
    <mergeCell ref="A25:A27"/>
    <mergeCell ref="A2:A6"/>
    <mergeCell ref="A8:A17"/>
  </mergeCells>
  <hyperlinks>
    <hyperlink ref="O5" r:id="rId1" xr:uid="{3E6E07E0-D494-4DD6-96F1-F397BCF0336A}"/>
    <hyperlink ref="O8" r:id="rId2" xr:uid="{B4DFA52F-E9F8-4D4A-9D5F-A07B48E7AFEA}"/>
    <hyperlink ref="O9" r:id="rId3" xr:uid="{3E5B563C-E543-4B89-B90E-06DD521705EB}"/>
    <hyperlink ref="O52" r:id="rId4" xr:uid="{C6BB91B6-86E7-413D-8EA1-A19137814BCE}"/>
    <hyperlink ref="R52" r:id="rId5" xr:uid="{78845933-903A-40A4-897A-CDAEFD40A05F}"/>
    <hyperlink ref="O29" r:id="rId6" xr:uid="{3D955552-FDF5-4A85-8243-F20B25DA920F}"/>
    <hyperlink ref="O31" r:id="rId7" xr:uid="{593C16F0-44D3-4713-A658-FB2C3F4A3DE5}"/>
    <hyperlink ref="O47" r:id="rId8" xr:uid="{0AF40C71-00E7-4834-9285-0C5DB943B1C8}"/>
    <hyperlink ref="O2" r:id="rId9" xr:uid="{356F0B57-4F94-49D8-BDAD-996530AAA303}"/>
  </hyperlinks>
  <pageMargins left="0.7" right="0.7" top="0.75" bottom="0.75" header="0.3" footer="0.3"/>
  <pageSetup orientation="portrait"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50A1-39B9-4617-A006-575D02D4FD2C}">
  <dimension ref="A1:P38"/>
  <sheetViews>
    <sheetView workbookViewId="0">
      <selection activeCell="B38" sqref="B38"/>
    </sheetView>
  </sheetViews>
  <sheetFormatPr baseColWidth="10" defaultColWidth="11.5" defaultRowHeight="15" x14ac:dyDescent="0.2"/>
  <cols>
    <col min="1" max="1" width="22.1640625" customWidth="1"/>
    <col min="2" max="2" width="53.1640625" customWidth="1"/>
    <col min="3" max="3" width="15.6640625" customWidth="1"/>
    <col min="4" max="4" width="37" customWidth="1"/>
    <col min="5" max="6" width="17.6640625" customWidth="1"/>
    <col min="7" max="7" width="13.33203125" customWidth="1"/>
    <col min="13" max="13" width="13.6640625" customWidth="1"/>
  </cols>
  <sheetData>
    <row r="1" spans="1:16" ht="15" customHeight="1" x14ac:dyDescent="0.2"/>
    <row r="2" spans="1:16" ht="15" customHeight="1" x14ac:dyDescent="0.2">
      <c r="H2" s="1"/>
      <c r="I2" s="174"/>
      <c r="J2" s="174"/>
      <c r="K2" s="174"/>
      <c r="L2" s="174"/>
      <c r="M2" s="174"/>
      <c r="N2" s="174"/>
      <c r="O2" s="174"/>
      <c r="P2" s="174"/>
    </row>
    <row r="3" spans="1:16" ht="15" customHeight="1" x14ac:dyDescent="0.2">
      <c r="C3" s="174"/>
      <c r="D3" s="174"/>
      <c r="E3" s="174"/>
      <c r="F3" s="174"/>
      <c r="G3" s="174"/>
      <c r="H3" s="1"/>
      <c r="I3" s="175"/>
      <c r="J3" s="175"/>
      <c r="K3" s="175"/>
      <c r="L3" s="175"/>
      <c r="M3" s="175"/>
      <c r="N3" s="175"/>
      <c r="O3" s="175"/>
      <c r="P3" s="175"/>
    </row>
    <row r="4" spans="1:16" ht="15" customHeight="1" x14ac:dyDescent="0.2">
      <c r="B4" s="177" t="s">
        <v>190</v>
      </c>
      <c r="C4" s="177"/>
    </row>
    <row r="5" spans="1:16" ht="15" customHeight="1" x14ac:dyDescent="0.2">
      <c r="B5" t="s">
        <v>191</v>
      </c>
    </row>
    <row r="6" spans="1:16" ht="15" customHeight="1" x14ac:dyDescent="0.2">
      <c r="A6" s="178" t="s">
        <v>192</v>
      </c>
      <c r="B6" s="57" t="s">
        <v>193</v>
      </c>
      <c r="C6" s="48">
        <v>2</v>
      </c>
    </row>
    <row r="7" spans="1:16" ht="15" customHeight="1" x14ac:dyDescent="0.2">
      <c r="A7" s="178"/>
      <c r="B7" s="57" t="s">
        <v>194</v>
      </c>
      <c r="C7" s="48">
        <v>2</v>
      </c>
    </row>
    <row r="8" spans="1:16" ht="15" customHeight="1" x14ac:dyDescent="0.2">
      <c r="A8" s="178"/>
      <c r="B8" s="57" t="s">
        <v>195</v>
      </c>
      <c r="C8" s="48">
        <v>100</v>
      </c>
    </row>
    <row r="9" spans="1:16" ht="15" customHeight="1" x14ac:dyDescent="0.2">
      <c r="A9" s="178"/>
      <c r="B9" s="57" t="s">
        <v>196</v>
      </c>
      <c r="C9">
        <f>C7*C8</f>
        <v>200</v>
      </c>
    </row>
    <row r="10" spans="1:16" ht="15" customHeight="1" x14ac:dyDescent="0.2">
      <c r="A10" s="178"/>
      <c r="B10" s="57" t="s">
        <v>197</v>
      </c>
      <c r="C10" s="67">
        <v>0.2</v>
      </c>
    </row>
    <row r="11" spans="1:16" ht="15" customHeight="1" x14ac:dyDescent="0.2">
      <c r="A11" s="178"/>
      <c r="B11" s="57" t="s">
        <v>198</v>
      </c>
      <c r="C11">
        <f>C9*C6*C10</f>
        <v>80</v>
      </c>
    </row>
    <row r="12" spans="1:16" ht="15" customHeight="1" x14ac:dyDescent="0.2">
      <c r="A12" s="26"/>
    </row>
    <row r="13" spans="1:16" ht="15" customHeight="1" x14ac:dyDescent="0.2">
      <c r="A13" s="178" t="s">
        <v>199</v>
      </c>
      <c r="B13" s="57" t="s">
        <v>200</v>
      </c>
      <c r="C13" s="48">
        <v>10</v>
      </c>
    </row>
    <row r="14" spans="1:16" ht="15" customHeight="1" x14ac:dyDescent="0.2">
      <c r="A14" s="178"/>
      <c r="B14" s="57" t="s">
        <v>195</v>
      </c>
      <c r="C14" s="48">
        <v>100</v>
      </c>
    </row>
    <row r="15" spans="1:16" ht="15" customHeight="1" x14ac:dyDescent="0.2">
      <c r="A15" s="178"/>
      <c r="B15" s="57" t="s">
        <v>201</v>
      </c>
      <c r="C15">
        <f>C13*C6</f>
        <v>20</v>
      </c>
      <c r="D15" t="s">
        <v>202</v>
      </c>
    </row>
    <row r="16" spans="1:16" ht="15" customHeight="1" x14ac:dyDescent="0.2">
      <c r="A16" s="178"/>
      <c r="B16" s="57" t="s">
        <v>203</v>
      </c>
      <c r="C16" s="4">
        <f>(C15/60)*C8</f>
        <v>33.333333333333329</v>
      </c>
    </row>
    <row r="17" spans="1:4" ht="15" customHeight="1" x14ac:dyDescent="0.2"/>
    <row r="18" spans="1:4" ht="15" customHeight="1" x14ac:dyDescent="0.2">
      <c r="A18" s="167" t="s">
        <v>204</v>
      </c>
      <c r="B18" s="57" t="s">
        <v>205</v>
      </c>
      <c r="C18" s="67">
        <v>0.1</v>
      </c>
    </row>
    <row r="19" spans="1:4" ht="15" customHeight="1" x14ac:dyDescent="0.2">
      <c r="A19" s="167"/>
      <c r="B19" s="57" t="s">
        <v>206</v>
      </c>
      <c r="C19">
        <v>3</v>
      </c>
    </row>
    <row r="20" spans="1:4" ht="15" customHeight="1" x14ac:dyDescent="0.2">
      <c r="A20" s="167"/>
      <c r="B20" s="57" t="s">
        <v>207</v>
      </c>
      <c r="C20" s="67">
        <v>0.5</v>
      </c>
    </row>
    <row r="21" spans="1:4" ht="15" customHeight="1" x14ac:dyDescent="0.2">
      <c r="A21" s="167"/>
      <c r="B21" s="57" t="s">
        <v>208</v>
      </c>
      <c r="C21" s="4">
        <f>365*C19*C18*C20</f>
        <v>54.75</v>
      </c>
    </row>
    <row r="22" spans="1:4" ht="15" customHeight="1" x14ac:dyDescent="0.2"/>
    <row r="23" spans="1:4" ht="15" customHeight="1" x14ac:dyDescent="0.2"/>
    <row r="24" spans="1:4" ht="15" customHeight="1" x14ac:dyDescent="0.2">
      <c r="A24" s="176"/>
      <c r="B24" s="51"/>
      <c r="C24" s="26"/>
    </row>
    <row r="25" spans="1:4" x14ac:dyDescent="0.2">
      <c r="A25" s="176"/>
      <c r="B25" s="51"/>
      <c r="C25" s="26"/>
    </row>
    <row r="26" spans="1:4" x14ac:dyDescent="0.2">
      <c r="A26" s="176"/>
      <c r="B26" s="51"/>
      <c r="C26" s="26"/>
    </row>
    <row r="27" spans="1:4" x14ac:dyDescent="0.2">
      <c r="A27" s="176"/>
      <c r="B27" s="51"/>
      <c r="C27" s="26"/>
    </row>
    <row r="28" spans="1:4" x14ac:dyDescent="0.2">
      <c r="A28" s="176"/>
      <c r="B28" s="51"/>
    </row>
    <row r="29" spans="1:4" x14ac:dyDescent="0.2">
      <c r="D29" t="s">
        <v>209</v>
      </c>
    </row>
    <row r="30" spans="1:4" x14ac:dyDescent="0.2">
      <c r="D30" t="s">
        <v>210</v>
      </c>
    </row>
    <row r="32" spans="1:4" x14ac:dyDescent="0.2">
      <c r="B32" t="s">
        <v>211</v>
      </c>
      <c r="C32">
        <f>C6</f>
        <v>2</v>
      </c>
    </row>
    <row r="33" spans="2:3" x14ac:dyDescent="0.2">
      <c r="B33" t="s">
        <v>212</v>
      </c>
      <c r="C33" s="67">
        <v>0.5</v>
      </c>
    </row>
    <row r="34" spans="2:3" x14ac:dyDescent="0.2">
      <c r="B34" t="s">
        <v>213</v>
      </c>
    </row>
    <row r="35" spans="2:3" x14ac:dyDescent="0.2">
      <c r="B35" t="s">
        <v>214</v>
      </c>
    </row>
    <row r="36" spans="2:3" x14ac:dyDescent="0.2">
      <c r="B36" t="s">
        <v>215</v>
      </c>
      <c r="C36">
        <v>150</v>
      </c>
    </row>
    <row r="37" spans="2:3" x14ac:dyDescent="0.2">
      <c r="B37" t="s">
        <v>216</v>
      </c>
    </row>
    <row r="38" spans="2:3" x14ac:dyDescent="0.2">
      <c r="B38" t="s">
        <v>217</v>
      </c>
    </row>
  </sheetData>
  <mergeCells count="8">
    <mergeCell ref="I2:P2"/>
    <mergeCell ref="C3:G3"/>
    <mergeCell ref="I3:P3"/>
    <mergeCell ref="A24:A28"/>
    <mergeCell ref="B4:C4"/>
    <mergeCell ref="A6:A11"/>
    <mergeCell ref="A13:A16"/>
    <mergeCell ref="A18:A2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4B73-0B56-40F7-9BEE-AC9F57257540}">
  <dimension ref="D2:X112"/>
  <sheetViews>
    <sheetView showGridLines="0" tabSelected="1" topLeftCell="D47" zoomScaleNormal="192" workbookViewId="0">
      <selection activeCell="H12" sqref="H12"/>
    </sheetView>
  </sheetViews>
  <sheetFormatPr baseColWidth="10" defaultColWidth="11.5" defaultRowHeight="15" x14ac:dyDescent="0.2"/>
  <cols>
    <col min="5" max="5" width="17.83203125" customWidth="1"/>
    <col min="6" max="6" width="31.6640625" customWidth="1"/>
    <col min="7" max="7" width="15.6640625" customWidth="1"/>
    <col min="8" max="8" width="19.83203125" customWidth="1"/>
    <col min="9" max="11" width="15.6640625" customWidth="1"/>
    <col min="12" max="12" width="22" customWidth="1"/>
    <col min="13" max="13" width="15.6640625" customWidth="1"/>
    <col min="14" max="14" width="25.1640625" customWidth="1"/>
    <col min="15" max="15" width="22.5" customWidth="1"/>
    <col min="21" max="21" width="14.5" customWidth="1"/>
    <col min="22" max="22" width="11.6640625" bestFit="1" customWidth="1"/>
    <col min="23" max="23" width="6.33203125" customWidth="1"/>
    <col min="26" max="26" width="28.33203125" customWidth="1"/>
    <col min="27" max="27" width="19" customWidth="1"/>
  </cols>
  <sheetData>
    <row r="2" spans="5:24" x14ac:dyDescent="0.2">
      <c r="E2" s="123"/>
      <c r="F2" s="124"/>
      <c r="G2" s="124"/>
      <c r="H2" s="124"/>
      <c r="I2" s="124"/>
      <c r="J2" s="124"/>
      <c r="K2" s="124"/>
      <c r="L2" s="124"/>
      <c r="M2" s="124"/>
      <c r="N2" s="124"/>
      <c r="O2" s="125"/>
    </row>
    <row r="3" spans="5:24" ht="32" x14ac:dyDescent="0.35">
      <c r="E3" s="126"/>
      <c r="F3" s="11"/>
      <c r="G3" s="11"/>
      <c r="H3" s="11"/>
      <c r="I3" s="11"/>
      <c r="J3" s="11"/>
      <c r="K3" s="127" t="s">
        <v>218</v>
      </c>
      <c r="L3" s="11"/>
      <c r="M3" s="11"/>
      <c r="N3" s="11"/>
      <c r="O3" s="128"/>
    </row>
    <row r="4" spans="5:24" x14ac:dyDescent="0.2">
      <c r="E4" s="129"/>
      <c r="F4" s="130"/>
      <c r="G4" s="130"/>
      <c r="H4" s="130"/>
      <c r="I4" s="130"/>
      <c r="J4" s="130"/>
      <c r="K4" s="130"/>
      <c r="L4" s="130"/>
      <c r="M4" s="130"/>
      <c r="N4" s="130"/>
      <c r="O4" s="131"/>
    </row>
    <row r="5" spans="5:24" x14ac:dyDescent="0.2">
      <c r="E5" s="132" t="s">
        <v>219</v>
      </c>
      <c r="F5" s="133" t="s">
        <v>220</v>
      </c>
      <c r="G5" s="134"/>
      <c r="H5" s="134"/>
      <c r="I5" s="134"/>
      <c r="J5" s="134"/>
      <c r="K5" s="134"/>
      <c r="L5" s="134"/>
      <c r="M5" s="134"/>
      <c r="N5" s="134"/>
      <c r="O5" s="135"/>
    </row>
    <row r="7" spans="5:24" ht="21.75" customHeight="1" x14ac:dyDescent="0.2">
      <c r="E7" s="182" t="s">
        <v>221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5:24" x14ac:dyDescent="0.2"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</row>
    <row r="9" spans="5:24" ht="16" x14ac:dyDescent="0.2">
      <c r="E9" s="206" t="s">
        <v>222</v>
      </c>
      <c r="F9" s="206"/>
      <c r="G9" s="206"/>
      <c r="H9" s="206"/>
      <c r="I9" s="206"/>
      <c r="J9" s="206"/>
      <c r="K9" s="206"/>
      <c r="L9" s="206"/>
      <c r="M9" s="206"/>
      <c r="N9" s="206"/>
      <c r="O9" s="206"/>
    </row>
    <row r="10" spans="5:24" x14ac:dyDescent="0.2">
      <c r="E10" s="203" t="s">
        <v>223</v>
      </c>
      <c r="F10" s="204"/>
      <c r="G10" s="204"/>
      <c r="H10" s="205"/>
      <c r="I10" s="203" t="s">
        <v>39</v>
      </c>
      <c r="J10" s="204"/>
      <c r="K10" s="204"/>
      <c r="L10" s="205"/>
      <c r="M10" s="203" t="s">
        <v>224</v>
      </c>
      <c r="N10" s="204"/>
      <c r="O10" s="205"/>
    </row>
    <row r="11" spans="5:24" x14ac:dyDescent="0.2">
      <c r="E11" s="72" t="s">
        <v>86</v>
      </c>
      <c r="F11" s="72"/>
      <c r="G11" s="73"/>
      <c r="H11" s="113">
        <v>43000</v>
      </c>
      <c r="I11" s="72" t="s">
        <v>225</v>
      </c>
      <c r="J11" s="73"/>
      <c r="K11" s="73"/>
      <c r="L11" s="117">
        <v>0.3</v>
      </c>
      <c r="M11" s="72" t="s">
        <v>226</v>
      </c>
      <c r="N11" s="73"/>
      <c r="O11" s="113">
        <v>9</v>
      </c>
      <c r="X11" s="63"/>
    </row>
    <row r="12" spans="5:24" x14ac:dyDescent="0.2">
      <c r="E12" s="87" t="s">
        <v>227</v>
      </c>
      <c r="F12" s="74"/>
      <c r="G12" s="71"/>
      <c r="H12" s="114">
        <v>5</v>
      </c>
      <c r="I12" s="74" t="s">
        <v>228</v>
      </c>
      <c r="J12" s="71"/>
      <c r="K12" s="71"/>
      <c r="L12" s="116">
        <v>0.25</v>
      </c>
      <c r="M12" s="74" t="s">
        <v>229</v>
      </c>
      <c r="N12" s="71"/>
      <c r="O12" s="120">
        <v>65000</v>
      </c>
    </row>
    <row r="13" spans="5:24" x14ac:dyDescent="0.2">
      <c r="E13" s="74" t="s">
        <v>87</v>
      </c>
      <c r="F13" s="74"/>
      <c r="G13" s="71"/>
      <c r="H13" s="120">
        <v>600</v>
      </c>
      <c r="I13" s="74"/>
      <c r="J13" s="71"/>
      <c r="K13" s="71"/>
      <c r="L13" s="71"/>
      <c r="M13" s="74" t="s">
        <v>230</v>
      </c>
      <c r="N13" s="71"/>
      <c r="O13" s="152">
        <v>200</v>
      </c>
    </row>
    <row r="14" spans="5:24" x14ac:dyDescent="0.2">
      <c r="E14" s="75"/>
      <c r="F14" s="76"/>
      <c r="G14" s="76"/>
      <c r="H14" s="88"/>
      <c r="I14" s="75"/>
      <c r="J14" s="76"/>
      <c r="K14" s="76"/>
      <c r="L14" s="118"/>
      <c r="M14" s="75" t="s">
        <v>231</v>
      </c>
      <c r="N14" s="76"/>
      <c r="O14" s="153">
        <v>6</v>
      </c>
    </row>
    <row r="15" spans="5:24" x14ac:dyDescent="0.2">
      <c r="E15" s="74"/>
      <c r="F15" s="71"/>
      <c r="G15" s="71"/>
      <c r="H15" s="71"/>
      <c r="I15" s="71"/>
      <c r="J15" s="71"/>
      <c r="K15" s="71"/>
      <c r="L15" s="71"/>
      <c r="M15" s="71"/>
      <c r="N15" s="71"/>
      <c r="O15" s="136"/>
    </row>
    <row r="16" spans="5:24" x14ac:dyDescent="0.2">
      <c r="E16" s="188" t="s">
        <v>232</v>
      </c>
      <c r="F16" s="189"/>
      <c r="G16" s="189"/>
      <c r="H16" s="190"/>
      <c r="I16" s="188" t="s">
        <v>233</v>
      </c>
      <c r="J16" s="189"/>
      <c r="K16" s="189"/>
      <c r="L16" s="190"/>
      <c r="M16" s="188" t="s">
        <v>234</v>
      </c>
      <c r="N16" s="189"/>
      <c r="O16" s="190"/>
    </row>
    <row r="17" spans="5:16" ht="19" x14ac:dyDescent="0.2">
      <c r="E17" s="72" t="s">
        <v>235</v>
      </c>
      <c r="F17" s="73"/>
      <c r="G17" s="149"/>
      <c r="H17" s="117">
        <v>0.03</v>
      </c>
      <c r="I17" s="73" t="s">
        <v>236</v>
      </c>
      <c r="J17" s="73"/>
      <c r="K17" s="73"/>
      <c r="L17" s="119">
        <v>0.15</v>
      </c>
      <c r="M17" s="72" t="s">
        <v>237</v>
      </c>
      <c r="N17" s="73"/>
      <c r="O17" s="154">
        <f>100%</f>
        <v>1</v>
      </c>
    </row>
    <row r="18" spans="5:16" x14ac:dyDescent="0.2">
      <c r="E18" s="74"/>
      <c r="F18" s="71"/>
      <c r="G18" s="71"/>
      <c r="H18" s="136"/>
      <c r="I18" s="71" t="s">
        <v>238</v>
      </c>
      <c r="J18" s="71"/>
      <c r="K18" s="71"/>
      <c r="L18" s="120">
        <v>40</v>
      </c>
      <c r="M18" s="74" t="s">
        <v>239</v>
      </c>
      <c r="N18" s="54"/>
      <c r="O18" s="137" t="s">
        <v>240</v>
      </c>
    </row>
    <row r="19" spans="5:16" x14ac:dyDescent="0.2">
      <c r="E19" s="74"/>
      <c r="F19" s="71"/>
      <c r="G19" s="71"/>
      <c r="H19" s="136"/>
      <c r="I19" s="71"/>
      <c r="J19" s="71"/>
      <c r="K19" s="71"/>
      <c r="L19" s="71"/>
      <c r="M19" s="74" t="s">
        <v>241</v>
      </c>
      <c r="N19" s="71"/>
      <c r="O19" s="116">
        <v>1</v>
      </c>
    </row>
    <row r="20" spans="5:16" x14ac:dyDescent="0.2">
      <c r="E20" s="74"/>
      <c r="F20" s="71"/>
      <c r="G20" s="71"/>
      <c r="H20" s="136"/>
      <c r="I20" s="71"/>
      <c r="J20" s="71"/>
      <c r="K20" s="71"/>
      <c r="L20" s="71"/>
      <c r="M20" s="74" t="s">
        <v>242</v>
      </c>
      <c r="N20" s="71"/>
      <c r="O20" s="120">
        <v>3</v>
      </c>
    </row>
    <row r="21" spans="5:16" x14ac:dyDescent="0.2">
      <c r="E21" s="75"/>
      <c r="F21" s="76"/>
      <c r="G21" s="76"/>
      <c r="H21" s="88"/>
      <c r="I21" s="76"/>
      <c r="J21" s="76"/>
      <c r="K21" s="76"/>
      <c r="L21" s="76"/>
      <c r="M21" s="75" t="s">
        <v>243</v>
      </c>
      <c r="N21" s="76"/>
      <c r="O21" s="115">
        <v>12</v>
      </c>
    </row>
    <row r="22" spans="5:16" x14ac:dyDescent="0.2"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spans="5:16" ht="16" x14ac:dyDescent="0.2">
      <c r="E23" s="200" t="s">
        <v>244</v>
      </c>
      <c r="F23" s="201"/>
      <c r="G23" s="201"/>
      <c r="H23" s="201"/>
      <c r="I23" s="201"/>
      <c r="J23" s="201"/>
      <c r="K23" s="201"/>
      <c r="L23" s="201"/>
      <c r="M23" s="201"/>
      <c r="N23" s="201"/>
      <c r="O23" s="202"/>
    </row>
    <row r="24" spans="5:16" x14ac:dyDescent="0.2">
      <c r="E24" s="197" t="s">
        <v>245</v>
      </c>
      <c r="F24" s="198"/>
      <c r="G24" s="198"/>
      <c r="H24" s="199"/>
      <c r="I24" s="54"/>
      <c r="J24" s="54"/>
      <c r="K24" s="54"/>
      <c r="L24" s="54"/>
      <c r="M24" s="142" t="s">
        <v>246</v>
      </c>
      <c r="N24" s="143"/>
      <c r="O24" s="144"/>
    </row>
    <row r="25" spans="5:16" ht="19" x14ac:dyDescent="0.2">
      <c r="E25" s="99" t="s">
        <v>247</v>
      </c>
      <c r="F25" s="100"/>
      <c r="G25" s="100"/>
      <c r="H25" s="101">
        <v>-0.03</v>
      </c>
      <c r="I25" s="150">
        <v>1</v>
      </c>
      <c r="J25" s="54"/>
      <c r="K25" s="54"/>
      <c r="L25" s="54"/>
      <c r="M25" s="102" t="s">
        <v>248</v>
      </c>
      <c r="N25" s="103"/>
      <c r="O25" s="104">
        <v>0.15</v>
      </c>
      <c r="P25" s="151">
        <v>2</v>
      </c>
    </row>
    <row r="26" spans="5:16" ht="19" x14ac:dyDescent="0.2">
      <c r="E26" s="105" t="s">
        <v>249</v>
      </c>
      <c r="F26" s="106"/>
      <c r="G26" s="106"/>
      <c r="H26" s="107">
        <f>H17*80%</f>
        <v>2.4E-2</v>
      </c>
      <c r="I26" s="150">
        <v>3</v>
      </c>
      <c r="J26" s="54"/>
      <c r="K26" s="54"/>
      <c r="L26" s="54"/>
      <c r="M26" s="105"/>
      <c r="N26" s="106"/>
      <c r="O26" s="108"/>
    </row>
    <row r="27" spans="5:16" x14ac:dyDescent="0.2">
      <c r="E27" s="102"/>
      <c r="F27" s="103"/>
      <c r="G27" s="103"/>
      <c r="H27" s="103"/>
      <c r="I27" s="54"/>
      <c r="J27" s="54"/>
      <c r="K27" s="54"/>
      <c r="L27" s="54"/>
      <c r="M27" s="103"/>
      <c r="N27" s="103"/>
      <c r="O27" s="109"/>
    </row>
    <row r="28" spans="5:16" x14ac:dyDescent="0.2">
      <c r="E28" s="194" t="s">
        <v>250</v>
      </c>
      <c r="F28" s="195"/>
      <c r="G28" s="195"/>
      <c r="H28" s="196"/>
      <c r="I28" s="54"/>
      <c r="J28" s="54"/>
      <c r="K28" s="54"/>
      <c r="L28" s="54"/>
      <c r="M28" s="139" t="s">
        <v>251</v>
      </c>
      <c r="N28" s="140"/>
      <c r="O28" s="141"/>
    </row>
    <row r="29" spans="5:16" ht="19" x14ac:dyDescent="0.2">
      <c r="E29" s="99" t="s">
        <v>252</v>
      </c>
      <c r="F29" s="100"/>
      <c r="G29" s="100"/>
      <c r="H29" s="110">
        <v>9.6999999999999993</v>
      </c>
      <c r="I29" s="150">
        <v>4</v>
      </c>
      <c r="J29" s="54"/>
      <c r="K29" s="54"/>
      <c r="L29" s="54"/>
      <c r="M29" s="99" t="s">
        <v>253</v>
      </c>
      <c r="N29" s="100"/>
      <c r="O29" s="111">
        <v>-0.2</v>
      </c>
      <c r="P29" s="151">
        <v>4</v>
      </c>
    </row>
    <row r="30" spans="5:16" ht="19" x14ac:dyDescent="0.2">
      <c r="E30" s="105"/>
      <c r="F30" s="106"/>
      <c r="G30" s="106"/>
      <c r="H30" s="112"/>
      <c r="I30" s="69"/>
      <c r="J30" s="69"/>
      <c r="K30" s="69"/>
      <c r="L30" s="69"/>
      <c r="M30" s="105" t="s">
        <v>254</v>
      </c>
      <c r="N30" s="106"/>
      <c r="O30" s="112">
        <f>H29*(1+O29)</f>
        <v>7.76</v>
      </c>
      <c r="P30" s="151">
        <v>4</v>
      </c>
    </row>
    <row r="32" spans="5:16" ht="15" customHeight="1" x14ac:dyDescent="0.2">
      <c r="E32" s="191" t="s">
        <v>255</v>
      </c>
      <c r="F32" s="192"/>
      <c r="G32" s="192"/>
      <c r="H32" s="192"/>
      <c r="I32" s="192"/>
      <c r="J32" s="192"/>
      <c r="K32" s="192"/>
      <c r="L32" s="192"/>
      <c r="M32" s="192"/>
      <c r="N32" s="192"/>
      <c r="O32" s="193"/>
    </row>
    <row r="33" spans="5:15" ht="18" customHeight="1" x14ac:dyDescent="0.2">
      <c r="E33" s="183" t="s">
        <v>183</v>
      </c>
      <c r="F33" s="89" t="s">
        <v>256</v>
      </c>
      <c r="G33" s="91">
        <f>O54*-1</f>
        <v>967500</v>
      </c>
      <c r="H33" s="86"/>
      <c r="I33" s="86"/>
      <c r="J33" s="86"/>
      <c r="K33" s="86"/>
      <c r="L33" s="86"/>
      <c r="M33" s="86"/>
      <c r="N33" s="86"/>
      <c r="O33" s="94"/>
    </row>
    <row r="34" spans="5:15" ht="16" x14ac:dyDescent="0.2">
      <c r="E34" s="184"/>
      <c r="F34" s="86" t="s">
        <v>257</v>
      </c>
      <c r="G34" s="92">
        <f>O76</f>
        <v>0</v>
      </c>
      <c r="H34" s="86"/>
      <c r="I34" s="86"/>
      <c r="J34" s="86"/>
      <c r="K34" s="86"/>
      <c r="L34" s="86"/>
      <c r="M34" s="86"/>
      <c r="N34" s="86"/>
      <c r="O34" s="94"/>
    </row>
    <row r="35" spans="5:15" x14ac:dyDescent="0.2">
      <c r="E35" s="185"/>
      <c r="F35" s="90" t="s">
        <v>258</v>
      </c>
      <c r="G35" s="93">
        <f>O60</f>
        <v>139320</v>
      </c>
      <c r="H35" s="86"/>
      <c r="I35" s="86"/>
      <c r="J35" s="86"/>
      <c r="K35" s="86"/>
      <c r="L35" s="86"/>
      <c r="M35" s="86"/>
      <c r="N35" s="86"/>
      <c r="O35" s="94"/>
    </row>
    <row r="36" spans="5:15" x14ac:dyDescent="0.2">
      <c r="E36" s="155" t="s">
        <v>184</v>
      </c>
      <c r="F36" s="156" t="s">
        <v>259</v>
      </c>
      <c r="G36" s="157">
        <f>O65</f>
        <v>2059154.9295774647</v>
      </c>
      <c r="H36" s="86"/>
      <c r="I36" s="86"/>
      <c r="J36" s="86"/>
      <c r="K36" s="86"/>
      <c r="L36" s="86"/>
      <c r="M36" s="86"/>
      <c r="N36" s="86"/>
      <c r="O36" s="94"/>
    </row>
    <row r="37" spans="5:15" x14ac:dyDescent="0.2">
      <c r="E37" s="95"/>
      <c r="F37" s="86"/>
      <c r="G37" s="86"/>
      <c r="H37" s="86"/>
      <c r="I37" s="86"/>
      <c r="J37" s="86"/>
      <c r="K37" s="86"/>
      <c r="L37" s="86"/>
      <c r="M37" s="86"/>
      <c r="N37" s="86"/>
      <c r="O37" s="94"/>
    </row>
    <row r="38" spans="5:15" ht="15.75" customHeight="1" x14ac:dyDescent="0.2">
      <c r="E38" s="183" t="s">
        <v>260</v>
      </c>
      <c r="F38" s="186">
        <f>SUM(G33:G35,G36)</f>
        <v>3165974.9295774647</v>
      </c>
      <c r="G38" s="86"/>
      <c r="H38" s="86"/>
      <c r="I38" s="86"/>
      <c r="J38" s="86"/>
      <c r="K38" s="86"/>
      <c r="L38" s="86"/>
      <c r="M38" s="86"/>
      <c r="N38" s="86"/>
      <c r="O38" s="94"/>
    </row>
    <row r="39" spans="5:15" ht="15" customHeight="1" x14ac:dyDescent="0.2">
      <c r="E39" s="185"/>
      <c r="F39" s="187"/>
      <c r="G39" s="86"/>
      <c r="H39" s="86"/>
      <c r="I39" s="86"/>
      <c r="J39" s="86"/>
      <c r="K39" s="86"/>
      <c r="L39" s="86"/>
      <c r="M39" s="86"/>
      <c r="N39" s="86"/>
      <c r="O39" s="94"/>
    </row>
    <row r="40" spans="5:15" x14ac:dyDescent="0.2">
      <c r="E40" s="95"/>
      <c r="F40" s="86"/>
      <c r="G40" s="86"/>
      <c r="H40" s="86"/>
      <c r="I40" s="86"/>
      <c r="J40" s="86"/>
      <c r="K40" s="86"/>
      <c r="L40" s="86"/>
      <c r="M40" s="86"/>
      <c r="N40" s="86"/>
      <c r="O40" s="94"/>
    </row>
    <row r="41" spans="5:15" x14ac:dyDescent="0.2">
      <c r="E41" s="95"/>
      <c r="F41" s="86"/>
      <c r="G41" s="86"/>
      <c r="H41" s="86"/>
      <c r="I41" s="86"/>
      <c r="J41" s="86"/>
      <c r="K41" s="86"/>
      <c r="L41" s="86"/>
      <c r="M41" s="86"/>
      <c r="N41" s="86"/>
      <c r="O41" s="94"/>
    </row>
    <row r="42" spans="5:15" x14ac:dyDescent="0.2">
      <c r="E42" s="95"/>
      <c r="F42" s="86"/>
      <c r="G42" s="86"/>
      <c r="H42" s="86"/>
      <c r="I42" s="86"/>
      <c r="J42" s="86"/>
      <c r="K42" s="86"/>
      <c r="L42" s="86"/>
      <c r="M42" s="86"/>
      <c r="N42" s="86"/>
      <c r="O42" s="94"/>
    </row>
    <row r="43" spans="5:15" x14ac:dyDescent="0.2">
      <c r="E43" s="95"/>
      <c r="F43" s="86"/>
      <c r="G43" s="86"/>
      <c r="H43" s="86"/>
      <c r="I43" s="86"/>
      <c r="J43" s="86"/>
      <c r="K43" s="86"/>
      <c r="L43" s="86"/>
      <c r="M43" s="86"/>
      <c r="N43" s="86"/>
      <c r="O43" s="94"/>
    </row>
    <row r="44" spans="5:15" x14ac:dyDescent="0.2">
      <c r="E44" s="95"/>
      <c r="F44" s="86"/>
      <c r="G44" s="86"/>
      <c r="H44" s="86"/>
      <c r="I44" s="86"/>
      <c r="J44" s="86"/>
      <c r="K44" s="86"/>
      <c r="L44" s="86"/>
      <c r="M44" s="86"/>
      <c r="N44" s="86"/>
      <c r="O44" s="94"/>
    </row>
    <row r="45" spans="5:15" x14ac:dyDescent="0.2">
      <c r="E45" s="95"/>
      <c r="F45" s="86"/>
      <c r="G45" s="86"/>
      <c r="H45" s="86"/>
      <c r="I45" s="86"/>
      <c r="J45" s="86"/>
      <c r="K45" s="86"/>
      <c r="L45" s="86"/>
      <c r="M45" s="86"/>
      <c r="N45" s="86"/>
      <c r="O45" s="94"/>
    </row>
    <row r="46" spans="5:15" x14ac:dyDescent="0.2">
      <c r="E46" s="95"/>
      <c r="F46" s="86"/>
      <c r="G46" s="86"/>
      <c r="H46" s="86"/>
      <c r="I46" s="86"/>
      <c r="J46" s="86"/>
      <c r="K46" s="86"/>
      <c r="L46" s="86"/>
      <c r="M46" s="86"/>
      <c r="N46" s="86"/>
      <c r="O46" s="94"/>
    </row>
    <row r="47" spans="5:15" x14ac:dyDescent="0.2">
      <c r="E47" s="95"/>
      <c r="F47" s="86"/>
      <c r="G47" s="86"/>
      <c r="H47" s="86"/>
      <c r="I47" s="86"/>
      <c r="J47" s="86"/>
      <c r="K47" s="86"/>
      <c r="L47" s="86"/>
      <c r="M47" s="86"/>
      <c r="N47" s="86"/>
      <c r="O47" s="94"/>
    </row>
    <row r="48" spans="5:15" x14ac:dyDescent="0.2">
      <c r="E48" s="96"/>
      <c r="F48" s="97"/>
      <c r="G48" s="97"/>
      <c r="H48" s="97"/>
      <c r="I48" s="97"/>
      <c r="J48" s="97"/>
      <c r="K48" s="97"/>
      <c r="L48" s="97"/>
      <c r="M48" s="97"/>
      <c r="N48" s="97"/>
      <c r="O48" s="98"/>
    </row>
    <row r="50" spans="5:15" ht="15" customHeight="1" x14ac:dyDescent="0.2">
      <c r="E50" s="182" t="s">
        <v>261</v>
      </c>
      <c r="F50" s="182"/>
      <c r="G50" s="182"/>
      <c r="H50" s="182"/>
      <c r="I50" s="182"/>
      <c r="J50" s="182"/>
      <c r="K50" s="182"/>
      <c r="L50" s="182"/>
      <c r="M50" s="182"/>
      <c r="N50" s="182"/>
      <c r="O50" s="182"/>
    </row>
    <row r="51" spans="5:15" ht="15" customHeight="1" x14ac:dyDescent="0.2"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</row>
    <row r="52" spans="5:15" x14ac:dyDescent="0.2">
      <c r="E52" s="179" t="s">
        <v>262</v>
      </c>
      <c r="F52" s="180"/>
      <c r="G52" s="180"/>
      <c r="H52" s="180"/>
      <c r="I52" s="180"/>
      <c r="J52" s="181"/>
      <c r="K52" s="163"/>
      <c r="L52" s="179" t="s">
        <v>263</v>
      </c>
      <c r="M52" s="180"/>
      <c r="N52" s="180"/>
      <c r="O52" s="181"/>
    </row>
    <row r="53" spans="5:15" x14ac:dyDescent="0.2">
      <c r="E53" s="78" t="s">
        <v>264</v>
      </c>
      <c r="F53" s="79"/>
      <c r="G53" s="79"/>
      <c r="H53" s="79"/>
      <c r="I53" s="79"/>
      <c r="J53" s="145">
        <f>H11*H12</f>
        <v>215000</v>
      </c>
      <c r="K53" s="161"/>
      <c r="L53" s="78" t="s">
        <v>265</v>
      </c>
      <c r="M53" s="79"/>
      <c r="N53" s="121"/>
      <c r="O53" s="80">
        <f>J66*H12*H25</f>
        <v>-1612.5</v>
      </c>
    </row>
    <row r="54" spans="5:15" x14ac:dyDescent="0.2">
      <c r="E54" s="81" t="s">
        <v>102</v>
      </c>
      <c r="F54" s="77"/>
      <c r="G54" s="77"/>
      <c r="H54" s="77"/>
      <c r="I54" s="77"/>
      <c r="J54" s="146">
        <f>H11*(1-L12)</f>
        <v>32250</v>
      </c>
      <c r="K54" s="161"/>
      <c r="L54" s="81" t="s">
        <v>266</v>
      </c>
      <c r="M54" s="77"/>
      <c r="N54" s="122"/>
      <c r="O54" s="165">
        <f>O53*H13</f>
        <v>-967500</v>
      </c>
    </row>
    <row r="55" spans="5:15" x14ac:dyDescent="0.2">
      <c r="E55" s="81" t="s">
        <v>104</v>
      </c>
      <c r="F55" s="77"/>
      <c r="G55" s="77"/>
      <c r="H55" s="77"/>
      <c r="I55" s="77"/>
      <c r="J55" s="146">
        <f>H11*L12</f>
        <v>10750</v>
      </c>
      <c r="K55" s="161"/>
      <c r="L55" s="179" t="s">
        <v>232</v>
      </c>
      <c r="M55" s="180"/>
      <c r="N55" s="180"/>
      <c r="O55" s="181"/>
    </row>
    <row r="56" spans="5:15" x14ac:dyDescent="0.2">
      <c r="E56" s="81" t="s">
        <v>99</v>
      </c>
      <c r="F56" s="77"/>
      <c r="G56" s="77"/>
      <c r="H56" s="77"/>
      <c r="I56" s="77"/>
      <c r="J56" s="147">
        <f>J57*(1-O25)</f>
        <v>4.788732394366197</v>
      </c>
      <c r="K56" s="161"/>
      <c r="L56" s="81" t="s">
        <v>145</v>
      </c>
      <c r="M56" s="77"/>
      <c r="N56" s="122"/>
      <c r="O56" s="82">
        <f>H11*H17</f>
        <v>1290</v>
      </c>
    </row>
    <row r="57" spans="5:15" x14ac:dyDescent="0.2">
      <c r="E57" s="81" t="s">
        <v>101</v>
      </c>
      <c r="F57" s="77"/>
      <c r="G57" s="77"/>
      <c r="H57" s="77" t="s">
        <v>267</v>
      </c>
      <c r="I57" s="77"/>
      <c r="J57" s="147">
        <f>J53/(H11-(O25*J54))</f>
        <v>5.6338028169014081</v>
      </c>
      <c r="K57" s="161"/>
      <c r="L57" s="81" t="s">
        <v>152</v>
      </c>
      <c r="M57" s="77"/>
      <c r="N57" s="122"/>
      <c r="O57" s="82">
        <f>H11*H26</f>
        <v>1032</v>
      </c>
    </row>
    <row r="58" spans="5:15" x14ac:dyDescent="0.2">
      <c r="E58" s="81" t="s">
        <v>268</v>
      </c>
      <c r="F58" s="77"/>
      <c r="G58" s="77"/>
      <c r="H58" s="77"/>
      <c r="I58" s="77"/>
      <c r="J58" s="146">
        <f>J56*J54</f>
        <v>154436.61971830984</v>
      </c>
      <c r="K58" s="161"/>
      <c r="L58" s="81" t="s">
        <v>153</v>
      </c>
      <c r="M58" s="77"/>
      <c r="N58" s="122"/>
      <c r="O58" s="82">
        <f>O56-O57</f>
        <v>258</v>
      </c>
    </row>
    <row r="59" spans="5:15" x14ac:dyDescent="0.2">
      <c r="E59" s="81" t="s">
        <v>269</v>
      </c>
      <c r="F59" s="77"/>
      <c r="G59" s="77"/>
      <c r="H59" s="77"/>
      <c r="I59" s="77"/>
      <c r="J59" s="146">
        <f>J57*J55</f>
        <v>60563.380281690137</v>
      </c>
      <c r="K59" s="161"/>
      <c r="L59" s="81" t="s">
        <v>155</v>
      </c>
      <c r="M59" s="77"/>
      <c r="N59" s="122"/>
      <c r="O59" s="82">
        <f>O58*H13*H12</f>
        <v>774000</v>
      </c>
    </row>
    <row r="60" spans="5:15" x14ac:dyDescent="0.2">
      <c r="E60" s="81" t="s">
        <v>110</v>
      </c>
      <c r="F60" s="77"/>
      <c r="G60" s="77"/>
      <c r="H60" s="77"/>
      <c r="I60" s="77"/>
      <c r="J60" s="146">
        <f>J59-(J55*J56)</f>
        <v>9084.5070422535209</v>
      </c>
      <c r="K60" s="161"/>
      <c r="L60" s="81" t="s">
        <v>156</v>
      </c>
      <c r="M60" s="77"/>
      <c r="N60" s="122"/>
      <c r="O60" s="158">
        <f>O59*18%</f>
        <v>139320</v>
      </c>
    </row>
    <row r="61" spans="5:15" x14ac:dyDescent="0.2">
      <c r="E61" s="81" t="s">
        <v>113</v>
      </c>
      <c r="F61" s="77"/>
      <c r="G61" s="77"/>
      <c r="H61" s="77"/>
      <c r="I61" s="77"/>
      <c r="J61" s="148">
        <f>J60*H13</f>
        <v>5450704.2253521122</v>
      </c>
      <c r="K61" s="161"/>
      <c r="L61" s="179" t="s">
        <v>270</v>
      </c>
      <c r="M61" s="180"/>
      <c r="N61" s="180"/>
      <c r="O61" s="181"/>
    </row>
    <row r="62" spans="5:15" x14ac:dyDescent="0.2">
      <c r="E62" s="179" t="s">
        <v>271</v>
      </c>
      <c r="F62" s="180"/>
      <c r="G62" s="180"/>
      <c r="H62" s="180"/>
      <c r="I62" s="180"/>
      <c r="J62" s="181"/>
      <c r="K62" s="161"/>
      <c r="L62" s="81" t="s">
        <v>180</v>
      </c>
      <c r="M62" s="77"/>
      <c r="N62" s="122"/>
      <c r="O62" s="82">
        <f>J59*L17</f>
        <v>9084.5070422535209</v>
      </c>
    </row>
    <row r="63" spans="5:15" x14ac:dyDescent="0.2">
      <c r="E63" s="81" t="s">
        <v>237</v>
      </c>
      <c r="F63" s="77"/>
      <c r="G63" s="77"/>
      <c r="H63" s="77"/>
      <c r="I63" s="77"/>
      <c r="J63" s="145">
        <f>H11*O17</f>
        <v>43000</v>
      </c>
      <c r="K63" s="161"/>
      <c r="L63" s="81" t="s">
        <v>181</v>
      </c>
      <c r="M63" s="77"/>
      <c r="N63" s="122"/>
      <c r="O63" s="82">
        <f>J59-O62</f>
        <v>51478.873239436616</v>
      </c>
    </row>
    <row r="64" spans="5:15" x14ac:dyDescent="0.2">
      <c r="E64" s="81" t="s">
        <v>272</v>
      </c>
      <c r="F64" s="77"/>
      <c r="G64" s="77"/>
      <c r="H64" s="77"/>
      <c r="I64" s="77"/>
      <c r="J64" s="146">
        <f>J63*L11</f>
        <v>12900</v>
      </c>
      <c r="K64" s="161"/>
      <c r="L64" s="81"/>
      <c r="M64" s="77"/>
      <c r="N64" s="122"/>
      <c r="O64" s="82"/>
    </row>
    <row r="65" spans="4:15" x14ac:dyDescent="0.2">
      <c r="E65" s="81" t="s">
        <v>104</v>
      </c>
      <c r="F65" s="77"/>
      <c r="G65" s="77"/>
      <c r="H65" s="77"/>
      <c r="I65" s="77"/>
      <c r="J65" s="146">
        <f>J63*L12</f>
        <v>10750</v>
      </c>
      <c r="K65" s="161"/>
      <c r="L65" s="83" t="s">
        <v>259</v>
      </c>
      <c r="M65" s="84"/>
      <c r="N65" s="85"/>
      <c r="O65" s="165">
        <f>O63*L18</f>
        <v>2059154.9295774647</v>
      </c>
    </row>
    <row r="66" spans="4:15" x14ac:dyDescent="0.2">
      <c r="E66" s="81" t="s">
        <v>273</v>
      </c>
      <c r="F66" s="77"/>
      <c r="G66" s="77"/>
      <c r="H66" s="77"/>
      <c r="I66" s="77"/>
      <c r="J66" s="146">
        <f>IF(O18="Malnourished only",J65,J64)*O19</f>
        <v>10750</v>
      </c>
      <c r="K66" s="161"/>
      <c r="L66" s="77"/>
      <c r="M66" s="77"/>
      <c r="N66" s="77"/>
      <c r="O66" s="122"/>
    </row>
    <row r="67" spans="4:15" x14ac:dyDescent="0.2">
      <c r="E67" s="83" t="s">
        <v>274</v>
      </c>
      <c r="F67" s="84"/>
      <c r="G67" s="84"/>
      <c r="H67" s="84"/>
      <c r="I67" s="84"/>
      <c r="J67" s="148">
        <f>J66*O20</f>
        <v>32250</v>
      </c>
      <c r="K67" s="161"/>
      <c r="L67" s="77"/>
      <c r="M67" s="77"/>
      <c r="N67" s="77"/>
      <c r="O67" s="122"/>
    </row>
    <row r="68" spans="4:15" s="159" customFormat="1" x14ac:dyDescent="0.2">
      <c r="E68" s="160"/>
      <c r="F68" s="161"/>
      <c r="G68" s="161"/>
      <c r="H68" s="161"/>
      <c r="I68" s="161"/>
      <c r="J68" s="161"/>
      <c r="K68" s="161"/>
      <c r="L68" s="161"/>
      <c r="M68" s="161"/>
      <c r="N68" s="161"/>
      <c r="O68" s="162"/>
    </row>
    <row r="69" spans="4:15" x14ac:dyDescent="0.2">
      <c r="E69" s="179" t="s">
        <v>275</v>
      </c>
      <c r="F69" s="180"/>
      <c r="G69" s="180"/>
      <c r="H69" s="180"/>
      <c r="I69" s="180"/>
      <c r="J69" s="181"/>
      <c r="K69" s="179" t="s">
        <v>276</v>
      </c>
      <c r="L69" s="180"/>
      <c r="M69" s="180"/>
      <c r="N69" s="180"/>
      <c r="O69" s="181"/>
    </row>
    <row r="70" spans="4:15" x14ac:dyDescent="0.2">
      <c r="E70" s="78" t="s">
        <v>277</v>
      </c>
      <c r="F70" s="79"/>
      <c r="G70" s="79"/>
      <c r="H70" s="79"/>
      <c r="I70" s="79"/>
      <c r="J70" s="145">
        <f>(O14*60)/O21</f>
        <v>30</v>
      </c>
      <c r="K70" s="161"/>
      <c r="L70" s="81" t="s">
        <v>278</v>
      </c>
      <c r="M70" s="77"/>
      <c r="N70" s="77"/>
      <c r="O70" s="145">
        <f>J70-H29+O30</f>
        <v>28.060000000000002</v>
      </c>
    </row>
    <row r="71" spans="4:15" x14ac:dyDescent="0.2">
      <c r="E71" s="81" t="s">
        <v>279</v>
      </c>
      <c r="F71" s="81"/>
      <c r="G71" s="77"/>
      <c r="H71" s="77"/>
      <c r="I71" s="77"/>
      <c r="J71" s="146">
        <f>O21</f>
        <v>12</v>
      </c>
      <c r="K71" s="161"/>
      <c r="L71" s="81" t="s">
        <v>280</v>
      </c>
      <c r="M71" s="77"/>
      <c r="N71" s="77"/>
      <c r="O71" s="146">
        <f>(O14*60)/O70</f>
        <v>12.829650748396293</v>
      </c>
    </row>
    <row r="72" spans="4:15" x14ac:dyDescent="0.2">
      <c r="E72" s="81" t="s">
        <v>281</v>
      </c>
      <c r="F72" s="77"/>
      <c r="G72" s="77"/>
      <c r="H72" s="77"/>
      <c r="I72" s="77"/>
      <c r="J72" s="146">
        <f>O21*O13</f>
        <v>2400</v>
      </c>
      <c r="K72" s="161"/>
      <c r="L72" s="81" t="s">
        <v>282</v>
      </c>
      <c r="M72" s="77"/>
      <c r="N72" s="77"/>
      <c r="O72" s="146">
        <f>O71*O13</f>
        <v>2565.9301496792586</v>
      </c>
    </row>
    <row r="73" spans="4:15" x14ac:dyDescent="0.2">
      <c r="E73" s="81" t="s">
        <v>283</v>
      </c>
      <c r="F73" s="77"/>
      <c r="G73" s="77"/>
      <c r="H73" s="77"/>
      <c r="I73" s="77"/>
      <c r="J73" s="146">
        <f>O11*O21*O13</f>
        <v>21600</v>
      </c>
      <c r="K73" s="161"/>
      <c r="L73" s="81" t="s">
        <v>284</v>
      </c>
      <c r="M73" s="77"/>
      <c r="N73" s="77"/>
      <c r="O73" s="146">
        <f>O11*O71*225</f>
        <v>25980.042765502494</v>
      </c>
    </row>
    <row r="74" spans="4:15" x14ac:dyDescent="0.2">
      <c r="E74" s="81" t="s">
        <v>285</v>
      </c>
      <c r="F74" s="77"/>
      <c r="G74" s="77"/>
      <c r="H74" s="77"/>
      <c r="I74" s="77"/>
      <c r="J74" s="146">
        <f>J73-J67</f>
        <v>-10650</v>
      </c>
      <c r="K74" s="161"/>
      <c r="L74" s="81" t="s">
        <v>285</v>
      </c>
      <c r="M74" s="77"/>
      <c r="N74" s="77"/>
      <c r="O74" s="146">
        <f>O73-J67</f>
        <v>-6269.9572344975059</v>
      </c>
    </row>
    <row r="75" spans="4:15" x14ac:dyDescent="0.2">
      <c r="E75" s="81" t="s">
        <v>285</v>
      </c>
      <c r="F75" s="77"/>
      <c r="G75" s="77"/>
      <c r="H75" s="77"/>
      <c r="I75" s="77"/>
      <c r="J75" s="147">
        <f>J74/J72</f>
        <v>-4.4375</v>
      </c>
      <c r="K75" s="161"/>
      <c r="L75" s="81" t="s">
        <v>285</v>
      </c>
      <c r="M75" s="77"/>
      <c r="N75" s="77"/>
      <c r="O75" s="147">
        <f>O74/O72</f>
        <v>-2.4435416666666669</v>
      </c>
    </row>
    <row r="76" spans="4:15" x14ac:dyDescent="0.2">
      <c r="E76" s="83" t="s">
        <v>286</v>
      </c>
      <c r="F76" s="84"/>
      <c r="G76" s="84"/>
      <c r="H76" s="84"/>
      <c r="I76" s="84"/>
      <c r="J76" s="148">
        <f>J75*O12</f>
        <v>-288437.5</v>
      </c>
      <c r="K76" s="164"/>
      <c r="L76" s="68" t="s">
        <v>286</v>
      </c>
      <c r="M76" s="69"/>
      <c r="N76" s="69"/>
      <c r="O76" s="158"/>
    </row>
    <row r="79" spans="4:15" x14ac:dyDescent="0.2">
      <c r="E79" s="138" t="s">
        <v>287</v>
      </c>
    </row>
    <row r="80" spans="4:15" x14ac:dyDescent="0.2">
      <c r="D80">
        <v>1</v>
      </c>
      <c r="E80" s="63" t="s">
        <v>288</v>
      </c>
    </row>
    <row r="81" spans="4:5" x14ac:dyDescent="0.2">
      <c r="D81">
        <v>2</v>
      </c>
      <c r="E81" s="63" t="s">
        <v>94</v>
      </c>
    </row>
    <row r="82" spans="4:5" x14ac:dyDescent="0.2">
      <c r="D82">
        <v>3</v>
      </c>
      <c r="E82" s="63" t="s">
        <v>151</v>
      </c>
    </row>
    <row r="83" spans="4:5" x14ac:dyDescent="0.2">
      <c r="D83">
        <v>4</v>
      </c>
      <c r="E83" t="s">
        <v>289</v>
      </c>
    </row>
    <row r="84" spans="4:5" x14ac:dyDescent="0.2">
      <c r="D84">
        <v>5</v>
      </c>
      <c r="E84" s="63" t="s">
        <v>144</v>
      </c>
    </row>
    <row r="111" spans="5:5" x14ac:dyDescent="0.2">
      <c r="E111" t="s">
        <v>240</v>
      </c>
    </row>
    <row r="112" spans="5:5" x14ac:dyDescent="0.2">
      <c r="E112" t="s">
        <v>290</v>
      </c>
    </row>
  </sheetData>
  <mergeCells count="23">
    <mergeCell ref="E10:H10"/>
    <mergeCell ref="I10:L10"/>
    <mergeCell ref="M10:O10"/>
    <mergeCell ref="I16:L16"/>
    <mergeCell ref="E7:O8"/>
    <mergeCell ref="E9:O9"/>
    <mergeCell ref="E33:E35"/>
    <mergeCell ref="E38:E39"/>
    <mergeCell ref="F38:F39"/>
    <mergeCell ref="M16:O16"/>
    <mergeCell ref="E32:O32"/>
    <mergeCell ref="E28:H28"/>
    <mergeCell ref="E24:H24"/>
    <mergeCell ref="E23:O23"/>
    <mergeCell ref="E16:H16"/>
    <mergeCell ref="L52:O52"/>
    <mergeCell ref="L55:O55"/>
    <mergeCell ref="L61:O61"/>
    <mergeCell ref="E50:O51"/>
    <mergeCell ref="K69:O69"/>
    <mergeCell ref="E52:J52"/>
    <mergeCell ref="E62:J62"/>
    <mergeCell ref="E69:J69"/>
  </mergeCells>
  <dataValidations count="1">
    <dataValidation type="list" allowBlank="1" showInputMessage="1" showErrorMessage="1" sqref="O18" xr:uid="{5875C968-8DDD-4A6A-8A67-EC14204502CA}">
      <formula1>$E$111:$E$112</formula1>
    </dataValidation>
  </dataValidations>
  <hyperlinks>
    <hyperlink ref="E80" r:id="rId1" xr:uid="{B631CF52-B7AA-4C1E-B2AE-75E48B49D29F}"/>
    <hyperlink ref="E81" r:id="rId2" xr:uid="{5D26EEE4-F793-46D8-91A5-47BF734CD5E0}"/>
  </hyperlinks>
  <pageMargins left="0.7" right="0.7" top="0.75" bottom="0.75" header="0.3" footer="0.3"/>
  <pageSetup orientation="portrait" r:id="rId3"/>
  <drawing r:id="rId4"/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b19f6f-9fc5-4583-820a-62837b1ed33d">
      <Terms xmlns="http://schemas.microsoft.com/office/infopath/2007/PartnerControls"/>
    </lcf76f155ced4ddcb4097134ff3c332f>
    <TaxCatchAll xmlns="d1202680-5992-4b51-a81e-02bf3cfca7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1F859F4867847A3B6DA848916EE9C" ma:contentTypeVersion="15" ma:contentTypeDescription="Crée un document." ma:contentTypeScope="" ma:versionID="d05744b3bc13b34f3c92082bf6b06fd7">
  <xsd:schema xmlns:xsd="http://www.w3.org/2001/XMLSchema" xmlns:xs="http://www.w3.org/2001/XMLSchema" xmlns:p="http://schemas.microsoft.com/office/2006/metadata/properties" xmlns:ns2="cdb19f6f-9fc5-4583-820a-62837b1ed33d" xmlns:ns3="d1202680-5992-4b51-a81e-02bf3cfca7f1" targetNamespace="http://schemas.microsoft.com/office/2006/metadata/properties" ma:root="true" ma:fieldsID="7ff50f963c43c5c11f7812c2bc16f565" ns2:_="" ns3:_="">
    <xsd:import namespace="cdb19f6f-9fc5-4583-820a-62837b1ed33d"/>
    <xsd:import namespace="d1202680-5992-4b51-a81e-02bf3cfca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19f6f-9fc5-4583-820a-62837b1ed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5226ce5-b802-4c11-9aa8-baf37c7d3f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02680-5992-4b51-a81e-02bf3cfca7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9b4a65b-06a0-48ab-94aa-2f99780a1676}" ma:internalName="TaxCatchAll" ma:showField="CatchAllData" ma:web="d1202680-5992-4b51-a81e-02bf3cfca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4B06C-E666-4FFE-8F6D-699F55630ACA}">
  <ds:schemaRefs>
    <ds:schemaRef ds:uri="http://schemas.microsoft.com/office/2006/metadata/properties"/>
    <ds:schemaRef ds:uri="http://schemas.microsoft.com/office/infopath/2007/PartnerControls"/>
    <ds:schemaRef ds:uri="cdb19f6f-9fc5-4583-820a-62837b1ed33d"/>
    <ds:schemaRef ds:uri="d1202680-5992-4b51-a81e-02bf3cfca7f1"/>
  </ds:schemaRefs>
</ds:datastoreItem>
</file>

<file path=customXml/itemProps2.xml><?xml version="1.0" encoding="utf-8"?>
<ds:datastoreItem xmlns:ds="http://schemas.openxmlformats.org/officeDocument/2006/customXml" ds:itemID="{0A1ECB14-3A61-4451-83B1-89DE3D51F2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B2BC2-B182-4420-BDFC-268427AE6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b19f6f-9fc5-4583-820a-62837b1ed33d"/>
    <ds:schemaRef ds:uri="d1202680-5992-4b51-a81e-02bf3cfca7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Feuil1</vt:lpstr>
      <vt:lpstr>Value - Hospital</vt:lpstr>
      <vt:lpstr>Value -Homecare</vt:lpstr>
      <vt:lpstr>ROI 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basti</dc:creator>
  <cp:keywords/>
  <dc:description/>
  <cp:lastModifiedBy>Jean-Claude Havaux</cp:lastModifiedBy>
  <cp:revision/>
  <dcterms:created xsi:type="dcterms:W3CDTF">2019-01-29T12:03:58Z</dcterms:created>
  <dcterms:modified xsi:type="dcterms:W3CDTF">2023-05-03T12:24:43Z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0x010100FAC1F859F4867847A3B6DA848916EE9C</vt:lpwstr>
  </property>
  <property fmtid="{D5CDD505-2E9C-101B-9397-08002B2CF9AE}" pid="3" name="MediaServiceImageTags">
    <vt:lpwstr/>
  </property>
</Properties>
</file>