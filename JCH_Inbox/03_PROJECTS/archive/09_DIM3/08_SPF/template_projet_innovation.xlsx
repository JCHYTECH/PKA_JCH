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codeName="ThisWorkbook" defaultThemeVersion="166925"/>
  <mc:AlternateContent xmlns:mc="http://schemas.openxmlformats.org/markup-compatibility/2006">
    <mc:Choice Requires="x15">
      <x15ac:absPath xmlns:x15ac="http://schemas.microsoft.com/office/spreadsheetml/2010/11/ac" url="/Users/jch/Library/CloudStorage/Dropbox/A - DIM3/PROJET SPF/"/>
    </mc:Choice>
  </mc:AlternateContent>
  <xr:revisionPtr revIDLastSave="0" documentId="8_{B2B8FBFE-C7CF-4741-92E6-C8AFB9A3471F}" xr6:coauthVersionLast="47" xr6:coauthVersionMax="47" xr10:uidLastSave="{00000000-0000-0000-0000-000000000000}"/>
  <bookViews>
    <workbookView xWindow="0" yWindow="0" windowWidth="68800" windowHeight="28800" xr2:uid="{FAEEB35E-9D3B-463E-8698-203008424205}"/>
  </bookViews>
  <sheets>
    <sheet name="Fiche de proj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83" i="1" l="1"/>
  <c r="AT83" i="1"/>
  <c r="AR83" i="1"/>
  <c r="AP83" i="1"/>
  <c r="AN83" i="1"/>
  <c r="AL83" i="1"/>
  <c r="AJ83" i="1"/>
  <c r="AH83" i="1"/>
  <c r="AF83" i="1"/>
  <c r="AD83" i="1"/>
  <c r="AV79" i="1"/>
  <c r="AT79" i="1"/>
  <c r="AR79" i="1"/>
  <c r="AP79" i="1"/>
  <c r="AN79" i="1"/>
  <c r="AL79" i="1"/>
  <c r="AJ79" i="1"/>
  <c r="AH79" i="1"/>
  <c r="AF79" i="1"/>
  <c r="AD79" i="1"/>
  <c r="AV61" i="1"/>
  <c r="AT61" i="1"/>
  <c r="AR61" i="1"/>
  <c r="AP61" i="1"/>
  <c r="AN61" i="1"/>
  <c r="AL61" i="1"/>
  <c r="AJ61" i="1"/>
  <c r="AH61" i="1"/>
  <c r="AF61" i="1"/>
  <c r="AD61" i="1"/>
  <c r="AV48" i="1"/>
  <c r="AT48" i="1"/>
  <c r="AR48" i="1"/>
  <c r="AP48" i="1"/>
  <c r="AN48" i="1"/>
  <c r="AL48" i="1"/>
  <c r="AJ48" i="1"/>
  <c r="AH48" i="1"/>
  <c r="AF48" i="1"/>
  <c r="AD48" i="1"/>
  <c r="AV40" i="1"/>
  <c r="AT40" i="1"/>
  <c r="AR40" i="1"/>
  <c r="AP40" i="1"/>
  <c r="AN40" i="1"/>
  <c r="AL40" i="1"/>
  <c r="AJ40" i="1"/>
  <c r="AH40" i="1"/>
  <c r="AF40" i="1"/>
  <c r="AD40" i="1"/>
  <c r="AV30" i="1"/>
  <c r="AT30" i="1"/>
  <c r="AR30" i="1"/>
  <c r="AP30" i="1"/>
  <c r="AN30" i="1"/>
  <c r="AL30" i="1"/>
  <c r="AJ30" i="1"/>
  <c r="AH30" i="1"/>
  <c r="AF30" i="1"/>
  <c r="AD30" i="1"/>
  <c r="AV26" i="1"/>
  <c r="AT26" i="1"/>
  <c r="AR26" i="1"/>
  <c r="AP26" i="1"/>
  <c r="AN26" i="1"/>
  <c r="AL26" i="1"/>
  <c r="AJ26" i="1"/>
  <c r="AH26" i="1"/>
  <c r="AF26" i="1"/>
  <c r="AD26" i="1"/>
  <c r="AV3" i="1"/>
  <c r="AT3" i="1"/>
  <c r="AR3" i="1"/>
  <c r="AP3" i="1"/>
  <c r="AN3" i="1"/>
  <c r="AL3" i="1"/>
  <c r="AJ3" i="1"/>
  <c r="AH3" i="1"/>
  <c r="AB3" i="1" s="1"/>
  <c r="AF3" i="1"/>
  <c r="AD3" i="1"/>
</calcChain>
</file>

<file path=xl/sharedStrings.xml><?xml version="1.0" encoding="utf-8"?>
<sst xmlns="http://schemas.openxmlformats.org/spreadsheetml/2006/main" count="216" uniqueCount="163">
  <si>
    <t>N° de réf. du projet</t>
  </si>
  <si>
    <t>Version du document</t>
  </si>
  <si>
    <t>V2</t>
  </si>
  <si>
    <t>Méthode pour insérer une nouvelle ligne en copiant une ligne existante:</t>
  </si>
  <si>
    <t>1. Sélectionner la ligne en cliquant sur le numéro de la ligne que vous souhaitez copier.</t>
  </si>
  <si>
    <t>2. Cliquer sur le bouton droit de la souris et choisir « Copier ».</t>
  </si>
  <si>
    <t>3. Cliquer sur le bouton droit de la souris et choisir « Insérer les cellules copiées ».</t>
  </si>
  <si>
    <t>Généralités</t>
  </si>
  <si>
    <t>Nom du projet</t>
  </si>
  <si>
    <t>Hôpital coordinateur</t>
  </si>
  <si>
    <t>Hôpitaux participants</t>
  </si>
  <si>
    <t>Chef de projet</t>
  </si>
  <si>
    <t>Personne de contact</t>
  </si>
  <si>
    <t>Période du projet</t>
  </si>
  <si>
    <t>Objectifs du projet</t>
  </si>
  <si>
    <t>1a. Décrire le contexte (As is) et la situation future (To Be)</t>
  </si>
  <si>
    <t>1b. Décrire les objectifs (SMART) du projet</t>
  </si>
  <si>
    <t xml:space="preserve">Relation avec la stratégie </t>
  </si>
  <si>
    <t>1c. Comment le projet s'inscrit-il dans la stratégie du réseau/groupe hospitalier locorégional ?</t>
  </si>
  <si>
    <t xml:space="preserve">                              </t>
  </si>
  <si>
    <t>1d. L'application innovante répond-elle à un besoin clair (variation par rapport à d'autres applications existantes) ?
​​</t>
  </si>
  <si>
    <t>1e. Décrire de manière réaliste et convaincante l'efficacité et l'efficience potentielles de la nouvelle application ?</t>
  </si>
  <si>
    <t>Scope du projet</t>
  </si>
  <si>
    <t>1f. Démontrez-vous que le projet apportera une réelle innovation numérique dans le secteur de la santé ?</t>
  </si>
  <si>
    <t>1g. Combien de patients ou de dispensateurs de soins seront potentiellement touchés par le projet ?</t>
  </si>
  <si>
    <t>Valeur ajoutée</t>
  </si>
  <si>
    <t>2a. Quels sont les principaux facteurs contribuant à l'intérêt commun ?</t>
  </si>
  <si>
    <t>2b. Quel impact les projets ont-ils sur la santé publique et quelle est leur contribution aux objectifs du Quintuple Aim ?</t>
  </si>
  <si>
    <t>2c. Quelle est la contribution aux soins intégrés, au soutien des patients et à l'empowerment des citoyens ?</t>
  </si>
  <si>
    <t>2d. Décrivez comment la prévention, le bien-être général et un mode de vie sain sont abordés.</t>
  </si>
  <si>
    <t>2e. Dressez la liste des principaux effets attendus sur l’organisation et la collaboration entre les différents partenaires ?</t>
  </si>
  <si>
    <t>Faisabilité</t>
  </si>
  <si>
    <t>3a. Décrivez dans quelle mesure l'équipe du projet dispose des capacités, des compétences et de l'expérience nécessaires pour mettre en œuvre et étendre le projet dans la période définie.</t>
  </si>
  <si>
    <t>Gestion des risques et dépendances</t>
  </si>
  <si>
    <t>3b. Quelles sont les dépendances avec d'autres projets ?</t>
  </si>
  <si>
    <t>3c. Risques</t>
  </si>
  <si>
    <t>3d. Mesures</t>
  </si>
  <si>
    <t>Risque 1</t>
  </si>
  <si>
    <t>Risque 2</t>
  </si>
  <si>
    <t>...</t>
  </si>
  <si>
    <t>Collaboration</t>
  </si>
  <si>
    <t>4a. Décrivez les principaux effets attendus sur l'organisation et la coopération entre les hôpitaux partenaires ?</t>
  </si>
  <si>
    <t>4b. Décrivez les principaux effets attendus sur l'organisation et la coopération avec les acteurs de première ligne ?</t>
  </si>
  <si>
    <t>Gouvernance</t>
  </si>
  <si>
    <t>4c. Décrivez comment les hôpitaux participants (du réseau ou groupement) sont activement impliqués  dans le processus et dans la gouvernance du projet.</t>
  </si>
  <si>
    <t>Sponsors du projet - direction générale</t>
  </si>
  <si>
    <t>Sponsors du projet - direction médicale</t>
  </si>
  <si>
    <t>Membres du groupe de pilotage :</t>
  </si>
  <si>
    <t>Membre du groupe de projet</t>
  </si>
  <si>
    <t>Résultat &amp; indicateur</t>
  </si>
  <si>
    <t>5a. Description du résultat (SMART)</t>
  </si>
  <si>
    <t>5b. Indicateur d'évaluation</t>
  </si>
  <si>
    <t>5c. Target</t>
  </si>
  <si>
    <t xml:space="preserve">Plan du projet </t>
  </si>
  <si>
    <t>5d. Planning</t>
  </si>
  <si>
    <t>5e. Exécution</t>
  </si>
  <si>
    <t>Jalons</t>
  </si>
  <si>
    <t>Date de début</t>
  </si>
  <si>
    <t>Fin</t>
  </si>
  <si>
    <t>%</t>
  </si>
  <si>
    <t>Remarque</t>
  </si>
  <si>
    <t>M1</t>
  </si>
  <si>
    <t>M2</t>
  </si>
  <si>
    <t>M3</t>
  </si>
  <si>
    <t>M4</t>
  </si>
  <si>
    <t>M5</t>
  </si>
  <si>
    <t>M6</t>
  </si>
  <si>
    <t>M7</t>
  </si>
  <si>
    <t>M8</t>
  </si>
  <si>
    <t>M9</t>
  </si>
  <si>
    <t>M10</t>
  </si>
  <si>
    <t>Investissements et ressources</t>
  </si>
  <si>
    <t>5a. Item / catégorie</t>
  </si>
  <si>
    <t>5b. Coût et ETP (donner une description/explication)</t>
  </si>
  <si>
    <t>Personnel interne</t>
  </si>
  <si>
    <t>Personnel externe</t>
  </si>
  <si>
    <t>Développement</t>
  </si>
  <si>
    <t>Divers</t>
  </si>
  <si>
    <t>Change Management</t>
  </si>
  <si>
    <t xml:space="preserve">6a. Comment le projet sera-t-il opérationnalisé (Meaningful Use)
</t>
  </si>
  <si>
    <t>6b. Comment le changement est-il supervisé (y compris plan et suivi) ?</t>
  </si>
  <si>
    <t>Connexion à l’écosystème eHealth existant</t>
  </si>
  <si>
    <t>7a. Comment les projets s'intègrent-ils dans l'écosystème eHealth existant et améliorent-ils la qualité des données ?</t>
  </si>
  <si>
    <t>7b. Comment le projet améliore-t-il l'interopérabilité des données de santé entre hôpitaux en utilisant les standards internationaux (FHIR, OMOP...) ?</t>
  </si>
  <si>
    <t>Caractère évolutif</t>
  </si>
  <si>
    <t xml:space="preserve">8a. Décrivez comment ce projet peut être reproduit et étendu à d'autres institutions et à d'autres pathologies.  </t>
  </si>
  <si>
    <t xml:space="preserve">8b. Décrivez comment l'engagement continu, les boucles de feed-back et les ajustements sont mis en place pour une adoption réussie par les utilisateurs.  </t>
  </si>
  <si>
    <t>8c. Une mesure de référence est-elle déjà disponible ou décrivez comment elle sera effectuée avant le début du projet ?</t>
  </si>
  <si>
    <t>8d. Dans quelle mesure le projet dépend-il de la coopération des fournisseurs de DPI ? Différents fournisseurs de DPI sont-ils impliqués dans le projet ?</t>
  </si>
  <si>
    <t>Légalité (critère d'exclusion !)</t>
  </si>
  <si>
    <t>9a. Quelles sont les garanties fournies pour le respect des règles courantes et la déclaration sur l'honneur que les règles coutumières (principes FAIR) et la législation en vigueur (RGPD, RDM...) seront respectées ?</t>
  </si>
  <si>
    <t>9b. Des accords clairs ont-ils été conclus concernant les droits de propriété intellectuelle ?</t>
  </si>
  <si>
    <t>Critères d’évaluation</t>
  </si>
  <si>
    <t>Critères d'acceptation</t>
  </si>
  <si>
    <t xml:space="preserve">10a. Proposition de critères d'acceptation </t>
  </si>
  <si>
    <t>Critère 1.</t>
  </si>
  <si>
    <t>Critère 2</t>
  </si>
  <si>
    <t>10b. Évaluer comment l'innovation rationalise les processus de soins de santé, réduit la charge administrative et améliore l'efficacité globale.</t>
  </si>
  <si>
    <t>10c. Mesurer dans quelle mesure l'innovation améliore l'expérience et l'implication des patients.</t>
  </si>
  <si>
    <t>10d. Déterminer si le projet améliore l'accès aux soins et aux services de santé.</t>
  </si>
  <si>
    <t>10e. Recueillir l'avis des dispensateurs de soins de santé, des patients et des autres parties prenantes afin d'évaluer leur satisfaction et leur acceptation de l'innovation.</t>
  </si>
  <si>
    <t>Valeur ajoutée et bonnes pratiques</t>
  </si>
  <si>
    <t>11a. Un rapport avec les leçons tirées est-il disponible pour le secteur ?</t>
  </si>
  <si>
    <t>11b. Aperçu des risques et des goulots d'étranglement pour que le projet puisse ensuite également être lancé dans d'autres hôpitaux ?</t>
  </si>
  <si>
    <t>11c. Existe-t-il un aperçu des connaissances acquises et des bonnes pratiques ?</t>
  </si>
  <si>
    <t>Meaningful Use</t>
  </si>
  <si>
    <t>12a. Les hôpitaux participants du réseau hospitalier ont-ils atteint le même niveau d'utilisation ?</t>
  </si>
  <si>
    <t>12b. Comment le projet peut-il être opérationnalisé dans d'autres hôpitaux ?</t>
  </si>
  <si>
    <t>12c. Comment inscrire ce projet au programme BMUC?</t>
  </si>
  <si>
    <t>12d. Quelles actions les hôpitaux participants entreprendront-ils pour aider le secteur hospitalier à accélérer la mise en œuvre du projet dans d'autres hôpitaux également ?</t>
  </si>
  <si>
    <t>Approbation de la fiche projet</t>
  </si>
  <si>
    <t>Cette fiche a été approuvée par :</t>
  </si>
  <si>
    <t>Date d'approbation :</t>
  </si>
  <si>
    <t xml:space="preserve">•	introduire et évaluer de nouveaux dispositifs de diagnostic et traitements pour améliorer les résultats de santé ;
•	monitorer et surveiller la santé publique pour gérer efficacement les moyens à disposition ;
•	renforcer la collaboration entre les diverses lignes de soins et au sein des équipes multidisciplinaires (cf. aussi le concept BIHR) ;
•	instaurer de nouveaux canaux de communication pour les patients afin d’améliorer les soins centrés sur les patients ;
•	introduire de nouveaux services de santé numériques qui réduisent les charges administratives pour les dispensateurs de soins, qui diminuent la complexité et/ou qui augmentent l’efficacité et l’efficience des flux de travail cliniques afin de libérer plus de temps pour les soins ;
•	intégrer des données structurées ou codées de sources externes dans le stockage de données cliniques (via FHIR, care sets et/ou SNOMED-CT) ;
•	améliorer et simplifier la réutilisation et le partage de données de santé de qualité ;
•	recourir à l’analyse du big data et à l’intelligence artificielle/augmentée pour améliorer la prestation de soins et la gestion du système de santé ;
•	le respect du Quintuple Aim est démontré par une approche holistique qui tient compte de l’interaction complexe entre les patients, les dispensateurs de soins, la technologie, les processus et les coûts. </t>
  </si>
  <si>
    <t>Gemiddelde score</t>
  </si>
  <si>
    <t>Totaal</t>
  </si>
  <si>
    <t>Score A</t>
  </si>
  <si>
    <t>Score B</t>
  </si>
  <si>
    <t>Score C</t>
  </si>
  <si>
    <t>Score D</t>
  </si>
  <si>
    <t>Score E</t>
  </si>
  <si>
    <t>Score F</t>
  </si>
  <si>
    <t>Score G</t>
  </si>
  <si>
    <t>Score H</t>
  </si>
  <si>
    <t>Score I</t>
  </si>
  <si>
    <t>Score J</t>
  </si>
  <si>
    <t>Comment</t>
  </si>
  <si>
    <t>Score</t>
  </si>
  <si>
    <t>Score in %</t>
  </si>
  <si>
    <t>Totaal %</t>
  </si>
  <si>
    <t>Isabelle</t>
  </si>
  <si>
    <t>Erik</t>
  </si>
  <si>
    <t>Ilke</t>
  </si>
  <si>
    <t>Brecht</t>
  </si>
  <si>
    <t>Thibaut</t>
  </si>
  <si>
    <t>Nick</t>
  </si>
  <si>
    <t>Johan</t>
  </si>
  <si>
    <t>Tom</t>
  </si>
  <si>
    <t>Aandeel</t>
  </si>
  <si>
    <t>Categorie</t>
  </si>
  <si>
    <t>Score Isabelle</t>
  </si>
  <si>
    <t>Score in % Isabelle</t>
  </si>
  <si>
    <t>Score Erik</t>
  </si>
  <si>
    <t>Totaal % Erik</t>
  </si>
  <si>
    <t>Score Ilke</t>
  </si>
  <si>
    <t>Score in % Ilke</t>
  </si>
  <si>
    <t>Score Brecht</t>
  </si>
  <si>
    <t>Totaal % Brecht</t>
  </si>
  <si>
    <t>Score Thibaut</t>
  </si>
  <si>
    <t>Totaal % Thibaut</t>
  </si>
  <si>
    <t>Score Nick</t>
  </si>
  <si>
    <t>Score in % Nick</t>
  </si>
  <si>
    <t>Score Johan</t>
  </si>
  <si>
    <t>Totaal % Johan</t>
  </si>
  <si>
    <t>Score Tom</t>
  </si>
  <si>
    <t>Totaal % Tom</t>
  </si>
  <si>
    <t>Scope van het voorgestelde project (20%)</t>
  </si>
  <si>
    <t>Toegevoegde waarde en schaalbaarheid (20%)</t>
  </si>
  <si>
    <t>Haalbaarheid en risicobeheersing van het project (15%)</t>
  </si>
  <si>
    <t>Overschrijden de projecten de eigen ziekenhuiscontext (10%)</t>
  </si>
  <si>
    <t>Projectplan met mijlpalen en financiële en menselijke middelen (20%)</t>
  </si>
  <si>
    <t>Change Management (10%)</t>
  </si>
  <si>
    <t>Aansluiting op bestaande eHealth-ecosysteem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</si>
</sst>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2]\ #,##0.00;[Red]\-[$€-2]\ #,##0.00"/>
  </numFmts>
  <fonts count="20">
    <font>
      <sz val="11"/>
      <color theme="1"/>
      <name val="Calibri"/>
      <family val="2"/>
      <scheme val="minor"/>
    </font>
    <font>
      <b/>
      <sz val="10"/>
      <name val="Lucida Sans"/>
      <family val="2"/>
    </font>
    <font>
      <sz val="10"/>
      <name val="Lucida Sans"/>
      <family val="2"/>
    </font>
    <font>
      <sz val="10"/>
      <color rgb="FFFF0000"/>
      <name val="Lucida Sans"/>
      <family val="2"/>
    </font>
    <font>
      <sz val="10"/>
      <color rgb="FFFF0000"/>
      <name val="Arial"/>
      <family val="2"/>
    </font>
    <font>
      <sz val="9"/>
      <name val="Lucida Sans"/>
      <family val="2"/>
    </font>
    <font>
      <sz val="10"/>
      <color indexed="10"/>
      <name val="Lucida Sans"/>
      <family val="2"/>
    </font>
    <font>
      <sz val="10"/>
      <color indexed="9"/>
      <name val="Lucida Sans"/>
      <family val="2"/>
    </font>
    <font>
      <b/>
      <sz val="9"/>
      <color indexed="9"/>
      <name val="Lucida Sans"/>
      <family val="2"/>
    </font>
    <font>
      <sz val="9"/>
      <color indexed="9"/>
      <name val="Lucida Sans"/>
      <family val="2"/>
    </font>
    <font>
      <b/>
      <sz val="9"/>
      <name val="Lucida Sans"/>
      <family val="2"/>
    </font>
    <font>
      <sz val="9"/>
      <color theme="1"/>
      <name val="Calibri"/>
      <family val="2"/>
      <scheme val="minor"/>
    </font>
    <font>
      <sz val="11"/>
      <color theme="1"/>
      <name val="Calibri"/>
      <family val="2"/>
      <scheme val="minor"/>
    </font>
    <font>
      <sz val="14"/>
      <name val="Lucida Sans"/>
      <family val="2"/>
    </font>
    <font>
      <sz val="28"/>
      <name val="Lucida Sans"/>
      <family val="2"/>
    </font>
    <font>
      <sz val="12"/>
      <name val="Lucida Sans"/>
      <family val="2"/>
    </font>
    <font>
      <sz val="12"/>
      <color rgb="FFFFFFFF"/>
      <name val="Lucida Sans"/>
      <family val="2"/>
    </font>
    <font>
      <sz val="28"/>
      <color rgb="FFFFFFFF"/>
      <name val="Lucida Sans"/>
      <family val="2"/>
    </font>
    <font>
      <sz val="12"/>
      <color rgb="FF1F3763"/>
      <name val="Calibri Light"/>
      <family val="2"/>
    </font>
    <font>
      <sz val="28"/>
      <color rgb="FF1F3763"/>
      <name val="Calibri Light"/>
      <family val="2"/>
    </font>
  </fonts>
  <fills count="3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5" tint="0.39997558519241921"/>
        <bgColor indexed="64"/>
      </patternFill>
    </fill>
    <fill>
      <patternFill patternType="solid">
        <fgColor indexed="9"/>
        <bgColor indexed="43"/>
      </patternFill>
    </fill>
    <fill>
      <patternFill patternType="solid">
        <fgColor theme="6" tint="0.79998168889431442"/>
        <bgColor indexed="64"/>
      </patternFill>
    </fill>
    <fill>
      <patternFill patternType="solid">
        <fgColor indexed="43"/>
        <bgColor indexed="64"/>
      </patternFill>
    </fill>
    <fill>
      <patternFill patternType="solid">
        <fgColor indexed="26"/>
        <bgColor indexed="64"/>
      </patternFill>
    </fill>
    <fill>
      <patternFill patternType="solid">
        <fgColor indexed="23"/>
        <bgColor indexed="64"/>
      </patternFill>
    </fill>
    <fill>
      <patternFill patternType="solid">
        <fgColor theme="0"/>
        <bgColor indexed="64"/>
      </patternFill>
    </fill>
    <fill>
      <patternFill patternType="solid">
        <fgColor rgb="FFFFFFFF"/>
        <bgColor rgb="FF000000"/>
      </patternFill>
    </fill>
    <fill>
      <patternFill patternType="solid">
        <fgColor rgb="FF96DDE2"/>
        <bgColor rgb="FF000000"/>
      </patternFill>
    </fill>
    <fill>
      <patternFill patternType="solid">
        <fgColor rgb="FFF4B084"/>
        <bgColor rgb="FF000000"/>
      </patternFill>
    </fill>
    <fill>
      <patternFill patternType="solid">
        <fgColor rgb="FFC6E0B4"/>
        <bgColor rgb="FF000000"/>
      </patternFill>
    </fill>
    <fill>
      <patternFill patternType="solid">
        <fgColor rgb="FF9BC2E6"/>
        <bgColor rgb="FF000000"/>
      </patternFill>
    </fill>
    <fill>
      <patternFill patternType="solid">
        <fgColor rgb="FFFFE699"/>
        <bgColor rgb="FF000000"/>
      </patternFill>
    </fill>
    <fill>
      <patternFill patternType="solid">
        <fgColor rgb="FFFF99FF"/>
        <bgColor rgb="FF000000"/>
      </patternFill>
    </fill>
    <fill>
      <patternFill patternType="solid">
        <fgColor rgb="FFFF0000"/>
        <bgColor rgb="FF000000"/>
      </patternFill>
    </fill>
    <fill>
      <patternFill patternType="solid">
        <fgColor rgb="FF305496"/>
        <bgColor rgb="FF000000"/>
      </patternFill>
    </fill>
    <fill>
      <patternFill patternType="solid">
        <fgColor theme="9" tint="-0.249977111117893"/>
        <bgColor rgb="FF000000"/>
      </patternFill>
    </fill>
    <fill>
      <patternFill patternType="solid">
        <fgColor theme="5" tint="-0.499984740745262"/>
        <bgColor rgb="FF000000"/>
      </patternFill>
    </fill>
    <fill>
      <patternFill patternType="solid">
        <fgColor rgb="FF808080"/>
        <bgColor rgb="FF000000"/>
      </patternFill>
    </fill>
    <fill>
      <patternFill patternType="solid">
        <fgColor rgb="FF96DDE2"/>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0" tint="-0.499984740745262"/>
        <bgColor indexed="64"/>
      </patternFill>
    </fill>
    <fill>
      <patternFill patternType="solid">
        <fgColor rgb="FFBFBFBF"/>
        <bgColor rgb="FF000000"/>
      </patternFill>
    </fill>
    <fill>
      <patternFill patternType="solid">
        <fgColor rgb="FF00B0F0"/>
        <bgColor rgb="FF000000"/>
      </patternFill>
    </fill>
    <fill>
      <patternFill patternType="solid">
        <fgColor theme="0" tint="-0.249977111117893"/>
        <bgColor indexed="64"/>
      </patternFill>
    </fill>
  </fills>
  <borders count="6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style="thin">
        <color indexed="64"/>
      </top>
      <bottom style="hair">
        <color indexed="64"/>
      </bottom>
      <diagonal/>
    </border>
    <border>
      <left style="medium">
        <color indexed="64"/>
      </left>
      <right/>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style="thin">
        <color indexed="64"/>
      </right>
      <top style="hair">
        <color indexed="64"/>
      </top>
      <bottom/>
      <diagonal/>
    </border>
    <border>
      <left style="medium">
        <color indexed="64"/>
      </left>
      <right/>
      <top/>
      <bottom style="thin">
        <color indexed="64"/>
      </bottom>
      <diagonal/>
    </border>
    <border>
      <left style="thin">
        <color indexed="64"/>
      </left>
      <right/>
      <top style="hair">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hair">
        <color indexed="64"/>
      </left>
      <right/>
      <top style="thin">
        <color indexed="64"/>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hair">
        <color indexed="64"/>
      </top>
      <bottom/>
      <diagonal/>
    </border>
    <border>
      <left/>
      <right style="medium">
        <color indexed="64"/>
      </right>
      <top/>
      <bottom style="hair">
        <color indexed="64"/>
      </bottom>
      <diagonal/>
    </border>
    <border>
      <left style="thin">
        <color indexed="64"/>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s>
  <cellStyleXfs count="2">
    <xf numFmtId="0" fontId="0" fillId="0" borderId="0"/>
    <xf numFmtId="9" fontId="12" fillId="0" borderId="0" applyFont="0" applyFill="0" applyBorder="0" applyAlignment="0" applyProtection="0"/>
  </cellStyleXfs>
  <cellXfs count="271">
    <xf numFmtId="0" fontId="0" fillId="0" borderId="0" xfId="0"/>
    <xf numFmtId="0" fontId="1" fillId="2" borderId="0" xfId="0" applyFont="1" applyFill="1" applyAlignment="1">
      <alignment vertical="center" wrapText="1"/>
    </xf>
    <xf numFmtId="0" fontId="1" fillId="3" borderId="1" xfId="0" applyFont="1" applyFill="1" applyBorder="1" applyAlignment="1" applyProtection="1">
      <alignment horizontal="left" vertical="top"/>
      <protection locked="0"/>
    </xf>
    <xf numFmtId="0" fontId="1" fillId="3" borderId="2" xfId="0" applyFont="1" applyFill="1" applyBorder="1" applyAlignment="1" applyProtection="1">
      <alignment horizontal="left" vertical="top"/>
      <protection locked="0"/>
    </xf>
    <xf numFmtId="0" fontId="1" fillId="3" borderId="3" xfId="0" applyFont="1" applyFill="1" applyBorder="1" applyAlignment="1" applyProtection="1">
      <alignment horizontal="left" vertical="top"/>
      <protection locked="0"/>
    </xf>
    <xf numFmtId="0" fontId="1" fillId="2" borderId="0" xfId="0" applyFont="1" applyFill="1" applyAlignment="1">
      <alignment horizontal="left" vertical="top"/>
    </xf>
    <xf numFmtId="0" fontId="2" fillId="2" borderId="0" xfId="0" applyFont="1" applyFill="1" applyAlignment="1">
      <alignment horizontal="left" vertical="top"/>
    </xf>
    <xf numFmtId="0" fontId="2" fillId="2" borderId="0" xfId="0" applyFont="1" applyFill="1" applyAlignment="1">
      <alignment vertical="center"/>
    </xf>
    <xf numFmtId="0" fontId="2" fillId="2" borderId="0" xfId="0" applyFont="1" applyFill="1"/>
    <xf numFmtId="0" fontId="1" fillId="2" borderId="0" xfId="0" applyFont="1" applyFill="1" applyAlignment="1">
      <alignment vertical="top" wrapText="1"/>
    </xf>
    <xf numFmtId="0" fontId="1" fillId="4" borderId="4" xfId="0" applyFont="1" applyFill="1" applyBorder="1" applyAlignment="1">
      <alignment horizontal="left" vertical="top" wrapText="1"/>
    </xf>
    <xf numFmtId="0" fontId="2" fillId="5" borderId="5" xfId="0" applyFont="1" applyFill="1" applyBorder="1" applyAlignment="1">
      <alignment horizontal="left" vertical="top"/>
    </xf>
    <xf numFmtId="0" fontId="2" fillId="5" borderId="6" xfId="0" applyFont="1" applyFill="1" applyBorder="1" applyAlignment="1">
      <alignment horizontal="left" vertical="top"/>
    </xf>
    <xf numFmtId="0" fontId="1" fillId="4" borderId="10" xfId="0" applyFont="1" applyFill="1" applyBorder="1" applyAlignment="1">
      <alignment horizontal="left" vertical="top" wrapText="1"/>
    </xf>
    <xf numFmtId="0" fontId="2" fillId="5" borderId="11" xfId="0" applyFont="1" applyFill="1" applyBorder="1" applyAlignment="1">
      <alignment horizontal="left" vertical="top"/>
    </xf>
    <xf numFmtId="0" fontId="2" fillId="5" borderId="12" xfId="0" applyFont="1" applyFill="1" applyBorder="1" applyAlignment="1">
      <alignment horizontal="left" vertical="top"/>
    </xf>
    <xf numFmtId="0" fontId="2" fillId="5" borderId="13" xfId="0" applyFont="1" applyFill="1" applyBorder="1" applyAlignment="1">
      <alignment horizontal="left" vertical="top"/>
    </xf>
    <xf numFmtId="0" fontId="1" fillId="4" borderId="16" xfId="0" applyFont="1" applyFill="1" applyBorder="1" applyAlignment="1">
      <alignment horizontal="left" vertical="top" wrapText="1"/>
    </xf>
    <xf numFmtId="0" fontId="2" fillId="5" borderId="17" xfId="0" applyFont="1" applyFill="1" applyBorder="1" applyAlignment="1">
      <alignment horizontal="left" vertical="top"/>
    </xf>
    <xf numFmtId="0" fontId="2" fillId="5" borderId="15" xfId="0" applyFont="1" applyFill="1" applyBorder="1" applyAlignment="1">
      <alignment horizontal="left" vertical="top"/>
    </xf>
    <xf numFmtId="0" fontId="1" fillId="4" borderId="29" xfId="0" applyFont="1" applyFill="1" applyBorder="1" applyAlignment="1">
      <alignment vertical="top" wrapText="1"/>
    </xf>
    <xf numFmtId="0" fontId="1" fillId="4" borderId="10" xfId="0" applyFont="1" applyFill="1" applyBorder="1" applyAlignment="1">
      <alignment vertical="top" wrapText="1"/>
    </xf>
    <xf numFmtId="0" fontId="2" fillId="8" borderId="2" xfId="0" applyFont="1" applyFill="1" applyBorder="1" applyAlignment="1">
      <alignment horizontal="left" vertical="top"/>
    </xf>
    <xf numFmtId="0" fontId="0" fillId="4" borderId="10" xfId="0" applyFill="1" applyBorder="1" applyAlignment="1">
      <alignment horizontal="left" vertical="top" wrapText="1"/>
    </xf>
    <xf numFmtId="0" fontId="1" fillId="4" borderId="16" xfId="0" applyFont="1" applyFill="1" applyBorder="1" applyAlignment="1">
      <alignment vertical="top" wrapText="1"/>
    </xf>
    <xf numFmtId="0" fontId="2" fillId="8" borderId="3" xfId="0" applyFont="1" applyFill="1" applyBorder="1" applyAlignment="1">
      <alignment horizontal="left" vertical="top"/>
    </xf>
    <xf numFmtId="0" fontId="2" fillId="8" borderId="30" xfId="0" applyFont="1" applyFill="1" applyBorder="1" applyAlignment="1">
      <alignment horizontal="left" vertical="top"/>
    </xf>
    <xf numFmtId="0" fontId="2" fillId="3" borderId="1" xfId="0" applyFont="1" applyFill="1" applyBorder="1" applyAlignment="1">
      <alignment horizontal="left" vertical="top"/>
    </xf>
    <xf numFmtId="0" fontId="2" fillId="3" borderId="2" xfId="0" applyFont="1" applyFill="1" applyBorder="1" applyAlignment="1">
      <alignment horizontal="left" vertical="top"/>
    </xf>
    <xf numFmtId="0" fontId="7" fillId="9" borderId="1" xfId="0" applyFont="1" applyFill="1" applyBorder="1" applyAlignment="1">
      <alignment horizontal="left" vertical="top"/>
    </xf>
    <xf numFmtId="0" fontId="7" fillId="9" borderId="2" xfId="0" applyFont="1" applyFill="1" applyBorder="1" applyAlignment="1">
      <alignment horizontal="left" vertical="top"/>
    </xf>
    <xf numFmtId="0" fontId="7" fillId="9" borderId="30" xfId="0" applyFont="1" applyFill="1" applyBorder="1" applyAlignment="1">
      <alignment horizontal="left" vertical="top"/>
    </xf>
    <xf numFmtId="0" fontId="2" fillId="8" borderId="38" xfId="0" applyFont="1" applyFill="1" applyBorder="1" applyAlignment="1">
      <alignment horizontal="left" vertical="top"/>
    </xf>
    <xf numFmtId="0" fontId="8" fillId="9" borderId="38" xfId="0" applyFont="1" applyFill="1" applyBorder="1" applyAlignment="1">
      <alignment horizontal="center" vertical="top"/>
    </xf>
    <xf numFmtId="0" fontId="9" fillId="9" borderId="38" xfId="0" applyFont="1" applyFill="1" applyBorder="1" applyAlignment="1">
      <alignment horizontal="left" vertical="top"/>
    </xf>
    <xf numFmtId="0" fontId="9" fillId="9" borderId="39" xfId="0" applyFont="1" applyFill="1" applyBorder="1" applyAlignment="1">
      <alignment horizontal="left" vertical="top"/>
    </xf>
    <xf numFmtId="0" fontId="2" fillId="2" borderId="40" xfId="0" applyFont="1" applyFill="1" applyBorder="1" applyAlignment="1">
      <alignment horizontal="left" vertical="top"/>
    </xf>
    <xf numFmtId="164" fontId="2" fillId="6" borderId="33" xfId="0" applyNumberFormat="1" applyFont="1" applyFill="1" applyBorder="1" applyAlignment="1" applyProtection="1">
      <alignment horizontal="left" vertical="top"/>
      <protection locked="0"/>
    </xf>
    <xf numFmtId="164" fontId="2" fillId="6" borderId="42" xfId="0" applyNumberFormat="1" applyFont="1" applyFill="1" applyBorder="1" applyAlignment="1" applyProtection="1">
      <alignment horizontal="left" vertical="top"/>
      <protection locked="0"/>
    </xf>
    <xf numFmtId="9" fontId="5" fillId="3" borderId="43" xfId="0" applyNumberFormat="1" applyFont="1" applyFill="1" applyBorder="1" applyAlignment="1">
      <alignment horizontal="left" vertical="top"/>
    </xf>
    <xf numFmtId="164" fontId="5" fillId="3" borderId="43" xfId="0" applyNumberFormat="1" applyFont="1" applyFill="1" applyBorder="1" applyAlignment="1" applyProtection="1">
      <alignment horizontal="left" vertical="top"/>
      <protection locked="0"/>
    </xf>
    <xf numFmtId="164" fontId="5" fillId="3" borderId="44" xfId="0" applyNumberFormat="1" applyFont="1" applyFill="1" applyBorder="1" applyAlignment="1" applyProtection="1">
      <alignment horizontal="left" vertical="top"/>
      <protection locked="0"/>
    </xf>
    <xf numFmtId="164" fontId="2" fillId="6" borderId="13" xfId="0" applyNumberFormat="1" applyFont="1" applyFill="1" applyBorder="1" applyAlignment="1" applyProtection="1">
      <alignment horizontal="left" vertical="top"/>
      <protection locked="0"/>
    </xf>
    <xf numFmtId="164" fontId="2" fillId="6" borderId="46" xfId="0" applyNumberFormat="1" applyFont="1" applyFill="1" applyBorder="1" applyAlignment="1" applyProtection="1">
      <alignment horizontal="left" vertical="top"/>
      <protection locked="0"/>
    </xf>
    <xf numFmtId="9" fontId="5" fillId="3" borderId="46" xfId="0" applyNumberFormat="1" applyFont="1" applyFill="1" applyBorder="1" applyAlignment="1">
      <alignment horizontal="left" vertical="top"/>
    </xf>
    <xf numFmtId="164" fontId="5" fillId="3" borderId="46" xfId="0" applyNumberFormat="1" applyFont="1" applyFill="1" applyBorder="1" applyAlignment="1" applyProtection="1">
      <alignment horizontal="left" vertical="top"/>
      <protection locked="0"/>
    </xf>
    <xf numFmtId="164" fontId="5" fillId="3" borderId="47" xfId="0" applyNumberFormat="1" applyFont="1" applyFill="1" applyBorder="1" applyAlignment="1" applyProtection="1">
      <alignment horizontal="left" vertical="top"/>
      <protection locked="0"/>
    </xf>
    <xf numFmtId="0" fontId="2" fillId="2" borderId="23" xfId="0" applyFont="1" applyFill="1" applyBorder="1" applyAlignment="1">
      <alignment horizontal="left" vertical="top"/>
    </xf>
    <xf numFmtId="164" fontId="2" fillId="6" borderId="49" xfId="0" applyNumberFormat="1" applyFont="1" applyFill="1" applyBorder="1" applyAlignment="1" applyProtection="1">
      <alignment horizontal="left" vertical="top"/>
      <protection locked="0"/>
    </xf>
    <xf numFmtId="164" fontId="2" fillId="6" borderId="50" xfId="0" applyNumberFormat="1" applyFont="1" applyFill="1" applyBorder="1" applyAlignment="1" applyProtection="1">
      <alignment horizontal="left" vertical="top"/>
      <protection locked="0"/>
    </xf>
    <xf numFmtId="9" fontId="5" fillId="3" borderId="50" xfId="0" applyNumberFormat="1" applyFont="1" applyFill="1" applyBorder="1" applyAlignment="1">
      <alignment horizontal="left" vertical="top"/>
    </xf>
    <xf numFmtId="164" fontId="5" fillId="3" borderId="50" xfId="0" applyNumberFormat="1" applyFont="1" applyFill="1" applyBorder="1" applyAlignment="1" applyProtection="1">
      <alignment horizontal="left" vertical="top"/>
      <protection locked="0"/>
    </xf>
    <xf numFmtId="164" fontId="5" fillId="3" borderId="51" xfId="0" applyNumberFormat="1" applyFont="1" applyFill="1" applyBorder="1" applyAlignment="1" applyProtection="1">
      <alignment horizontal="left" vertical="top"/>
      <protection locked="0"/>
    </xf>
    <xf numFmtId="0" fontId="2" fillId="8" borderId="52"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9" xfId="0" applyFont="1" applyFill="1" applyBorder="1" applyAlignment="1">
      <alignment horizontal="left" vertical="top"/>
    </xf>
    <xf numFmtId="0" fontId="6" fillId="6" borderId="32" xfId="0" applyFont="1" applyFill="1" applyBorder="1" applyAlignment="1" applyProtection="1">
      <alignment horizontal="left" vertical="top"/>
      <protection locked="0"/>
    </xf>
    <xf numFmtId="0" fontId="6" fillId="6" borderId="33" xfId="0" applyFont="1" applyFill="1" applyBorder="1" applyAlignment="1" applyProtection="1">
      <alignment horizontal="left" vertical="top"/>
      <protection locked="0"/>
    </xf>
    <xf numFmtId="0" fontId="6" fillId="6" borderId="31" xfId="0" applyFont="1" applyFill="1" applyBorder="1" applyAlignment="1" applyProtection="1">
      <alignment horizontal="left" vertical="top"/>
      <protection locked="0"/>
    </xf>
    <xf numFmtId="0" fontId="2" fillId="2" borderId="11" xfId="0" applyFont="1" applyFill="1" applyBorder="1" applyAlignment="1">
      <alignment horizontal="left" vertical="top"/>
    </xf>
    <xf numFmtId="0" fontId="2" fillId="2" borderId="13" xfId="0" applyFont="1" applyFill="1" applyBorder="1" applyAlignment="1">
      <alignment horizontal="left" vertical="top"/>
    </xf>
    <xf numFmtId="0" fontId="2" fillId="2" borderId="12" xfId="0" applyFont="1" applyFill="1" applyBorder="1" applyAlignment="1">
      <alignment horizontal="left" vertical="top"/>
    </xf>
    <xf numFmtId="165" fontId="6" fillId="6" borderId="11" xfId="0" applyNumberFormat="1" applyFont="1" applyFill="1" applyBorder="1" applyAlignment="1" applyProtection="1">
      <alignment horizontal="left" vertical="top"/>
      <protection locked="0"/>
    </xf>
    <xf numFmtId="165" fontId="6" fillId="6" borderId="13" xfId="0" applyNumberFormat="1" applyFont="1" applyFill="1" applyBorder="1" applyAlignment="1" applyProtection="1">
      <alignment horizontal="left" vertical="top"/>
      <protection locked="0"/>
    </xf>
    <xf numFmtId="0" fontId="6" fillId="6" borderId="13" xfId="0" applyFont="1" applyFill="1" applyBorder="1" applyAlignment="1" applyProtection="1">
      <alignment horizontal="left" vertical="top"/>
      <protection locked="0"/>
    </xf>
    <xf numFmtId="0" fontId="6" fillId="6" borderId="14" xfId="0" applyFont="1" applyFill="1" applyBorder="1" applyAlignment="1" applyProtection="1">
      <alignment horizontal="left" vertical="top"/>
      <protection locked="0"/>
    </xf>
    <xf numFmtId="0" fontId="2" fillId="2" borderId="35" xfId="0" applyFont="1" applyFill="1" applyBorder="1" applyAlignment="1">
      <alignment horizontal="left" vertical="top"/>
    </xf>
    <xf numFmtId="0" fontId="2" fillId="2" borderId="36" xfId="0" applyFont="1" applyFill="1" applyBorder="1" applyAlignment="1">
      <alignment horizontal="left" vertical="top"/>
    </xf>
    <xf numFmtId="0" fontId="6" fillId="6" borderId="34" xfId="0" applyFont="1" applyFill="1" applyBorder="1" applyAlignment="1" applyProtection="1">
      <alignment horizontal="left" vertical="top"/>
      <protection locked="0"/>
    </xf>
    <xf numFmtId="0" fontId="6" fillId="6" borderId="35" xfId="0" applyFont="1" applyFill="1" applyBorder="1" applyAlignment="1" applyProtection="1">
      <alignment horizontal="left" vertical="top"/>
      <protection locked="0"/>
    </xf>
    <xf numFmtId="0" fontId="6" fillId="6" borderId="37" xfId="0" applyFont="1" applyFill="1" applyBorder="1" applyAlignment="1" applyProtection="1">
      <alignment horizontal="left" vertical="top"/>
      <protection locked="0"/>
    </xf>
    <xf numFmtId="0" fontId="2" fillId="8" borderId="20" xfId="0" applyFont="1" applyFill="1" applyBorder="1" applyAlignment="1">
      <alignment horizontal="left" vertical="top"/>
    </xf>
    <xf numFmtId="0" fontId="2" fillId="8" borderId="21" xfId="0" applyFont="1" applyFill="1" applyBorder="1" applyAlignment="1">
      <alignment horizontal="left" vertical="top"/>
    </xf>
    <xf numFmtId="0" fontId="2" fillId="8" borderId="24" xfId="0" applyFont="1" applyFill="1" applyBorder="1" applyAlignment="1">
      <alignment horizontal="left" vertical="top"/>
    </xf>
    <xf numFmtId="0" fontId="2" fillId="4" borderId="10" xfId="0" applyFont="1" applyFill="1" applyBorder="1" applyAlignment="1">
      <alignment horizontal="left" wrapText="1"/>
    </xf>
    <xf numFmtId="0" fontId="2" fillId="2" borderId="24" xfId="0" applyFont="1" applyFill="1" applyBorder="1" applyAlignment="1">
      <alignment horizontal="left" vertical="top"/>
    </xf>
    <xf numFmtId="0" fontId="2" fillId="2" borderId="0" xfId="0" applyFont="1" applyFill="1" applyProtection="1">
      <protection locked="0"/>
    </xf>
    <xf numFmtId="0" fontId="1" fillId="4" borderId="53" xfId="0" applyFont="1" applyFill="1" applyBorder="1" applyAlignment="1">
      <alignment vertical="top" wrapText="1"/>
    </xf>
    <xf numFmtId="0" fontId="1" fillId="4" borderId="29" xfId="0" applyFont="1" applyFill="1" applyBorder="1" applyAlignment="1">
      <alignment horizontal="left" vertical="center" wrapText="1"/>
    </xf>
    <xf numFmtId="0" fontId="2" fillId="2" borderId="0" xfId="0" applyFont="1" applyFill="1" applyAlignment="1" applyProtection="1">
      <alignment horizontal="left" wrapText="1"/>
      <protection locked="0"/>
    </xf>
    <xf numFmtId="0" fontId="2" fillId="2" borderId="0" xfId="0" applyFont="1" applyFill="1" applyAlignment="1" applyProtection="1">
      <alignment horizontal="left" vertical="top"/>
      <protection locked="0"/>
    </xf>
    <xf numFmtId="0" fontId="7" fillId="2" borderId="0" xfId="0" applyFont="1" applyFill="1" applyAlignment="1" applyProtection="1">
      <alignment horizontal="left" vertical="top"/>
      <protection locked="0"/>
    </xf>
    <xf numFmtId="0" fontId="2" fillId="2" borderId="0" xfId="0" applyFont="1" applyFill="1" applyAlignment="1">
      <alignment horizontal="left" wrapText="1"/>
    </xf>
    <xf numFmtId="0" fontId="2" fillId="3" borderId="32" xfId="0" applyFont="1" applyFill="1" applyBorder="1" applyAlignment="1">
      <alignment horizontal="left" vertical="top"/>
    </xf>
    <xf numFmtId="0" fontId="2" fillId="6" borderId="23" xfId="0" applyFont="1" applyFill="1" applyBorder="1" applyAlignment="1" applyProtection="1">
      <alignment horizontal="left" vertical="top"/>
      <protection locked="0"/>
    </xf>
    <xf numFmtId="0" fontId="0" fillId="6" borderId="24" xfId="0" applyFill="1" applyBorder="1" applyAlignment="1">
      <alignment horizontal="left" vertical="top"/>
    </xf>
    <xf numFmtId="0" fontId="2" fillId="8" borderId="19" xfId="0" applyFont="1" applyFill="1" applyBorder="1" applyAlignment="1">
      <alignment horizontal="left" vertical="top"/>
    </xf>
    <xf numFmtId="0" fontId="2" fillId="8" borderId="23" xfId="0" applyFont="1" applyFill="1" applyBorder="1" applyAlignment="1">
      <alignment horizontal="left" vertical="top"/>
    </xf>
    <xf numFmtId="0" fontId="0" fillId="0" borderId="30" xfId="0" applyBorder="1" applyAlignment="1">
      <alignment horizontal="left" vertical="top"/>
    </xf>
    <xf numFmtId="0" fontId="2" fillId="8" borderId="1" xfId="0" applyFont="1" applyFill="1" applyBorder="1" applyAlignment="1">
      <alignment horizontal="left" vertical="top"/>
    </xf>
    <xf numFmtId="0" fontId="0" fillId="6" borderId="0" xfId="0" applyFill="1" applyAlignment="1">
      <alignment horizontal="left" vertical="top"/>
    </xf>
    <xf numFmtId="0" fontId="2" fillId="7" borderId="14" xfId="0" applyFont="1" applyFill="1" applyBorder="1" applyAlignment="1" applyProtection="1">
      <alignment horizontal="right" vertical="top"/>
      <protection locked="0"/>
    </xf>
    <xf numFmtId="0" fontId="2" fillId="7" borderId="57" xfId="0" applyFont="1" applyFill="1" applyBorder="1" applyAlignment="1" applyProtection="1">
      <alignment horizontal="right" vertical="top"/>
      <protection locked="0"/>
    </xf>
    <xf numFmtId="0" fontId="2" fillId="7" borderId="24" xfId="0" applyFont="1" applyFill="1" applyBorder="1" applyAlignment="1">
      <alignment horizontal="left" vertical="top"/>
    </xf>
    <xf numFmtId="0" fontId="2" fillId="7" borderId="24" xfId="0" applyFont="1" applyFill="1" applyBorder="1" applyAlignment="1" applyProtection="1">
      <alignment horizontal="left" vertical="top"/>
      <protection locked="0"/>
    </xf>
    <xf numFmtId="0" fontId="2" fillId="8" borderId="30" xfId="0" applyFont="1" applyFill="1" applyBorder="1" applyAlignment="1">
      <alignment horizontal="center" vertical="top"/>
    </xf>
    <xf numFmtId="0" fontId="2" fillId="2" borderId="31" xfId="0" applyFont="1" applyFill="1" applyBorder="1" applyAlignment="1" applyProtection="1">
      <alignment horizontal="left" vertical="top"/>
      <protection locked="0"/>
    </xf>
    <xf numFmtId="0" fontId="2" fillId="2" borderId="31" xfId="0" applyFont="1" applyFill="1" applyBorder="1" applyAlignment="1" applyProtection="1">
      <alignment horizontal="center" vertical="top"/>
      <protection locked="0"/>
    </xf>
    <xf numFmtId="0" fontId="6" fillId="2" borderId="14" xfId="0" applyFont="1" applyFill="1" applyBorder="1" applyAlignment="1" applyProtection="1">
      <alignment horizontal="center" vertical="top"/>
      <protection locked="0"/>
    </xf>
    <xf numFmtId="0" fontId="2" fillId="2" borderId="14" xfId="0" applyFont="1" applyFill="1" applyBorder="1" applyAlignment="1" applyProtection="1">
      <alignment horizontal="center" vertical="top"/>
      <protection locked="0"/>
    </xf>
    <xf numFmtId="0" fontId="7" fillId="9" borderId="30" xfId="0" applyFont="1" applyFill="1" applyBorder="1" applyAlignment="1">
      <alignment horizontal="center" vertical="top"/>
    </xf>
    <xf numFmtId="0" fontId="9" fillId="9" borderId="30" xfId="0" applyFont="1" applyFill="1" applyBorder="1" applyAlignment="1">
      <alignment horizontal="center" vertical="top"/>
    </xf>
    <xf numFmtId="164" fontId="5" fillId="3" borderId="58" xfId="0" applyNumberFormat="1" applyFont="1" applyFill="1" applyBorder="1" applyAlignment="1" applyProtection="1">
      <alignment horizontal="center" vertical="top"/>
      <protection locked="0"/>
    </xf>
    <xf numFmtId="164" fontId="5" fillId="3" borderId="14" xfId="0" applyNumberFormat="1" applyFont="1" applyFill="1" applyBorder="1" applyAlignment="1" applyProtection="1">
      <alignment horizontal="center" vertical="top"/>
      <protection locked="0"/>
    </xf>
    <xf numFmtId="0" fontId="6" fillId="7" borderId="58" xfId="0" applyFont="1" applyFill="1" applyBorder="1" applyAlignment="1" applyProtection="1">
      <alignment horizontal="center" vertical="top"/>
      <protection locked="0"/>
    </xf>
    <xf numFmtId="0" fontId="6" fillId="7" borderId="14" xfId="0" applyFont="1" applyFill="1" applyBorder="1" applyAlignment="1" applyProtection="1">
      <alignment horizontal="center" vertical="top"/>
      <protection locked="0"/>
    </xf>
    <xf numFmtId="0" fontId="2" fillId="8" borderId="0" xfId="0" applyFont="1" applyFill="1" applyAlignment="1">
      <alignment horizontal="left" vertical="top"/>
    </xf>
    <xf numFmtId="0" fontId="2" fillId="2" borderId="24" xfId="0" applyFont="1" applyFill="1" applyBorder="1"/>
    <xf numFmtId="0" fontId="2" fillId="3" borderId="31" xfId="0" applyFont="1" applyFill="1" applyBorder="1" applyAlignment="1" applyProtection="1">
      <alignment horizontal="right" vertical="top"/>
      <protection locked="0"/>
    </xf>
    <xf numFmtId="0" fontId="2" fillId="7" borderId="8" xfId="0" applyFont="1" applyFill="1" applyBorder="1" applyAlignment="1" applyProtection="1">
      <alignment horizontal="right" vertical="top"/>
      <protection locked="0"/>
    </xf>
    <xf numFmtId="0" fontId="1" fillId="4" borderId="53" xfId="0" applyFont="1" applyFill="1" applyBorder="1" applyAlignment="1">
      <alignment horizontal="left" vertical="center" wrapText="1"/>
    </xf>
    <xf numFmtId="0" fontId="2" fillId="3" borderId="59" xfId="0" applyFont="1" applyFill="1" applyBorder="1" applyAlignment="1">
      <alignment horizontal="left" vertical="top"/>
    </xf>
    <xf numFmtId="0" fontId="2" fillId="3" borderId="60" xfId="0" applyFont="1" applyFill="1" applyBorder="1" applyAlignment="1">
      <alignment horizontal="left" vertical="top"/>
    </xf>
    <xf numFmtId="0" fontId="2" fillId="3" borderId="61" xfId="0" applyFont="1" applyFill="1" applyBorder="1" applyAlignment="1">
      <alignment horizontal="left" vertical="top"/>
    </xf>
    <xf numFmtId="0" fontId="2" fillId="3" borderId="61" xfId="0" applyFont="1" applyFill="1" applyBorder="1" applyAlignment="1" applyProtection="1">
      <alignment horizontal="left" vertical="top"/>
      <protection locked="0"/>
    </xf>
    <xf numFmtId="0" fontId="2" fillId="3" borderId="62" xfId="0" applyFont="1" applyFill="1" applyBorder="1" applyAlignment="1" applyProtection="1">
      <alignment horizontal="left" vertical="top"/>
      <protection locked="0"/>
    </xf>
    <xf numFmtId="0" fontId="2" fillId="3" borderId="63" xfId="0" applyFont="1" applyFill="1" applyBorder="1" applyAlignment="1" applyProtection="1">
      <alignment horizontal="right" vertical="top"/>
      <protection locked="0"/>
    </xf>
    <xf numFmtId="0" fontId="2" fillId="3" borderId="33" xfId="0" applyFont="1" applyFill="1" applyBorder="1" applyAlignment="1">
      <alignment horizontal="left" vertical="top"/>
    </xf>
    <xf numFmtId="0" fontId="2" fillId="2" borderId="64" xfId="0" applyFont="1" applyFill="1" applyBorder="1" applyAlignment="1">
      <alignment horizontal="left" vertical="top"/>
    </xf>
    <xf numFmtId="0" fontId="2" fillId="3" borderId="31" xfId="0" applyFont="1" applyFill="1" applyBorder="1" applyAlignment="1">
      <alignment horizontal="left" vertical="top"/>
    </xf>
    <xf numFmtId="0" fontId="13" fillId="13" borderId="0" xfId="0" applyFont="1" applyFill="1" applyAlignment="1">
      <alignment horizontal="center" vertical="top" wrapText="1"/>
    </xf>
    <xf numFmtId="0" fontId="13" fillId="14" borderId="0" xfId="0" applyFont="1" applyFill="1" applyAlignment="1">
      <alignment horizontal="center" vertical="top" wrapText="1"/>
    </xf>
    <xf numFmtId="0" fontId="13" fillId="15" borderId="0" xfId="0" applyFont="1" applyFill="1" applyAlignment="1">
      <alignment horizontal="center" vertical="top" wrapText="1"/>
    </xf>
    <xf numFmtId="0" fontId="13" fillId="16" borderId="0" xfId="0" applyFont="1" applyFill="1" applyAlignment="1">
      <alignment horizontal="center" vertical="top" wrapText="1"/>
    </xf>
    <xf numFmtId="0" fontId="13" fillId="17" borderId="0" xfId="0" applyFont="1" applyFill="1" applyAlignment="1">
      <alignment horizontal="center" vertical="top" wrapText="1"/>
    </xf>
    <xf numFmtId="0" fontId="13" fillId="18" borderId="0" xfId="0" applyFont="1" applyFill="1" applyAlignment="1">
      <alignment horizontal="center" vertical="top" wrapText="1"/>
    </xf>
    <xf numFmtId="0" fontId="13" fillId="19" borderId="0" xfId="0" applyFont="1" applyFill="1" applyAlignment="1">
      <alignment horizontal="center" vertical="top" wrapText="1"/>
    </xf>
    <xf numFmtId="0" fontId="13" fillId="20" borderId="0" xfId="0" applyFont="1" applyFill="1" applyAlignment="1">
      <alignment horizontal="center" vertical="top" wrapText="1"/>
    </xf>
    <xf numFmtId="0" fontId="13" fillId="21" borderId="0" xfId="0" applyFont="1" applyFill="1" applyAlignment="1">
      <alignment horizontal="center" vertical="top" wrapText="1"/>
    </xf>
    <xf numFmtId="0" fontId="13" fillId="22" borderId="0" xfId="0" applyFont="1" applyFill="1" applyAlignment="1">
      <alignment horizontal="center" vertical="top" wrapText="1"/>
    </xf>
    <xf numFmtId="0" fontId="2" fillId="11" borderId="0" xfId="0" applyFont="1" applyFill="1" applyAlignment="1">
      <alignment vertical="top"/>
    </xf>
    <xf numFmtId="9" fontId="14" fillId="23" borderId="67" xfId="1" applyFont="1" applyFill="1" applyBorder="1" applyAlignment="1">
      <alignment horizontal="center" vertical="top" wrapText="1"/>
    </xf>
    <xf numFmtId="0" fontId="14" fillId="2" borderId="0" xfId="0" applyFont="1" applyFill="1" applyAlignment="1" applyProtection="1">
      <alignment horizontal="center" vertical="top"/>
      <protection locked="0"/>
    </xf>
    <xf numFmtId="9" fontId="14" fillId="4" borderId="0" xfId="1" applyFont="1" applyFill="1" applyBorder="1" applyAlignment="1">
      <alignment horizontal="center" vertical="top"/>
    </xf>
    <xf numFmtId="9" fontId="14" fillId="24" borderId="0" xfId="1" applyFont="1" applyFill="1" applyBorder="1" applyAlignment="1">
      <alignment horizontal="center" vertical="top"/>
    </xf>
    <xf numFmtId="9" fontId="14" fillId="25" borderId="0" xfId="1" applyFont="1" applyFill="1" applyBorder="1" applyAlignment="1">
      <alignment horizontal="center" vertical="top"/>
    </xf>
    <xf numFmtId="9" fontId="14" fillId="26" borderId="0" xfId="1" applyFont="1" applyFill="1" applyBorder="1" applyAlignment="1">
      <alignment horizontal="center" vertical="top"/>
    </xf>
    <xf numFmtId="9" fontId="14" fillId="27" borderId="0" xfId="1" applyFont="1" applyFill="1" applyBorder="1" applyAlignment="1">
      <alignment horizontal="center" vertical="top"/>
    </xf>
    <xf numFmtId="9" fontId="14" fillId="28" borderId="0" xfId="1" applyFont="1" applyFill="1" applyBorder="1" applyAlignment="1">
      <alignment horizontal="center" vertical="top"/>
    </xf>
    <xf numFmtId="9" fontId="14" fillId="29" borderId="0" xfId="1" applyFont="1" applyFill="1" applyBorder="1" applyAlignment="1">
      <alignment horizontal="center" vertical="top"/>
    </xf>
    <xf numFmtId="9" fontId="14" fillId="30" borderId="0" xfId="1" applyFont="1" applyFill="1" applyBorder="1" applyAlignment="1">
      <alignment horizontal="center" vertical="top"/>
    </xf>
    <xf numFmtId="0" fontId="14" fillId="11" borderId="0" xfId="0" applyFont="1" applyFill="1" applyAlignment="1">
      <alignment horizontal="center" vertical="top"/>
    </xf>
    <xf numFmtId="9" fontId="14" fillId="31" borderId="0" xfId="1" applyFont="1" applyFill="1" applyBorder="1" applyAlignment="1">
      <alignment horizontal="center" vertical="top"/>
    </xf>
    <xf numFmtId="9" fontId="14" fillId="32" borderId="0" xfId="1" applyFont="1" applyFill="1" applyBorder="1" applyAlignment="1">
      <alignment horizontal="center" vertical="top"/>
    </xf>
    <xf numFmtId="0" fontId="15" fillId="11" borderId="0" xfId="0" applyFont="1" applyFill="1" applyAlignment="1">
      <alignment vertical="top" wrapText="1"/>
    </xf>
    <xf numFmtId="0" fontId="15" fillId="11" borderId="0" xfId="0" applyFont="1" applyFill="1" applyAlignment="1">
      <alignment horizontal="left" vertical="top"/>
    </xf>
    <xf numFmtId="0" fontId="15" fillId="33" borderId="68" xfId="0" applyFont="1" applyFill="1" applyBorder="1" applyAlignment="1">
      <alignment horizontal="center" vertical="top"/>
    </xf>
    <xf numFmtId="0" fontId="16" fillId="11" borderId="0" xfId="0" applyFont="1" applyFill="1" applyAlignment="1">
      <alignment vertical="top" wrapText="1"/>
    </xf>
    <xf numFmtId="0" fontId="17" fillId="11" borderId="0" xfId="0" applyFont="1" applyFill="1" applyAlignment="1">
      <alignment horizontal="center" vertical="top"/>
    </xf>
    <xf numFmtId="0" fontId="15" fillId="11" borderId="0" xfId="0" applyFont="1" applyFill="1" applyAlignment="1">
      <alignment vertical="top"/>
    </xf>
    <xf numFmtId="0" fontId="15" fillId="11" borderId="0" xfId="0" applyFont="1" applyFill="1" applyAlignment="1">
      <alignment horizontal="center" vertical="top" wrapText="1"/>
    </xf>
    <xf numFmtId="0" fontId="15" fillId="14" borderId="0" xfId="0" applyFont="1" applyFill="1" applyAlignment="1">
      <alignment horizontal="center" vertical="top" wrapText="1"/>
    </xf>
    <xf numFmtId="0" fontId="15" fillId="15" borderId="0" xfId="0" applyFont="1" applyFill="1" applyAlignment="1">
      <alignment horizontal="center" vertical="top" wrapText="1"/>
    </xf>
    <xf numFmtId="0" fontId="15" fillId="16" borderId="0" xfId="0" applyFont="1" applyFill="1" applyAlignment="1">
      <alignment horizontal="center" vertical="top" wrapText="1"/>
    </xf>
    <xf numFmtId="0" fontId="15" fillId="17" borderId="0" xfId="0" applyFont="1" applyFill="1" applyAlignment="1">
      <alignment horizontal="center" vertical="top" wrapText="1"/>
    </xf>
    <xf numFmtId="0" fontId="15" fillId="18" borderId="0" xfId="0" applyFont="1" applyFill="1" applyAlignment="1">
      <alignment horizontal="center" vertical="top" wrapText="1"/>
    </xf>
    <xf numFmtId="0" fontId="15" fillId="19" borderId="0" xfId="0" applyFont="1" applyFill="1" applyAlignment="1">
      <alignment horizontal="center" vertical="top" wrapText="1"/>
    </xf>
    <xf numFmtId="0" fontId="15" fillId="21" borderId="0" xfId="0" applyFont="1" applyFill="1" applyAlignment="1">
      <alignment horizontal="center" vertical="top" wrapText="1"/>
    </xf>
    <xf numFmtId="0" fontId="15" fillId="22" borderId="0" xfId="0" applyFont="1" applyFill="1" applyAlignment="1">
      <alignment horizontal="center" vertical="top" wrapText="1"/>
    </xf>
    <xf numFmtId="9" fontId="2" fillId="34" borderId="68" xfId="0" applyNumberFormat="1" applyFont="1" applyFill="1" applyBorder="1" applyAlignment="1">
      <alignment vertical="top"/>
    </xf>
    <xf numFmtId="0" fontId="15" fillId="34" borderId="68" xfId="0" applyFont="1" applyFill="1" applyBorder="1" applyAlignment="1">
      <alignment vertical="top" wrapText="1"/>
    </xf>
    <xf numFmtId="0" fontId="14" fillId="35" borderId="68" xfId="0" applyFont="1" applyFill="1" applyBorder="1" applyAlignment="1" applyProtection="1">
      <alignment horizontal="center" vertical="top"/>
      <protection locked="0"/>
    </xf>
    <xf numFmtId="9" fontId="14" fillId="4" borderId="68" xfId="1" applyFont="1" applyFill="1" applyBorder="1" applyAlignment="1">
      <alignment horizontal="center" vertical="top"/>
    </xf>
    <xf numFmtId="9" fontId="14" fillId="24" borderId="68" xfId="1" applyFont="1" applyFill="1" applyBorder="1" applyAlignment="1">
      <alignment horizontal="center" vertical="top"/>
    </xf>
    <xf numFmtId="9" fontId="14" fillId="25" borderId="68" xfId="1" applyFont="1" applyFill="1" applyBorder="1" applyAlignment="1">
      <alignment horizontal="center" vertical="top"/>
    </xf>
    <xf numFmtId="9" fontId="14" fillId="26" borderId="68" xfId="1" applyFont="1" applyFill="1" applyBorder="1" applyAlignment="1">
      <alignment horizontal="center" vertical="top"/>
    </xf>
    <xf numFmtId="9" fontId="14" fillId="27" borderId="68" xfId="1" applyFont="1" applyFill="1" applyBorder="1" applyAlignment="1">
      <alignment horizontal="center" vertical="top"/>
    </xf>
    <xf numFmtId="9" fontId="14" fillId="28" borderId="68" xfId="1" applyFont="1" applyFill="1" applyBorder="1" applyAlignment="1">
      <alignment horizontal="center" vertical="top"/>
    </xf>
    <xf numFmtId="9" fontId="14" fillId="29" borderId="68" xfId="1" applyFont="1" applyFill="1" applyBorder="1" applyAlignment="1">
      <alignment horizontal="center" vertical="top"/>
    </xf>
    <xf numFmtId="9" fontId="14" fillId="30" borderId="68" xfId="1" applyFont="1" applyFill="1" applyBorder="1" applyAlignment="1">
      <alignment horizontal="center" vertical="top"/>
    </xf>
    <xf numFmtId="0" fontId="14" fillId="33" borderId="68" xfId="0" applyFont="1" applyFill="1" applyBorder="1" applyAlignment="1">
      <alignment horizontal="center" vertical="top"/>
    </xf>
    <xf numFmtId="9" fontId="14" fillId="31" borderId="68" xfId="1" applyFont="1" applyFill="1" applyBorder="1" applyAlignment="1">
      <alignment horizontal="center" vertical="top"/>
    </xf>
    <xf numFmtId="9" fontId="14" fillId="32" borderId="68" xfId="1" applyFont="1" applyFill="1" applyBorder="1" applyAlignment="1">
      <alignment horizontal="center" vertical="top"/>
    </xf>
    <xf numFmtId="0" fontId="2" fillId="11" borderId="0" xfId="0" applyFont="1" applyFill="1"/>
    <xf numFmtId="0" fontId="18" fillId="11" borderId="0" xfId="0" applyFont="1" applyFill="1" applyAlignment="1">
      <alignment vertical="top"/>
    </xf>
    <xf numFmtId="0" fontId="18" fillId="11" borderId="0" xfId="0" applyFont="1" applyFill="1" applyAlignment="1">
      <alignment vertical="top" wrapText="1"/>
    </xf>
    <xf numFmtId="0" fontId="19" fillId="11" borderId="0" xfId="0" applyFont="1" applyFill="1" applyAlignment="1">
      <alignment horizontal="center" vertical="top"/>
    </xf>
    <xf numFmtId="0" fontId="13" fillId="11" borderId="0" xfId="0" applyFont="1" applyFill="1" applyAlignment="1">
      <alignment horizontal="center" vertical="top"/>
    </xf>
    <xf numFmtId="0" fontId="13" fillId="11" borderId="24" xfId="0" applyFont="1" applyFill="1" applyBorder="1" applyAlignment="1">
      <alignment vertical="top"/>
    </xf>
    <xf numFmtId="0" fontId="13" fillId="12" borderId="65" xfId="0" applyFont="1" applyFill="1" applyBorder="1" applyAlignment="1">
      <alignment horizontal="center" vertical="top" wrapText="1"/>
    </xf>
    <xf numFmtId="0" fontId="13" fillId="12" borderId="66" xfId="0" applyFont="1" applyFill="1" applyBorder="1" applyAlignment="1">
      <alignment horizontal="center" vertical="top" wrapText="1"/>
    </xf>
    <xf numFmtId="0" fontId="13" fillId="11" borderId="10" xfId="0" applyFont="1" applyFill="1" applyBorder="1" applyAlignment="1">
      <alignment horizontal="center" vertical="top"/>
    </xf>
    <xf numFmtId="0" fontId="2" fillId="10" borderId="0" xfId="0" applyFont="1" applyFill="1" applyAlignment="1">
      <alignment horizontal="left" vertical="top" wrapText="1"/>
    </xf>
    <xf numFmtId="0" fontId="0" fillId="0" borderId="0" xfId="0" applyAlignment="1">
      <alignment horizontal="left" vertical="top"/>
    </xf>
    <xf numFmtId="0" fontId="10" fillId="9" borderId="23" xfId="0" applyFont="1" applyFill="1" applyBorder="1" applyAlignment="1">
      <alignment vertical="center" wrapText="1"/>
    </xf>
    <xf numFmtId="0" fontId="11" fillId="0" borderId="0" xfId="0" applyFont="1" applyAlignment="1">
      <alignment vertical="center" wrapText="1"/>
    </xf>
    <xf numFmtId="0" fontId="0" fillId="0" borderId="0" xfId="0" applyAlignment="1">
      <alignment wrapText="1"/>
    </xf>
    <xf numFmtId="0" fontId="5" fillId="3" borderId="23" xfId="0" applyFont="1" applyFill="1" applyBorder="1" applyAlignment="1">
      <alignment vertical="center" wrapText="1"/>
    </xf>
    <xf numFmtId="0" fontId="1" fillId="4" borderId="18" xfId="0" applyFont="1" applyFill="1" applyBorder="1" applyAlignment="1">
      <alignment horizontal="left" vertical="top" wrapText="1"/>
    </xf>
    <xf numFmtId="0" fontId="0" fillId="0" borderId="22" xfId="0" applyBorder="1" applyAlignment="1">
      <alignment horizontal="left" vertical="top" wrapText="1"/>
    </xf>
    <xf numFmtId="0" fontId="2" fillId="6" borderId="11" xfId="0" applyFont="1" applyFill="1" applyBorder="1" applyAlignment="1" applyProtection="1">
      <alignment horizontal="left" vertical="top"/>
      <protection locked="0"/>
    </xf>
    <xf numFmtId="0" fontId="0" fillId="6" borderId="13" xfId="0" applyFill="1" applyBorder="1" applyAlignment="1">
      <alignment horizontal="left" vertical="top"/>
    </xf>
    <xf numFmtId="0" fontId="0" fillId="6" borderId="14" xfId="0" applyFill="1" applyBorder="1" applyAlignment="1">
      <alignment horizontal="left" vertical="top"/>
    </xf>
    <xf numFmtId="0" fontId="0" fillId="4" borderId="22" xfId="0" applyFill="1" applyBorder="1" applyAlignment="1">
      <alignment vertical="top" wrapText="1"/>
    </xf>
    <xf numFmtId="0" fontId="0" fillId="4" borderId="25" xfId="0" applyFill="1" applyBorder="1" applyAlignment="1">
      <alignment vertical="top" wrapText="1"/>
    </xf>
    <xf numFmtId="0" fontId="2" fillId="8" borderId="19" xfId="0" applyFont="1" applyFill="1"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xf>
    <xf numFmtId="0" fontId="2" fillId="6" borderId="23" xfId="0" applyFont="1" applyFill="1" applyBorder="1" applyAlignment="1" applyProtection="1">
      <alignment horizontal="left" vertical="top"/>
      <protection locked="0"/>
    </xf>
    <xf numFmtId="0" fontId="0" fillId="6" borderId="0" xfId="0" applyFill="1" applyAlignment="1">
      <alignment horizontal="left" vertical="top"/>
    </xf>
    <xf numFmtId="0" fontId="0" fillId="6" borderId="24" xfId="0" applyFill="1" applyBorder="1" applyAlignment="1">
      <alignment horizontal="left" vertical="top"/>
    </xf>
    <xf numFmtId="0" fontId="2" fillId="8" borderId="23" xfId="0" applyFont="1" applyFill="1" applyBorder="1" applyAlignment="1">
      <alignment horizontal="left" vertical="top"/>
    </xf>
    <xf numFmtId="0" fontId="0" fillId="0" borderId="24" xfId="0" applyBorder="1" applyAlignment="1">
      <alignment horizontal="left" vertical="top"/>
    </xf>
    <xf numFmtId="0" fontId="2" fillId="6" borderId="26" xfId="0" applyFont="1" applyFill="1" applyBorder="1" applyAlignment="1" applyProtection="1">
      <alignment horizontal="left" vertical="top"/>
      <protection locked="0"/>
    </xf>
    <xf numFmtId="0" fontId="0" fillId="6" borderId="27" xfId="0" applyFill="1" applyBorder="1" applyAlignment="1">
      <alignment horizontal="left" vertical="top"/>
    </xf>
    <xf numFmtId="0" fontId="0" fillId="6" borderId="28" xfId="0" applyFill="1" applyBorder="1" applyAlignment="1">
      <alignment horizontal="left" vertical="top"/>
    </xf>
    <xf numFmtId="0" fontId="2" fillId="6" borderId="5" xfId="0" applyFont="1" applyFill="1" applyBorder="1" applyAlignment="1" applyProtection="1">
      <alignment horizontal="left" vertical="top"/>
      <protection locked="0"/>
    </xf>
    <xf numFmtId="0" fontId="0" fillId="6" borderId="7" xfId="0" applyFill="1" applyBorder="1" applyAlignment="1">
      <alignment horizontal="left" vertical="top"/>
    </xf>
    <xf numFmtId="0" fontId="0" fillId="6" borderId="8" xfId="0" applyFill="1" applyBorder="1" applyAlignment="1">
      <alignment horizontal="left" vertical="top"/>
    </xf>
    <xf numFmtId="0" fontId="1" fillId="4" borderId="18" xfId="0" applyFont="1" applyFill="1" applyBorder="1" applyAlignment="1">
      <alignment vertical="top" wrapText="1"/>
    </xf>
    <xf numFmtId="0" fontId="3" fillId="6" borderId="23" xfId="0" applyFont="1" applyFill="1" applyBorder="1" applyAlignment="1" applyProtection="1">
      <alignment horizontal="left" vertical="top" wrapText="1"/>
      <protection locked="0"/>
    </xf>
    <xf numFmtId="0" fontId="4" fillId="6" borderId="0" xfId="0" applyFont="1" applyFill="1" applyAlignment="1">
      <alignment horizontal="left" vertical="top"/>
    </xf>
    <xf numFmtId="0" fontId="4" fillId="6" borderId="24" xfId="0" applyFont="1" applyFill="1" applyBorder="1" applyAlignment="1">
      <alignment horizontal="left" vertical="top"/>
    </xf>
    <xf numFmtId="0" fontId="2" fillId="8" borderId="23" xfId="0" applyFont="1" applyFill="1" applyBorder="1" applyAlignment="1">
      <alignment horizontal="left" vertical="top" wrapText="1"/>
    </xf>
    <xf numFmtId="0" fontId="0" fillId="0" borderId="0" xfId="0" applyAlignment="1">
      <alignment horizontal="left" vertical="top" wrapText="1"/>
    </xf>
    <xf numFmtId="0" fontId="0" fillId="0" borderId="24" xfId="0" applyBorder="1" applyAlignment="1">
      <alignment horizontal="left" vertical="top" wrapText="1"/>
    </xf>
    <xf numFmtId="0" fontId="2" fillId="6" borderId="0" xfId="0" applyFont="1" applyFill="1" applyAlignment="1" applyProtection="1">
      <alignment horizontal="left" vertical="top"/>
      <protection locked="0"/>
    </xf>
    <xf numFmtId="0" fontId="2" fillId="6" borderId="24" xfId="0" applyFont="1" applyFill="1" applyBorder="1" applyAlignment="1" applyProtection="1">
      <alignment horizontal="left" vertical="top"/>
      <protection locked="0"/>
    </xf>
    <xf numFmtId="0" fontId="2" fillId="6" borderId="27" xfId="0" applyFont="1" applyFill="1" applyBorder="1" applyAlignment="1" applyProtection="1">
      <alignment horizontal="left" vertical="top"/>
      <protection locked="0"/>
    </xf>
    <xf numFmtId="0" fontId="2" fillId="6" borderId="28" xfId="0" applyFont="1" applyFill="1" applyBorder="1" applyAlignment="1" applyProtection="1">
      <alignment horizontal="left" vertical="top"/>
      <protection locked="0"/>
    </xf>
    <xf numFmtId="0" fontId="2" fillId="8" borderId="19" xfId="0" applyFont="1" applyFill="1"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4" borderId="22" xfId="0" applyFill="1" applyBorder="1" applyAlignment="1">
      <alignment horizontal="left" vertical="top" wrapText="1"/>
    </xf>
    <xf numFmtId="0" fontId="2" fillId="8" borderId="1" xfId="0" applyFont="1" applyFill="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30" xfId="0" applyBorder="1" applyAlignment="1">
      <alignment horizontal="left" vertical="top"/>
    </xf>
    <xf numFmtId="0" fontId="1" fillId="4" borderId="22" xfId="0" applyFont="1" applyFill="1" applyBorder="1" applyAlignment="1">
      <alignment horizontal="left" vertical="top" wrapText="1"/>
    </xf>
    <xf numFmtId="0" fontId="1" fillId="4" borderId="25" xfId="0" applyFont="1" applyFill="1" applyBorder="1" applyAlignment="1">
      <alignment horizontal="left" vertical="top" wrapText="1"/>
    </xf>
    <xf numFmtId="0" fontId="2" fillId="6" borderId="32" xfId="0" applyFont="1" applyFill="1" applyBorder="1" applyAlignment="1" applyProtection="1">
      <alignment horizontal="left" vertical="top"/>
      <protection locked="0"/>
    </xf>
    <xf numFmtId="0" fontId="2" fillId="6" borderId="33" xfId="0" applyFont="1" applyFill="1" applyBorder="1" applyAlignment="1" applyProtection="1">
      <alignment horizontal="left" vertical="top"/>
      <protection locked="0"/>
    </xf>
    <xf numFmtId="0" fontId="2" fillId="6" borderId="9" xfId="0" applyFont="1" applyFill="1" applyBorder="1" applyAlignment="1" applyProtection="1">
      <alignment horizontal="left" vertical="top"/>
      <protection locked="0"/>
    </xf>
    <xf numFmtId="0" fontId="6" fillId="2" borderId="32" xfId="0" applyFont="1" applyFill="1" applyBorder="1" applyAlignment="1" applyProtection="1">
      <alignment horizontal="left" vertical="top"/>
      <protection locked="0"/>
    </xf>
    <xf numFmtId="0" fontId="6" fillId="2" borderId="33" xfId="0" applyFont="1" applyFill="1" applyBorder="1" applyAlignment="1" applyProtection="1">
      <alignment horizontal="left" vertical="top"/>
      <protection locked="0"/>
    </xf>
    <xf numFmtId="0" fontId="6" fillId="2" borderId="9" xfId="0" applyFont="1" applyFill="1" applyBorder="1" applyAlignment="1" applyProtection="1">
      <alignment horizontal="left" vertical="top"/>
      <protection locked="0"/>
    </xf>
    <xf numFmtId="0" fontId="6" fillId="2" borderId="31" xfId="0" applyFont="1" applyFill="1" applyBorder="1" applyAlignment="1" applyProtection="1">
      <alignment horizontal="left" vertical="top"/>
      <protection locked="0"/>
    </xf>
    <xf numFmtId="0" fontId="2" fillId="6" borderId="13" xfId="0" applyFont="1" applyFill="1" applyBorder="1" applyAlignment="1" applyProtection="1">
      <alignment horizontal="left" vertical="top"/>
      <protection locked="0"/>
    </xf>
    <xf numFmtId="0" fontId="2" fillId="6" borderId="12" xfId="0" applyFont="1" applyFill="1" applyBorder="1" applyAlignment="1" applyProtection="1">
      <alignment horizontal="left" vertical="top"/>
      <protection locked="0"/>
    </xf>
    <xf numFmtId="0" fontId="6" fillId="2" borderId="11" xfId="0" applyFont="1" applyFill="1" applyBorder="1" applyAlignment="1" applyProtection="1">
      <alignment horizontal="left" vertical="top"/>
      <protection locked="0"/>
    </xf>
    <xf numFmtId="0" fontId="6" fillId="2" borderId="13" xfId="0" applyFont="1" applyFill="1" applyBorder="1" applyAlignment="1" applyProtection="1">
      <alignment horizontal="left" vertical="top"/>
      <protection locked="0"/>
    </xf>
    <xf numFmtId="0" fontId="6" fillId="2" borderId="12" xfId="0" applyFont="1" applyFill="1" applyBorder="1" applyAlignment="1" applyProtection="1">
      <alignment horizontal="left" vertical="top"/>
      <protection locked="0"/>
    </xf>
    <xf numFmtId="0" fontId="6" fillId="2" borderId="14" xfId="0" applyFont="1" applyFill="1" applyBorder="1" applyAlignment="1" applyProtection="1">
      <alignment horizontal="left" vertical="top"/>
      <protection locked="0"/>
    </xf>
    <xf numFmtId="0" fontId="2" fillId="6" borderId="34" xfId="0" applyFont="1" applyFill="1" applyBorder="1" applyAlignment="1" applyProtection="1">
      <alignment horizontal="left" vertical="top"/>
      <protection locked="0"/>
    </xf>
    <xf numFmtId="0" fontId="2" fillId="6" borderId="35" xfId="0" applyFont="1" applyFill="1" applyBorder="1" applyAlignment="1" applyProtection="1">
      <alignment horizontal="left" vertical="top"/>
      <protection locked="0"/>
    </xf>
    <xf numFmtId="0" fontId="2" fillId="6" borderId="36" xfId="0" applyFont="1" applyFill="1" applyBorder="1" applyAlignment="1" applyProtection="1">
      <alignment horizontal="left" vertical="top"/>
      <protection locked="0"/>
    </xf>
    <xf numFmtId="0" fontId="6" fillId="2" borderId="34" xfId="0" applyFont="1" applyFill="1" applyBorder="1" applyAlignment="1" applyProtection="1">
      <alignment horizontal="left" vertical="top"/>
      <protection locked="0"/>
    </xf>
    <xf numFmtId="0" fontId="6" fillId="2" borderId="35" xfId="0" applyFont="1" applyFill="1" applyBorder="1" applyAlignment="1" applyProtection="1">
      <alignment horizontal="left" vertical="top"/>
      <protection locked="0"/>
    </xf>
    <xf numFmtId="0" fontId="6" fillId="2" borderId="36" xfId="0" applyFont="1" applyFill="1" applyBorder="1" applyAlignment="1" applyProtection="1">
      <alignment horizontal="left" vertical="top"/>
      <protection locked="0"/>
    </xf>
    <xf numFmtId="0" fontId="2" fillId="2" borderId="34" xfId="0" applyFont="1" applyFill="1" applyBorder="1" applyAlignment="1" applyProtection="1">
      <alignment horizontal="left" vertical="top"/>
      <protection locked="0"/>
    </xf>
    <xf numFmtId="0" fontId="2" fillId="2" borderId="35" xfId="0" applyFont="1" applyFill="1" applyBorder="1" applyAlignment="1" applyProtection="1">
      <alignment horizontal="left" vertical="top"/>
      <protection locked="0"/>
    </xf>
    <xf numFmtId="0" fontId="2" fillId="2" borderId="37" xfId="0" applyFont="1" applyFill="1" applyBorder="1" applyAlignment="1" applyProtection="1">
      <alignment horizontal="left" vertical="top"/>
      <protection locked="0"/>
    </xf>
    <xf numFmtId="164" fontId="2" fillId="6" borderId="48" xfId="0" applyNumberFormat="1" applyFont="1" applyFill="1" applyBorder="1" applyAlignment="1" applyProtection="1">
      <alignment horizontal="left" vertical="top"/>
      <protection locked="0"/>
    </xf>
    <xf numFmtId="0" fontId="0" fillId="6" borderId="49" xfId="0" applyFill="1" applyBorder="1" applyAlignment="1">
      <alignment horizontal="left" vertical="top"/>
    </xf>
    <xf numFmtId="0" fontId="0" fillId="4" borderId="25" xfId="0" applyFill="1" applyBorder="1" applyAlignment="1">
      <alignment horizontal="left" vertical="top" wrapText="1"/>
    </xf>
    <xf numFmtId="164" fontId="2" fillId="6" borderId="41" xfId="0" applyNumberFormat="1" applyFont="1" applyFill="1" applyBorder="1" applyAlignment="1" applyProtection="1">
      <alignment horizontal="left" vertical="top"/>
      <protection locked="0"/>
    </xf>
    <xf numFmtId="164" fontId="2" fillId="6" borderId="33" xfId="0" applyNumberFormat="1" applyFont="1" applyFill="1" applyBorder="1" applyAlignment="1" applyProtection="1">
      <alignment horizontal="left" vertical="top"/>
      <protection locked="0"/>
    </xf>
    <xf numFmtId="164" fontId="2" fillId="6" borderId="45" xfId="0" applyNumberFormat="1" applyFont="1" applyFill="1" applyBorder="1" applyAlignment="1" applyProtection="1">
      <alignment horizontal="left" vertical="top"/>
      <protection locked="0"/>
    </xf>
    <xf numFmtId="164" fontId="2" fillId="6" borderId="13" xfId="0" applyNumberFormat="1" applyFont="1" applyFill="1" applyBorder="1" applyAlignment="1" applyProtection="1">
      <alignment horizontal="left" vertical="top"/>
      <protection locked="0"/>
    </xf>
    <xf numFmtId="0" fontId="1" fillId="4" borderId="18" xfId="0" applyFont="1" applyFill="1" applyBorder="1" applyAlignment="1">
      <alignment horizontal="left" vertical="top"/>
    </xf>
    <xf numFmtId="0" fontId="0" fillId="0" borderId="22" xfId="0" applyBorder="1" applyAlignment="1">
      <alignment vertical="top"/>
    </xf>
    <xf numFmtId="0" fontId="0" fillId="0" borderId="25" xfId="0" applyBorder="1" applyAlignment="1">
      <alignment vertical="top"/>
    </xf>
    <xf numFmtId="0" fontId="2" fillId="6" borderId="54" xfId="0" applyFont="1" applyFill="1" applyBorder="1" applyAlignment="1" applyProtection="1">
      <alignment horizontal="left" vertical="top"/>
      <protection locked="0"/>
    </xf>
    <xf numFmtId="0" fontId="0" fillId="6" borderId="55" xfId="0" applyFill="1" applyBorder="1" applyAlignment="1">
      <alignment horizontal="left" vertical="top"/>
    </xf>
    <xf numFmtId="0" fontId="0" fillId="6" borderId="56" xfId="0" applyFill="1" applyBorder="1" applyAlignment="1">
      <alignment horizontal="left" vertical="top"/>
    </xf>
    <xf numFmtId="0" fontId="2" fillId="8" borderId="0" xfId="0" applyFont="1" applyFill="1" applyAlignment="1">
      <alignment horizontal="left" vertical="top" wrapText="1"/>
    </xf>
    <xf numFmtId="0" fontId="2" fillId="8" borderId="24" xfId="0" applyFont="1" applyFill="1" applyBorder="1" applyAlignment="1">
      <alignment horizontal="left" vertical="top" wrapText="1"/>
    </xf>
    <xf numFmtId="0" fontId="1" fillId="4" borderId="22" xfId="0" applyFont="1" applyFill="1" applyBorder="1" applyAlignment="1">
      <alignment vertical="top" wrapText="1"/>
    </xf>
    <xf numFmtId="0" fontId="0" fillId="0" borderId="22" xfId="0" applyBorder="1" applyAlignment="1">
      <alignment vertical="top" wrapText="1"/>
    </xf>
    <xf numFmtId="0" fontId="0" fillId="0" borderId="25" xfId="0" applyBorder="1" applyAlignment="1">
      <alignment vertical="top" wrapText="1"/>
    </xf>
  </cellXfs>
  <cellStyles count="2">
    <cellStyle name="Normal" xfId="0" builtinId="0"/>
    <cellStyle name="Percent" xfId="1" builtinId="5"/>
  </cellStyles>
  <dxfs count="6">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5438985394063061"/>
          <c:y val="0.28634190633733597"/>
          <c:w val="0.3000972273981608"/>
          <c:h val="0.47265914118965091"/>
        </c:manualLayout>
      </c:layout>
      <c:radarChart>
        <c:radarStyle val="filled"/>
        <c:varyColors val="0"/>
        <c:ser>
          <c:idx val="0"/>
          <c:order val="0"/>
          <c:spPr>
            <a:solidFill>
              <a:srgbClr val="333333"/>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0-D140-42B6-9FF5-E12714AB2A14}"/>
            </c:ext>
          </c:extLst>
        </c:ser>
        <c:ser>
          <c:idx val="1"/>
          <c:order val="1"/>
          <c:spPr>
            <a:solidFill>
              <a:srgbClr val="C0C0C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1-D140-42B6-9FF5-E12714AB2A14}"/>
            </c:ext>
          </c:extLst>
        </c:ser>
        <c:ser>
          <c:idx val="2"/>
          <c:order val="2"/>
          <c:spPr>
            <a:solidFill>
              <a:srgbClr val="DDDDDD"/>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2-D140-42B6-9FF5-E12714AB2A14}"/>
            </c:ext>
          </c:extLst>
        </c:ser>
        <c:ser>
          <c:idx val="3"/>
          <c:order val="3"/>
          <c:spPr>
            <a:solidFill>
              <a:srgbClr val="CCFFFF"/>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3-D140-42B6-9FF5-E12714AB2A14}"/>
            </c:ext>
          </c:extLst>
        </c:ser>
        <c:ser>
          <c:idx val="4"/>
          <c:order val="4"/>
          <c:spPr>
            <a:solidFill>
              <a:srgbClr val="660066"/>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4-D140-42B6-9FF5-E12714AB2A14}"/>
            </c:ext>
          </c:extLst>
        </c:ser>
        <c:ser>
          <c:idx val="5"/>
          <c:order val="5"/>
          <c:spPr>
            <a:solidFill>
              <a:srgbClr val="FF808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5-D140-42B6-9FF5-E12714AB2A14}"/>
            </c:ext>
          </c:extLst>
        </c:ser>
        <c:ser>
          <c:idx val="6"/>
          <c:order val="6"/>
          <c:spPr>
            <a:solidFill>
              <a:srgbClr val="0066CC"/>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6-D140-42B6-9FF5-E12714AB2A14}"/>
            </c:ext>
          </c:extLst>
        </c:ser>
        <c:ser>
          <c:idx val="7"/>
          <c:order val="7"/>
          <c:spPr>
            <a:solidFill>
              <a:srgbClr val="CCCCFF"/>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7-D140-42B6-9FF5-E12714AB2A14}"/>
            </c:ext>
          </c:extLst>
        </c:ser>
        <c:ser>
          <c:idx val="8"/>
          <c:order val="8"/>
          <c:spPr>
            <a:solidFill>
              <a:srgbClr val="00008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8-D140-42B6-9FF5-E12714AB2A14}"/>
            </c:ext>
          </c:extLst>
        </c:ser>
        <c:ser>
          <c:idx val="9"/>
          <c:order val="9"/>
          <c:spPr>
            <a:solidFill>
              <a:srgbClr val="FF00FF"/>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9-D140-42B6-9FF5-E12714AB2A14}"/>
            </c:ext>
          </c:extLst>
        </c:ser>
        <c:ser>
          <c:idx val="10"/>
          <c:order val="10"/>
          <c:spPr>
            <a:solidFill>
              <a:srgbClr val="FFFF0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A-D140-42B6-9FF5-E12714AB2A14}"/>
            </c:ext>
          </c:extLst>
        </c:ser>
        <c:ser>
          <c:idx val="11"/>
          <c:order val="11"/>
          <c:spPr>
            <a:solidFill>
              <a:srgbClr val="00FFFF"/>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B-D140-42B6-9FF5-E12714AB2A14}"/>
            </c:ext>
          </c:extLst>
        </c:ser>
        <c:ser>
          <c:idx val="12"/>
          <c:order val="12"/>
          <c:spPr>
            <a:solidFill>
              <a:srgbClr val="80008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C-D140-42B6-9FF5-E12714AB2A14}"/>
            </c:ext>
          </c:extLst>
        </c:ser>
        <c:ser>
          <c:idx val="13"/>
          <c:order val="13"/>
          <c:spPr>
            <a:solidFill>
              <a:srgbClr val="80000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D-D140-42B6-9FF5-E12714AB2A14}"/>
            </c:ext>
          </c:extLst>
        </c:ser>
        <c:ser>
          <c:idx val="14"/>
          <c:order val="14"/>
          <c:spPr>
            <a:solidFill>
              <a:srgbClr val="00808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E-D140-42B6-9FF5-E12714AB2A14}"/>
            </c:ext>
          </c:extLst>
        </c:ser>
        <c:ser>
          <c:idx val="15"/>
          <c:order val="15"/>
          <c:spPr>
            <a:solidFill>
              <a:srgbClr val="0000FF"/>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F-D140-42B6-9FF5-E12714AB2A14}"/>
            </c:ext>
          </c:extLst>
        </c:ser>
        <c:ser>
          <c:idx val="16"/>
          <c:order val="16"/>
          <c:spPr>
            <a:solidFill>
              <a:srgbClr val="80008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10-D140-42B6-9FF5-E12714AB2A14}"/>
            </c:ext>
          </c:extLst>
        </c:ser>
        <c:dLbls>
          <c:showLegendKey val="0"/>
          <c:showVal val="0"/>
          <c:showCatName val="0"/>
          <c:showSerName val="0"/>
          <c:showPercent val="0"/>
          <c:showBubbleSize val="0"/>
        </c:dLbls>
        <c:axId val="1364821488"/>
        <c:axId val="1"/>
      </c:radarChart>
      <c:catAx>
        <c:axId val="1364821488"/>
        <c:scaling>
          <c:orientation val="minMax"/>
        </c:scaling>
        <c:delete val="0"/>
        <c:axPos val="b"/>
        <c:majorGridlines/>
        <c:numFmt formatCode="General"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BE"/>
          </a:p>
        </c:txPr>
        <c:crossAx val="1"/>
        <c:crosses val="autoZero"/>
        <c:auto val="0"/>
        <c:lblAlgn val="ctr"/>
        <c:lblOffset val="100"/>
        <c:noMultiLvlLbl val="0"/>
      </c:catAx>
      <c:valAx>
        <c:axId val="1"/>
        <c:scaling>
          <c:orientation val="minMax"/>
        </c:scaling>
        <c:delete val="0"/>
        <c:axPos val="l"/>
        <c:numFmt formatCode="General" sourceLinked="1"/>
        <c:majorTickMark val="out"/>
        <c:minorTickMark val="none"/>
        <c:tickLblPos val="nextTo"/>
        <c:txPr>
          <a:bodyPr rot="0" vert="horz"/>
          <a:lstStyle/>
          <a:p>
            <a:pPr>
              <a:defRPr sz="325" b="0" i="0" u="none" strike="noStrike" baseline="0">
                <a:solidFill>
                  <a:srgbClr val="000000"/>
                </a:solidFill>
                <a:latin typeface="Arial"/>
                <a:ea typeface="Arial"/>
                <a:cs typeface="Arial"/>
              </a:defRPr>
            </a:pPr>
            <a:endParaRPr lang="en-BE"/>
          </a:p>
        </c:txPr>
        <c:crossAx val="1364821488"/>
        <c:crosses val="autoZero"/>
        <c:crossBetween val="between"/>
      </c:valAx>
      <c:spPr>
        <a:noFill/>
        <a:ln w="25400">
          <a:noFill/>
        </a:ln>
      </c:spPr>
    </c:plotArea>
    <c:plotVisOnly val="1"/>
    <c:dispBlanksAs val="gap"/>
    <c:showDLblsOverMax val="0"/>
  </c:chart>
  <c:spPr>
    <a:solidFill>
      <a:srgbClr val="FFFFFF"/>
    </a:solidFill>
    <a:ln w="9525">
      <a:noFill/>
    </a:ln>
    <a:effectLst>
      <a:outerShdw dist="50800" sx="1000" sy="1000" algn="ctr" rotWithShape="0">
        <a:srgbClr val="000000"/>
      </a:outerShdw>
    </a:effectLst>
  </c:spPr>
  <c:txPr>
    <a:bodyPr/>
    <a:lstStyle/>
    <a:p>
      <a:pPr>
        <a:defRPr sz="325" b="0" i="0" u="none" strike="noStrike" baseline="0">
          <a:solidFill>
            <a:srgbClr val="000000"/>
          </a:solidFill>
          <a:latin typeface="Arial"/>
          <a:ea typeface="Arial"/>
          <a:cs typeface="Arial"/>
        </a:defRPr>
      </a:pPr>
      <a:endParaRPr lang="en-BE"/>
    </a:p>
  </c:txPr>
  <c:printSettings>
    <c:headerFooter alignWithMargins="0"/>
    <c:pageMargins b="1" l="0.750000000000005" r="0.750000000000005"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5438985394063061"/>
          <c:y val="0.28634190633733597"/>
          <c:w val="0.3000972273981608"/>
          <c:h val="0.47265914118965091"/>
        </c:manualLayout>
      </c:layout>
      <c:radarChart>
        <c:radarStyle val="filled"/>
        <c:varyColors val="0"/>
        <c:ser>
          <c:idx val="0"/>
          <c:order val="0"/>
          <c:spPr>
            <a:solidFill>
              <a:srgbClr val="333333"/>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0-B09F-4266-BF9D-461CBBD33F8B}"/>
            </c:ext>
          </c:extLst>
        </c:ser>
        <c:ser>
          <c:idx val="1"/>
          <c:order val="1"/>
          <c:spPr>
            <a:solidFill>
              <a:srgbClr val="C0C0C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1-B09F-4266-BF9D-461CBBD33F8B}"/>
            </c:ext>
          </c:extLst>
        </c:ser>
        <c:ser>
          <c:idx val="2"/>
          <c:order val="2"/>
          <c:spPr>
            <a:solidFill>
              <a:srgbClr val="DDDDDD"/>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2-B09F-4266-BF9D-461CBBD33F8B}"/>
            </c:ext>
          </c:extLst>
        </c:ser>
        <c:ser>
          <c:idx val="3"/>
          <c:order val="3"/>
          <c:spPr>
            <a:solidFill>
              <a:srgbClr val="CCFFFF"/>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3-B09F-4266-BF9D-461CBBD33F8B}"/>
            </c:ext>
          </c:extLst>
        </c:ser>
        <c:ser>
          <c:idx val="4"/>
          <c:order val="4"/>
          <c:spPr>
            <a:solidFill>
              <a:srgbClr val="660066"/>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4-B09F-4266-BF9D-461CBBD33F8B}"/>
            </c:ext>
          </c:extLst>
        </c:ser>
        <c:ser>
          <c:idx val="5"/>
          <c:order val="5"/>
          <c:spPr>
            <a:solidFill>
              <a:srgbClr val="FF808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5-B09F-4266-BF9D-461CBBD33F8B}"/>
            </c:ext>
          </c:extLst>
        </c:ser>
        <c:ser>
          <c:idx val="6"/>
          <c:order val="6"/>
          <c:spPr>
            <a:solidFill>
              <a:srgbClr val="0066CC"/>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6-B09F-4266-BF9D-461CBBD33F8B}"/>
            </c:ext>
          </c:extLst>
        </c:ser>
        <c:ser>
          <c:idx val="7"/>
          <c:order val="7"/>
          <c:spPr>
            <a:solidFill>
              <a:srgbClr val="CCCCFF"/>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7-B09F-4266-BF9D-461CBBD33F8B}"/>
            </c:ext>
          </c:extLst>
        </c:ser>
        <c:ser>
          <c:idx val="8"/>
          <c:order val="8"/>
          <c:spPr>
            <a:solidFill>
              <a:srgbClr val="00008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8-B09F-4266-BF9D-461CBBD33F8B}"/>
            </c:ext>
          </c:extLst>
        </c:ser>
        <c:ser>
          <c:idx val="9"/>
          <c:order val="9"/>
          <c:spPr>
            <a:solidFill>
              <a:srgbClr val="FF00FF"/>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9-B09F-4266-BF9D-461CBBD33F8B}"/>
            </c:ext>
          </c:extLst>
        </c:ser>
        <c:ser>
          <c:idx val="10"/>
          <c:order val="10"/>
          <c:spPr>
            <a:solidFill>
              <a:srgbClr val="FFFF0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A-B09F-4266-BF9D-461CBBD33F8B}"/>
            </c:ext>
          </c:extLst>
        </c:ser>
        <c:ser>
          <c:idx val="11"/>
          <c:order val="11"/>
          <c:spPr>
            <a:solidFill>
              <a:srgbClr val="00FFFF"/>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B-B09F-4266-BF9D-461CBBD33F8B}"/>
            </c:ext>
          </c:extLst>
        </c:ser>
        <c:ser>
          <c:idx val="12"/>
          <c:order val="12"/>
          <c:spPr>
            <a:solidFill>
              <a:srgbClr val="80008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C-B09F-4266-BF9D-461CBBD33F8B}"/>
            </c:ext>
          </c:extLst>
        </c:ser>
        <c:ser>
          <c:idx val="13"/>
          <c:order val="13"/>
          <c:spPr>
            <a:solidFill>
              <a:srgbClr val="80000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D-B09F-4266-BF9D-461CBBD33F8B}"/>
            </c:ext>
          </c:extLst>
        </c:ser>
        <c:ser>
          <c:idx val="14"/>
          <c:order val="14"/>
          <c:spPr>
            <a:solidFill>
              <a:srgbClr val="00808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E-B09F-4266-BF9D-461CBBD33F8B}"/>
            </c:ext>
          </c:extLst>
        </c:ser>
        <c:ser>
          <c:idx val="15"/>
          <c:order val="15"/>
          <c:spPr>
            <a:solidFill>
              <a:srgbClr val="0000FF"/>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0F-B09F-4266-BF9D-461CBBD33F8B}"/>
            </c:ext>
          </c:extLst>
        </c:ser>
        <c:ser>
          <c:idx val="16"/>
          <c:order val="16"/>
          <c:spPr>
            <a:solidFill>
              <a:srgbClr val="800080"/>
            </a:solidFill>
            <a:ln w="12700">
              <a:solidFill>
                <a:srgbClr val="000000"/>
              </a:solidFill>
              <a:prstDash val="solid"/>
            </a:ln>
          </c:spPr>
          <c:val>
            <c:numRef>
              <c:f>Projectfiche!#REF!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Projectfiche!#REF!</c15:sqref>
                        </c15:formulaRef>
                      </c:ext>
                    </c:extLst>
                  </c:multiLvlStrRef>
                </c15:cat>
              </c15:filteredCategoryTitle>
            </c:ext>
            <c:ext xmlns:c16="http://schemas.microsoft.com/office/drawing/2014/chart" uri="{C3380CC4-5D6E-409C-BE32-E72D297353CC}">
              <c16:uniqueId val="{00000010-B09F-4266-BF9D-461CBBD33F8B}"/>
            </c:ext>
          </c:extLst>
        </c:ser>
        <c:dLbls>
          <c:showLegendKey val="0"/>
          <c:showVal val="0"/>
          <c:showCatName val="0"/>
          <c:showSerName val="0"/>
          <c:showPercent val="0"/>
          <c:showBubbleSize val="0"/>
        </c:dLbls>
        <c:axId val="1444730720"/>
        <c:axId val="1"/>
      </c:radarChart>
      <c:catAx>
        <c:axId val="1444730720"/>
        <c:scaling>
          <c:orientation val="minMax"/>
        </c:scaling>
        <c:delete val="0"/>
        <c:axPos val="b"/>
        <c:majorGridlines/>
        <c:numFmt formatCode="General"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BE"/>
          </a:p>
        </c:txPr>
        <c:crossAx val="1"/>
        <c:crosses val="autoZero"/>
        <c:auto val="0"/>
        <c:lblAlgn val="ctr"/>
        <c:lblOffset val="100"/>
        <c:noMultiLvlLbl val="0"/>
      </c:catAx>
      <c:valAx>
        <c:axId val="1"/>
        <c:scaling>
          <c:orientation val="minMax"/>
        </c:scaling>
        <c:delete val="0"/>
        <c:axPos val="l"/>
        <c:numFmt formatCode="General" sourceLinked="1"/>
        <c:majorTickMark val="out"/>
        <c:minorTickMark val="none"/>
        <c:tickLblPos val="nextTo"/>
        <c:crossAx val="1444730720"/>
        <c:crosses val="autoZero"/>
        <c:crossBetween val="between"/>
      </c:valAx>
      <c:spPr>
        <a:noFill/>
        <a:ln w="25400">
          <a:noFill/>
        </a:ln>
      </c:spPr>
    </c:plotArea>
    <c:plotVisOnly val="1"/>
    <c:dispBlanksAs val="gap"/>
    <c:showDLblsOverMax val="0"/>
  </c:chart>
  <c:spPr>
    <a:solidFill>
      <a:srgbClr val="FFFFFF"/>
    </a:solidFill>
    <a:ln w="9525">
      <a:noFill/>
    </a:ln>
    <a:effectLst>
      <a:outerShdw dist="50800" sx="1000" sy="1000" algn="ctr" rotWithShape="0">
        <a:srgbClr val="000000"/>
      </a:outerShdw>
    </a:effectLst>
  </c:spPr>
  <c:txPr>
    <a:bodyPr/>
    <a:lstStyle/>
    <a:p>
      <a:pPr>
        <a:defRPr sz="325" b="0" i="0" u="none" strike="noStrike" baseline="0">
          <a:solidFill>
            <a:srgbClr val="000000"/>
          </a:solidFill>
          <a:latin typeface="Arial"/>
          <a:ea typeface="Arial"/>
          <a:cs typeface="Arial"/>
        </a:defRPr>
      </a:pPr>
      <a:endParaRPr lang="en-BE"/>
    </a:p>
  </c:txPr>
  <c:printSettings>
    <c:headerFooter alignWithMargins="0"/>
    <c:pageMargins b="1" l="0.750000000000005" r="0.750000000000005" t="1" header="0.5" footer="0.5"/>
    <c:pageSetup paperSize="9" orientation="landscape"/>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182880</xdr:colOff>
      <xdr:row>127</xdr:row>
      <xdr:rowOff>0</xdr:rowOff>
    </xdr:from>
    <xdr:to>
      <xdr:col>10</xdr:col>
      <xdr:colOff>7620</xdr:colOff>
      <xdr:row>127</xdr:row>
      <xdr:rowOff>7620</xdr:rowOff>
    </xdr:to>
    <xdr:graphicFrame macro="">
      <xdr:nvGraphicFramePr>
        <xdr:cNvPr id="2" name="Chart 4">
          <a:extLst>
            <a:ext uri="{FF2B5EF4-FFF2-40B4-BE49-F238E27FC236}">
              <a16:creationId xmlns:a16="http://schemas.microsoft.com/office/drawing/2014/main" id="{CD14B290-52BA-4B91-9DCD-42F626674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182880</xdr:colOff>
      <xdr:row>127</xdr:row>
      <xdr:rowOff>0</xdr:rowOff>
    </xdr:from>
    <xdr:to>
      <xdr:col>10</xdr:col>
      <xdr:colOff>7620</xdr:colOff>
      <xdr:row>127</xdr:row>
      <xdr:rowOff>7620</xdr:rowOff>
    </xdr:to>
    <xdr:graphicFrame macro="">
      <xdr:nvGraphicFramePr>
        <xdr:cNvPr id="3" name="Chart 4">
          <a:extLst>
            <a:ext uri="{FF2B5EF4-FFF2-40B4-BE49-F238E27FC236}">
              <a16:creationId xmlns:a16="http://schemas.microsoft.com/office/drawing/2014/main" id="{B17CF6B8-62BC-4AF8-8E64-528147A1B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AE2B2-1C2E-448F-A24D-323FA2208C41}">
  <sheetPr codeName="Blad1">
    <pageSetUpPr fitToPage="1"/>
  </sheetPr>
  <dimension ref="A1:AV131"/>
  <sheetViews>
    <sheetView tabSelected="1" topLeftCell="A82" zoomScale="234" zoomScaleNormal="234" workbookViewId="0">
      <selection activeCell="D12" sqref="D12:J12"/>
    </sheetView>
  </sheetViews>
  <sheetFormatPr baseColWidth="10" defaultColWidth="2.5" defaultRowHeight="14.5" customHeight="1"/>
  <cols>
    <col min="1" max="1" width="38.6640625" style="83" bestFit="1" customWidth="1"/>
    <col min="2" max="2" width="12.83203125" style="6" customWidth="1"/>
    <col min="3" max="3" width="23.1640625" style="6" customWidth="1"/>
    <col min="4" max="4" width="6.83203125" style="6" customWidth="1"/>
    <col min="5" max="5" width="7" style="6" customWidth="1"/>
    <col min="6" max="7" width="11.83203125" style="6" customWidth="1"/>
    <col min="8" max="8" width="10.83203125" style="6" bestFit="1" customWidth="1"/>
    <col min="9" max="9" width="11.83203125" style="6" customWidth="1"/>
    <col min="10" max="10" width="23.1640625" style="6" bestFit="1" customWidth="1"/>
    <col min="11" max="11" width="0.1640625" style="8" customWidth="1"/>
    <col min="12" max="25" width="2.5" style="8"/>
    <col min="26" max="26" width="34.83203125" style="8" customWidth="1"/>
    <col min="27" max="27" width="12.6640625" style="8" hidden="1" customWidth="1"/>
    <col min="28" max="28" width="18" style="8" hidden="1" customWidth="1"/>
    <col min="29" max="45" width="9.83203125" style="8" hidden="1" customWidth="1"/>
    <col min="46" max="46" width="23.83203125" style="8" hidden="1" customWidth="1"/>
    <col min="47" max="47" width="9.83203125" style="8" hidden="1" customWidth="1"/>
    <col min="48" max="48" width="23.83203125" style="8" hidden="1" customWidth="1"/>
    <col min="49" max="240" width="2.5" style="8"/>
    <col min="241" max="241" width="16.83203125" style="8" customWidth="1"/>
    <col min="242" max="242" width="10.5" style="8" customWidth="1"/>
    <col min="243" max="243" width="23.1640625" style="8" customWidth="1"/>
    <col min="244" max="244" width="6.83203125" style="8" customWidth="1"/>
    <col min="245" max="245" width="7" style="8" customWidth="1"/>
    <col min="246" max="247" width="11.83203125" style="8" customWidth="1"/>
    <col min="248" max="248" width="10.83203125" style="8" bestFit="1" customWidth="1"/>
    <col min="249" max="249" width="11.83203125" style="8" customWidth="1"/>
    <col min="250" max="250" width="23.1640625" style="8" bestFit="1" customWidth="1"/>
    <col min="251" max="251" width="0.1640625" style="8" customWidth="1"/>
    <col min="252" max="254" width="2.5" style="8"/>
    <col min="255" max="255" width="3.33203125" style="8" bestFit="1" customWidth="1"/>
    <col min="256" max="256" width="52.33203125" style="8" customWidth="1"/>
    <col min="257" max="257" width="3" style="8" customWidth="1"/>
    <col min="258" max="259" width="4.5" style="8" customWidth="1"/>
    <col min="260" max="496" width="2.5" style="8"/>
    <col min="497" max="497" width="16.83203125" style="8" customWidth="1"/>
    <col min="498" max="498" width="10.5" style="8" customWidth="1"/>
    <col min="499" max="499" width="23.1640625" style="8" customWidth="1"/>
    <col min="500" max="500" width="6.83203125" style="8" customWidth="1"/>
    <col min="501" max="501" width="7" style="8" customWidth="1"/>
    <col min="502" max="503" width="11.83203125" style="8" customWidth="1"/>
    <col min="504" max="504" width="10.83203125" style="8" bestFit="1" customWidth="1"/>
    <col min="505" max="505" width="11.83203125" style="8" customWidth="1"/>
    <col min="506" max="506" width="23.1640625" style="8" bestFit="1" customWidth="1"/>
    <col min="507" max="507" width="0.1640625" style="8" customWidth="1"/>
    <col min="508" max="510" width="2.5" style="8"/>
    <col min="511" max="511" width="3.33203125" style="8" bestFit="1" customWidth="1"/>
    <col min="512" max="512" width="52.33203125" style="8" customWidth="1"/>
    <col min="513" max="513" width="3" style="8" customWidth="1"/>
    <col min="514" max="515" width="4.5" style="8" customWidth="1"/>
    <col min="516" max="752" width="2.5" style="8"/>
    <col min="753" max="753" width="16.83203125" style="8" customWidth="1"/>
    <col min="754" max="754" width="10.5" style="8" customWidth="1"/>
    <col min="755" max="755" width="23.1640625" style="8" customWidth="1"/>
    <col min="756" max="756" width="6.83203125" style="8" customWidth="1"/>
    <col min="757" max="757" width="7" style="8" customWidth="1"/>
    <col min="758" max="759" width="11.83203125" style="8" customWidth="1"/>
    <col min="760" max="760" width="10.83203125" style="8" bestFit="1" customWidth="1"/>
    <col min="761" max="761" width="11.83203125" style="8" customWidth="1"/>
    <col min="762" max="762" width="23.1640625" style="8" bestFit="1" customWidth="1"/>
    <col min="763" max="763" width="0.1640625" style="8" customWidth="1"/>
    <col min="764" max="766" width="2.5" style="8"/>
    <col min="767" max="767" width="3.33203125" style="8" bestFit="1" customWidth="1"/>
    <col min="768" max="768" width="52.33203125" style="8" customWidth="1"/>
    <col min="769" max="769" width="3" style="8" customWidth="1"/>
    <col min="770" max="771" width="4.5" style="8" customWidth="1"/>
    <col min="772" max="1008" width="2.5" style="8"/>
    <col min="1009" max="1009" width="16.83203125" style="8" customWidth="1"/>
    <col min="1010" max="1010" width="10.5" style="8" customWidth="1"/>
    <col min="1011" max="1011" width="23.1640625" style="8" customWidth="1"/>
    <col min="1012" max="1012" width="6.83203125" style="8" customWidth="1"/>
    <col min="1013" max="1013" width="7" style="8" customWidth="1"/>
    <col min="1014" max="1015" width="11.83203125" style="8" customWidth="1"/>
    <col min="1016" max="1016" width="10.83203125" style="8" bestFit="1" customWidth="1"/>
    <col min="1017" max="1017" width="11.83203125" style="8" customWidth="1"/>
    <col min="1018" max="1018" width="23.1640625" style="8" bestFit="1" customWidth="1"/>
    <col min="1019" max="1019" width="0.1640625" style="8" customWidth="1"/>
    <col min="1020" max="1022" width="2.5" style="8"/>
    <col min="1023" max="1023" width="3.33203125" style="8" bestFit="1" customWidth="1"/>
    <col min="1024" max="1024" width="52.33203125" style="8" customWidth="1"/>
    <col min="1025" max="1025" width="3" style="8" customWidth="1"/>
    <col min="1026" max="1027" width="4.5" style="8" customWidth="1"/>
    <col min="1028" max="1264" width="2.5" style="8"/>
    <col min="1265" max="1265" width="16.83203125" style="8" customWidth="1"/>
    <col min="1266" max="1266" width="10.5" style="8" customWidth="1"/>
    <col min="1267" max="1267" width="23.1640625" style="8" customWidth="1"/>
    <col min="1268" max="1268" width="6.83203125" style="8" customWidth="1"/>
    <col min="1269" max="1269" width="7" style="8" customWidth="1"/>
    <col min="1270" max="1271" width="11.83203125" style="8" customWidth="1"/>
    <col min="1272" max="1272" width="10.83203125" style="8" bestFit="1" customWidth="1"/>
    <col min="1273" max="1273" width="11.83203125" style="8" customWidth="1"/>
    <col min="1274" max="1274" width="23.1640625" style="8" bestFit="1" customWidth="1"/>
    <col min="1275" max="1275" width="0.1640625" style="8" customWidth="1"/>
    <col min="1276" max="1278" width="2.5" style="8"/>
    <col min="1279" max="1279" width="3.33203125" style="8" bestFit="1" customWidth="1"/>
    <col min="1280" max="1280" width="52.33203125" style="8" customWidth="1"/>
    <col min="1281" max="1281" width="3" style="8" customWidth="1"/>
    <col min="1282" max="1283" width="4.5" style="8" customWidth="1"/>
    <col min="1284" max="1520" width="2.5" style="8"/>
    <col min="1521" max="1521" width="16.83203125" style="8" customWidth="1"/>
    <col min="1522" max="1522" width="10.5" style="8" customWidth="1"/>
    <col min="1523" max="1523" width="23.1640625" style="8" customWidth="1"/>
    <col min="1524" max="1524" width="6.83203125" style="8" customWidth="1"/>
    <col min="1525" max="1525" width="7" style="8" customWidth="1"/>
    <col min="1526" max="1527" width="11.83203125" style="8" customWidth="1"/>
    <col min="1528" max="1528" width="10.83203125" style="8" bestFit="1" customWidth="1"/>
    <col min="1529" max="1529" width="11.83203125" style="8" customWidth="1"/>
    <col min="1530" max="1530" width="23.1640625" style="8" bestFit="1" customWidth="1"/>
    <col min="1531" max="1531" width="0.1640625" style="8" customWidth="1"/>
    <col min="1532" max="1534" width="2.5" style="8"/>
    <col min="1535" max="1535" width="3.33203125" style="8" bestFit="1" customWidth="1"/>
    <col min="1536" max="1536" width="52.33203125" style="8" customWidth="1"/>
    <col min="1537" max="1537" width="3" style="8" customWidth="1"/>
    <col min="1538" max="1539" width="4.5" style="8" customWidth="1"/>
    <col min="1540" max="1776" width="2.5" style="8"/>
    <col min="1777" max="1777" width="16.83203125" style="8" customWidth="1"/>
    <col min="1778" max="1778" width="10.5" style="8" customWidth="1"/>
    <col min="1779" max="1779" width="23.1640625" style="8" customWidth="1"/>
    <col min="1780" max="1780" width="6.83203125" style="8" customWidth="1"/>
    <col min="1781" max="1781" width="7" style="8" customWidth="1"/>
    <col min="1782" max="1783" width="11.83203125" style="8" customWidth="1"/>
    <col min="1784" max="1784" width="10.83203125" style="8" bestFit="1" customWidth="1"/>
    <col min="1785" max="1785" width="11.83203125" style="8" customWidth="1"/>
    <col min="1786" max="1786" width="23.1640625" style="8" bestFit="1" customWidth="1"/>
    <col min="1787" max="1787" width="0.1640625" style="8" customWidth="1"/>
    <col min="1788" max="1790" width="2.5" style="8"/>
    <col min="1791" max="1791" width="3.33203125" style="8" bestFit="1" customWidth="1"/>
    <col min="1792" max="1792" width="52.33203125" style="8" customWidth="1"/>
    <col min="1793" max="1793" width="3" style="8" customWidth="1"/>
    <col min="1794" max="1795" width="4.5" style="8" customWidth="1"/>
    <col min="1796" max="2032" width="2.5" style="8"/>
    <col min="2033" max="2033" width="16.83203125" style="8" customWidth="1"/>
    <col min="2034" max="2034" width="10.5" style="8" customWidth="1"/>
    <col min="2035" max="2035" width="23.1640625" style="8" customWidth="1"/>
    <col min="2036" max="2036" width="6.83203125" style="8" customWidth="1"/>
    <col min="2037" max="2037" width="7" style="8" customWidth="1"/>
    <col min="2038" max="2039" width="11.83203125" style="8" customWidth="1"/>
    <col min="2040" max="2040" width="10.83203125" style="8" bestFit="1" customWidth="1"/>
    <col min="2041" max="2041" width="11.83203125" style="8" customWidth="1"/>
    <col min="2042" max="2042" width="23.1640625" style="8" bestFit="1" customWidth="1"/>
    <col min="2043" max="2043" width="0.1640625" style="8" customWidth="1"/>
    <col min="2044" max="2046" width="2.5" style="8"/>
    <col min="2047" max="2047" width="3.33203125" style="8" bestFit="1" customWidth="1"/>
    <col min="2048" max="2048" width="52.33203125" style="8" customWidth="1"/>
    <col min="2049" max="2049" width="3" style="8" customWidth="1"/>
    <col min="2050" max="2051" width="4.5" style="8" customWidth="1"/>
    <col min="2052" max="2288" width="2.5" style="8"/>
    <col min="2289" max="2289" width="16.83203125" style="8" customWidth="1"/>
    <col min="2290" max="2290" width="10.5" style="8" customWidth="1"/>
    <col min="2291" max="2291" width="23.1640625" style="8" customWidth="1"/>
    <col min="2292" max="2292" width="6.83203125" style="8" customWidth="1"/>
    <col min="2293" max="2293" width="7" style="8" customWidth="1"/>
    <col min="2294" max="2295" width="11.83203125" style="8" customWidth="1"/>
    <col min="2296" max="2296" width="10.83203125" style="8" bestFit="1" customWidth="1"/>
    <col min="2297" max="2297" width="11.83203125" style="8" customWidth="1"/>
    <col min="2298" max="2298" width="23.1640625" style="8" bestFit="1" customWidth="1"/>
    <col min="2299" max="2299" width="0.1640625" style="8" customWidth="1"/>
    <col min="2300" max="2302" width="2.5" style="8"/>
    <col min="2303" max="2303" width="3.33203125" style="8" bestFit="1" customWidth="1"/>
    <col min="2304" max="2304" width="52.33203125" style="8" customWidth="1"/>
    <col min="2305" max="2305" width="3" style="8" customWidth="1"/>
    <col min="2306" max="2307" width="4.5" style="8" customWidth="1"/>
    <col min="2308" max="2544" width="2.5" style="8"/>
    <col min="2545" max="2545" width="16.83203125" style="8" customWidth="1"/>
    <col min="2546" max="2546" width="10.5" style="8" customWidth="1"/>
    <col min="2547" max="2547" width="23.1640625" style="8" customWidth="1"/>
    <col min="2548" max="2548" width="6.83203125" style="8" customWidth="1"/>
    <col min="2549" max="2549" width="7" style="8" customWidth="1"/>
    <col min="2550" max="2551" width="11.83203125" style="8" customWidth="1"/>
    <col min="2552" max="2552" width="10.83203125" style="8" bestFit="1" customWidth="1"/>
    <col min="2553" max="2553" width="11.83203125" style="8" customWidth="1"/>
    <col min="2554" max="2554" width="23.1640625" style="8" bestFit="1" customWidth="1"/>
    <col min="2555" max="2555" width="0.1640625" style="8" customWidth="1"/>
    <col min="2556" max="2558" width="2.5" style="8"/>
    <col min="2559" max="2559" width="3.33203125" style="8" bestFit="1" customWidth="1"/>
    <col min="2560" max="2560" width="52.33203125" style="8" customWidth="1"/>
    <col min="2561" max="2561" width="3" style="8" customWidth="1"/>
    <col min="2562" max="2563" width="4.5" style="8" customWidth="1"/>
    <col min="2564" max="2800" width="2.5" style="8"/>
    <col min="2801" max="2801" width="16.83203125" style="8" customWidth="1"/>
    <col min="2802" max="2802" width="10.5" style="8" customWidth="1"/>
    <col min="2803" max="2803" width="23.1640625" style="8" customWidth="1"/>
    <col min="2804" max="2804" width="6.83203125" style="8" customWidth="1"/>
    <col min="2805" max="2805" width="7" style="8" customWidth="1"/>
    <col min="2806" max="2807" width="11.83203125" style="8" customWidth="1"/>
    <col min="2808" max="2808" width="10.83203125" style="8" bestFit="1" customWidth="1"/>
    <col min="2809" max="2809" width="11.83203125" style="8" customWidth="1"/>
    <col min="2810" max="2810" width="23.1640625" style="8" bestFit="1" customWidth="1"/>
    <col min="2811" max="2811" width="0.1640625" style="8" customWidth="1"/>
    <col min="2812" max="2814" width="2.5" style="8"/>
    <col min="2815" max="2815" width="3.33203125" style="8" bestFit="1" customWidth="1"/>
    <col min="2816" max="2816" width="52.33203125" style="8" customWidth="1"/>
    <col min="2817" max="2817" width="3" style="8" customWidth="1"/>
    <col min="2818" max="2819" width="4.5" style="8" customWidth="1"/>
    <col min="2820" max="3056" width="2.5" style="8"/>
    <col min="3057" max="3057" width="16.83203125" style="8" customWidth="1"/>
    <col min="3058" max="3058" width="10.5" style="8" customWidth="1"/>
    <col min="3059" max="3059" width="23.1640625" style="8" customWidth="1"/>
    <col min="3060" max="3060" width="6.83203125" style="8" customWidth="1"/>
    <col min="3061" max="3061" width="7" style="8" customWidth="1"/>
    <col min="3062" max="3063" width="11.83203125" style="8" customWidth="1"/>
    <col min="3064" max="3064" width="10.83203125" style="8" bestFit="1" customWidth="1"/>
    <col min="3065" max="3065" width="11.83203125" style="8" customWidth="1"/>
    <col min="3066" max="3066" width="23.1640625" style="8" bestFit="1" customWidth="1"/>
    <col min="3067" max="3067" width="0.1640625" style="8" customWidth="1"/>
    <col min="3068" max="3070" width="2.5" style="8"/>
    <col min="3071" max="3071" width="3.33203125" style="8" bestFit="1" customWidth="1"/>
    <col min="3072" max="3072" width="52.33203125" style="8" customWidth="1"/>
    <col min="3073" max="3073" width="3" style="8" customWidth="1"/>
    <col min="3074" max="3075" width="4.5" style="8" customWidth="1"/>
    <col min="3076" max="3312" width="2.5" style="8"/>
    <col min="3313" max="3313" width="16.83203125" style="8" customWidth="1"/>
    <col min="3314" max="3314" width="10.5" style="8" customWidth="1"/>
    <col min="3315" max="3315" width="23.1640625" style="8" customWidth="1"/>
    <col min="3316" max="3316" width="6.83203125" style="8" customWidth="1"/>
    <col min="3317" max="3317" width="7" style="8" customWidth="1"/>
    <col min="3318" max="3319" width="11.83203125" style="8" customWidth="1"/>
    <col min="3320" max="3320" width="10.83203125" style="8" bestFit="1" customWidth="1"/>
    <col min="3321" max="3321" width="11.83203125" style="8" customWidth="1"/>
    <col min="3322" max="3322" width="23.1640625" style="8" bestFit="1" customWidth="1"/>
    <col min="3323" max="3323" width="0.1640625" style="8" customWidth="1"/>
    <col min="3324" max="3326" width="2.5" style="8"/>
    <col min="3327" max="3327" width="3.33203125" style="8" bestFit="1" customWidth="1"/>
    <col min="3328" max="3328" width="52.33203125" style="8" customWidth="1"/>
    <col min="3329" max="3329" width="3" style="8" customWidth="1"/>
    <col min="3330" max="3331" width="4.5" style="8" customWidth="1"/>
    <col min="3332" max="3568" width="2.5" style="8"/>
    <col min="3569" max="3569" width="16.83203125" style="8" customWidth="1"/>
    <col min="3570" max="3570" width="10.5" style="8" customWidth="1"/>
    <col min="3571" max="3571" width="23.1640625" style="8" customWidth="1"/>
    <col min="3572" max="3572" width="6.83203125" style="8" customWidth="1"/>
    <col min="3573" max="3573" width="7" style="8" customWidth="1"/>
    <col min="3574" max="3575" width="11.83203125" style="8" customWidth="1"/>
    <col min="3576" max="3576" width="10.83203125" style="8" bestFit="1" customWidth="1"/>
    <col min="3577" max="3577" width="11.83203125" style="8" customWidth="1"/>
    <col min="3578" max="3578" width="23.1640625" style="8" bestFit="1" customWidth="1"/>
    <col min="3579" max="3579" width="0.1640625" style="8" customWidth="1"/>
    <col min="3580" max="3582" width="2.5" style="8"/>
    <col min="3583" max="3583" width="3.33203125" style="8" bestFit="1" customWidth="1"/>
    <col min="3584" max="3584" width="52.33203125" style="8" customWidth="1"/>
    <col min="3585" max="3585" width="3" style="8" customWidth="1"/>
    <col min="3586" max="3587" width="4.5" style="8" customWidth="1"/>
    <col min="3588" max="3824" width="2.5" style="8"/>
    <col min="3825" max="3825" width="16.83203125" style="8" customWidth="1"/>
    <col min="3826" max="3826" width="10.5" style="8" customWidth="1"/>
    <col min="3827" max="3827" width="23.1640625" style="8" customWidth="1"/>
    <col min="3828" max="3828" width="6.83203125" style="8" customWidth="1"/>
    <col min="3829" max="3829" width="7" style="8" customWidth="1"/>
    <col min="3830" max="3831" width="11.83203125" style="8" customWidth="1"/>
    <col min="3832" max="3832" width="10.83203125" style="8" bestFit="1" customWidth="1"/>
    <col min="3833" max="3833" width="11.83203125" style="8" customWidth="1"/>
    <col min="3834" max="3834" width="23.1640625" style="8" bestFit="1" customWidth="1"/>
    <col min="3835" max="3835" width="0.1640625" style="8" customWidth="1"/>
    <col min="3836" max="3838" width="2.5" style="8"/>
    <col min="3839" max="3839" width="3.33203125" style="8" bestFit="1" customWidth="1"/>
    <col min="3840" max="3840" width="52.33203125" style="8" customWidth="1"/>
    <col min="3841" max="3841" width="3" style="8" customWidth="1"/>
    <col min="3842" max="3843" width="4.5" style="8" customWidth="1"/>
    <col min="3844" max="4080" width="2.5" style="8"/>
    <col min="4081" max="4081" width="16.83203125" style="8" customWidth="1"/>
    <col min="4082" max="4082" width="10.5" style="8" customWidth="1"/>
    <col min="4083" max="4083" width="23.1640625" style="8" customWidth="1"/>
    <col min="4084" max="4084" width="6.83203125" style="8" customWidth="1"/>
    <col min="4085" max="4085" width="7" style="8" customWidth="1"/>
    <col min="4086" max="4087" width="11.83203125" style="8" customWidth="1"/>
    <col min="4088" max="4088" width="10.83203125" style="8" bestFit="1" customWidth="1"/>
    <col min="4089" max="4089" width="11.83203125" style="8" customWidth="1"/>
    <col min="4090" max="4090" width="23.1640625" style="8" bestFit="1" customWidth="1"/>
    <col min="4091" max="4091" width="0.1640625" style="8" customWidth="1"/>
    <col min="4092" max="4094" width="2.5" style="8"/>
    <col min="4095" max="4095" width="3.33203125" style="8" bestFit="1" customWidth="1"/>
    <col min="4096" max="4096" width="52.33203125" style="8" customWidth="1"/>
    <col min="4097" max="4097" width="3" style="8" customWidth="1"/>
    <col min="4098" max="4099" width="4.5" style="8" customWidth="1"/>
    <col min="4100" max="4336" width="2.5" style="8"/>
    <col min="4337" max="4337" width="16.83203125" style="8" customWidth="1"/>
    <col min="4338" max="4338" width="10.5" style="8" customWidth="1"/>
    <col min="4339" max="4339" width="23.1640625" style="8" customWidth="1"/>
    <col min="4340" max="4340" width="6.83203125" style="8" customWidth="1"/>
    <col min="4341" max="4341" width="7" style="8" customWidth="1"/>
    <col min="4342" max="4343" width="11.83203125" style="8" customWidth="1"/>
    <col min="4344" max="4344" width="10.83203125" style="8" bestFit="1" customWidth="1"/>
    <col min="4345" max="4345" width="11.83203125" style="8" customWidth="1"/>
    <col min="4346" max="4346" width="23.1640625" style="8" bestFit="1" customWidth="1"/>
    <col min="4347" max="4347" width="0.1640625" style="8" customWidth="1"/>
    <col min="4348" max="4350" width="2.5" style="8"/>
    <col min="4351" max="4351" width="3.33203125" style="8" bestFit="1" customWidth="1"/>
    <col min="4352" max="4352" width="52.33203125" style="8" customWidth="1"/>
    <col min="4353" max="4353" width="3" style="8" customWidth="1"/>
    <col min="4354" max="4355" width="4.5" style="8" customWidth="1"/>
    <col min="4356" max="4592" width="2.5" style="8"/>
    <col min="4593" max="4593" width="16.83203125" style="8" customWidth="1"/>
    <col min="4594" max="4594" width="10.5" style="8" customWidth="1"/>
    <col min="4595" max="4595" width="23.1640625" style="8" customWidth="1"/>
    <col min="4596" max="4596" width="6.83203125" style="8" customWidth="1"/>
    <col min="4597" max="4597" width="7" style="8" customWidth="1"/>
    <col min="4598" max="4599" width="11.83203125" style="8" customWidth="1"/>
    <col min="4600" max="4600" width="10.83203125" style="8" bestFit="1" customWidth="1"/>
    <col min="4601" max="4601" width="11.83203125" style="8" customWidth="1"/>
    <col min="4602" max="4602" width="23.1640625" style="8" bestFit="1" customWidth="1"/>
    <col min="4603" max="4603" width="0.1640625" style="8" customWidth="1"/>
    <col min="4604" max="4606" width="2.5" style="8"/>
    <col min="4607" max="4607" width="3.33203125" style="8" bestFit="1" customWidth="1"/>
    <col min="4608" max="4608" width="52.33203125" style="8" customWidth="1"/>
    <col min="4609" max="4609" width="3" style="8" customWidth="1"/>
    <col min="4610" max="4611" width="4.5" style="8" customWidth="1"/>
    <col min="4612" max="4848" width="2.5" style="8"/>
    <col min="4849" max="4849" width="16.83203125" style="8" customWidth="1"/>
    <col min="4850" max="4850" width="10.5" style="8" customWidth="1"/>
    <col min="4851" max="4851" width="23.1640625" style="8" customWidth="1"/>
    <col min="4852" max="4852" width="6.83203125" style="8" customWidth="1"/>
    <col min="4853" max="4853" width="7" style="8" customWidth="1"/>
    <col min="4854" max="4855" width="11.83203125" style="8" customWidth="1"/>
    <col min="4856" max="4856" width="10.83203125" style="8" bestFit="1" customWidth="1"/>
    <col min="4857" max="4857" width="11.83203125" style="8" customWidth="1"/>
    <col min="4858" max="4858" width="23.1640625" style="8" bestFit="1" customWidth="1"/>
    <col min="4859" max="4859" width="0.1640625" style="8" customWidth="1"/>
    <col min="4860" max="4862" width="2.5" style="8"/>
    <col min="4863" max="4863" width="3.33203125" style="8" bestFit="1" customWidth="1"/>
    <col min="4864" max="4864" width="52.33203125" style="8" customWidth="1"/>
    <col min="4865" max="4865" width="3" style="8" customWidth="1"/>
    <col min="4866" max="4867" width="4.5" style="8" customWidth="1"/>
    <col min="4868" max="5104" width="2.5" style="8"/>
    <col min="5105" max="5105" width="16.83203125" style="8" customWidth="1"/>
    <col min="5106" max="5106" width="10.5" style="8" customWidth="1"/>
    <col min="5107" max="5107" width="23.1640625" style="8" customWidth="1"/>
    <col min="5108" max="5108" width="6.83203125" style="8" customWidth="1"/>
    <col min="5109" max="5109" width="7" style="8" customWidth="1"/>
    <col min="5110" max="5111" width="11.83203125" style="8" customWidth="1"/>
    <col min="5112" max="5112" width="10.83203125" style="8" bestFit="1" customWidth="1"/>
    <col min="5113" max="5113" width="11.83203125" style="8" customWidth="1"/>
    <col min="5114" max="5114" width="23.1640625" style="8" bestFit="1" customWidth="1"/>
    <col min="5115" max="5115" width="0.1640625" style="8" customWidth="1"/>
    <col min="5116" max="5118" width="2.5" style="8"/>
    <col min="5119" max="5119" width="3.33203125" style="8" bestFit="1" customWidth="1"/>
    <col min="5120" max="5120" width="52.33203125" style="8" customWidth="1"/>
    <col min="5121" max="5121" width="3" style="8" customWidth="1"/>
    <col min="5122" max="5123" width="4.5" style="8" customWidth="1"/>
    <col min="5124" max="5360" width="2.5" style="8"/>
    <col min="5361" max="5361" width="16.83203125" style="8" customWidth="1"/>
    <col min="5362" max="5362" width="10.5" style="8" customWidth="1"/>
    <col min="5363" max="5363" width="23.1640625" style="8" customWidth="1"/>
    <col min="5364" max="5364" width="6.83203125" style="8" customWidth="1"/>
    <col min="5365" max="5365" width="7" style="8" customWidth="1"/>
    <col min="5366" max="5367" width="11.83203125" style="8" customWidth="1"/>
    <col min="5368" max="5368" width="10.83203125" style="8" bestFit="1" customWidth="1"/>
    <col min="5369" max="5369" width="11.83203125" style="8" customWidth="1"/>
    <col min="5370" max="5370" width="23.1640625" style="8" bestFit="1" customWidth="1"/>
    <col min="5371" max="5371" width="0.1640625" style="8" customWidth="1"/>
    <col min="5372" max="5374" width="2.5" style="8"/>
    <col min="5375" max="5375" width="3.33203125" style="8" bestFit="1" customWidth="1"/>
    <col min="5376" max="5376" width="52.33203125" style="8" customWidth="1"/>
    <col min="5377" max="5377" width="3" style="8" customWidth="1"/>
    <col min="5378" max="5379" width="4.5" style="8" customWidth="1"/>
    <col min="5380" max="5616" width="2.5" style="8"/>
    <col min="5617" max="5617" width="16.83203125" style="8" customWidth="1"/>
    <col min="5618" max="5618" width="10.5" style="8" customWidth="1"/>
    <col min="5619" max="5619" width="23.1640625" style="8" customWidth="1"/>
    <col min="5620" max="5620" width="6.83203125" style="8" customWidth="1"/>
    <col min="5621" max="5621" width="7" style="8" customWidth="1"/>
    <col min="5622" max="5623" width="11.83203125" style="8" customWidth="1"/>
    <col min="5624" max="5624" width="10.83203125" style="8" bestFit="1" customWidth="1"/>
    <col min="5625" max="5625" width="11.83203125" style="8" customWidth="1"/>
    <col min="5626" max="5626" width="23.1640625" style="8" bestFit="1" customWidth="1"/>
    <col min="5627" max="5627" width="0.1640625" style="8" customWidth="1"/>
    <col min="5628" max="5630" width="2.5" style="8"/>
    <col min="5631" max="5631" width="3.33203125" style="8" bestFit="1" customWidth="1"/>
    <col min="5632" max="5632" width="52.33203125" style="8" customWidth="1"/>
    <col min="5633" max="5633" width="3" style="8" customWidth="1"/>
    <col min="5634" max="5635" width="4.5" style="8" customWidth="1"/>
    <col min="5636" max="5872" width="2.5" style="8"/>
    <col min="5873" max="5873" width="16.83203125" style="8" customWidth="1"/>
    <col min="5874" max="5874" width="10.5" style="8" customWidth="1"/>
    <col min="5875" max="5875" width="23.1640625" style="8" customWidth="1"/>
    <col min="5876" max="5876" width="6.83203125" style="8" customWidth="1"/>
    <col min="5877" max="5877" width="7" style="8" customWidth="1"/>
    <col min="5878" max="5879" width="11.83203125" style="8" customWidth="1"/>
    <col min="5880" max="5880" width="10.83203125" style="8" bestFit="1" customWidth="1"/>
    <col min="5881" max="5881" width="11.83203125" style="8" customWidth="1"/>
    <col min="5882" max="5882" width="23.1640625" style="8" bestFit="1" customWidth="1"/>
    <col min="5883" max="5883" width="0.1640625" style="8" customWidth="1"/>
    <col min="5884" max="5886" width="2.5" style="8"/>
    <col min="5887" max="5887" width="3.33203125" style="8" bestFit="1" customWidth="1"/>
    <col min="5888" max="5888" width="52.33203125" style="8" customWidth="1"/>
    <col min="5889" max="5889" width="3" style="8" customWidth="1"/>
    <col min="5890" max="5891" width="4.5" style="8" customWidth="1"/>
    <col min="5892" max="6128" width="2.5" style="8"/>
    <col min="6129" max="6129" width="16.83203125" style="8" customWidth="1"/>
    <col min="6130" max="6130" width="10.5" style="8" customWidth="1"/>
    <col min="6131" max="6131" width="23.1640625" style="8" customWidth="1"/>
    <col min="6132" max="6132" width="6.83203125" style="8" customWidth="1"/>
    <col min="6133" max="6133" width="7" style="8" customWidth="1"/>
    <col min="6134" max="6135" width="11.83203125" style="8" customWidth="1"/>
    <col min="6136" max="6136" width="10.83203125" style="8" bestFit="1" customWidth="1"/>
    <col min="6137" max="6137" width="11.83203125" style="8" customWidth="1"/>
    <col min="6138" max="6138" width="23.1640625" style="8" bestFit="1" customWidth="1"/>
    <col min="6139" max="6139" width="0.1640625" style="8" customWidth="1"/>
    <col min="6140" max="6142" width="2.5" style="8"/>
    <col min="6143" max="6143" width="3.33203125" style="8" bestFit="1" customWidth="1"/>
    <col min="6144" max="6144" width="52.33203125" style="8" customWidth="1"/>
    <col min="6145" max="6145" width="3" style="8" customWidth="1"/>
    <col min="6146" max="6147" width="4.5" style="8" customWidth="1"/>
    <col min="6148" max="6384" width="2.5" style="8"/>
    <col min="6385" max="6385" width="16.83203125" style="8" customWidth="1"/>
    <col min="6386" max="6386" width="10.5" style="8" customWidth="1"/>
    <col min="6387" max="6387" width="23.1640625" style="8" customWidth="1"/>
    <col min="6388" max="6388" width="6.83203125" style="8" customWidth="1"/>
    <col min="6389" max="6389" width="7" style="8" customWidth="1"/>
    <col min="6390" max="6391" width="11.83203125" style="8" customWidth="1"/>
    <col min="6392" max="6392" width="10.83203125" style="8" bestFit="1" customWidth="1"/>
    <col min="6393" max="6393" width="11.83203125" style="8" customWidth="1"/>
    <col min="6394" max="6394" width="23.1640625" style="8" bestFit="1" customWidth="1"/>
    <col min="6395" max="6395" width="0.1640625" style="8" customWidth="1"/>
    <col min="6396" max="6398" width="2.5" style="8"/>
    <col min="6399" max="6399" width="3.33203125" style="8" bestFit="1" customWidth="1"/>
    <col min="6400" max="6400" width="52.33203125" style="8" customWidth="1"/>
    <col min="6401" max="6401" width="3" style="8" customWidth="1"/>
    <col min="6402" max="6403" width="4.5" style="8" customWidth="1"/>
    <col min="6404" max="6640" width="2.5" style="8"/>
    <col min="6641" max="6641" width="16.83203125" style="8" customWidth="1"/>
    <col min="6642" max="6642" width="10.5" style="8" customWidth="1"/>
    <col min="6643" max="6643" width="23.1640625" style="8" customWidth="1"/>
    <col min="6644" max="6644" width="6.83203125" style="8" customWidth="1"/>
    <col min="6645" max="6645" width="7" style="8" customWidth="1"/>
    <col min="6646" max="6647" width="11.83203125" style="8" customWidth="1"/>
    <col min="6648" max="6648" width="10.83203125" style="8" bestFit="1" customWidth="1"/>
    <col min="6649" max="6649" width="11.83203125" style="8" customWidth="1"/>
    <col min="6650" max="6650" width="23.1640625" style="8" bestFit="1" customWidth="1"/>
    <col min="6651" max="6651" width="0.1640625" style="8" customWidth="1"/>
    <col min="6652" max="6654" width="2.5" style="8"/>
    <col min="6655" max="6655" width="3.33203125" style="8" bestFit="1" customWidth="1"/>
    <col min="6656" max="6656" width="52.33203125" style="8" customWidth="1"/>
    <col min="6657" max="6657" width="3" style="8" customWidth="1"/>
    <col min="6658" max="6659" width="4.5" style="8" customWidth="1"/>
    <col min="6660" max="6896" width="2.5" style="8"/>
    <col min="6897" max="6897" width="16.83203125" style="8" customWidth="1"/>
    <col min="6898" max="6898" width="10.5" style="8" customWidth="1"/>
    <col min="6899" max="6899" width="23.1640625" style="8" customWidth="1"/>
    <col min="6900" max="6900" width="6.83203125" style="8" customWidth="1"/>
    <col min="6901" max="6901" width="7" style="8" customWidth="1"/>
    <col min="6902" max="6903" width="11.83203125" style="8" customWidth="1"/>
    <col min="6904" max="6904" width="10.83203125" style="8" bestFit="1" customWidth="1"/>
    <col min="6905" max="6905" width="11.83203125" style="8" customWidth="1"/>
    <col min="6906" max="6906" width="23.1640625" style="8" bestFit="1" customWidth="1"/>
    <col min="6907" max="6907" width="0.1640625" style="8" customWidth="1"/>
    <col min="6908" max="6910" width="2.5" style="8"/>
    <col min="6911" max="6911" width="3.33203125" style="8" bestFit="1" customWidth="1"/>
    <col min="6912" max="6912" width="52.33203125" style="8" customWidth="1"/>
    <col min="6913" max="6913" width="3" style="8" customWidth="1"/>
    <col min="6914" max="6915" width="4.5" style="8" customWidth="1"/>
    <col min="6916" max="7152" width="2.5" style="8"/>
    <col min="7153" max="7153" width="16.83203125" style="8" customWidth="1"/>
    <col min="7154" max="7154" width="10.5" style="8" customWidth="1"/>
    <col min="7155" max="7155" width="23.1640625" style="8" customWidth="1"/>
    <col min="7156" max="7156" width="6.83203125" style="8" customWidth="1"/>
    <col min="7157" max="7157" width="7" style="8" customWidth="1"/>
    <col min="7158" max="7159" width="11.83203125" style="8" customWidth="1"/>
    <col min="7160" max="7160" width="10.83203125" style="8" bestFit="1" customWidth="1"/>
    <col min="7161" max="7161" width="11.83203125" style="8" customWidth="1"/>
    <col min="7162" max="7162" width="23.1640625" style="8" bestFit="1" customWidth="1"/>
    <col min="7163" max="7163" width="0.1640625" style="8" customWidth="1"/>
    <col min="7164" max="7166" width="2.5" style="8"/>
    <col min="7167" max="7167" width="3.33203125" style="8" bestFit="1" customWidth="1"/>
    <col min="7168" max="7168" width="52.33203125" style="8" customWidth="1"/>
    <col min="7169" max="7169" width="3" style="8" customWidth="1"/>
    <col min="7170" max="7171" width="4.5" style="8" customWidth="1"/>
    <col min="7172" max="7408" width="2.5" style="8"/>
    <col min="7409" max="7409" width="16.83203125" style="8" customWidth="1"/>
    <col min="7410" max="7410" width="10.5" style="8" customWidth="1"/>
    <col min="7411" max="7411" width="23.1640625" style="8" customWidth="1"/>
    <col min="7412" max="7412" width="6.83203125" style="8" customWidth="1"/>
    <col min="7413" max="7413" width="7" style="8" customWidth="1"/>
    <col min="7414" max="7415" width="11.83203125" style="8" customWidth="1"/>
    <col min="7416" max="7416" width="10.83203125" style="8" bestFit="1" customWidth="1"/>
    <col min="7417" max="7417" width="11.83203125" style="8" customWidth="1"/>
    <col min="7418" max="7418" width="23.1640625" style="8" bestFit="1" customWidth="1"/>
    <col min="7419" max="7419" width="0.1640625" style="8" customWidth="1"/>
    <col min="7420" max="7422" width="2.5" style="8"/>
    <col min="7423" max="7423" width="3.33203125" style="8" bestFit="1" customWidth="1"/>
    <col min="7424" max="7424" width="52.33203125" style="8" customWidth="1"/>
    <col min="7425" max="7425" width="3" style="8" customWidth="1"/>
    <col min="7426" max="7427" width="4.5" style="8" customWidth="1"/>
    <col min="7428" max="7664" width="2.5" style="8"/>
    <col min="7665" max="7665" width="16.83203125" style="8" customWidth="1"/>
    <col min="7666" max="7666" width="10.5" style="8" customWidth="1"/>
    <col min="7667" max="7667" width="23.1640625" style="8" customWidth="1"/>
    <col min="7668" max="7668" width="6.83203125" style="8" customWidth="1"/>
    <col min="7669" max="7669" width="7" style="8" customWidth="1"/>
    <col min="7670" max="7671" width="11.83203125" style="8" customWidth="1"/>
    <col min="7672" max="7672" width="10.83203125" style="8" bestFit="1" customWidth="1"/>
    <col min="7673" max="7673" width="11.83203125" style="8" customWidth="1"/>
    <col min="7674" max="7674" width="23.1640625" style="8" bestFit="1" customWidth="1"/>
    <col min="7675" max="7675" width="0.1640625" style="8" customWidth="1"/>
    <col min="7676" max="7678" width="2.5" style="8"/>
    <col min="7679" max="7679" width="3.33203125" style="8" bestFit="1" customWidth="1"/>
    <col min="7680" max="7680" width="52.33203125" style="8" customWidth="1"/>
    <col min="7681" max="7681" width="3" style="8" customWidth="1"/>
    <col min="7682" max="7683" width="4.5" style="8" customWidth="1"/>
    <col min="7684" max="7920" width="2.5" style="8"/>
    <col min="7921" max="7921" width="16.83203125" style="8" customWidth="1"/>
    <col min="7922" max="7922" width="10.5" style="8" customWidth="1"/>
    <col min="7923" max="7923" width="23.1640625" style="8" customWidth="1"/>
    <col min="7924" max="7924" width="6.83203125" style="8" customWidth="1"/>
    <col min="7925" max="7925" width="7" style="8" customWidth="1"/>
    <col min="7926" max="7927" width="11.83203125" style="8" customWidth="1"/>
    <col min="7928" max="7928" width="10.83203125" style="8" bestFit="1" customWidth="1"/>
    <col min="7929" max="7929" width="11.83203125" style="8" customWidth="1"/>
    <col min="7930" max="7930" width="23.1640625" style="8" bestFit="1" customWidth="1"/>
    <col min="7931" max="7931" width="0.1640625" style="8" customWidth="1"/>
    <col min="7932" max="7934" width="2.5" style="8"/>
    <col min="7935" max="7935" width="3.33203125" style="8" bestFit="1" customWidth="1"/>
    <col min="7936" max="7936" width="52.33203125" style="8" customWidth="1"/>
    <col min="7937" max="7937" width="3" style="8" customWidth="1"/>
    <col min="7938" max="7939" width="4.5" style="8" customWidth="1"/>
    <col min="7940" max="8176" width="2.5" style="8"/>
    <col min="8177" max="8177" width="16.83203125" style="8" customWidth="1"/>
    <col min="8178" max="8178" width="10.5" style="8" customWidth="1"/>
    <col min="8179" max="8179" width="23.1640625" style="8" customWidth="1"/>
    <col min="8180" max="8180" width="6.83203125" style="8" customWidth="1"/>
    <col min="8181" max="8181" width="7" style="8" customWidth="1"/>
    <col min="8182" max="8183" width="11.83203125" style="8" customWidth="1"/>
    <col min="8184" max="8184" width="10.83203125" style="8" bestFit="1" customWidth="1"/>
    <col min="8185" max="8185" width="11.83203125" style="8" customWidth="1"/>
    <col min="8186" max="8186" width="23.1640625" style="8" bestFit="1" customWidth="1"/>
    <col min="8187" max="8187" width="0.1640625" style="8" customWidth="1"/>
    <col min="8188" max="8190" width="2.5" style="8"/>
    <col min="8191" max="8191" width="3.33203125" style="8" bestFit="1" customWidth="1"/>
    <col min="8192" max="8192" width="52.33203125" style="8" customWidth="1"/>
    <col min="8193" max="8193" width="3" style="8" customWidth="1"/>
    <col min="8194" max="8195" width="4.5" style="8" customWidth="1"/>
    <col min="8196" max="8432" width="2.5" style="8"/>
    <col min="8433" max="8433" width="16.83203125" style="8" customWidth="1"/>
    <col min="8434" max="8434" width="10.5" style="8" customWidth="1"/>
    <col min="8435" max="8435" width="23.1640625" style="8" customWidth="1"/>
    <col min="8436" max="8436" width="6.83203125" style="8" customWidth="1"/>
    <col min="8437" max="8437" width="7" style="8" customWidth="1"/>
    <col min="8438" max="8439" width="11.83203125" style="8" customWidth="1"/>
    <col min="8440" max="8440" width="10.83203125" style="8" bestFit="1" customWidth="1"/>
    <col min="8441" max="8441" width="11.83203125" style="8" customWidth="1"/>
    <col min="8442" max="8442" width="23.1640625" style="8" bestFit="1" customWidth="1"/>
    <col min="8443" max="8443" width="0.1640625" style="8" customWidth="1"/>
    <col min="8444" max="8446" width="2.5" style="8"/>
    <col min="8447" max="8447" width="3.33203125" style="8" bestFit="1" customWidth="1"/>
    <col min="8448" max="8448" width="52.33203125" style="8" customWidth="1"/>
    <col min="8449" max="8449" width="3" style="8" customWidth="1"/>
    <col min="8450" max="8451" width="4.5" style="8" customWidth="1"/>
    <col min="8452" max="8688" width="2.5" style="8"/>
    <col min="8689" max="8689" width="16.83203125" style="8" customWidth="1"/>
    <col min="8690" max="8690" width="10.5" style="8" customWidth="1"/>
    <col min="8691" max="8691" width="23.1640625" style="8" customWidth="1"/>
    <col min="8692" max="8692" width="6.83203125" style="8" customWidth="1"/>
    <col min="8693" max="8693" width="7" style="8" customWidth="1"/>
    <col min="8694" max="8695" width="11.83203125" style="8" customWidth="1"/>
    <col min="8696" max="8696" width="10.83203125" style="8" bestFit="1" customWidth="1"/>
    <col min="8697" max="8697" width="11.83203125" style="8" customWidth="1"/>
    <col min="8698" max="8698" width="23.1640625" style="8" bestFit="1" customWidth="1"/>
    <col min="8699" max="8699" width="0.1640625" style="8" customWidth="1"/>
    <col min="8700" max="8702" width="2.5" style="8"/>
    <col min="8703" max="8703" width="3.33203125" style="8" bestFit="1" customWidth="1"/>
    <col min="8704" max="8704" width="52.33203125" style="8" customWidth="1"/>
    <col min="8705" max="8705" width="3" style="8" customWidth="1"/>
    <col min="8706" max="8707" width="4.5" style="8" customWidth="1"/>
    <col min="8708" max="8944" width="2.5" style="8"/>
    <col min="8945" max="8945" width="16.83203125" style="8" customWidth="1"/>
    <col min="8946" max="8946" width="10.5" style="8" customWidth="1"/>
    <col min="8947" max="8947" width="23.1640625" style="8" customWidth="1"/>
    <col min="8948" max="8948" width="6.83203125" style="8" customWidth="1"/>
    <col min="8949" max="8949" width="7" style="8" customWidth="1"/>
    <col min="8950" max="8951" width="11.83203125" style="8" customWidth="1"/>
    <col min="8952" max="8952" width="10.83203125" style="8" bestFit="1" customWidth="1"/>
    <col min="8953" max="8953" width="11.83203125" style="8" customWidth="1"/>
    <col min="8954" max="8954" width="23.1640625" style="8" bestFit="1" customWidth="1"/>
    <col min="8955" max="8955" width="0.1640625" style="8" customWidth="1"/>
    <col min="8956" max="8958" width="2.5" style="8"/>
    <col min="8959" max="8959" width="3.33203125" style="8" bestFit="1" customWidth="1"/>
    <col min="8960" max="8960" width="52.33203125" style="8" customWidth="1"/>
    <col min="8961" max="8961" width="3" style="8" customWidth="1"/>
    <col min="8962" max="8963" width="4.5" style="8" customWidth="1"/>
    <col min="8964" max="9200" width="2.5" style="8"/>
    <col min="9201" max="9201" width="16.83203125" style="8" customWidth="1"/>
    <col min="9202" max="9202" width="10.5" style="8" customWidth="1"/>
    <col min="9203" max="9203" width="23.1640625" style="8" customWidth="1"/>
    <col min="9204" max="9204" width="6.83203125" style="8" customWidth="1"/>
    <col min="9205" max="9205" width="7" style="8" customWidth="1"/>
    <col min="9206" max="9207" width="11.83203125" style="8" customWidth="1"/>
    <col min="9208" max="9208" width="10.83203125" style="8" bestFit="1" customWidth="1"/>
    <col min="9209" max="9209" width="11.83203125" style="8" customWidth="1"/>
    <col min="9210" max="9210" width="23.1640625" style="8" bestFit="1" customWidth="1"/>
    <col min="9211" max="9211" width="0.1640625" style="8" customWidth="1"/>
    <col min="9212" max="9214" width="2.5" style="8"/>
    <col min="9215" max="9215" width="3.33203125" style="8" bestFit="1" customWidth="1"/>
    <col min="9216" max="9216" width="52.33203125" style="8" customWidth="1"/>
    <col min="9217" max="9217" width="3" style="8" customWidth="1"/>
    <col min="9218" max="9219" width="4.5" style="8" customWidth="1"/>
    <col min="9220" max="9456" width="2.5" style="8"/>
    <col min="9457" max="9457" width="16.83203125" style="8" customWidth="1"/>
    <col min="9458" max="9458" width="10.5" style="8" customWidth="1"/>
    <col min="9459" max="9459" width="23.1640625" style="8" customWidth="1"/>
    <col min="9460" max="9460" width="6.83203125" style="8" customWidth="1"/>
    <col min="9461" max="9461" width="7" style="8" customWidth="1"/>
    <col min="9462" max="9463" width="11.83203125" style="8" customWidth="1"/>
    <col min="9464" max="9464" width="10.83203125" style="8" bestFit="1" customWidth="1"/>
    <col min="9465" max="9465" width="11.83203125" style="8" customWidth="1"/>
    <col min="9466" max="9466" width="23.1640625" style="8" bestFit="1" customWidth="1"/>
    <col min="9467" max="9467" width="0.1640625" style="8" customWidth="1"/>
    <col min="9468" max="9470" width="2.5" style="8"/>
    <col min="9471" max="9471" width="3.33203125" style="8" bestFit="1" customWidth="1"/>
    <col min="9472" max="9472" width="52.33203125" style="8" customWidth="1"/>
    <col min="9473" max="9473" width="3" style="8" customWidth="1"/>
    <col min="9474" max="9475" width="4.5" style="8" customWidth="1"/>
    <col min="9476" max="9712" width="2.5" style="8"/>
    <col min="9713" max="9713" width="16.83203125" style="8" customWidth="1"/>
    <col min="9714" max="9714" width="10.5" style="8" customWidth="1"/>
    <col min="9715" max="9715" width="23.1640625" style="8" customWidth="1"/>
    <col min="9716" max="9716" width="6.83203125" style="8" customWidth="1"/>
    <col min="9717" max="9717" width="7" style="8" customWidth="1"/>
    <col min="9718" max="9719" width="11.83203125" style="8" customWidth="1"/>
    <col min="9720" max="9720" width="10.83203125" style="8" bestFit="1" customWidth="1"/>
    <col min="9721" max="9721" width="11.83203125" style="8" customWidth="1"/>
    <col min="9722" max="9722" width="23.1640625" style="8" bestFit="1" customWidth="1"/>
    <col min="9723" max="9723" width="0.1640625" style="8" customWidth="1"/>
    <col min="9724" max="9726" width="2.5" style="8"/>
    <col min="9727" max="9727" width="3.33203125" style="8" bestFit="1" customWidth="1"/>
    <col min="9728" max="9728" width="52.33203125" style="8" customWidth="1"/>
    <col min="9729" max="9729" width="3" style="8" customWidth="1"/>
    <col min="9730" max="9731" width="4.5" style="8" customWidth="1"/>
    <col min="9732" max="9968" width="2.5" style="8"/>
    <col min="9969" max="9969" width="16.83203125" style="8" customWidth="1"/>
    <col min="9970" max="9970" width="10.5" style="8" customWidth="1"/>
    <col min="9971" max="9971" width="23.1640625" style="8" customWidth="1"/>
    <col min="9972" max="9972" width="6.83203125" style="8" customWidth="1"/>
    <col min="9973" max="9973" width="7" style="8" customWidth="1"/>
    <col min="9974" max="9975" width="11.83203125" style="8" customWidth="1"/>
    <col min="9976" max="9976" width="10.83203125" style="8" bestFit="1" customWidth="1"/>
    <col min="9977" max="9977" width="11.83203125" style="8" customWidth="1"/>
    <col min="9978" max="9978" width="23.1640625" style="8" bestFit="1" customWidth="1"/>
    <col min="9979" max="9979" width="0.1640625" style="8" customWidth="1"/>
    <col min="9980" max="9982" width="2.5" style="8"/>
    <col min="9983" max="9983" width="3.33203125" style="8" bestFit="1" customWidth="1"/>
    <col min="9984" max="9984" width="52.33203125" style="8" customWidth="1"/>
    <col min="9985" max="9985" width="3" style="8" customWidth="1"/>
    <col min="9986" max="9987" width="4.5" style="8" customWidth="1"/>
    <col min="9988" max="10224" width="2.5" style="8"/>
    <col min="10225" max="10225" width="16.83203125" style="8" customWidth="1"/>
    <col min="10226" max="10226" width="10.5" style="8" customWidth="1"/>
    <col min="10227" max="10227" width="23.1640625" style="8" customWidth="1"/>
    <col min="10228" max="10228" width="6.83203125" style="8" customWidth="1"/>
    <col min="10229" max="10229" width="7" style="8" customWidth="1"/>
    <col min="10230" max="10231" width="11.83203125" style="8" customWidth="1"/>
    <col min="10232" max="10232" width="10.83203125" style="8" bestFit="1" customWidth="1"/>
    <col min="10233" max="10233" width="11.83203125" style="8" customWidth="1"/>
    <col min="10234" max="10234" width="23.1640625" style="8" bestFit="1" customWidth="1"/>
    <col min="10235" max="10235" width="0.1640625" style="8" customWidth="1"/>
    <col min="10236" max="10238" width="2.5" style="8"/>
    <col min="10239" max="10239" width="3.33203125" style="8" bestFit="1" customWidth="1"/>
    <col min="10240" max="10240" width="52.33203125" style="8" customWidth="1"/>
    <col min="10241" max="10241" width="3" style="8" customWidth="1"/>
    <col min="10242" max="10243" width="4.5" style="8" customWidth="1"/>
    <col min="10244" max="10480" width="2.5" style="8"/>
    <col min="10481" max="10481" width="16.83203125" style="8" customWidth="1"/>
    <col min="10482" max="10482" width="10.5" style="8" customWidth="1"/>
    <col min="10483" max="10483" width="23.1640625" style="8" customWidth="1"/>
    <col min="10484" max="10484" width="6.83203125" style="8" customWidth="1"/>
    <col min="10485" max="10485" width="7" style="8" customWidth="1"/>
    <col min="10486" max="10487" width="11.83203125" style="8" customWidth="1"/>
    <col min="10488" max="10488" width="10.83203125" style="8" bestFit="1" customWidth="1"/>
    <col min="10489" max="10489" width="11.83203125" style="8" customWidth="1"/>
    <col min="10490" max="10490" width="23.1640625" style="8" bestFit="1" customWidth="1"/>
    <col min="10491" max="10491" width="0.1640625" style="8" customWidth="1"/>
    <col min="10492" max="10494" width="2.5" style="8"/>
    <col min="10495" max="10495" width="3.33203125" style="8" bestFit="1" customWidth="1"/>
    <col min="10496" max="10496" width="52.33203125" style="8" customWidth="1"/>
    <col min="10497" max="10497" width="3" style="8" customWidth="1"/>
    <col min="10498" max="10499" width="4.5" style="8" customWidth="1"/>
    <col min="10500" max="10736" width="2.5" style="8"/>
    <col min="10737" max="10737" width="16.83203125" style="8" customWidth="1"/>
    <col min="10738" max="10738" width="10.5" style="8" customWidth="1"/>
    <col min="10739" max="10739" width="23.1640625" style="8" customWidth="1"/>
    <col min="10740" max="10740" width="6.83203125" style="8" customWidth="1"/>
    <col min="10741" max="10741" width="7" style="8" customWidth="1"/>
    <col min="10742" max="10743" width="11.83203125" style="8" customWidth="1"/>
    <col min="10744" max="10744" width="10.83203125" style="8" bestFit="1" customWidth="1"/>
    <col min="10745" max="10745" width="11.83203125" style="8" customWidth="1"/>
    <col min="10746" max="10746" width="23.1640625" style="8" bestFit="1" customWidth="1"/>
    <col min="10747" max="10747" width="0.1640625" style="8" customWidth="1"/>
    <col min="10748" max="10750" width="2.5" style="8"/>
    <col min="10751" max="10751" width="3.33203125" style="8" bestFit="1" customWidth="1"/>
    <col min="10752" max="10752" width="52.33203125" style="8" customWidth="1"/>
    <col min="10753" max="10753" width="3" style="8" customWidth="1"/>
    <col min="10754" max="10755" width="4.5" style="8" customWidth="1"/>
    <col min="10756" max="10992" width="2.5" style="8"/>
    <col min="10993" max="10993" width="16.83203125" style="8" customWidth="1"/>
    <col min="10994" max="10994" width="10.5" style="8" customWidth="1"/>
    <col min="10995" max="10995" width="23.1640625" style="8" customWidth="1"/>
    <col min="10996" max="10996" width="6.83203125" style="8" customWidth="1"/>
    <col min="10997" max="10997" width="7" style="8" customWidth="1"/>
    <col min="10998" max="10999" width="11.83203125" style="8" customWidth="1"/>
    <col min="11000" max="11000" width="10.83203125" style="8" bestFit="1" customWidth="1"/>
    <col min="11001" max="11001" width="11.83203125" style="8" customWidth="1"/>
    <col min="11002" max="11002" width="23.1640625" style="8" bestFit="1" customWidth="1"/>
    <col min="11003" max="11003" width="0.1640625" style="8" customWidth="1"/>
    <col min="11004" max="11006" width="2.5" style="8"/>
    <col min="11007" max="11007" width="3.33203125" style="8" bestFit="1" customWidth="1"/>
    <col min="11008" max="11008" width="52.33203125" style="8" customWidth="1"/>
    <col min="11009" max="11009" width="3" style="8" customWidth="1"/>
    <col min="11010" max="11011" width="4.5" style="8" customWidth="1"/>
    <col min="11012" max="11248" width="2.5" style="8"/>
    <col min="11249" max="11249" width="16.83203125" style="8" customWidth="1"/>
    <col min="11250" max="11250" width="10.5" style="8" customWidth="1"/>
    <col min="11251" max="11251" width="23.1640625" style="8" customWidth="1"/>
    <col min="11252" max="11252" width="6.83203125" style="8" customWidth="1"/>
    <col min="11253" max="11253" width="7" style="8" customWidth="1"/>
    <col min="11254" max="11255" width="11.83203125" style="8" customWidth="1"/>
    <col min="11256" max="11256" width="10.83203125" style="8" bestFit="1" customWidth="1"/>
    <col min="11257" max="11257" width="11.83203125" style="8" customWidth="1"/>
    <col min="11258" max="11258" width="23.1640625" style="8" bestFit="1" customWidth="1"/>
    <col min="11259" max="11259" width="0.1640625" style="8" customWidth="1"/>
    <col min="11260" max="11262" width="2.5" style="8"/>
    <col min="11263" max="11263" width="3.33203125" style="8" bestFit="1" customWidth="1"/>
    <col min="11264" max="11264" width="52.33203125" style="8" customWidth="1"/>
    <col min="11265" max="11265" width="3" style="8" customWidth="1"/>
    <col min="11266" max="11267" width="4.5" style="8" customWidth="1"/>
    <col min="11268" max="11504" width="2.5" style="8"/>
    <col min="11505" max="11505" width="16.83203125" style="8" customWidth="1"/>
    <col min="11506" max="11506" width="10.5" style="8" customWidth="1"/>
    <col min="11507" max="11507" width="23.1640625" style="8" customWidth="1"/>
    <col min="11508" max="11508" width="6.83203125" style="8" customWidth="1"/>
    <col min="11509" max="11509" width="7" style="8" customWidth="1"/>
    <col min="11510" max="11511" width="11.83203125" style="8" customWidth="1"/>
    <col min="11512" max="11512" width="10.83203125" style="8" bestFit="1" customWidth="1"/>
    <col min="11513" max="11513" width="11.83203125" style="8" customWidth="1"/>
    <col min="11514" max="11514" width="23.1640625" style="8" bestFit="1" customWidth="1"/>
    <col min="11515" max="11515" width="0.1640625" style="8" customWidth="1"/>
    <col min="11516" max="11518" width="2.5" style="8"/>
    <col min="11519" max="11519" width="3.33203125" style="8" bestFit="1" customWidth="1"/>
    <col min="11520" max="11520" width="52.33203125" style="8" customWidth="1"/>
    <col min="11521" max="11521" width="3" style="8" customWidth="1"/>
    <col min="11522" max="11523" width="4.5" style="8" customWidth="1"/>
    <col min="11524" max="11760" width="2.5" style="8"/>
    <col min="11761" max="11761" width="16.83203125" style="8" customWidth="1"/>
    <col min="11762" max="11762" width="10.5" style="8" customWidth="1"/>
    <col min="11763" max="11763" width="23.1640625" style="8" customWidth="1"/>
    <col min="11764" max="11764" width="6.83203125" style="8" customWidth="1"/>
    <col min="11765" max="11765" width="7" style="8" customWidth="1"/>
    <col min="11766" max="11767" width="11.83203125" style="8" customWidth="1"/>
    <col min="11768" max="11768" width="10.83203125" style="8" bestFit="1" customWidth="1"/>
    <col min="11769" max="11769" width="11.83203125" style="8" customWidth="1"/>
    <col min="11770" max="11770" width="23.1640625" style="8" bestFit="1" customWidth="1"/>
    <col min="11771" max="11771" width="0.1640625" style="8" customWidth="1"/>
    <col min="11772" max="11774" width="2.5" style="8"/>
    <col min="11775" max="11775" width="3.33203125" style="8" bestFit="1" customWidth="1"/>
    <col min="11776" max="11776" width="52.33203125" style="8" customWidth="1"/>
    <col min="11777" max="11777" width="3" style="8" customWidth="1"/>
    <col min="11778" max="11779" width="4.5" style="8" customWidth="1"/>
    <col min="11780" max="12016" width="2.5" style="8"/>
    <col min="12017" max="12017" width="16.83203125" style="8" customWidth="1"/>
    <col min="12018" max="12018" width="10.5" style="8" customWidth="1"/>
    <col min="12019" max="12019" width="23.1640625" style="8" customWidth="1"/>
    <col min="12020" max="12020" width="6.83203125" style="8" customWidth="1"/>
    <col min="12021" max="12021" width="7" style="8" customWidth="1"/>
    <col min="12022" max="12023" width="11.83203125" style="8" customWidth="1"/>
    <col min="12024" max="12024" width="10.83203125" style="8" bestFit="1" customWidth="1"/>
    <col min="12025" max="12025" width="11.83203125" style="8" customWidth="1"/>
    <col min="12026" max="12026" width="23.1640625" style="8" bestFit="1" customWidth="1"/>
    <col min="12027" max="12027" width="0.1640625" style="8" customWidth="1"/>
    <col min="12028" max="12030" width="2.5" style="8"/>
    <col min="12031" max="12031" width="3.33203125" style="8" bestFit="1" customWidth="1"/>
    <col min="12032" max="12032" width="52.33203125" style="8" customWidth="1"/>
    <col min="12033" max="12033" width="3" style="8" customWidth="1"/>
    <col min="12034" max="12035" width="4.5" style="8" customWidth="1"/>
    <col min="12036" max="12272" width="2.5" style="8"/>
    <col min="12273" max="12273" width="16.83203125" style="8" customWidth="1"/>
    <col min="12274" max="12274" width="10.5" style="8" customWidth="1"/>
    <col min="12275" max="12275" width="23.1640625" style="8" customWidth="1"/>
    <col min="12276" max="12276" width="6.83203125" style="8" customWidth="1"/>
    <col min="12277" max="12277" width="7" style="8" customWidth="1"/>
    <col min="12278" max="12279" width="11.83203125" style="8" customWidth="1"/>
    <col min="12280" max="12280" width="10.83203125" style="8" bestFit="1" customWidth="1"/>
    <col min="12281" max="12281" width="11.83203125" style="8" customWidth="1"/>
    <col min="12282" max="12282" width="23.1640625" style="8" bestFit="1" customWidth="1"/>
    <col min="12283" max="12283" width="0.1640625" style="8" customWidth="1"/>
    <col min="12284" max="12286" width="2.5" style="8"/>
    <col min="12287" max="12287" width="3.33203125" style="8" bestFit="1" customWidth="1"/>
    <col min="12288" max="12288" width="52.33203125" style="8" customWidth="1"/>
    <col min="12289" max="12289" width="3" style="8" customWidth="1"/>
    <col min="12290" max="12291" width="4.5" style="8" customWidth="1"/>
    <col min="12292" max="12528" width="2.5" style="8"/>
    <col min="12529" max="12529" width="16.83203125" style="8" customWidth="1"/>
    <col min="12530" max="12530" width="10.5" style="8" customWidth="1"/>
    <col min="12531" max="12531" width="23.1640625" style="8" customWidth="1"/>
    <col min="12532" max="12532" width="6.83203125" style="8" customWidth="1"/>
    <col min="12533" max="12533" width="7" style="8" customWidth="1"/>
    <col min="12534" max="12535" width="11.83203125" style="8" customWidth="1"/>
    <col min="12536" max="12536" width="10.83203125" style="8" bestFit="1" customWidth="1"/>
    <col min="12537" max="12537" width="11.83203125" style="8" customWidth="1"/>
    <col min="12538" max="12538" width="23.1640625" style="8" bestFit="1" customWidth="1"/>
    <col min="12539" max="12539" width="0.1640625" style="8" customWidth="1"/>
    <col min="12540" max="12542" width="2.5" style="8"/>
    <col min="12543" max="12543" width="3.33203125" style="8" bestFit="1" customWidth="1"/>
    <col min="12544" max="12544" width="52.33203125" style="8" customWidth="1"/>
    <col min="12545" max="12545" width="3" style="8" customWidth="1"/>
    <col min="12546" max="12547" width="4.5" style="8" customWidth="1"/>
    <col min="12548" max="12784" width="2.5" style="8"/>
    <col min="12785" max="12785" width="16.83203125" style="8" customWidth="1"/>
    <col min="12786" max="12786" width="10.5" style="8" customWidth="1"/>
    <col min="12787" max="12787" width="23.1640625" style="8" customWidth="1"/>
    <col min="12788" max="12788" width="6.83203125" style="8" customWidth="1"/>
    <col min="12789" max="12789" width="7" style="8" customWidth="1"/>
    <col min="12790" max="12791" width="11.83203125" style="8" customWidth="1"/>
    <col min="12792" max="12792" width="10.83203125" style="8" bestFit="1" customWidth="1"/>
    <col min="12793" max="12793" width="11.83203125" style="8" customWidth="1"/>
    <col min="12794" max="12794" width="23.1640625" style="8" bestFit="1" customWidth="1"/>
    <col min="12795" max="12795" width="0.1640625" style="8" customWidth="1"/>
    <col min="12796" max="12798" width="2.5" style="8"/>
    <col min="12799" max="12799" width="3.33203125" style="8" bestFit="1" customWidth="1"/>
    <col min="12800" max="12800" width="52.33203125" style="8" customWidth="1"/>
    <col min="12801" max="12801" width="3" style="8" customWidth="1"/>
    <col min="12802" max="12803" width="4.5" style="8" customWidth="1"/>
    <col min="12804" max="13040" width="2.5" style="8"/>
    <col min="13041" max="13041" width="16.83203125" style="8" customWidth="1"/>
    <col min="13042" max="13042" width="10.5" style="8" customWidth="1"/>
    <col min="13043" max="13043" width="23.1640625" style="8" customWidth="1"/>
    <col min="13044" max="13044" width="6.83203125" style="8" customWidth="1"/>
    <col min="13045" max="13045" width="7" style="8" customWidth="1"/>
    <col min="13046" max="13047" width="11.83203125" style="8" customWidth="1"/>
    <col min="13048" max="13048" width="10.83203125" style="8" bestFit="1" customWidth="1"/>
    <col min="13049" max="13049" width="11.83203125" style="8" customWidth="1"/>
    <col min="13050" max="13050" width="23.1640625" style="8" bestFit="1" customWidth="1"/>
    <col min="13051" max="13051" width="0.1640625" style="8" customWidth="1"/>
    <col min="13052" max="13054" width="2.5" style="8"/>
    <col min="13055" max="13055" width="3.33203125" style="8" bestFit="1" customWidth="1"/>
    <col min="13056" max="13056" width="52.33203125" style="8" customWidth="1"/>
    <col min="13057" max="13057" width="3" style="8" customWidth="1"/>
    <col min="13058" max="13059" width="4.5" style="8" customWidth="1"/>
    <col min="13060" max="13296" width="2.5" style="8"/>
    <col min="13297" max="13297" width="16.83203125" style="8" customWidth="1"/>
    <col min="13298" max="13298" width="10.5" style="8" customWidth="1"/>
    <col min="13299" max="13299" width="23.1640625" style="8" customWidth="1"/>
    <col min="13300" max="13300" width="6.83203125" style="8" customWidth="1"/>
    <col min="13301" max="13301" width="7" style="8" customWidth="1"/>
    <col min="13302" max="13303" width="11.83203125" style="8" customWidth="1"/>
    <col min="13304" max="13304" width="10.83203125" style="8" bestFit="1" customWidth="1"/>
    <col min="13305" max="13305" width="11.83203125" style="8" customWidth="1"/>
    <col min="13306" max="13306" width="23.1640625" style="8" bestFit="1" customWidth="1"/>
    <col min="13307" max="13307" width="0.1640625" style="8" customWidth="1"/>
    <col min="13308" max="13310" width="2.5" style="8"/>
    <col min="13311" max="13311" width="3.33203125" style="8" bestFit="1" customWidth="1"/>
    <col min="13312" max="13312" width="52.33203125" style="8" customWidth="1"/>
    <col min="13313" max="13313" width="3" style="8" customWidth="1"/>
    <col min="13314" max="13315" width="4.5" style="8" customWidth="1"/>
    <col min="13316" max="13552" width="2.5" style="8"/>
    <col min="13553" max="13553" width="16.83203125" style="8" customWidth="1"/>
    <col min="13554" max="13554" width="10.5" style="8" customWidth="1"/>
    <col min="13555" max="13555" width="23.1640625" style="8" customWidth="1"/>
    <col min="13556" max="13556" width="6.83203125" style="8" customWidth="1"/>
    <col min="13557" max="13557" width="7" style="8" customWidth="1"/>
    <col min="13558" max="13559" width="11.83203125" style="8" customWidth="1"/>
    <col min="13560" max="13560" width="10.83203125" style="8" bestFit="1" customWidth="1"/>
    <col min="13561" max="13561" width="11.83203125" style="8" customWidth="1"/>
    <col min="13562" max="13562" width="23.1640625" style="8" bestFit="1" customWidth="1"/>
    <col min="13563" max="13563" width="0.1640625" style="8" customWidth="1"/>
    <col min="13564" max="13566" width="2.5" style="8"/>
    <col min="13567" max="13567" width="3.33203125" style="8" bestFit="1" customWidth="1"/>
    <col min="13568" max="13568" width="52.33203125" style="8" customWidth="1"/>
    <col min="13569" max="13569" width="3" style="8" customWidth="1"/>
    <col min="13570" max="13571" width="4.5" style="8" customWidth="1"/>
    <col min="13572" max="13808" width="2.5" style="8"/>
    <col min="13809" max="13809" width="16.83203125" style="8" customWidth="1"/>
    <col min="13810" max="13810" width="10.5" style="8" customWidth="1"/>
    <col min="13811" max="13811" width="23.1640625" style="8" customWidth="1"/>
    <col min="13812" max="13812" width="6.83203125" style="8" customWidth="1"/>
    <col min="13813" max="13813" width="7" style="8" customWidth="1"/>
    <col min="13814" max="13815" width="11.83203125" style="8" customWidth="1"/>
    <col min="13816" max="13816" width="10.83203125" style="8" bestFit="1" customWidth="1"/>
    <col min="13817" max="13817" width="11.83203125" style="8" customWidth="1"/>
    <col min="13818" max="13818" width="23.1640625" style="8" bestFit="1" customWidth="1"/>
    <col min="13819" max="13819" width="0.1640625" style="8" customWidth="1"/>
    <col min="13820" max="13822" width="2.5" style="8"/>
    <col min="13823" max="13823" width="3.33203125" style="8" bestFit="1" customWidth="1"/>
    <col min="13824" max="13824" width="52.33203125" style="8" customWidth="1"/>
    <col min="13825" max="13825" width="3" style="8" customWidth="1"/>
    <col min="13826" max="13827" width="4.5" style="8" customWidth="1"/>
    <col min="13828" max="14064" width="2.5" style="8"/>
    <col min="14065" max="14065" width="16.83203125" style="8" customWidth="1"/>
    <col min="14066" max="14066" width="10.5" style="8" customWidth="1"/>
    <col min="14067" max="14067" width="23.1640625" style="8" customWidth="1"/>
    <col min="14068" max="14068" width="6.83203125" style="8" customWidth="1"/>
    <col min="14069" max="14069" width="7" style="8" customWidth="1"/>
    <col min="14070" max="14071" width="11.83203125" style="8" customWidth="1"/>
    <col min="14072" max="14072" width="10.83203125" style="8" bestFit="1" customWidth="1"/>
    <col min="14073" max="14073" width="11.83203125" style="8" customWidth="1"/>
    <col min="14074" max="14074" width="23.1640625" style="8" bestFit="1" customWidth="1"/>
    <col min="14075" max="14075" width="0.1640625" style="8" customWidth="1"/>
    <col min="14076" max="14078" width="2.5" style="8"/>
    <col min="14079" max="14079" width="3.33203125" style="8" bestFit="1" customWidth="1"/>
    <col min="14080" max="14080" width="52.33203125" style="8" customWidth="1"/>
    <col min="14081" max="14081" width="3" style="8" customWidth="1"/>
    <col min="14082" max="14083" width="4.5" style="8" customWidth="1"/>
    <col min="14084" max="14320" width="2.5" style="8"/>
    <col min="14321" max="14321" width="16.83203125" style="8" customWidth="1"/>
    <col min="14322" max="14322" width="10.5" style="8" customWidth="1"/>
    <col min="14323" max="14323" width="23.1640625" style="8" customWidth="1"/>
    <col min="14324" max="14324" width="6.83203125" style="8" customWidth="1"/>
    <col min="14325" max="14325" width="7" style="8" customWidth="1"/>
    <col min="14326" max="14327" width="11.83203125" style="8" customWidth="1"/>
    <col min="14328" max="14328" width="10.83203125" style="8" bestFit="1" customWidth="1"/>
    <col min="14329" max="14329" width="11.83203125" style="8" customWidth="1"/>
    <col min="14330" max="14330" width="23.1640625" style="8" bestFit="1" customWidth="1"/>
    <col min="14331" max="14331" width="0.1640625" style="8" customWidth="1"/>
    <col min="14332" max="14334" width="2.5" style="8"/>
    <col min="14335" max="14335" width="3.33203125" style="8" bestFit="1" customWidth="1"/>
    <col min="14336" max="14336" width="52.33203125" style="8" customWidth="1"/>
    <col min="14337" max="14337" width="3" style="8" customWidth="1"/>
    <col min="14338" max="14339" width="4.5" style="8" customWidth="1"/>
    <col min="14340" max="14576" width="2.5" style="8"/>
    <col min="14577" max="14577" width="16.83203125" style="8" customWidth="1"/>
    <col min="14578" max="14578" width="10.5" style="8" customWidth="1"/>
    <col min="14579" max="14579" width="23.1640625" style="8" customWidth="1"/>
    <col min="14580" max="14580" width="6.83203125" style="8" customWidth="1"/>
    <col min="14581" max="14581" width="7" style="8" customWidth="1"/>
    <col min="14582" max="14583" width="11.83203125" style="8" customWidth="1"/>
    <col min="14584" max="14584" width="10.83203125" style="8" bestFit="1" customWidth="1"/>
    <col min="14585" max="14585" width="11.83203125" style="8" customWidth="1"/>
    <col min="14586" max="14586" width="23.1640625" style="8" bestFit="1" customWidth="1"/>
    <col min="14587" max="14587" width="0.1640625" style="8" customWidth="1"/>
    <col min="14588" max="14590" width="2.5" style="8"/>
    <col min="14591" max="14591" width="3.33203125" style="8" bestFit="1" customWidth="1"/>
    <col min="14592" max="14592" width="52.33203125" style="8" customWidth="1"/>
    <col min="14593" max="14593" width="3" style="8" customWidth="1"/>
    <col min="14594" max="14595" width="4.5" style="8" customWidth="1"/>
    <col min="14596" max="14832" width="2.5" style="8"/>
    <col min="14833" max="14833" width="16.83203125" style="8" customWidth="1"/>
    <col min="14834" max="14834" width="10.5" style="8" customWidth="1"/>
    <col min="14835" max="14835" width="23.1640625" style="8" customWidth="1"/>
    <col min="14836" max="14836" width="6.83203125" style="8" customWidth="1"/>
    <col min="14837" max="14837" width="7" style="8" customWidth="1"/>
    <col min="14838" max="14839" width="11.83203125" style="8" customWidth="1"/>
    <col min="14840" max="14840" width="10.83203125" style="8" bestFit="1" customWidth="1"/>
    <col min="14841" max="14841" width="11.83203125" style="8" customWidth="1"/>
    <col min="14842" max="14842" width="23.1640625" style="8" bestFit="1" customWidth="1"/>
    <col min="14843" max="14843" width="0.1640625" style="8" customWidth="1"/>
    <col min="14844" max="14846" width="2.5" style="8"/>
    <col min="14847" max="14847" width="3.33203125" style="8" bestFit="1" customWidth="1"/>
    <col min="14848" max="14848" width="52.33203125" style="8" customWidth="1"/>
    <col min="14849" max="14849" width="3" style="8" customWidth="1"/>
    <col min="14850" max="14851" width="4.5" style="8" customWidth="1"/>
    <col min="14852" max="15088" width="2.5" style="8"/>
    <col min="15089" max="15089" width="16.83203125" style="8" customWidth="1"/>
    <col min="15090" max="15090" width="10.5" style="8" customWidth="1"/>
    <col min="15091" max="15091" width="23.1640625" style="8" customWidth="1"/>
    <col min="15092" max="15092" width="6.83203125" style="8" customWidth="1"/>
    <col min="15093" max="15093" width="7" style="8" customWidth="1"/>
    <col min="15094" max="15095" width="11.83203125" style="8" customWidth="1"/>
    <col min="15096" max="15096" width="10.83203125" style="8" bestFit="1" customWidth="1"/>
    <col min="15097" max="15097" width="11.83203125" style="8" customWidth="1"/>
    <col min="15098" max="15098" width="23.1640625" style="8" bestFit="1" customWidth="1"/>
    <col min="15099" max="15099" width="0.1640625" style="8" customWidth="1"/>
    <col min="15100" max="15102" width="2.5" style="8"/>
    <col min="15103" max="15103" width="3.33203125" style="8" bestFit="1" customWidth="1"/>
    <col min="15104" max="15104" width="52.33203125" style="8" customWidth="1"/>
    <col min="15105" max="15105" width="3" style="8" customWidth="1"/>
    <col min="15106" max="15107" width="4.5" style="8" customWidth="1"/>
    <col min="15108" max="15344" width="2.5" style="8"/>
    <col min="15345" max="15345" width="16.83203125" style="8" customWidth="1"/>
    <col min="15346" max="15346" width="10.5" style="8" customWidth="1"/>
    <col min="15347" max="15347" width="23.1640625" style="8" customWidth="1"/>
    <col min="15348" max="15348" width="6.83203125" style="8" customWidth="1"/>
    <col min="15349" max="15349" width="7" style="8" customWidth="1"/>
    <col min="15350" max="15351" width="11.83203125" style="8" customWidth="1"/>
    <col min="15352" max="15352" width="10.83203125" style="8" bestFit="1" customWidth="1"/>
    <col min="15353" max="15353" width="11.83203125" style="8" customWidth="1"/>
    <col min="15354" max="15354" width="23.1640625" style="8" bestFit="1" customWidth="1"/>
    <col min="15355" max="15355" width="0.1640625" style="8" customWidth="1"/>
    <col min="15356" max="15358" width="2.5" style="8"/>
    <col min="15359" max="15359" width="3.33203125" style="8" bestFit="1" customWidth="1"/>
    <col min="15360" max="15360" width="52.33203125" style="8" customWidth="1"/>
    <col min="15361" max="15361" width="3" style="8" customWidth="1"/>
    <col min="15362" max="15363" width="4.5" style="8" customWidth="1"/>
    <col min="15364" max="15600" width="2.5" style="8"/>
    <col min="15601" max="15601" width="16.83203125" style="8" customWidth="1"/>
    <col min="15602" max="15602" width="10.5" style="8" customWidth="1"/>
    <col min="15603" max="15603" width="23.1640625" style="8" customWidth="1"/>
    <col min="15604" max="15604" width="6.83203125" style="8" customWidth="1"/>
    <col min="15605" max="15605" width="7" style="8" customWidth="1"/>
    <col min="15606" max="15607" width="11.83203125" style="8" customWidth="1"/>
    <col min="15608" max="15608" width="10.83203125" style="8" bestFit="1" customWidth="1"/>
    <col min="15609" max="15609" width="11.83203125" style="8" customWidth="1"/>
    <col min="15610" max="15610" width="23.1640625" style="8" bestFit="1" customWidth="1"/>
    <col min="15611" max="15611" width="0.1640625" style="8" customWidth="1"/>
    <col min="15612" max="15614" width="2.5" style="8"/>
    <col min="15615" max="15615" width="3.33203125" style="8" bestFit="1" customWidth="1"/>
    <col min="15616" max="15616" width="52.33203125" style="8" customWidth="1"/>
    <col min="15617" max="15617" width="3" style="8" customWidth="1"/>
    <col min="15618" max="15619" width="4.5" style="8" customWidth="1"/>
    <col min="15620" max="15856" width="2.5" style="8"/>
    <col min="15857" max="15857" width="16.83203125" style="8" customWidth="1"/>
    <col min="15858" max="15858" width="10.5" style="8" customWidth="1"/>
    <col min="15859" max="15859" width="23.1640625" style="8" customWidth="1"/>
    <col min="15860" max="15860" width="6.83203125" style="8" customWidth="1"/>
    <col min="15861" max="15861" width="7" style="8" customWidth="1"/>
    <col min="15862" max="15863" width="11.83203125" style="8" customWidth="1"/>
    <col min="15864" max="15864" width="10.83203125" style="8" bestFit="1" customWidth="1"/>
    <col min="15865" max="15865" width="11.83203125" style="8" customWidth="1"/>
    <col min="15866" max="15866" width="23.1640625" style="8" bestFit="1" customWidth="1"/>
    <col min="15867" max="15867" width="0.1640625" style="8" customWidth="1"/>
    <col min="15868" max="15870" width="2.5" style="8"/>
    <col min="15871" max="15871" width="3.33203125" style="8" bestFit="1" customWidth="1"/>
    <col min="15872" max="15872" width="52.33203125" style="8" customWidth="1"/>
    <col min="15873" max="15873" width="3" style="8" customWidth="1"/>
    <col min="15874" max="15875" width="4.5" style="8" customWidth="1"/>
    <col min="15876" max="16112" width="2.5" style="8"/>
    <col min="16113" max="16113" width="16.83203125" style="8" customWidth="1"/>
    <col min="16114" max="16114" width="10.5" style="8" customWidth="1"/>
    <col min="16115" max="16115" width="23.1640625" style="8" customWidth="1"/>
    <col min="16116" max="16116" width="6.83203125" style="8" customWidth="1"/>
    <col min="16117" max="16117" width="7" style="8" customWidth="1"/>
    <col min="16118" max="16119" width="11.83203125" style="8" customWidth="1"/>
    <col min="16120" max="16120" width="10.83203125" style="8" bestFit="1" customWidth="1"/>
    <col min="16121" max="16121" width="11.83203125" style="8" customWidth="1"/>
    <col min="16122" max="16122" width="23.1640625" style="8" bestFit="1" customWidth="1"/>
    <col min="16123" max="16123" width="0.1640625" style="8" customWidth="1"/>
    <col min="16124" max="16126" width="2.5" style="8"/>
    <col min="16127" max="16127" width="3.33203125" style="8" bestFit="1" customWidth="1"/>
    <col min="16128" max="16128" width="52.33203125" style="8" customWidth="1"/>
    <col min="16129" max="16129" width="3" style="8" customWidth="1"/>
    <col min="16130" max="16131" width="4.5" style="8" customWidth="1"/>
    <col min="16132" max="16384" width="2.5" style="8"/>
  </cols>
  <sheetData>
    <row r="1" spans="1:48" s="7" customFormat="1" ht="17.25" customHeight="1">
      <c r="A1" s="1" t="s">
        <v>0</v>
      </c>
      <c r="B1" s="2"/>
      <c r="C1" s="3"/>
      <c r="D1" s="3"/>
      <c r="E1" s="3"/>
      <c r="F1" s="3"/>
      <c r="G1" s="4"/>
      <c r="H1" s="5"/>
      <c r="I1" s="6"/>
      <c r="J1" s="6"/>
      <c r="AA1" s="179"/>
      <c r="AB1" s="180" t="s">
        <v>114</v>
      </c>
      <c r="AC1" s="182"/>
      <c r="AD1" s="121" t="s">
        <v>115</v>
      </c>
      <c r="AE1" s="178"/>
      <c r="AF1" s="122" t="s">
        <v>115</v>
      </c>
      <c r="AG1" s="178"/>
      <c r="AH1" s="123" t="s">
        <v>115</v>
      </c>
      <c r="AI1" s="178"/>
      <c r="AJ1" s="124" t="s">
        <v>115</v>
      </c>
      <c r="AK1" s="178"/>
      <c r="AL1" s="125" t="s">
        <v>115</v>
      </c>
      <c r="AM1" s="178"/>
      <c r="AN1" s="126" t="s">
        <v>115</v>
      </c>
      <c r="AO1" s="178"/>
      <c r="AP1" s="127" t="s">
        <v>115</v>
      </c>
      <c r="AQ1" s="178"/>
      <c r="AR1" s="128" t="s">
        <v>115</v>
      </c>
      <c r="AS1" s="178"/>
      <c r="AT1" s="129" t="s">
        <v>115</v>
      </c>
      <c r="AU1" s="178"/>
      <c r="AV1" s="130" t="s">
        <v>115</v>
      </c>
    </row>
    <row r="2" spans="1:48" ht="16.5" customHeight="1">
      <c r="A2" s="1" t="s">
        <v>1</v>
      </c>
      <c r="B2" s="2" t="s">
        <v>2</v>
      </c>
      <c r="C2" s="3"/>
      <c r="D2" s="3"/>
      <c r="E2" s="3"/>
      <c r="F2" s="3"/>
      <c r="G2" s="4"/>
      <c r="H2" s="5"/>
      <c r="K2" s="6"/>
      <c r="AA2" s="179"/>
      <c r="AB2" s="181"/>
      <c r="AC2" s="182"/>
      <c r="AD2" s="121" t="s">
        <v>116</v>
      </c>
      <c r="AE2" s="178"/>
      <c r="AF2" s="122" t="s">
        <v>117</v>
      </c>
      <c r="AG2" s="178"/>
      <c r="AH2" s="123" t="s">
        <v>118</v>
      </c>
      <c r="AI2" s="178"/>
      <c r="AJ2" s="124" t="s">
        <v>119</v>
      </c>
      <c r="AK2" s="178"/>
      <c r="AL2" s="125" t="s">
        <v>120</v>
      </c>
      <c r="AM2" s="178"/>
      <c r="AN2" s="126" t="s">
        <v>121</v>
      </c>
      <c r="AO2" s="178"/>
      <c r="AP2" s="127" t="s">
        <v>122</v>
      </c>
      <c r="AQ2" s="178"/>
      <c r="AR2" s="128" t="s">
        <v>123</v>
      </c>
      <c r="AS2" s="178"/>
      <c r="AT2" s="129" t="s">
        <v>124</v>
      </c>
      <c r="AU2" s="178"/>
      <c r="AV2" s="130" t="s">
        <v>125</v>
      </c>
    </row>
    <row r="3" spans="1:48" ht="10.5" customHeight="1" thickBot="1">
      <c r="A3" s="9"/>
      <c r="D3" s="5"/>
      <c r="E3" s="5"/>
      <c r="F3" s="5"/>
      <c r="G3" s="5"/>
      <c r="H3" s="5"/>
      <c r="K3" s="6"/>
      <c r="AA3" s="131"/>
      <c r="AB3" s="132">
        <f>AVERAGE(AD3,AF3,AH3,AJ3,AL3,AN3,AP3,AR3,AT3,AV3)</f>
        <v>0</v>
      </c>
      <c r="AC3" s="133"/>
      <c r="AD3" s="134">
        <f>AD17+AD32+AD44+AD52+AD62+AD126+AD130</f>
        <v>0</v>
      </c>
      <c r="AE3" s="133"/>
      <c r="AF3" s="135">
        <f>AF17+AF32+AF44+AF52+AF62+AF126+AF130</f>
        <v>0</v>
      </c>
      <c r="AG3" s="133"/>
      <c r="AH3" s="136">
        <f>AH17+AH32+AH44+AH52+AH62+AH126+AH130</f>
        <v>0</v>
      </c>
      <c r="AI3" s="133"/>
      <c r="AJ3" s="137">
        <f>AJ17+AJ32+AJ44+AJ52+AJ62+AJ126+AJ130</f>
        <v>0</v>
      </c>
      <c r="AK3" s="133"/>
      <c r="AL3" s="138">
        <f>AL17+AL32+AL44+AL52+AL62+AL126+AL130</f>
        <v>0</v>
      </c>
      <c r="AM3" s="133"/>
      <c r="AN3" s="139">
        <f>AN17+AN32+AN44+AN52+AN62+AN126+AN130</f>
        <v>0</v>
      </c>
      <c r="AO3" s="133"/>
      <c r="AP3" s="140">
        <f>AP17+AP32+AP44+AP52+AP62+AP126+AP130</f>
        <v>0</v>
      </c>
      <c r="AQ3" s="133"/>
      <c r="AR3" s="141">
        <f>AR17+AR32+AR44+AR52+AR62+AR126+AR130</f>
        <v>0</v>
      </c>
      <c r="AS3" s="142"/>
      <c r="AT3" s="143">
        <f>AT17+AT32+AT44+AT52+AT62+AT126+AT130</f>
        <v>0</v>
      </c>
      <c r="AU3" s="142"/>
      <c r="AV3" s="144">
        <f>AV17+AV32+AV44+AV52+AV62+AV126+AV130</f>
        <v>0</v>
      </c>
    </row>
    <row r="4" spans="1:48" ht="22.25" customHeight="1">
      <c r="A4" s="185" t="s">
        <v>3</v>
      </c>
      <c r="B4" s="186"/>
      <c r="C4" s="186"/>
      <c r="D4" s="186"/>
      <c r="E4" s="187"/>
      <c r="F4" s="187"/>
      <c r="G4" s="187"/>
      <c r="H4" s="5"/>
      <c r="K4" s="6"/>
      <c r="AA4" s="131"/>
      <c r="AB4" s="145"/>
      <c r="AC4" s="146" t="s">
        <v>126</v>
      </c>
      <c r="AD4" s="147"/>
      <c r="AE4" s="146" t="s">
        <v>126</v>
      </c>
      <c r="AF4" s="147"/>
      <c r="AG4" s="146" t="s">
        <v>126</v>
      </c>
      <c r="AH4" s="147"/>
      <c r="AI4" s="146" t="s">
        <v>126</v>
      </c>
      <c r="AJ4" s="147"/>
      <c r="AK4" s="146" t="s">
        <v>126</v>
      </c>
      <c r="AL4" s="147"/>
      <c r="AM4" s="146" t="s">
        <v>126</v>
      </c>
      <c r="AN4" s="147"/>
      <c r="AO4" s="146" t="s">
        <v>126</v>
      </c>
      <c r="AP4" s="147"/>
      <c r="AQ4" s="146" t="s">
        <v>126</v>
      </c>
      <c r="AR4" s="147"/>
      <c r="AS4" s="146" t="s">
        <v>126</v>
      </c>
      <c r="AT4" s="147"/>
      <c r="AU4" s="146" t="s">
        <v>126</v>
      </c>
      <c r="AV4" s="147"/>
    </row>
    <row r="5" spans="1:48" ht="10.5" customHeight="1">
      <c r="A5" s="188" t="s">
        <v>4</v>
      </c>
      <c r="B5" s="186"/>
      <c r="C5" s="186"/>
      <c r="D5" s="186"/>
      <c r="E5" s="187"/>
      <c r="F5" s="187"/>
      <c r="G5" s="187"/>
      <c r="H5" s="5"/>
      <c r="K5" s="6"/>
      <c r="AA5" s="131"/>
      <c r="AB5" s="148"/>
      <c r="AC5" s="149" t="s">
        <v>127</v>
      </c>
      <c r="AD5" s="149" t="s">
        <v>128</v>
      </c>
      <c r="AE5" s="149" t="s">
        <v>127</v>
      </c>
      <c r="AF5" s="149" t="s">
        <v>129</v>
      </c>
      <c r="AG5" s="149" t="s">
        <v>127</v>
      </c>
      <c r="AH5" s="149" t="s">
        <v>128</v>
      </c>
      <c r="AI5" s="149" t="s">
        <v>127</v>
      </c>
      <c r="AJ5" s="149" t="s">
        <v>129</v>
      </c>
      <c r="AK5" s="149" t="s">
        <v>127</v>
      </c>
      <c r="AL5" s="149" t="s">
        <v>129</v>
      </c>
      <c r="AM5" s="149" t="s">
        <v>127</v>
      </c>
      <c r="AN5" s="149" t="s">
        <v>128</v>
      </c>
      <c r="AO5" s="149" t="s">
        <v>127</v>
      </c>
      <c r="AP5" s="149" t="s">
        <v>129</v>
      </c>
      <c r="AQ5" s="149" t="s">
        <v>127</v>
      </c>
      <c r="AR5" s="149" t="s">
        <v>129</v>
      </c>
      <c r="AS5" s="149" t="s">
        <v>127</v>
      </c>
      <c r="AT5" s="149" t="s">
        <v>129</v>
      </c>
      <c r="AU5" s="149" t="s">
        <v>127</v>
      </c>
      <c r="AV5" s="149" t="s">
        <v>129</v>
      </c>
    </row>
    <row r="6" spans="1:48" ht="10.5" customHeight="1">
      <c r="A6" s="188" t="s">
        <v>5</v>
      </c>
      <c r="B6" s="186"/>
      <c r="C6" s="186"/>
      <c r="D6" s="186"/>
      <c r="E6" s="187"/>
      <c r="F6" s="187"/>
      <c r="G6" s="187"/>
      <c r="H6" s="5"/>
      <c r="K6" s="6"/>
      <c r="AA6" s="131"/>
      <c r="AB6" s="148"/>
      <c r="AC6" s="149" t="s">
        <v>130</v>
      </c>
      <c r="AD6" s="149" t="s">
        <v>130</v>
      </c>
      <c r="AE6" s="149" t="s">
        <v>131</v>
      </c>
      <c r="AF6" s="149" t="s">
        <v>131</v>
      </c>
      <c r="AG6" s="149" t="s">
        <v>132</v>
      </c>
      <c r="AH6" s="149" t="s">
        <v>132</v>
      </c>
      <c r="AI6" s="149" t="s">
        <v>133</v>
      </c>
      <c r="AJ6" s="149" t="s">
        <v>133</v>
      </c>
      <c r="AK6" s="149" t="s">
        <v>134</v>
      </c>
      <c r="AL6" s="149" t="s">
        <v>134</v>
      </c>
      <c r="AM6" s="149" t="s">
        <v>135</v>
      </c>
      <c r="AN6" s="149" t="s">
        <v>135</v>
      </c>
      <c r="AO6" s="149" t="s">
        <v>136</v>
      </c>
      <c r="AP6" s="149" t="s">
        <v>136</v>
      </c>
      <c r="AQ6" s="149" t="s">
        <v>137</v>
      </c>
      <c r="AR6" s="149" t="s">
        <v>137</v>
      </c>
      <c r="AS6" s="149" t="s">
        <v>137</v>
      </c>
      <c r="AT6" s="149" t="s">
        <v>137</v>
      </c>
      <c r="AU6" s="149" t="s">
        <v>137</v>
      </c>
      <c r="AV6" s="149" t="s">
        <v>137</v>
      </c>
    </row>
    <row r="7" spans="1:48" ht="10.5" customHeight="1">
      <c r="A7" s="188" t="s">
        <v>6</v>
      </c>
      <c r="B7" s="186"/>
      <c r="C7" s="186"/>
      <c r="D7" s="186"/>
      <c r="E7" s="187"/>
      <c r="F7" s="187"/>
      <c r="G7" s="187"/>
      <c r="H7" s="5"/>
      <c r="K7" s="6"/>
      <c r="AA7" s="131"/>
      <c r="AB7" s="145"/>
      <c r="AC7" s="142"/>
      <c r="AD7" s="142"/>
      <c r="AE7" s="142"/>
      <c r="AF7" s="142"/>
      <c r="AG7" s="142"/>
      <c r="AH7" s="142"/>
      <c r="AI7" s="142"/>
      <c r="AJ7" s="142"/>
      <c r="AK7" s="142"/>
      <c r="AL7" s="142"/>
      <c r="AM7" s="142"/>
      <c r="AN7" s="142"/>
      <c r="AO7" s="142"/>
      <c r="AP7" s="142"/>
      <c r="AQ7" s="142"/>
      <c r="AR7" s="142"/>
      <c r="AS7" s="142"/>
      <c r="AT7" s="142"/>
      <c r="AU7" s="142"/>
      <c r="AV7" s="142"/>
    </row>
    <row r="8" spans="1:48" ht="10.5" customHeight="1" thickBot="1">
      <c r="A8" s="9"/>
      <c r="B8" s="5"/>
      <c r="C8" s="5"/>
      <c r="D8" s="5"/>
      <c r="E8" s="5"/>
      <c r="F8" s="5"/>
      <c r="G8" s="5"/>
      <c r="H8" s="5"/>
      <c r="K8" s="6"/>
      <c r="AA8" s="131"/>
      <c r="AB8" s="145"/>
      <c r="AC8" s="142"/>
      <c r="AD8" s="142"/>
      <c r="AE8" s="142"/>
      <c r="AF8" s="142"/>
      <c r="AG8" s="142"/>
      <c r="AH8" s="142"/>
      <c r="AI8" s="142"/>
      <c r="AJ8" s="142"/>
      <c r="AK8" s="142"/>
      <c r="AL8" s="142"/>
      <c r="AM8" s="142"/>
      <c r="AN8" s="142"/>
      <c r="AO8" s="142"/>
      <c r="AP8" s="142"/>
      <c r="AQ8" s="142"/>
      <c r="AR8" s="142"/>
      <c r="AS8" s="142"/>
      <c r="AT8" s="142"/>
      <c r="AU8" s="142"/>
      <c r="AV8" s="142"/>
    </row>
    <row r="9" spans="1:48" ht="15" customHeight="1">
      <c r="A9" s="10" t="s">
        <v>7</v>
      </c>
      <c r="B9" s="11" t="s">
        <v>8</v>
      </c>
      <c r="C9" s="12"/>
      <c r="D9" s="207"/>
      <c r="E9" s="208"/>
      <c r="F9" s="208"/>
      <c r="G9" s="208"/>
      <c r="H9" s="208"/>
      <c r="I9" s="208"/>
      <c r="J9" s="209"/>
      <c r="K9" s="110"/>
      <c r="AA9" s="131"/>
      <c r="AB9" s="145"/>
      <c r="AC9" s="142"/>
      <c r="AD9" s="142"/>
      <c r="AE9" s="142"/>
      <c r="AF9" s="142"/>
      <c r="AG9" s="142"/>
      <c r="AH9" s="142"/>
      <c r="AI9" s="142"/>
      <c r="AJ9" s="142"/>
      <c r="AK9" s="142"/>
      <c r="AL9" s="142"/>
      <c r="AM9" s="142"/>
      <c r="AN9" s="142"/>
      <c r="AO9" s="142"/>
      <c r="AP9" s="142"/>
      <c r="AQ9" s="142"/>
      <c r="AR9" s="142"/>
      <c r="AS9" s="142"/>
      <c r="AT9" s="142"/>
      <c r="AU9" s="142"/>
      <c r="AV9" s="142"/>
    </row>
    <row r="10" spans="1:48" ht="15" customHeight="1">
      <c r="A10" s="13"/>
      <c r="B10" s="14" t="s">
        <v>9</v>
      </c>
      <c r="C10" s="15"/>
      <c r="D10" s="191"/>
      <c r="E10" s="192"/>
      <c r="F10" s="192"/>
      <c r="G10" s="192"/>
      <c r="H10" s="192"/>
      <c r="I10" s="192"/>
      <c r="J10" s="193"/>
      <c r="K10" s="92"/>
      <c r="AA10" s="131"/>
      <c r="AB10" s="145"/>
      <c r="AC10" s="142"/>
      <c r="AD10" s="142"/>
      <c r="AE10" s="142"/>
      <c r="AF10" s="142"/>
      <c r="AG10" s="142"/>
      <c r="AH10" s="142"/>
      <c r="AI10" s="142"/>
      <c r="AJ10" s="142"/>
      <c r="AK10" s="142"/>
      <c r="AL10" s="142"/>
      <c r="AM10" s="142"/>
      <c r="AN10" s="142"/>
      <c r="AO10" s="142"/>
      <c r="AP10" s="142"/>
      <c r="AQ10" s="142"/>
      <c r="AR10" s="142"/>
      <c r="AS10" s="142"/>
      <c r="AT10" s="142"/>
      <c r="AU10" s="142"/>
      <c r="AV10" s="142"/>
    </row>
    <row r="11" spans="1:48" ht="15" customHeight="1">
      <c r="A11" s="13"/>
      <c r="B11" s="14" t="s">
        <v>10</v>
      </c>
      <c r="C11" s="16"/>
      <c r="D11" s="191"/>
      <c r="E11" s="192"/>
      <c r="F11" s="192"/>
      <c r="G11" s="192"/>
      <c r="H11" s="192"/>
      <c r="I11" s="192"/>
      <c r="J11" s="193"/>
      <c r="K11" s="93"/>
      <c r="AA11" s="131"/>
      <c r="AB11" s="145"/>
      <c r="AC11" s="142"/>
      <c r="AD11" s="142"/>
      <c r="AE11" s="142"/>
      <c r="AF11" s="142"/>
      <c r="AG11" s="142"/>
      <c r="AH11" s="142"/>
      <c r="AI11" s="142"/>
      <c r="AJ11" s="142"/>
      <c r="AK11" s="142"/>
      <c r="AL11" s="142"/>
      <c r="AM11" s="142"/>
      <c r="AN11" s="142"/>
      <c r="AO11" s="142"/>
      <c r="AP11" s="142"/>
      <c r="AQ11" s="142"/>
      <c r="AR11" s="142"/>
      <c r="AS11" s="142"/>
      <c r="AT11" s="142"/>
      <c r="AU11" s="142"/>
      <c r="AV11" s="142"/>
    </row>
    <row r="12" spans="1:48" ht="15" customHeight="1">
      <c r="A12" s="13"/>
      <c r="B12" s="14" t="s">
        <v>11</v>
      </c>
      <c r="C12" s="15"/>
      <c r="D12" s="191"/>
      <c r="E12" s="192"/>
      <c r="F12" s="192"/>
      <c r="G12" s="192"/>
      <c r="H12" s="192"/>
      <c r="I12" s="192"/>
      <c r="J12" s="193"/>
      <c r="K12" s="92"/>
      <c r="AA12" s="131"/>
      <c r="AB12" s="145"/>
      <c r="AC12" s="142"/>
      <c r="AD12" s="142"/>
      <c r="AE12" s="142"/>
      <c r="AF12" s="142"/>
      <c r="AG12" s="142"/>
      <c r="AH12" s="142"/>
      <c r="AI12" s="142"/>
      <c r="AJ12" s="142"/>
      <c r="AK12" s="142"/>
      <c r="AL12" s="142"/>
      <c r="AM12" s="142"/>
      <c r="AN12" s="142"/>
      <c r="AO12" s="142"/>
      <c r="AP12" s="142"/>
      <c r="AQ12" s="142"/>
      <c r="AR12" s="142"/>
      <c r="AS12" s="142"/>
      <c r="AT12" s="142"/>
      <c r="AU12" s="142"/>
      <c r="AV12" s="142"/>
    </row>
    <row r="13" spans="1:48" ht="15" customHeight="1">
      <c r="A13" s="13"/>
      <c r="B13" s="14" t="s">
        <v>12</v>
      </c>
      <c r="C13" s="16"/>
      <c r="D13" s="191"/>
      <c r="E13" s="192"/>
      <c r="F13" s="192"/>
      <c r="G13" s="192"/>
      <c r="H13" s="192"/>
      <c r="I13" s="192"/>
      <c r="J13" s="193"/>
      <c r="K13" s="93"/>
      <c r="AA13" s="131"/>
      <c r="AB13" s="145"/>
      <c r="AC13" s="142"/>
      <c r="AD13" s="142"/>
      <c r="AE13" s="142"/>
      <c r="AF13" s="142"/>
      <c r="AG13" s="142"/>
      <c r="AH13" s="142"/>
      <c r="AI13" s="142"/>
      <c r="AJ13" s="142"/>
      <c r="AK13" s="142"/>
      <c r="AL13" s="142"/>
      <c r="AM13" s="142"/>
      <c r="AN13" s="142"/>
      <c r="AO13" s="142"/>
      <c r="AP13" s="142"/>
      <c r="AQ13" s="142"/>
      <c r="AR13" s="142"/>
      <c r="AS13" s="142"/>
      <c r="AT13" s="142"/>
      <c r="AU13" s="142"/>
      <c r="AV13" s="142"/>
    </row>
    <row r="14" spans="1:48" ht="15" customHeight="1">
      <c r="A14" s="13"/>
      <c r="B14" s="14" t="s">
        <v>13</v>
      </c>
      <c r="C14" s="16"/>
      <c r="D14" s="191"/>
      <c r="E14" s="192"/>
      <c r="F14" s="192"/>
      <c r="G14" s="192"/>
      <c r="H14" s="192"/>
      <c r="I14" s="192"/>
      <c r="J14" s="193"/>
      <c r="K14" s="93"/>
      <c r="AA14" s="131"/>
      <c r="AB14" s="145"/>
      <c r="AC14" s="142"/>
      <c r="AD14" s="142"/>
      <c r="AE14" s="142"/>
      <c r="AF14" s="142"/>
      <c r="AG14" s="142"/>
      <c r="AH14" s="142"/>
      <c r="AI14" s="142"/>
      <c r="AJ14" s="142"/>
      <c r="AK14" s="142"/>
      <c r="AL14" s="142"/>
      <c r="AM14" s="142"/>
      <c r="AN14" s="142"/>
      <c r="AO14" s="142"/>
      <c r="AP14" s="142"/>
      <c r="AQ14" s="142"/>
      <c r="AR14" s="142"/>
      <c r="AS14" s="142"/>
      <c r="AT14" s="142"/>
      <c r="AU14" s="142"/>
      <c r="AV14" s="142"/>
    </row>
    <row r="15" spans="1:48" ht="15" customHeight="1">
      <c r="A15" s="17"/>
      <c r="B15" s="18"/>
      <c r="C15" s="19"/>
      <c r="D15" s="191"/>
      <c r="E15" s="192"/>
      <c r="F15" s="192"/>
      <c r="G15" s="192"/>
      <c r="H15" s="192"/>
      <c r="I15" s="192"/>
      <c r="J15" s="193"/>
      <c r="K15" s="93"/>
      <c r="AA15" s="131"/>
      <c r="AB15" s="145"/>
      <c r="AC15" s="142"/>
      <c r="AD15" s="142"/>
      <c r="AE15" s="142"/>
      <c r="AF15" s="142"/>
      <c r="AG15" s="142"/>
      <c r="AH15" s="142"/>
      <c r="AI15" s="142"/>
      <c r="AJ15" s="142"/>
      <c r="AK15" s="142"/>
      <c r="AL15" s="142"/>
      <c r="AM15" s="142"/>
      <c r="AN15" s="142"/>
      <c r="AO15" s="142"/>
      <c r="AP15" s="142"/>
      <c r="AQ15" s="142"/>
      <c r="AR15" s="142"/>
      <c r="AS15" s="142"/>
      <c r="AT15" s="142"/>
      <c r="AU15" s="142"/>
      <c r="AV15" s="142"/>
    </row>
    <row r="16" spans="1:48" ht="15" customHeight="1">
      <c r="A16" s="189" t="s">
        <v>14</v>
      </c>
      <c r="B16" s="196" t="s">
        <v>15</v>
      </c>
      <c r="C16" s="197"/>
      <c r="D16" s="197"/>
      <c r="E16" s="197"/>
      <c r="F16" s="197"/>
      <c r="G16" s="197"/>
      <c r="H16" s="197"/>
      <c r="I16" s="197"/>
      <c r="J16" s="198"/>
      <c r="K16" s="73"/>
      <c r="AA16" s="131"/>
      <c r="AB16" s="145"/>
      <c r="AC16" s="142"/>
      <c r="AD16" s="142"/>
      <c r="AE16" s="142"/>
      <c r="AF16" s="142"/>
      <c r="AG16" s="142"/>
      <c r="AH16" s="142"/>
      <c r="AI16" s="142"/>
      <c r="AJ16" s="142"/>
      <c r="AK16" s="142"/>
      <c r="AL16" s="142"/>
      <c r="AM16" s="142"/>
      <c r="AN16" s="142"/>
      <c r="AO16" s="142"/>
      <c r="AP16" s="142"/>
      <c r="AQ16" s="142"/>
      <c r="AR16" s="142"/>
      <c r="AS16" s="142"/>
      <c r="AT16" s="142"/>
      <c r="AU16" s="142"/>
      <c r="AV16" s="142"/>
    </row>
    <row r="17" spans="1:48" ht="15" customHeight="1">
      <c r="A17" s="194"/>
      <c r="B17" s="199"/>
      <c r="C17" s="200"/>
      <c r="D17" s="200"/>
      <c r="E17" s="200"/>
      <c r="F17" s="200"/>
      <c r="G17" s="200"/>
      <c r="H17" s="200"/>
      <c r="I17" s="200"/>
      <c r="J17" s="201"/>
      <c r="K17" s="94"/>
      <c r="AA17" s="131"/>
      <c r="AB17" s="145"/>
      <c r="AC17" s="142"/>
      <c r="AD17" s="142"/>
      <c r="AE17" s="142"/>
      <c r="AF17" s="142"/>
      <c r="AG17" s="142"/>
      <c r="AH17" s="142"/>
      <c r="AI17" s="142"/>
      <c r="AJ17" s="142"/>
      <c r="AK17" s="142"/>
      <c r="AL17" s="142"/>
      <c r="AM17" s="142"/>
      <c r="AN17" s="142"/>
      <c r="AO17" s="142"/>
      <c r="AP17" s="142"/>
      <c r="AQ17" s="142"/>
      <c r="AR17" s="142"/>
      <c r="AS17" s="142"/>
      <c r="AT17" s="142"/>
      <c r="AU17" s="142"/>
      <c r="AV17" s="142"/>
    </row>
    <row r="18" spans="1:48" ht="15" customHeight="1">
      <c r="A18" s="194"/>
      <c r="B18" s="202" t="s">
        <v>16</v>
      </c>
      <c r="C18" s="184"/>
      <c r="D18" s="184"/>
      <c r="E18" s="184"/>
      <c r="F18" s="184"/>
      <c r="G18" s="184"/>
      <c r="H18" s="184"/>
      <c r="I18" s="184"/>
      <c r="J18" s="203"/>
      <c r="K18" s="74"/>
      <c r="AA18" s="131"/>
      <c r="AB18" s="145"/>
      <c r="AC18" s="142"/>
      <c r="AD18" s="142"/>
      <c r="AE18" s="142"/>
      <c r="AF18" s="142"/>
      <c r="AG18" s="142"/>
      <c r="AH18" s="142"/>
      <c r="AI18" s="142"/>
      <c r="AJ18" s="142"/>
      <c r="AK18" s="142"/>
      <c r="AL18" s="142"/>
      <c r="AM18" s="142"/>
      <c r="AN18" s="142"/>
      <c r="AO18" s="142"/>
      <c r="AP18" s="142"/>
      <c r="AQ18" s="142"/>
      <c r="AR18" s="142"/>
      <c r="AS18" s="142"/>
      <c r="AT18" s="142"/>
      <c r="AU18" s="142"/>
      <c r="AV18" s="142"/>
    </row>
    <row r="19" spans="1:48" ht="15" customHeight="1">
      <c r="A19" s="195"/>
      <c r="B19" s="204"/>
      <c r="C19" s="205"/>
      <c r="D19" s="205"/>
      <c r="E19" s="205"/>
      <c r="F19" s="205"/>
      <c r="G19" s="205"/>
      <c r="H19" s="205"/>
      <c r="I19" s="205"/>
      <c r="J19" s="206"/>
      <c r="K19" s="95"/>
      <c r="AA19" s="131"/>
      <c r="AB19" s="145"/>
      <c r="AC19" s="142"/>
      <c r="AD19" s="142"/>
      <c r="AE19" s="142"/>
      <c r="AF19" s="142"/>
      <c r="AG19" s="142"/>
      <c r="AH19" s="142"/>
      <c r="AI19" s="142"/>
      <c r="AJ19" s="142"/>
      <c r="AK19" s="142"/>
      <c r="AL19" s="142"/>
      <c r="AM19" s="142"/>
      <c r="AN19" s="142"/>
      <c r="AO19" s="142"/>
      <c r="AP19" s="142"/>
      <c r="AQ19" s="142"/>
      <c r="AR19" s="142"/>
      <c r="AS19" s="142"/>
      <c r="AT19" s="142"/>
      <c r="AU19" s="142"/>
      <c r="AV19" s="142"/>
    </row>
    <row r="20" spans="1:48" ht="15" customHeight="1">
      <c r="A20" s="260" t="s">
        <v>17</v>
      </c>
      <c r="B20" s="196" t="s">
        <v>18</v>
      </c>
      <c r="C20" s="197"/>
      <c r="D20" s="197"/>
      <c r="E20" s="197"/>
      <c r="F20" s="197"/>
      <c r="G20" s="197"/>
      <c r="H20" s="197"/>
      <c r="I20" s="197"/>
      <c r="J20" s="198"/>
      <c r="K20" s="73"/>
      <c r="AA20" s="131"/>
      <c r="AB20" s="145"/>
      <c r="AC20" s="142"/>
      <c r="AD20" s="142"/>
      <c r="AE20" s="142"/>
      <c r="AF20" s="142"/>
      <c r="AG20" s="142"/>
      <c r="AH20" s="142"/>
      <c r="AI20" s="142"/>
      <c r="AJ20" s="142"/>
      <c r="AK20" s="142"/>
      <c r="AL20" s="142"/>
      <c r="AM20" s="142"/>
      <c r="AN20" s="142"/>
      <c r="AO20" s="142"/>
      <c r="AP20" s="142"/>
      <c r="AQ20" s="142"/>
      <c r="AR20" s="142"/>
      <c r="AS20" s="142"/>
      <c r="AT20" s="142"/>
      <c r="AU20" s="142"/>
      <c r="AV20" s="142"/>
    </row>
    <row r="21" spans="1:48" ht="15" customHeight="1">
      <c r="A21" s="261"/>
      <c r="B21" s="199" t="s">
        <v>19</v>
      </c>
      <c r="C21" s="200"/>
      <c r="D21" s="200"/>
      <c r="E21" s="200"/>
      <c r="F21" s="200"/>
      <c r="G21" s="200"/>
      <c r="H21" s="200"/>
      <c r="I21" s="200"/>
      <c r="J21" s="201"/>
      <c r="K21" s="94"/>
      <c r="AA21" s="131"/>
      <c r="AB21" s="145"/>
      <c r="AC21" s="142"/>
      <c r="AD21" s="142"/>
      <c r="AE21" s="142"/>
      <c r="AF21" s="142"/>
      <c r="AG21" s="142"/>
      <c r="AH21" s="142"/>
      <c r="AI21" s="142"/>
      <c r="AJ21" s="142"/>
      <c r="AK21" s="142"/>
      <c r="AL21" s="142"/>
      <c r="AM21" s="142"/>
      <c r="AN21" s="142"/>
      <c r="AO21" s="142"/>
      <c r="AP21" s="142"/>
      <c r="AQ21" s="142"/>
      <c r="AR21" s="142"/>
      <c r="AS21" s="142"/>
      <c r="AT21" s="142"/>
      <c r="AU21" s="142"/>
      <c r="AV21" s="142"/>
    </row>
    <row r="22" spans="1:48" ht="27" customHeight="1">
      <c r="A22" s="261"/>
      <c r="B22" s="214" t="s">
        <v>20</v>
      </c>
      <c r="C22" s="215"/>
      <c r="D22" s="215"/>
      <c r="E22" s="215"/>
      <c r="F22" s="215"/>
      <c r="G22" s="215"/>
      <c r="H22" s="215"/>
      <c r="I22" s="215"/>
      <c r="J22" s="216"/>
      <c r="K22" s="74"/>
      <c r="AA22" s="131"/>
      <c r="AB22" s="145"/>
      <c r="AC22" s="142"/>
      <c r="AD22" s="142"/>
      <c r="AE22" s="142"/>
      <c r="AF22" s="142"/>
      <c r="AG22" s="142"/>
      <c r="AH22" s="142"/>
      <c r="AI22" s="142"/>
      <c r="AJ22" s="142"/>
      <c r="AK22" s="142"/>
      <c r="AL22" s="142"/>
      <c r="AM22" s="142"/>
      <c r="AN22" s="142"/>
      <c r="AO22" s="142"/>
      <c r="AP22" s="142"/>
      <c r="AQ22" s="142"/>
      <c r="AR22" s="142"/>
      <c r="AS22" s="142"/>
      <c r="AT22" s="142"/>
      <c r="AU22" s="142"/>
      <c r="AV22" s="142"/>
    </row>
    <row r="23" spans="1:48" ht="15" customHeight="1">
      <c r="A23" s="261"/>
      <c r="B23" s="199"/>
      <c r="C23" s="217"/>
      <c r="D23" s="217"/>
      <c r="E23" s="217"/>
      <c r="F23" s="217"/>
      <c r="G23" s="217"/>
      <c r="H23" s="217"/>
      <c r="I23" s="217"/>
      <c r="J23" s="218"/>
      <c r="K23" s="95"/>
      <c r="AA23" s="131"/>
      <c r="AB23" s="145"/>
      <c r="AC23" s="142"/>
      <c r="AD23" s="142"/>
      <c r="AE23" s="142"/>
      <c r="AF23" s="142"/>
      <c r="AG23" s="142"/>
      <c r="AH23" s="142"/>
      <c r="AI23" s="142"/>
      <c r="AJ23" s="142"/>
      <c r="AK23" s="142"/>
      <c r="AL23" s="142"/>
      <c r="AM23" s="142"/>
      <c r="AN23" s="142"/>
      <c r="AO23" s="142"/>
      <c r="AP23" s="142"/>
      <c r="AQ23" s="142"/>
      <c r="AR23" s="142"/>
      <c r="AS23" s="142"/>
      <c r="AT23" s="142"/>
      <c r="AU23" s="142"/>
      <c r="AV23" s="142"/>
    </row>
    <row r="24" spans="1:48" ht="27" customHeight="1">
      <c r="A24" s="261"/>
      <c r="B24" s="214" t="s">
        <v>21</v>
      </c>
      <c r="C24" s="215"/>
      <c r="D24" s="215"/>
      <c r="E24" s="215"/>
      <c r="F24" s="215"/>
      <c r="G24" s="215"/>
      <c r="H24" s="215"/>
      <c r="I24" s="215"/>
      <c r="J24" s="216"/>
      <c r="K24" s="74"/>
      <c r="AA24" s="131"/>
      <c r="AB24" s="145"/>
      <c r="AC24" s="142"/>
      <c r="AD24" s="142"/>
      <c r="AE24" s="142"/>
      <c r="AF24" s="142"/>
      <c r="AG24" s="142"/>
      <c r="AH24" s="142"/>
      <c r="AI24" s="142"/>
      <c r="AJ24" s="142"/>
      <c r="AK24" s="142"/>
      <c r="AL24" s="142"/>
      <c r="AM24" s="142"/>
      <c r="AN24" s="142"/>
      <c r="AO24" s="142"/>
      <c r="AP24" s="142"/>
      <c r="AQ24" s="142"/>
      <c r="AR24" s="142"/>
      <c r="AS24" s="142"/>
      <c r="AT24" s="142"/>
      <c r="AU24" s="142"/>
      <c r="AV24" s="142"/>
    </row>
    <row r="25" spans="1:48" ht="15" customHeight="1">
      <c r="A25" s="262"/>
      <c r="B25" s="204"/>
      <c r="C25" s="219"/>
      <c r="D25" s="219"/>
      <c r="E25" s="219"/>
      <c r="F25" s="219"/>
      <c r="G25" s="219"/>
      <c r="H25" s="219"/>
      <c r="I25" s="219"/>
      <c r="J25" s="220"/>
      <c r="K25" s="95"/>
      <c r="AA25" s="150" t="s">
        <v>138</v>
      </c>
      <c r="AB25" s="145" t="s">
        <v>139</v>
      </c>
      <c r="AC25" s="151" t="s">
        <v>140</v>
      </c>
      <c r="AD25" s="151" t="s">
        <v>141</v>
      </c>
      <c r="AE25" s="151" t="s">
        <v>142</v>
      </c>
      <c r="AF25" s="152" t="s">
        <v>143</v>
      </c>
      <c r="AG25" s="151" t="s">
        <v>144</v>
      </c>
      <c r="AH25" s="153" t="s">
        <v>145</v>
      </c>
      <c r="AI25" s="151" t="s">
        <v>146</v>
      </c>
      <c r="AJ25" s="154" t="s">
        <v>147</v>
      </c>
      <c r="AK25" s="151" t="s">
        <v>148</v>
      </c>
      <c r="AL25" s="155" t="s">
        <v>149</v>
      </c>
      <c r="AM25" s="151" t="s">
        <v>150</v>
      </c>
      <c r="AN25" s="156" t="s">
        <v>151</v>
      </c>
      <c r="AO25" s="151" t="s">
        <v>152</v>
      </c>
      <c r="AP25" s="157" t="s">
        <v>153</v>
      </c>
      <c r="AQ25" s="151" t="s">
        <v>154</v>
      </c>
      <c r="AR25" s="128" t="s">
        <v>155</v>
      </c>
      <c r="AS25" s="151" t="s">
        <v>154</v>
      </c>
      <c r="AT25" s="158" t="s">
        <v>155</v>
      </c>
      <c r="AU25" s="151" t="s">
        <v>154</v>
      </c>
      <c r="AV25" s="159" t="s">
        <v>155</v>
      </c>
    </row>
    <row r="26" spans="1:48" ht="15" customHeight="1">
      <c r="A26" s="20" t="s">
        <v>22</v>
      </c>
      <c r="B26" s="196" t="s">
        <v>23</v>
      </c>
      <c r="C26" s="197"/>
      <c r="D26" s="197"/>
      <c r="E26" s="197"/>
      <c r="F26" s="197"/>
      <c r="G26" s="197"/>
      <c r="H26" s="197"/>
      <c r="I26" s="197"/>
      <c r="J26" s="198"/>
      <c r="K26" s="73"/>
      <c r="AA26" s="160">
        <v>0.2</v>
      </c>
      <c r="AB26" s="161" t="s">
        <v>156</v>
      </c>
      <c r="AC26" s="162">
        <v>0</v>
      </c>
      <c r="AD26" s="163">
        <f>AC26/10*$Y26</f>
        <v>0</v>
      </c>
      <c r="AE26" s="162">
        <v>0</v>
      </c>
      <c r="AF26" s="164">
        <f>AE26/10*$Y26</f>
        <v>0</v>
      </c>
      <c r="AG26" s="162">
        <v>0</v>
      </c>
      <c r="AH26" s="165">
        <f>AG26/10*$Y26</f>
        <v>0</v>
      </c>
      <c r="AI26" s="162">
        <v>0</v>
      </c>
      <c r="AJ26" s="166">
        <f>AI26/10*$Y26</f>
        <v>0</v>
      </c>
      <c r="AK26" s="162">
        <v>0</v>
      </c>
      <c r="AL26" s="167">
        <f>AK26/10*$Y26</f>
        <v>0</v>
      </c>
      <c r="AM26" s="162">
        <v>0</v>
      </c>
      <c r="AN26" s="168">
        <f>AM26/10*$Y26</f>
        <v>0</v>
      </c>
      <c r="AO26" s="162">
        <v>0</v>
      </c>
      <c r="AP26" s="169">
        <f>AO26/10*$Y26</f>
        <v>0</v>
      </c>
      <c r="AQ26" s="162">
        <v>0</v>
      </c>
      <c r="AR26" s="170">
        <f>AQ26/10*$Y26</f>
        <v>0</v>
      </c>
      <c r="AS26" s="171">
        <v>0</v>
      </c>
      <c r="AT26" s="172">
        <f>AS26/10*$Y26</f>
        <v>0</v>
      </c>
      <c r="AU26" s="171">
        <v>0</v>
      </c>
      <c r="AV26" s="173">
        <f>AU26/10*$Y26</f>
        <v>0</v>
      </c>
    </row>
    <row r="27" spans="1:48" ht="15" customHeight="1">
      <c r="A27" s="21"/>
      <c r="B27" s="199"/>
      <c r="C27" s="200"/>
      <c r="D27" s="200"/>
      <c r="E27" s="200"/>
      <c r="F27" s="200"/>
      <c r="G27" s="200"/>
      <c r="H27" s="200"/>
      <c r="I27" s="200"/>
      <c r="J27" s="201"/>
      <c r="K27" s="95"/>
      <c r="AA27" s="131"/>
      <c r="AB27" s="145"/>
      <c r="AC27" s="142"/>
      <c r="AD27" s="142"/>
      <c r="AE27" s="142"/>
      <c r="AF27" s="142"/>
      <c r="AG27" s="142"/>
      <c r="AH27" s="142"/>
      <c r="AI27" s="142"/>
      <c r="AJ27" s="142"/>
      <c r="AK27" s="142"/>
      <c r="AL27" s="142"/>
      <c r="AM27" s="142"/>
      <c r="AN27" s="142"/>
      <c r="AO27" s="142"/>
      <c r="AP27" s="142"/>
      <c r="AQ27" s="142"/>
      <c r="AR27" s="142"/>
      <c r="AS27" s="142"/>
      <c r="AT27" s="142"/>
      <c r="AU27" s="142"/>
      <c r="AV27" s="142"/>
    </row>
    <row r="28" spans="1:48" ht="15" customHeight="1">
      <c r="A28" s="21"/>
      <c r="B28" s="214" t="s">
        <v>24</v>
      </c>
      <c r="C28" s="215"/>
      <c r="D28" s="215"/>
      <c r="E28" s="215"/>
      <c r="F28" s="215"/>
      <c r="G28" s="215"/>
      <c r="H28" s="215"/>
      <c r="I28" s="215"/>
      <c r="J28" s="216"/>
      <c r="K28" s="74"/>
      <c r="AA28" s="131"/>
      <c r="AB28" s="145"/>
      <c r="AC28" s="142"/>
      <c r="AD28" s="142"/>
      <c r="AE28" s="142"/>
      <c r="AF28" s="142"/>
      <c r="AG28" s="142"/>
      <c r="AH28" s="142"/>
      <c r="AI28" s="142"/>
      <c r="AJ28" s="142"/>
      <c r="AK28" s="142"/>
      <c r="AL28" s="142"/>
      <c r="AM28" s="142"/>
      <c r="AN28" s="142"/>
      <c r="AO28" s="142"/>
      <c r="AP28" s="142"/>
      <c r="AQ28" s="142"/>
      <c r="AR28" s="142"/>
      <c r="AS28" s="142"/>
      <c r="AT28" s="142"/>
      <c r="AU28" s="142"/>
      <c r="AV28" s="142"/>
    </row>
    <row r="29" spans="1:48" ht="15" customHeight="1">
      <c r="A29" s="21"/>
      <c r="B29" s="204"/>
      <c r="C29" s="205"/>
      <c r="D29" s="205"/>
      <c r="E29" s="205"/>
      <c r="F29" s="205"/>
      <c r="G29" s="205"/>
      <c r="H29" s="205"/>
      <c r="I29" s="205"/>
      <c r="J29" s="206"/>
      <c r="K29" s="95"/>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row>
    <row r="30" spans="1:48" ht="15" customHeight="1">
      <c r="A30" s="210" t="s">
        <v>25</v>
      </c>
      <c r="B30" s="196" t="s">
        <v>26</v>
      </c>
      <c r="C30" s="197"/>
      <c r="D30" s="197"/>
      <c r="E30" s="197"/>
      <c r="F30" s="197"/>
      <c r="G30" s="197"/>
      <c r="H30" s="197"/>
      <c r="I30" s="197"/>
      <c r="J30" s="198"/>
      <c r="K30" s="73"/>
      <c r="AA30" s="160">
        <v>0.2</v>
      </c>
      <c r="AB30" s="161" t="s">
        <v>157</v>
      </c>
      <c r="AC30" s="162">
        <v>0</v>
      </c>
      <c r="AD30" s="163">
        <f>AC30/10*$Y30</f>
        <v>0</v>
      </c>
      <c r="AE30" s="162">
        <v>0</v>
      </c>
      <c r="AF30" s="164">
        <f>AE30/10*$Y30</f>
        <v>0</v>
      </c>
      <c r="AG30" s="162">
        <v>0</v>
      </c>
      <c r="AH30" s="165">
        <f>AG30/10*$Y30</f>
        <v>0</v>
      </c>
      <c r="AI30" s="162">
        <v>0</v>
      </c>
      <c r="AJ30" s="166">
        <f>AI30/10*$Y30</f>
        <v>0</v>
      </c>
      <c r="AK30" s="162">
        <v>0</v>
      </c>
      <c r="AL30" s="167">
        <f>AK30/10*$Y30</f>
        <v>0</v>
      </c>
      <c r="AM30" s="162">
        <v>0</v>
      </c>
      <c r="AN30" s="168">
        <f>AM30/10*$Y30</f>
        <v>0</v>
      </c>
      <c r="AO30" s="162">
        <v>0</v>
      </c>
      <c r="AP30" s="169">
        <f>AO30/10*$Y30</f>
        <v>0</v>
      </c>
      <c r="AQ30" s="162">
        <v>0</v>
      </c>
      <c r="AR30" s="170">
        <f>AQ30/10*$Y30</f>
        <v>0</v>
      </c>
      <c r="AS30" s="171">
        <v>0</v>
      </c>
      <c r="AT30" s="172">
        <f>AS30/10*$Y30</f>
        <v>0</v>
      </c>
      <c r="AU30" s="171">
        <v>0</v>
      </c>
      <c r="AV30" s="173">
        <f>AU30/10*$Y30</f>
        <v>0</v>
      </c>
    </row>
    <row r="31" spans="1:48" ht="15" customHeight="1">
      <c r="A31" s="194"/>
      <c r="B31" s="211"/>
      <c r="C31" s="212"/>
      <c r="D31" s="212"/>
      <c r="E31" s="212"/>
      <c r="F31" s="212"/>
      <c r="G31" s="212"/>
      <c r="H31" s="212"/>
      <c r="I31" s="212"/>
      <c r="J31" s="213"/>
      <c r="K31" s="95"/>
      <c r="AA31" s="131"/>
      <c r="AB31" s="145"/>
      <c r="AC31" s="142"/>
      <c r="AD31" s="142"/>
      <c r="AE31" s="142"/>
      <c r="AF31" s="142"/>
      <c r="AG31" s="142"/>
      <c r="AH31" s="142"/>
      <c r="AI31" s="142"/>
      <c r="AJ31" s="142"/>
      <c r="AK31" s="142"/>
      <c r="AL31" s="142"/>
      <c r="AM31" s="142"/>
      <c r="AN31" s="142"/>
      <c r="AO31" s="142"/>
      <c r="AP31" s="142"/>
      <c r="AQ31" s="142"/>
      <c r="AR31" s="142"/>
      <c r="AS31" s="142"/>
      <c r="AT31" s="142"/>
      <c r="AU31" s="142"/>
      <c r="AV31" s="142"/>
    </row>
    <row r="32" spans="1:48" ht="15" customHeight="1">
      <c r="A32" s="194"/>
      <c r="B32" s="202" t="s">
        <v>27</v>
      </c>
      <c r="C32" s="184"/>
      <c r="D32" s="184"/>
      <c r="E32" s="184"/>
      <c r="F32" s="184"/>
      <c r="G32" s="184"/>
      <c r="H32" s="184"/>
      <c r="I32" s="184"/>
      <c r="J32" s="203"/>
      <c r="K32" s="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row>
    <row r="33" spans="1:48" ht="15" customHeight="1">
      <c r="A33" s="194"/>
      <c r="B33" s="199"/>
      <c r="C33" s="200"/>
      <c r="D33" s="200"/>
      <c r="E33" s="200"/>
      <c r="F33" s="200"/>
      <c r="G33" s="200"/>
      <c r="H33" s="200"/>
      <c r="I33" s="200"/>
      <c r="J33" s="201"/>
      <c r="K33" s="95"/>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row>
    <row r="34" spans="1:48" ht="15" customHeight="1">
      <c r="A34" s="194"/>
      <c r="B34" s="202" t="s">
        <v>28</v>
      </c>
      <c r="C34" s="184"/>
      <c r="D34" s="184"/>
      <c r="E34" s="184"/>
      <c r="F34" s="184"/>
      <c r="G34" s="184"/>
      <c r="H34" s="184"/>
      <c r="I34" s="184"/>
      <c r="J34" s="203"/>
      <c r="K34" s="74"/>
      <c r="AA34" s="174"/>
      <c r="AB34" s="174"/>
      <c r="AC34" s="174"/>
      <c r="AD34" s="174"/>
      <c r="AE34" s="174"/>
      <c r="AF34" s="174"/>
      <c r="AG34" s="174"/>
      <c r="AH34" s="174"/>
      <c r="AI34" s="174"/>
      <c r="AJ34" s="174"/>
      <c r="AK34" s="174"/>
      <c r="AL34" s="174"/>
      <c r="AM34" s="174"/>
      <c r="AN34" s="174"/>
      <c r="AO34" s="174"/>
      <c r="AP34" s="174"/>
      <c r="AQ34" s="174"/>
      <c r="AR34" s="174"/>
      <c r="AS34" s="174"/>
      <c r="AT34" s="174"/>
      <c r="AU34" s="174"/>
      <c r="AV34" s="174"/>
    </row>
    <row r="35" spans="1:48" ht="15" customHeight="1">
      <c r="A35" s="194"/>
      <c r="B35" s="199"/>
      <c r="C35" s="200"/>
      <c r="D35" s="200"/>
      <c r="E35" s="200"/>
      <c r="F35" s="200"/>
      <c r="G35" s="200"/>
      <c r="H35" s="200"/>
      <c r="I35" s="200"/>
      <c r="J35" s="201"/>
      <c r="K35" s="95"/>
      <c r="AA35" s="131"/>
      <c r="AB35" s="145"/>
      <c r="AC35" s="142"/>
      <c r="AD35" s="142"/>
      <c r="AE35" s="142"/>
      <c r="AF35" s="142"/>
      <c r="AG35" s="142"/>
      <c r="AH35" s="142"/>
      <c r="AI35" s="142"/>
      <c r="AJ35" s="142"/>
      <c r="AK35" s="142"/>
      <c r="AL35" s="142"/>
      <c r="AM35" s="142"/>
      <c r="AN35" s="142"/>
      <c r="AO35" s="142"/>
      <c r="AP35" s="142"/>
      <c r="AQ35" s="142"/>
      <c r="AR35" s="142"/>
      <c r="AS35" s="142"/>
      <c r="AT35" s="142"/>
      <c r="AU35" s="142"/>
      <c r="AV35" s="142"/>
    </row>
    <row r="36" spans="1:48" ht="15">
      <c r="A36" s="194"/>
      <c r="B36" s="214" t="s">
        <v>29</v>
      </c>
      <c r="C36" s="215"/>
      <c r="D36" s="215"/>
      <c r="E36" s="215"/>
      <c r="F36" s="215"/>
      <c r="G36" s="215"/>
      <c r="H36" s="215"/>
      <c r="I36" s="215"/>
      <c r="J36" s="216"/>
      <c r="K36" s="95"/>
      <c r="AA36" s="174"/>
      <c r="AB36" s="174"/>
      <c r="AC36" s="174"/>
      <c r="AD36" s="174"/>
      <c r="AE36" s="174"/>
      <c r="AF36" s="174"/>
      <c r="AG36" s="174"/>
      <c r="AH36" s="174"/>
      <c r="AI36" s="174"/>
      <c r="AJ36" s="174"/>
      <c r="AK36" s="174"/>
      <c r="AL36" s="174"/>
      <c r="AM36" s="174"/>
      <c r="AN36" s="174"/>
      <c r="AO36" s="174"/>
      <c r="AP36" s="174"/>
      <c r="AQ36" s="174"/>
      <c r="AR36" s="174"/>
      <c r="AS36" s="174"/>
      <c r="AT36" s="174"/>
      <c r="AU36" s="174"/>
      <c r="AV36" s="174"/>
    </row>
    <row r="37" spans="1:48" ht="15" customHeight="1">
      <c r="A37" s="194"/>
      <c r="B37" s="85"/>
      <c r="C37" s="91"/>
      <c r="D37" s="91"/>
      <c r="E37" s="91"/>
      <c r="F37" s="91"/>
      <c r="G37" s="91"/>
      <c r="H37" s="91"/>
      <c r="I37" s="91"/>
      <c r="J37" s="86"/>
      <c r="K37" s="95"/>
      <c r="AA37" s="131"/>
      <c r="AB37" s="145"/>
      <c r="AC37" s="142"/>
      <c r="AD37" s="142"/>
      <c r="AE37" s="142"/>
      <c r="AF37" s="142"/>
      <c r="AG37" s="142"/>
      <c r="AH37" s="142"/>
      <c r="AI37" s="142"/>
      <c r="AJ37" s="142"/>
      <c r="AK37" s="142"/>
      <c r="AL37" s="142"/>
      <c r="AM37" s="142"/>
      <c r="AN37" s="142"/>
      <c r="AO37" s="142"/>
      <c r="AP37" s="142"/>
      <c r="AQ37" s="142"/>
      <c r="AR37" s="142"/>
      <c r="AS37" s="142"/>
      <c r="AT37" s="142"/>
      <c r="AU37" s="142"/>
      <c r="AV37" s="142"/>
    </row>
    <row r="38" spans="1:48" ht="15" customHeight="1">
      <c r="A38" s="194"/>
      <c r="B38" s="202" t="s">
        <v>30</v>
      </c>
      <c r="C38" s="184"/>
      <c r="D38" s="184"/>
      <c r="E38" s="184"/>
      <c r="F38" s="184"/>
      <c r="G38" s="184"/>
      <c r="H38" s="184"/>
      <c r="I38" s="184"/>
      <c r="J38" s="203"/>
      <c r="K38" s="74"/>
      <c r="AA38" s="174"/>
      <c r="AB38" s="174"/>
      <c r="AC38" s="174"/>
      <c r="AD38" s="174"/>
      <c r="AE38" s="174"/>
      <c r="AF38" s="174"/>
      <c r="AG38" s="174"/>
      <c r="AH38" s="174"/>
      <c r="AI38" s="174"/>
      <c r="AJ38" s="174"/>
      <c r="AK38" s="174"/>
      <c r="AL38" s="174"/>
      <c r="AM38" s="174"/>
      <c r="AN38" s="174"/>
      <c r="AO38" s="174"/>
      <c r="AP38" s="174"/>
      <c r="AQ38" s="174"/>
      <c r="AR38" s="174"/>
      <c r="AS38" s="174"/>
      <c r="AT38" s="174"/>
      <c r="AU38" s="174"/>
      <c r="AV38" s="174"/>
    </row>
    <row r="39" spans="1:48" ht="15" customHeight="1">
      <c r="A39" s="195"/>
      <c r="B39" s="204"/>
      <c r="C39" s="205"/>
      <c r="D39" s="205"/>
      <c r="E39" s="205"/>
      <c r="F39" s="205"/>
      <c r="G39" s="205"/>
      <c r="H39" s="205"/>
      <c r="I39" s="205"/>
      <c r="J39" s="206"/>
      <c r="K39" s="95"/>
      <c r="AA39" s="131"/>
      <c r="AB39" s="145"/>
      <c r="AC39" s="142"/>
      <c r="AD39" s="142"/>
      <c r="AE39" s="142"/>
      <c r="AF39" s="142"/>
      <c r="AG39" s="142"/>
      <c r="AH39" s="142"/>
      <c r="AI39" s="142"/>
      <c r="AJ39" s="142"/>
      <c r="AK39" s="142"/>
      <c r="AL39" s="142"/>
      <c r="AM39" s="142"/>
      <c r="AN39" s="142"/>
      <c r="AO39" s="142"/>
      <c r="AP39" s="142"/>
      <c r="AQ39" s="142"/>
      <c r="AR39" s="142"/>
      <c r="AS39" s="142"/>
      <c r="AT39" s="142"/>
      <c r="AU39" s="142"/>
      <c r="AV39" s="142"/>
    </row>
    <row r="40" spans="1:48" ht="28.75" customHeight="1">
      <c r="A40" s="20" t="s">
        <v>31</v>
      </c>
      <c r="B40" s="221" t="s">
        <v>32</v>
      </c>
      <c r="C40" s="222"/>
      <c r="D40" s="222"/>
      <c r="E40" s="222"/>
      <c r="F40" s="222"/>
      <c r="G40" s="222"/>
      <c r="H40" s="222"/>
      <c r="I40" s="222"/>
      <c r="J40" s="223"/>
      <c r="K40" s="73"/>
      <c r="AA40" s="160">
        <v>0.15</v>
      </c>
      <c r="AB40" s="161" t="s">
        <v>158</v>
      </c>
      <c r="AC40" s="162">
        <v>0</v>
      </c>
      <c r="AD40" s="163">
        <f>AC40/10*$Y40</f>
        <v>0</v>
      </c>
      <c r="AE40" s="162">
        <v>0</v>
      </c>
      <c r="AF40" s="164">
        <f>AE40/10*$Y40</f>
        <v>0</v>
      </c>
      <c r="AG40" s="162">
        <v>0</v>
      </c>
      <c r="AH40" s="165">
        <f>AG40/10*$Y40</f>
        <v>0</v>
      </c>
      <c r="AI40" s="162">
        <v>0</v>
      </c>
      <c r="AJ40" s="166">
        <f>AI40/10*$Y40</f>
        <v>0</v>
      </c>
      <c r="AK40" s="162">
        <v>0</v>
      </c>
      <c r="AL40" s="167">
        <f>AK40/10*$Y40</f>
        <v>0</v>
      </c>
      <c r="AM40" s="162">
        <v>0</v>
      </c>
      <c r="AN40" s="168">
        <f>AM40/10*$Y40</f>
        <v>0</v>
      </c>
      <c r="AO40" s="162">
        <v>0</v>
      </c>
      <c r="AP40" s="169">
        <f>AO40/10*$Y40</f>
        <v>0</v>
      </c>
      <c r="AQ40" s="162">
        <v>0</v>
      </c>
      <c r="AR40" s="170">
        <f>AQ40/10*$Y40</f>
        <v>0</v>
      </c>
      <c r="AS40" s="171">
        <v>0</v>
      </c>
      <c r="AT40" s="172">
        <f>AS40/10*$Y40</f>
        <v>0</v>
      </c>
      <c r="AU40" s="171">
        <v>0</v>
      </c>
      <c r="AV40" s="173">
        <f>AU40/10*$Y40</f>
        <v>0</v>
      </c>
    </row>
    <row r="41" spans="1:48" ht="15" customHeight="1">
      <c r="A41" s="21"/>
      <c r="B41" s="204"/>
      <c r="C41" s="205"/>
      <c r="D41" s="205"/>
      <c r="E41" s="205"/>
      <c r="F41" s="205"/>
      <c r="G41" s="205"/>
      <c r="H41" s="205"/>
      <c r="I41" s="205"/>
      <c r="J41" s="206"/>
      <c r="K41" s="95"/>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row>
    <row r="42" spans="1:48" ht="15" customHeight="1">
      <c r="A42" s="189" t="s">
        <v>33</v>
      </c>
      <c r="B42" s="90" t="s">
        <v>34</v>
      </c>
      <c r="C42" s="22"/>
      <c r="D42" s="22"/>
      <c r="E42" s="22"/>
      <c r="F42" s="22"/>
      <c r="G42" s="22"/>
      <c r="H42" s="22"/>
      <c r="I42" s="22"/>
      <c r="J42" s="22"/>
      <c r="K42" s="96"/>
      <c r="AA42" s="174"/>
      <c r="AB42" s="174"/>
      <c r="AC42" s="174"/>
      <c r="AD42" s="174"/>
      <c r="AE42" s="174"/>
      <c r="AF42" s="174"/>
      <c r="AG42" s="174"/>
      <c r="AH42" s="174"/>
      <c r="AI42" s="174"/>
      <c r="AJ42" s="174"/>
      <c r="AK42" s="174"/>
      <c r="AL42" s="174"/>
      <c r="AM42" s="174"/>
      <c r="AN42" s="174"/>
      <c r="AO42" s="174"/>
      <c r="AP42" s="174"/>
      <c r="AQ42" s="174"/>
      <c r="AR42" s="174"/>
      <c r="AS42" s="174"/>
      <c r="AT42" s="174"/>
      <c r="AU42" s="174"/>
      <c r="AV42" s="174"/>
    </row>
    <row r="43" spans="1:48" ht="15" customHeight="1">
      <c r="A43" s="224"/>
      <c r="B43" s="204"/>
      <c r="C43" s="205"/>
      <c r="D43" s="205"/>
      <c r="E43" s="205"/>
      <c r="F43" s="205"/>
      <c r="G43" s="205"/>
      <c r="H43" s="205"/>
      <c r="I43" s="205"/>
      <c r="J43" s="206"/>
      <c r="K43" s="97"/>
      <c r="AA43" s="131"/>
      <c r="AB43" s="145"/>
      <c r="AC43" s="142"/>
      <c r="AD43" s="142"/>
      <c r="AE43" s="142"/>
      <c r="AF43" s="142"/>
      <c r="AG43" s="142"/>
      <c r="AH43" s="142"/>
      <c r="AI43" s="142"/>
      <c r="AJ43" s="142"/>
      <c r="AK43" s="142"/>
      <c r="AL43" s="142"/>
      <c r="AM43" s="142"/>
      <c r="AN43" s="142"/>
      <c r="AO43" s="142"/>
      <c r="AP43" s="142"/>
      <c r="AQ43" s="142"/>
      <c r="AR43" s="142"/>
      <c r="AS43" s="142"/>
      <c r="AT43" s="142"/>
      <c r="AU43" s="142"/>
      <c r="AV43" s="142"/>
    </row>
    <row r="44" spans="1:48" ht="15" customHeight="1">
      <c r="A44" s="224"/>
      <c r="B44" s="225" t="s">
        <v>35</v>
      </c>
      <c r="C44" s="226"/>
      <c r="D44" s="226"/>
      <c r="E44" s="226"/>
      <c r="F44" s="227"/>
      <c r="G44" s="225" t="s">
        <v>36</v>
      </c>
      <c r="H44" s="226"/>
      <c r="I44" s="226"/>
      <c r="J44" s="226"/>
      <c r="K44" s="228"/>
      <c r="AA44" s="131"/>
      <c r="AB44" s="145"/>
      <c r="AC44" s="142"/>
      <c r="AD44" s="142"/>
      <c r="AE44" s="142"/>
      <c r="AF44" s="142"/>
      <c r="AG44" s="142"/>
      <c r="AH44" s="142"/>
      <c r="AI44" s="142"/>
      <c r="AJ44" s="142"/>
      <c r="AK44" s="142"/>
      <c r="AL44" s="142"/>
      <c r="AM44" s="142"/>
      <c r="AN44" s="142"/>
      <c r="AO44" s="142"/>
      <c r="AP44" s="142"/>
      <c r="AQ44" s="142"/>
      <c r="AR44" s="142"/>
      <c r="AS44" s="142"/>
      <c r="AT44" s="142"/>
      <c r="AU44" s="142"/>
      <c r="AV44" s="142"/>
    </row>
    <row r="45" spans="1:48" ht="15" customHeight="1">
      <c r="A45" s="224"/>
      <c r="B45" s="90" t="s">
        <v>37</v>
      </c>
      <c r="C45" s="226"/>
      <c r="D45" s="226"/>
      <c r="E45" s="226"/>
      <c r="F45" s="227"/>
      <c r="G45" s="90"/>
      <c r="H45" s="226"/>
      <c r="I45" s="226"/>
      <c r="J45" s="227"/>
      <c r="K45" s="89"/>
      <c r="AA45" s="174"/>
      <c r="AB45" s="174"/>
      <c r="AC45" s="174"/>
      <c r="AD45" s="174"/>
      <c r="AE45" s="174"/>
      <c r="AF45" s="174"/>
      <c r="AG45" s="174"/>
      <c r="AH45" s="174"/>
      <c r="AI45" s="174"/>
      <c r="AJ45" s="174"/>
      <c r="AK45" s="174"/>
      <c r="AL45" s="174"/>
      <c r="AM45" s="174"/>
      <c r="AN45" s="174"/>
      <c r="AO45" s="174"/>
      <c r="AP45" s="174"/>
      <c r="AQ45" s="174"/>
      <c r="AR45" s="174"/>
      <c r="AS45" s="174"/>
      <c r="AT45" s="174"/>
      <c r="AU45" s="174"/>
      <c r="AV45" s="174"/>
    </row>
    <row r="46" spans="1:48" ht="15" customHeight="1">
      <c r="A46" s="224"/>
      <c r="B46" s="90" t="s">
        <v>38</v>
      </c>
      <c r="C46" s="226"/>
      <c r="D46" s="226"/>
      <c r="E46" s="226"/>
      <c r="F46" s="227"/>
      <c r="G46" s="90"/>
      <c r="H46" s="226"/>
      <c r="I46" s="226"/>
      <c r="J46" s="228"/>
      <c r="K46" s="89"/>
      <c r="AA46" s="131"/>
      <c r="AB46" s="145"/>
      <c r="AC46" s="142"/>
      <c r="AD46" s="142"/>
      <c r="AE46" s="142"/>
      <c r="AF46" s="142"/>
      <c r="AG46" s="142"/>
      <c r="AH46" s="142"/>
      <c r="AI46" s="142"/>
      <c r="AJ46" s="142"/>
      <c r="AK46" s="142"/>
      <c r="AL46" s="142"/>
      <c r="AM46" s="142"/>
      <c r="AN46" s="142"/>
      <c r="AO46" s="142"/>
      <c r="AP46" s="142"/>
      <c r="AQ46" s="142"/>
      <c r="AR46" s="142"/>
      <c r="AS46" s="142"/>
      <c r="AT46" s="142"/>
      <c r="AU46" s="142"/>
      <c r="AV46" s="142"/>
    </row>
    <row r="47" spans="1:48" ht="15" customHeight="1">
      <c r="A47" s="23"/>
      <c r="B47" s="90" t="s">
        <v>39</v>
      </c>
      <c r="C47" s="226"/>
      <c r="D47" s="226"/>
      <c r="E47" s="226"/>
      <c r="F47" s="227"/>
      <c r="G47" s="90"/>
      <c r="H47" s="226"/>
      <c r="I47" s="226"/>
      <c r="J47" s="228"/>
      <c r="K47" s="89"/>
      <c r="AA47" s="174"/>
      <c r="AB47" s="174"/>
      <c r="AC47" s="174"/>
      <c r="AD47" s="174"/>
      <c r="AE47" s="174"/>
      <c r="AF47" s="174"/>
      <c r="AG47" s="174"/>
      <c r="AH47" s="174"/>
      <c r="AI47" s="174"/>
      <c r="AJ47" s="174"/>
      <c r="AK47" s="174"/>
      <c r="AL47" s="174"/>
      <c r="AM47" s="174"/>
      <c r="AN47" s="174"/>
      <c r="AO47" s="174"/>
      <c r="AP47" s="174"/>
      <c r="AQ47" s="174"/>
      <c r="AR47" s="174"/>
      <c r="AS47" s="174"/>
      <c r="AT47" s="174"/>
      <c r="AU47" s="174"/>
      <c r="AV47" s="174"/>
    </row>
    <row r="48" spans="1:48" ht="15" customHeight="1">
      <c r="A48" s="20" t="s">
        <v>40</v>
      </c>
      <c r="B48" s="221" t="s">
        <v>41</v>
      </c>
      <c r="C48" s="222"/>
      <c r="D48" s="222"/>
      <c r="E48" s="222"/>
      <c r="F48" s="222"/>
      <c r="G48" s="222"/>
      <c r="H48" s="222"/>
      <c r="I48" s="222"/>
      <c r="J48" s="223"/>
      <c r="K48" s="73"/>
      <c r="AA48" s="160">
        <v>0.1</v>
      </c>
      <c r="AB48" s="161" t="s">
        <v>159</v>
      </c>
      <c r="AC48" s="162">
        <v>0</v>
      </c>
      <c r="AD48" s="163">
        <f>AC48/10*$Y48</f>
        <v>0</v>
      </c>
      <c r="AE48" s="162">
        <v>0</v>
      </c>
      <c r="AF48" s="164">
        <f>AE48/10*$Y48</f>
        <v>0</v>
      </c>
      <c r="AG48" s="162">
        <v>0</v>
      </c>
      <c r="AH48" s="165">
        <f>AG48/10*$Y48</f>
        <v>0</v>
      </c>
      <c r="AI48" s="162">
        <v>0</v>
      </c>
      <c r="AJ48" s="166">
        <f>AI48/10*$Y48</f>
        <v>0</v>
      </c>
      <c r="AK48" s="162">
        <v>0</v>
      </c>
      <c r="AL48" s="167">
        <f>AK48/10*$Y48</f>
        <v>0</v>
      </c>
      <c r="AM48" s="162">
        <v>0</v>
      </c>
      <c r="AN48" s="168">
        <f>AM48/10*$Y48</f>
        <v>0</v>
      </c>
      <c r="AO48" s="162">
        <v>0</v>
      </c>
      <c r="AP48" s="169">
        <f>AO48/10*$Y48</f>
        <v>0</v>
      </c>
      <c r="AQ48" s="162">
        <v>0</v>
      </c>
      <c r="AR48" s="170">
        <f>AQ48/10*$Y48</f>
        <v>0</v>
      </c>
      <c r="AS48" s="171">
        <v>0</v>
      </c>
      <c r="AT48" s="172">
        <f>AS48/10*$Y48</f>
        <v>0</v>
      </c>
      <c r="AU48" s="171">
        <v>0</v>
      </c>
      <c r="AV48" s="173">
        <f>AU48/10*$Y48</f>
        <v>0</v>
      </c>
    </row>
    <row r="49" spans="1:48" ht="15" customHeight="1">
      <c r="A49" s="21"/>
      <c r="B49" s="199"/>
      <c r="C49" s="200"/>
      <c r="D49" s="200"/>
      <c r="E49" s="200"/>
      <c r="F49" s="200"/>
      <c r="G49" s="200"/>
      <c r="H49" s="200"/>
      <c r="I49" s="200"/>
      <c r="J49" s="201"/>
      <c r="K49" s="95"/>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row>
    <row r="50" spans="1:48" ht="15" customHeight="1">
      <c r="A50" s="21"/>
      <c r="B50" s="221" t="s">
        <v>42</v>
      </c>
      <c r="C50" s="222"/>
      <c r="D50" s="222"/>
      <c r="E50" s="222"/>
      <c r="F50" s="222"/>
      <c r="G50" s="222"/>
      <c r="H50" s="222"/>
      <c r="I50" s="222"/>
      <c r="J50" s="223"/>
      <c r="K50" s="73"/>
      <c r="AA50" s="131"/>
      <c r="AB50" s="145"/>
      <c r="AC50" s="142"/>
      <c r="AD50" s="142"/>
      <c r="AE50" s="142"/>
      <c r="AF50" s="142"/>
      <c r="AG50" s="142"/>
      <c r="AH50" s="142"/>
      <c r="AI50" s="142"/>
      <c r="AJ50" s="142"/>
      <c r="AK50" s="142"/>
      <c r="AL50" s="142"/>
      <c r="AM50" s="142"/>
      <c r="AN50" s="142"/>
      <c r="AO50" s="142"/>
      <c r="AP50" s="142"/>
      <c r="AQ50" s="142"/>
      <c r="AR50" s="142"/>
      <c r="AS50" s="142"/>
      <c r="AT50" s="142"/>
      <c r="AU50" s="142"/>
      <c r="AV50" s="142"/>
    </row>
    <row r="51" spans="1:48" ht="15" customHeight="1">
      <c r="A51" s="24"/>
      <c r="B51" s="204"/>
      <c r="C51" s="205"/>
      <c r="D51" s="205"/>
      <c r="E51" s="205"/>
      <c r="F51" s="205"/>
      <c r="G51" s="205"/>
      <c r="H51" s="205"/>
      <c r="I51" s="205"/>
      <c r="J51" s="206"/>
      <c r="K51" s="95"/>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row>
    <row r="52" spans="1:48" ht="15" customHeight="1">
      <c r="A52" s="20" t="s">
        <v>43</v>
      </c>
      <c r="B52" s="221" t="s">
        <v>44</v>
      </c>
      <c r="C52" s="222"/>
      <c r="D52" s="222"/>
      <c r="E52" s="222"/>
      <c r="F52" s="222"/>
      <c r="G52" s="222"/>
      <c r="H52" s="222"/>
      <c r="I52" s="222"/>
      <c r="J52" s="223"/>
      <c r="K52" s="73"/>
      <c r="AA52" s="131"/>
      <c r="AB52" s="145"/>
      <c r="AC52" s="142"/>
      <c r="AD52" s="142"/>
      <c r="AE52" s="142"/>
      <c r="AF52" s="142"/>
      <c r="AG52" s="142"/>
      <c r="AH52" s="142"/>
      <c r="AI52" s="142"/>
      <c r="AJ52" s="142"/>
      <c r="AK52" s="142"/>
      <c r="AL52" s="142"/>
      <c r="AM52" s="142"/>
      <c r="AN52" s="142"/>
      <c r="AO52" s="142"/>
      <c r="AP52" s="142"/>
      <c r="AQ52" s="142"/>
      <c r="AR52" s="142"/>
      <c r="AS52" s="142"/>
      <c r="AT52" s="142"/>
      <c r="AU52" s="142"/>
      <c r="AV52" s="142"/>
    </row>
    <row r="53" spans="1:48" ht="15" customHeight="1">
      <c r="A53" s="21"/>
      <c r="B53" s="199"/>
      <c r="C53" s="200"/>
      <c r="D53" s="200"/>
      <c r="E53" s="200"/>
      <c r="F53" s="200"/>
      <c r="G53" s="200"/>
      <c r="H53" s="200"/>
      <c r="I53" s="200"/>
      <c r="J53" s="201"/>
      <c r="K53" s="95"/>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row>
    <row r="54" spans="1:48" ht="15" customHeight="1">
      <c r="A54" s="13"/>
      <c r="B54" s="14" t="s">
        <v>45</v>
      </c>
      <c r="C54" s="16"/>
      <c r="D54" s="191"/>
      <c r="E54" s="192"/>
      <c r="F54" s="192"/>
      <c r="G54" s="192"/>
      <c r="H54" s="192"/>
      <c r="I54" s="192"/>
      <c r="J54" s="193"/>
      <c r="K54" s="92"/>
      <c r="AA54" s="131"/>
      <c r="AB54" s="145"/>
      <c r="AC54" s="142"/>
      <c r="AD54" s="142"/>
      <c r="AE54" s="142"/>
      <c r="AF54" s="142"/>
      <c r="AG54" s="142"/>
      <c r="AH54" s="142"/>
      <c r="AI54" s="142"/>
      <c r="AJ54" s="142"/>
      <c r="AK54" s="142"/>
      <c r="AL54" s="142"/>
      <c r="AM54" s="142"/>
      <c r="AN54" s="142"/>
      <c r="AO54" s="142"/>
      <c r="AP54" s="142"/>
      <c r="AQ54" s="142"/>
      <c r="AR54" s="142"/>
      <c r="AS54" s="142"/>
      <c r="AT54" s="142"/>
      <c r="AU54" s="142"/>
      <c r="AV54" s="142"/>
    </row>
    <row r="55" spans="1:48" ht="15" customHeight="1">
      <c r="A55" s="13"/>
      <c r="B55" s="14" t="s">
        <v>46</v>
      </c>
      <c r="C55" s="16"/>
      <c r="D55" s="191"/>
      <c r="E55" s="192"/>
      <c r="F55" s="192"/>
      <c r="G55" s="192"/>
      <c r="H55" s="192"/>
      <c r="I55" s="192"/>
      <c r="J55" s="193"/>
      <c r="K55" s="92"/>
      <c r="AA55" s="131"/>
      <c r="AB55" s="145"/>
      <c r="AC55" s="142"/>
      <c r="AD55" s="142"/>
      <c r="AE55" s="142"/>
      <c r="AF55" s="142"/>
      <c r="AG55" s="142"/>
      <c r="AH55" s="142"/>
      <c r="AI55" s="142"/>
      <c r="AJ55" s="142"/>
      <c r="AK55" s="142"/>
      <c r="AL55" s="142"/>
      <c r="AM55" s="142"/>
      <c r="AN55" s="142"/>
      <c r="AO55" s="142"/>
      <c r="AP55" s="142"/>
      <c r="AQ55" s="142"/>
      <c r="AR55" s="142"/>
      <c r="AS55" s="142"/>
      <c r="AT55" s="142"/>
      <c r="AU55" s="142"/>
      <c r="AV55" s="142"/>
    </row>
    <row r="56" spans="1:48" ht="15" customHeight="1">
      <c r="A56" s="13"/>
      <c r="B56" s="18" t="s">
        <v>47</v>
      </c>
      <c r="C56" s="19"/>
      <c r="D56" s="191"/>
      <c r="E56" s="192"/>
      <c r="F56" s="192"/>
      <c r="G56" s="192"/>
      <c r="H56" s="192"/>
      <c r="I56" s="192"/>
      <c r="J56" s="193"/>
      <c r="K56" s="93"/>
      <c r="AA56" s="131"/>
      <c r="AB56" s="145"/>
      <c r="AC56" s="142"/>
      <c r="AD56" s="142"/>
      <c r="AE56" s="142"/>
      <c r="AF56" s="142"/>
      <c r="AG56" s="142"/>
      <c r="AH56" s="142"/>
      <c r="AI56" s="142"/>
      <c r="AJ56" s="142"/>
      <c r="AK56" s="142"/>
      <c r="AL56" s="142"/>
      <c r="AM56" s="142"/>
      <c r="AN56" s="142"/>
      <c r="AO56" s="142"/>
      <c r="AP56" s="142"/>
      <c r="AQ56" s="142"/>
      <c r="AR56" s="142"/>
      <c r="AS56" s="142"/>
      <c r="AT56" s="142"/>
      <c r="AU56" s="142"/>
      <c r="AV56" s="142"/>
    </row>
    <row r="57" spans="1:48" ht="15" customHeight="1">
      <c r="A57" s="13"/>
      <c r="B57" s="18" t="s">
        <v>48</v>
      </c>
      <c r="C57" s="19"/>
      <c r="D57" s="191"/>
      <c r="E57" s="192"/>
      <c r="F57" s="192"/>
      <c r="G57" s="192"/>
      <c r="H57" s="192"/>
      <c r="I57" s="192"/>
      <c r="J57" s="193"/>
      <c r="K57" s="93"/>
      <c r="AA57" s="131"/>
      <c r="AB57" s="145"/>
      <c r="AC57" s="142"/>
      <c r="AD57" s="142"/>
      <c r="AE57" s="142"/>
      <c r="AF57" s="142"/>
      <c r="AG57" s="142"/>
      <c r="AH57" s="142"/>
      <c r="AI57" s="142"/>
      <c r="AJ57" s="142"/>
      <c r="AK57" s="142"/>
      <c r="AL57" s="142"/>
      <c r="AM57" s="142"/>
      <c r="AN57" s="142"/>
      <c r="AO57" s="142"/>
      <c r="AP57" s="142"/>
      <c r="AQ57" s="142"/>
      <c r="AR57" s="142"/>
      <c r="AS57" s="142"/>
      <c r="AT57" s="142"/>
      <c r="AU57" s="142"/>
      <c r="AV57" s="142"/>
    </row>
    <row r="58" spans="1:48" ht="15" customHeight="1">
      <c r="A58" s="189" t="s">
        <v>49</v>
      </c>
      <c r="B58" s="90" t="s">
        <v>50</v>
      </c>
      <c r="C58" s="22"/>
      <c r="D58" s="25"/>
      <c r="E58" s="90" t="s">
        <v>51</v>
      </c>
      <c r="F58" s="22"/>
      <c r="G58" s="25"/>
      <c r="H58" s="90" t="s">
        <v>52</v>
      </c>
      <c r="I58" s="22"/>
      <c r="J58" s="26"/>
      <c r="K58" s="96"/>
      <c r="AA58" s="131"/>
      <c r="AB58" s="145"/>
      <c r="AC58" s="142"/>
      <c r="AD58" s="142"/>
      <c r="AE58" s="142"/>
      <c r="AF58" s="142"/>
      <c r="AG58" s="142"/>
      <c r="AH58" s="142"/>
      <c r="AI58" s="142"/>
      <c r="AJ58" s="142"/>
      <c r="AK58" s="142"/>
      <c r="AL58" s="142"/>
      <c r="AM58" s="142"/>
      <c r="AN58" s="142"/>
      <c r="AO58" s="142"/>
      <c r="AP58" s="142"/>
      <c r="AQ58" s="142"/>
      <c r="AR58" s="142"/>
      <c r="AS58" s="142"/>
      <c r="AT58" s="142"/>
      <c r="AU58" s="142"/>
      <c r="AV58" s="142"/>
    </row>
    <row r="59" spans="1:48" ht="15" customHeight="1">
      <c r="A59" s="229"/>
      <c r="B59" s="231"/>
      <c r="C59" s="232"/>
      <c r="D59" s="233"/>
      <c r="E59" s="234"/>
      <c r="F59" s="235"/>
      <c r="G59" s="236"/>
      <c r="H59" s="234"/>
      <c r="I59" s="235"/>
      <c r="J59" s="237"/>
      <c r="K59" s="98"/>
      <c r="AA59" s="174"/>
      <c r="AB59" s="174"/>
      <c r="AC59" s="174"/>
      <c r="AD59" s="174"/>
      <c r="AE59" s="174"/>
      <c r="AF59" s="174"/>
      <c r="AG59" s="174"/>
      <c r="AH59" s="174"/>
      <c r="AI59" s="174"/>
      <c r="AJ59" s="174"/>
      <c r="AK59" s="174"/>
      <c r="AL59" s="174"/>
      <c r="AM59" s="174"/>
      <c r="AN59" s="174"/>
      <c r="AO59" s="174"/>
      <c r="AP59" s="174"/>
      <c r="AQ59" s="174"/>
      <c r="AR59" s="174"/>
      <c r="AS59" s="174"/>
      <c r="AT59" s="174"/>
      <c r="AU59" s="174"/>
      <c r="AV59" s="174"/>
    </row>
    <row r="60" spans="1:48" ht="15" customHeight="1">
      <c r="A60" s="229"/>
      <c r="B60" s="191"/>
      <c r="C60" s="238"/>
      <c r="D60" s="239"/>
      <c r="E60" s="240"/>
      <c r="F60" s="241"/>
      <c r="G60" s="242"/>
      <c r="H60" s="240"/>
      <c r="I60" s="241"/>
      <c r="J60" s="243"/>
      <c r="K60" s="99"/>
      <c r="AA60" s="174"/>
      <c r="AB60" s="174"/>
      <c r="AC60" s="174"/>
      <c r="AD60" s="174"/>
      <c r="AE60" s="174"/>
      <c r="AF60" s="174"/>
      <c r="AG60" s="174"/>
      <c r="AH60" s="174"/>
      <c r="AI60" s="174"/>
      <c r="AJ60" s="174"/>
      <c r="AK60" s="174"/>
      <c r="AL60" s="174"/>
      <c r="AM60" s="174"/>
      <c r="AN60" s="174"/>
      <c r="AO60" s="174"/>
      <c r="AP60" s="174"/>
      <c r="AQ60" s="174"/>
      <c r="AR60" s="174"/>
      <c r="AS60" s="174"/>
      <c r="AT60" s="174"/>
      <c r="AU60" s="174"/>
      <c r="AV60" s="174"/>
    </row>
    <row r="61" spans="1:48" ht="15" customHeight="1">
      <c r="A61" s="230"/>
      <c r="B61" s="244"/>
      <c r="C61" s="245"/>
      <c r="D61" s="246"/>
      <c r="E61" s="247"/>
      <c r="F61" s="248"/>
      <c r="G61" s="249"/>
      <c r="H61" s="250"/>
      <c r="I61" s="251"/>
      <c r="J61" s="252"/>
      <c r="K61" s="100"/>
      <c r="AA61" s="160">
        <v>0.2</v>
      </c>
      <c r="AB61" s="161" t="s">
        <v>160</v>
      </c>
      <c r="AC61" s="162">
        <v>0</v>
      </c>
      <c r="AD61" s="163">
        <f>AC61/10*$Y61</f>
        <v>0</v>
      </c>
      <c r="AE61" s="162">
        <v>0</v>
      </c>
      <c r="AF61" s="164">
        <f>AE61/10*$Y61</f>
        <v>0</v>
      </c>
      <c r="AG61" s="162">
        <v>0</v>
      </c>
      <c r="AH61" s="165">
        <f>AG61/10*$Y61</f>
        <v>0</v>
      </c>
      <c r="AI61" s="162">
        <v>0</v>
      </c>
      <c r="AJ61" s="166">
        <f>AI61/10*$Y61</f>
        <v>0</v>
      </c>
      <c r="AK61" s="162">
        <v>0</v>
      </c>
      <c r="AL61" s="167">
        <f>AK61/10*$Y61</f>
        <v>0</v>
      </c>
      <c r="AM61" s="162">
        <v>0</v>
      </c>
      <c r="AN61" s="168">
        <f>AM61/10*$Y61</f>
        <v>0</v>
      </c>
      <c r="AO61" s="162">
        <v>0</v>
      </c>
      <c r="AP61" s="169">
        <f>AO61/10*$Y61</f>
        <v>0</v>
      </c>
      <c r="AQ61" s="162">
        <v>0</v>
      </c>
      <c r="AR61" s="170">
        <f>AQ61/10*$Y61</f>
        <v>0</v>
      </c>
      <c r="AS61" s="171">
        <v>0</v>
      </c>
      <c r="AT61" s="172">
        <f>AS61/10*$Y61</f>
        <v>0</v>
      </c>
      <c r="AU61" s="171">
        <v>0</v>
      </c>
      <c r="AV61" s="173">
        <f>AU61/10*$Y61</f>
        <v>0</v>
      </c>
    </row>
    <row r="62" spans="1:48" ht="15" customHeight="1">
      <c r="A62" s="189" t="s">
        <v>53</v>
      </c>
      <c r="B62" s="27" t="s">
        <v>54</v>
      </c>
      <c r="C62" s="28"/>
      <c r="D62" s="28"/>
      <c r="E62" s="28"/>
      <c r="F62" s="28"/>
      <c r="G62" s="28"/>
      <c r="H62" s="29" t="s">
        <v>55</v>
      </c>
      <c r="I62" s="30"/>
      <c r="J62" s="31"/>
      <c r="K62" s="101"/>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row>
    <row r="63" spans="1:48" ht="15" customHeight="1">
      <c r="A63" s="224"/>
      <c r="B63" s="90" t="s">
        <v>56</v>
      </c>
      <c r="C63" s="22"/>
      <c r="D63" s="22"/>
      <c r="E63" s="22"/>
      <c r="F63" s="32" t="s">
        <v>57</v>
      </c>
      <c r="G63" s="32" t="s">
        <v>58</v>
      </c>
      <c r="H63" s="33" t="s">
        <v>59</v>
      </c>
      <c r="I63" s="34" t="s">
        <v>58</v>
      </c>
      <c r="J63" s="35" t="s">
        <v>60</v>
      </c>
      <c r="K63" s="102"/>
      <c r="AA63" s="131"/>
      <c r="AB63" s="145"/>
      <c r="AC63" s="142"/>
      <c r="AD63" s="142"/>
      <c r="AE63" s="142"/>
      <c r="AF63" s="142"/>
      <c r="AG63" s="142"/>
      <c r="AH63" s="142"/>
      <c r="AI63" s="142"/>
      <c r="AJ63" s="142"/>
      <c r="AK63" s="142"/>
      <c r="AL63" s="142"/>
      <c r="AM63" s="142"/>
      <c r="AN63" s="142"/>
      <c r="AO63" s="142"/>
      <c r="AP63" s="142"/>
      <c r="AQ63" s="142"/>
      <c r="AR63" s="142"/>
      <c r="AS63" s="142"/>
      <c r="AT63" s="142"/>
      <c r="AU63" s="142"/>
      <c r="AV63" s="142"/>
    </row>
    <row r="64" spans="1:48" ht="15" customHeight="1">
      <c r="A64" s="224"/>
      <c r="B64" s="36" t="s">
        <v>61</v>
      </c>
      <c r="C64" s="256"/>
      <c r="D64" s="257"/>
      <c r="E64" s="37"/>
      <c r="F64" s="38"/>
      <c r="G64" s="38"/>
      <c r="H64" s="39"/>
      <c r="I64" s="40"/>
      <c r="J64" s="41"/>
      <c r="K64" s="103"/>
      <c r="AA64" s="174"/>
      <c r="AB64" s="174"/>
      <c r="AC64" s="174"/>
      <c r="AD64" s="174"/>
      <c r="AE64" s="174"/>
      <c r="AF64" s="174"/>
      <c r="AG64" s="174"/>
      <c r="AH64" s="174"/>
      <c r="AI64" s="174"/>
      <c r="AJ64" s="174"/>
      <c r="AK64" s="174"/>
      <c r="AL64" s="174"/>
      <c r="AM64" s="174"/>
      <c r="AN64" s="174"/>
      <c r="AO64" s="174"/>
      <c r="AP64" s="174"/>
      <c r="AQ64" s="174"/>
      <c r="AR64" s="174"/>
      <c r="AS64" s="174"/>
      <c r="AT64" s="174"/>
      <c r="AU64" s="174"/>
      <c r="AV64" s="174"/>
    </row>
    <row r="65" spans="1:48" ht="15" customHeight="1">
      <c r="A65" s="224"/>
      <c r="B65" s="36" t="s">
        <v>62</v>
      </c>
      <c r="C65" s="258"/>
      <c r="D65" s="259"/>
      <c r="E65" s="42"/>
      <c r="F65" s="43"/>
      <c r="G65" s="43"/>
      <c r="H65" s="44"/>
      <c r="I65" s="45"/>
      <c r="J65" s="46"/>
      <c r="K65" s="104"/>
      <c r="AA65" s="174"/>
      <c r="AB65" s="174"/>
      <c r="AC65" s="174"/>
      <c r="AD65" s="174"/>
      <c r="AE65" s="174"/>
      <c r="AF65" s="174"/>
      <c r="AG65" s="174"/>
      <c r="AH65" s="174"/>
      <c r="AI65" s="174"/>
      <c r="AJ65" s="174"/>
      <c r="AK65" s="174"/>
      <c r="AL65" s="174"/>
      <c r="AM65" s="174"/>
      <c r="AN65" s="174"/>
      <c r="AO65" s="174"/>
      <c r="AP65" s="174"/>
      <c r="AQ65" s="174"/>
      <c r="AR65" s="174"/>
      <c r="AS65" s="174"/>
      <c r="AT65" s="174"/>
      <c r="AU65" s="174"/>
      <c r="AV65" s="174"/>
    </row>
    <row r="66" spans="1:48" ht="15" customHeight="1">
      <c r="A66" s="224"/>
      <c r="B66" s="36" t="s">
        <v>63</v>
      </c>
      <c r="C66" s="258"/>
      <c r="D66" s="259"/>
      <c r="E66" s="42"/>
      <c r="F66" s="43"/>
      <c r="G66" s="43"/>
      <c r="H66" s="44"/>
      <c r="I66" s="45"/>
      <c r="J66" s="46"/>
      <c r="K66" s="104"/>
      <c r="AA66" s="174"/>
      <c r="AB66" s="174"/>
      <c r="AC66" s="174"/>
      <c r="AD66" s="174"/>
      <c r="AE66" s="174"/>
      <c r="AF66" s="174"/>
      <c r="AG66" s="174"/>
      <c r="AH66" s="174"/>
      <c r="AI66" s="174"/>
      <c r="AJ66" s="174"/>
      <c r="AK66" s="174"/>
      <c r="AL66" s="174"/>
      <c r="AM66" s="174"/>
      <c r="AN66" s="174"/>
      <c r="AO66" s="174"/>
      <c r="AP66" s="174"/>
      <c r="AQ66" s="174"/>
      <c r="AR66" s="174"/>
      <c r="AS66" s="174"/>
      <c r="AT66" s="174"/>
      <c r="AU66" s="174"/>
      <c r="AV66" s="174"/>
    </row>
    <row r="67" spans="1:48" ht="15" customHeight="1">
      <c r="A67" s="224"/>
      <c r="B67" s="36" t="s">
        <v>64</v>
      </c>
      <c r="C67" s="258"/>
      <c r="D67" s="259"/>
      <c r="E67" s="42"/>
      <c r="F67" s="43"/>
      <c r="G67" s="43"/>
      <c r="H67" s="44"/>
      <c r="I67" s="45"/>
      <c r="J67" s="46"/>
      <c r="K67" s="10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row>
    <row r="68" spans="1:48" ht="15" customHeight="1">
      <c r="A68" s="224"/>
      <c r="B68" s="36" t="s">
        <v>65</v>
      </c>
      <c r="C68" s="258"/>
      <c r="D68" s="192"/>
      <c r="E68" s="42"/>
      <c r="F68" s="43"/>
      <c r="G68" s="43"/>
      <c r="H68" s="44"/>
      <c r="I68" s="45"/>
      <c r="J68" s="46"/>
      <c r="K68" s="104"/>
      <c r="AA68" s="174"/>
      <c r="AB68" s="174"/>
      <c r="AC68" s="174"/>
      <c r="AD68" s="174"/>
      <c r="AE68" s="174"/>
      <c r="AF68" s="174"/>
      <c r="AG68" s="174"/>
      <c r="AH68" s="174"/>
      <c r="AI68" s="174"/>
      <c r="AJ68" s="174"/>
      <c r="AK68" s="174"/>
      <c r="AL68" s="174"/>
      <c r="AM68" s="174"/>
      <c r="AN68" s="174"/>
      <c r="AO68" s="174"/>
      <c r="AP68" s="174"/>
      <c r="AQ68" s="174"/>
      <c r="AR68" s="174"/>
      <c r="AS68" s="174"/>
      <c r="AT68" s="174"/>
      <c r="AU68" s="174"/>
      <c r="AV68" s="174"/>
    </row>
    <row r="69" spans="1:48" ht="15" customHeight="1">
      <c r="A69" s="224"/>
      <c r="B69" s="36" t="s">
        <v>66</v>
      </c>
      <c r="C69" s="258"/>
      <c r="D69" s="192"/>
      <c r="E69" s="42"/>
      <c r="F69" s="43"/>
      <c r="G69" s="43"/>
      <c r="H69" s="44"/>
      <c r="I69" s="45"/>
      <c r="J69" s="46"/>
      <c r="K69" s="10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row>
    <row r="70" spans="1:48" ht="15" customHeight="1">
      <c r="A70" s="224"/>
      <c r="B70" s="36" t="s">
        <v>67</v>
      </c>
      <c r="C70" s="258"/>
      <c r="D70" s="192"/>
      <c r="E70" s="42"/>
      <c r="F70" s="43"/>
      <c r="G70" s="43"/>
      <c r="H70" s="44"/>
      <c r="I70" s="45"/>
      <c r="J70" s="46"/>
      <c r="K70" s="104"/>
      <c r="AA70" s="174"/>
      <c r="AB70" s="174"/>
      <c r="AC70" s="174"/>
      <c r="AD70" s="174"/>
      <c r="AE70" s="174"/>
      <c r="AF70" s="174"/>
      <c r="AG70" s="174"/>
      <c r="AH70" s="174"/>
      <c r="AI70" s="174"/>
      <c r="AJ70" s="174"/>
      <c r="AK70" s="174"/>
      <c r="AL70" s="174"/>
      <c r="AM70" s="174"/>
      <c r="AN70" s="174"/>
      <c r="AO70" s="174"/>
      <c r="AP70" s="174"/>
      <c r="AQ70" s="174"/>
      <c r="AR70" s="174"/>
      <c r="AS70" s="174"/>
      <c r="AT70" s="174"/>
      <c r="AU70" s="174"/>
      <c r="AV70" s="174"/>
    </row>
    <row r="71" spans="1:48" ht="15" customHeight="1">
      <c r="A71" s="224"/>
      <c r="B71" s="36" t="s">
        <v>68</v>
      </c>
      <c r="C71" s="258"/>
      <c r="D71" s="192"/>
      <c r="E71" s="42"/>
      <c r="F71" s="43"/>
      <c r="G71" s="43"/>
      <c r="H71" s="44"/>
      <c r="I71" s="45"/>
      <c r="J71" s="46"/>
      <c r="K71" s="104"/>
      <c r="AA71" s="174"/>
      <c r="AB71" s="174"/>
      <c r="AC71" s="174"/>
      <c r="AD71" s="174"/>
      <c r="AE71" s="174"/>
      <c r="AF71" s="174"/>
      <c r="AG71" s="174"/>
      <c r="AH71" s="174"/>
      <c r="AI71" s="174"/>
      <c r="AJ71" s="174"/>
      <c r="AK71" s="174"/>
      <c r="AL71" s="174"/>
      <c r="AM71" s="174"/>
      <c r="AN71" s="174"/>
      <c r="AO71" s="174"/>
      <c r="AP71" s="174"/>
      <c r="AQ71" s="174"/>
      <c r="AR71" s="174"/>
      <c r="AS71" s="174"/>
      <c r="AT71" s="174"/>
      <c r="AU71" s="174"/>
      <c r="AV71" s="174"/>
    </row>
    <row r="72" spans="1:48" ht="15" customHeight="1">
      <c r="A72" s="224"/>
      <c r="B72" s="36" t="s">
        <v>69</v>
      </c>
      <c r="C72" s="258"/>
      <c r="D72" s="192"/>
      <c r="E72" s="42"/>
      <c r="F72" s="43"/>
      <c r="G72" s="43"/>
      <c r="H72" s="44"/>
      <c r="I72" s="45"/>
      <c r="J72" s="46"/>
      <c r="K72" s="104"/>
      <c r="AA72" s="174"/>
      <c r="AB72" s="174"/>
      <c r="AC72" s="174"/>
      <c r="AD72" s="174"/>
      <c r="AE72" s="174"/>
      <c r="AF72" s="174"/>
      <c r="AG72" s="174"/>
      <c r="AH72" s="174"/>
      <c r="AI72" s="174"/>
      <c r="AJ72" s="174"/>
      <c r="AK72" s="174"/>
      <c r="AL72" s="174"/>
      <c r="AM72" s="174"/>
      <c r="AN72" s="174"/>
      <c r="AO72" s="174"/>
      <c r="AP72" s="174"/>
      <c r="AQ72" s="174"/>
      <c r="AR72" s="174"/>
      <c r="AS72" s="174"/>
      <c r="AT72" s="174"/>
      <c r="AU72" s="174"/>
      <c r="AV72" s="174"/>
    </row>
    <row r="73" spans="1:48" ht="15" customHeight="1">
      <c r="A73" s="255"/>
      <c r="B73" s="47" t="s">
        <v>70</v>
      </c>
      <c r="C73" s="253"/>
      <c r="D73" s="254"/>
      <c r="E73" s="48"/>
      <c r="F73" s="49"/>
      <c r="G73" s="49"/>
      <c r="H73" s="50"/>
      <c r="I73" s="51"/>
      <c r="J73" s="52"/>
      <c r="K73" s="104"/>
      <c r="AA73" s="174"/>
      <c r="AB73" s="174"/>
      <c r="AC73" s="174"/>
      <c r="AD73" s="174"/>
      <c r="AE73" s="174"/>
      <c r="AF73" s="174"/>
      <c r="AG73" s="174"/>
      <c r="AH73" s="174"/>
      <c r="AI73" s="174"/>
      <c r="AJ73" s="174"/>
      <c r="AK73" s="174"/>
      <c r="AL73" s="174"/>
      <c r="AM73" s="174"/>
      <c r="AN73" s="174"/>
      <c r="AO73" s="174"/>
      <c r="AP73" s="174"/>
      <c r="AQ73" s="174"/>
      <c r="AR73" s="174"/>
      <c r="AS73" s="174"/>
      <c r="AT73" s="174"/>
      <c r="AU73" s="174"/>
      <c r="AV73" s="174"/>
    </row>
    <row r="74" spans="1:48" ht="15" customHeight="1">
      <c r="A74" s="189" t="s">
        <v>71</v>
      </c>
      <c r="B74" s="90" t="s">
        <v>72</v>
      </c>
      <c r="C74" s="22"/>
      <c r="D74" s="22"/>
      <c r="E74" s="25"/>
      <c r="F74" s="90" t="s">
        <v>73</v>
      </c>
      <c r="G74" s="22"/>
      <c r="H74" s="53"/>
      <c r="I74" s="22"/>
      <c r="J74" s="26"/>
      <c r="K74" s="96"/>
      <c r="AA74" s="174"/>
      <c r="AB74" s="174"/>
      <c r="AC74" s="174"/>
      <c r="AD74" s="174"/>
      <c r="AE74" s="174"/>
      <c r="AF74" s="174"/>
      <c r="AG74" s="174"/>
      <c r="AH74" s="174"/>
      <c r="AI74" s="174"/>
      <c r="AJ74" s="174"/>
      <c r="AK74" s="174"/>
      <c r="AL74" s="174"/>
      <c r="AM74" s="174"/>
      <c r="AN74" s="174"/>
      <c r="AO74" s="174"/>
      <c r="AP74" s="174"/>
      <c r="AQ74" s="174"/>
      <c r="AR74" s="174"/>
      <c r="AS74" s="174"/>
      <c r="AT74" s="174"/>
      <c r="AU74" s="174"/>
      <c r="AV74" s="174"/>
    </row>
    <row r="75" spans="1:48" ht="15" customHeight="1">
      <c r="A75" s="190"/>
      <c r="B75" s="54" t="s">
        <v>74</v>
      </c>
      <c r="C75" s="55"/>
      <c r="D75" s="55"/>
      <c r="E75" s="56"/>
      <c r="F75" s="57"/>
      <c r="G75" s="58"/>
      <c r="H75" s="58"/>
      <c r="I75" s="58"/>
      <c r="J75" s="59"/>
      <c r="K75" s="105"/>
      <c r="AA75" s="174"/>
      <c r="AB75" s="174"/>
      <c r="AC75" s="174"/>
      <c r="AD75" s="174"/>
      <c r="AE75" s="174"/>
      <c r="AF75" s="174"/>
      <c r="AG75" s="174"/>
      <c r="AH75" s="174"/>
      <c r="AI75" s="174"/>
      <c r="AJ75" s="174"/>
      <c r="AK75" s="174"/>
      <c r="AL75" s="174"/>
      <c r="AM75" s="174"/>
      <c r="AN75" s="174"/>
      <c r="AO75" s="174"/>
      <c r="AP75" s="174"/>
      <c r="AQ75" s="174"/>
      <c r="AR75" s="174"/>
      <c r="AS75" s="174"/>
      <c r="AT75" s="174"/>
      <c r="AU75" s="174"/>
      <c r="AV75" s="174"/>
    </row>
    <row r="76" spans="1:48" ht="15" customHeight="1">
      <c r="A76" s="13"/>
      <c r="B76" s="60" t="s">
        <v>75</v>
      </c>
      <c r="C76" s="61"/>
      <c r="D76" s="61"/>
      <c r="E76" s="62"/>
      <c r="F76" s="63"/>
      <c r="G76" s="64"/>
      <c r="H76" s="64"/>
      <c r="I76" s="65"/>
      <c r="J76" s="66"/>
      <c r="K76" s="106"/>
      <c r="AA76" s="174"/>
      <c r="AB76" s="174"/>
      <c r="AC76" s="174"/>
      <c r="AD76" s="174"/>
      <c r="AE76" s="174"/>
      <c r="AF76" s="174"/>
      <c r="AG76" s="174"/>
      <c r="AH76" s="174"/>
      <c r="AI76" s="174"/>
      <c r="AJ76" s="174"/>
      <c r="AK76" s="174"/>
      <c r="AL76" s="174"/>
      <c r="AM76" s="174"/>
      <c r="AN76" s="174"/>
      <c r="AO76" s="174"/>
      <c r="AP76" s="174"/>
      <c r="AQ76" s="174"/>
      <c r="AR76" s="174"/>
      <c r="AS76" s="174"/>
      <c r="AT76" s="174"/>
      <c r="AU76" s="174"/>
      <c r="AV76" s="174"/>
    </row>
    <row r="77" spans="1:48" ht="15" customHeight="1">
      <c r="A77" s="13"/>
      <c r="B77" s="60" t="s">
        <v>76</v>
      </c>
      <c r="C77" s="61"/>
      <c r="D77" s="61"/>
      <c r="E77" s="62"/>
      <c r="F77" s="63"/>
      <c r="G77" s="64"/>
      <c r="H77" s="64"/>
      <c r="I77" s="65"/>
      <c r="J77" s="66"/>
      <c r="K77" s="106"/>
      <c r="AA77" s="174"/>
      <c r="AB77" s="174"/>
      <c r="AC77" s="174"/>
      <c r="AD77" s="174"/>
      <c r="AE77" s="174"/>
      <c r="AF77" s="174"/>
      <c r="AG77" s="174"/>
      <c r="AH77" s="174"/>
      <c r="AI77" s="174"/>
      <c r="AJ77" s="174"/>
      <c r="AK77" s="174"/>
      <c r="AL77" s="174"/>
      <c r="AM77" s="174"/>
      <c r="AN77" s="174"/>
      <c r="AO77" s="174"/>
      <c r="AP77" s="174"/>
      <c r="AQ77" s="174"/>
      <c r="AR77" s="174"/>
      <c r="AS77" s="174"/>
      <c r="AT77" s="174"/>
      <c r="AU77" s="174"/>
      <c r="AV77" s="174"/>
    </row>
    <row r="78" spans="1:48" ht="15" customHeight="1">
      <c r="A78" s="17"/>
      <c r="B78" s="60" t="s">
        <v>77</v>
      </c>
      <c r="C78" s="61"/>
      <c r="D78" s="67"/>
      <c r="E78" s="68"/>
      <c r="F78" s="69"/>
      <c r="G78" s="64"/>
      <c r="H78" s="70"/>
      <c r="I78" s="70"/>
      <c r="J78" s="71"/>
      <c r="K78" s="106"/>
      <c r="AA78" s="131"/>
      <c r="AB78" s="145"/>
      <c r="AC78" s="142"/>
      <c r="AD78" s="142"/>
      <c r="AE78" s="142"/>
      <c r="AF78" s="142"/>
      <c r="AG78" s="142"/>
      <c r="AH78" s="142"/>
      <c r="AI78" s="142"/>
      <c r="AJ78" s="142"/>
      <c r="AK78" s="142"/>
      <c r="AL78" s="142"/>
      <c r="AM78" s="142"/>
      <c r="AN78" s="142"/>
      <c r="AO78" s="142"/>
      <c r="AP78" s="142"/>
      <c r="AQ78" s="142"/>
      <c r="AR78" s="142"/>
      <c r="AS78" s="142"/>
      <c r="AT78" s="142"/>
      <c r="AU78" s="142"/>
      <c r="AV78" s="142"/>
    </row>
    <row r="79" spans="1:48" ht="15" customHeight="1">
      <c r="A79" s="210" t="s">
        <v>78</v>
      </c>
      <c r="B79" s="87" t="s">
        <v>79</v>
      </c>
      <c r="C79" s="72"/>
      <c r="D79" s="72"/>
      <c r="E79" s="72"/>
      <c r="F79" s="72"/>
      <c r="G79" s="72"/>
      <c r="H79" s="72"/>
      <c r="I79" s="72"/>
      <c r="J79" s="73"/>
      <c r="K79" s="73"/>
      <c r="AA79" s="160">
        <v>0.1</v>
      </c>
      <c r="AB79" s="161" t="s">
        <v>161</v>
      </c>
      <c r="AC79" s="162">
        <v>0</v>
      </c>
      <c r="AD79" s="163">
        <f>AC79/10*$Y79</f>
        <v>0</v>
      </c>
      <c r="AE79" s="162">
        <v>0</v>
      </c>
      <c r="AF79" s="164">
        <f>AE79/10*$Y79</f>
        <v>0</v>
      </c>
      <c r="AG79" s="162">
        <v>0</v>
      </c>
      <c r="AH79" s="165">
        <f>AG79/10*$Y79</f>
        <v>0</v>
      </c>
      <c r="AI79" s="162">
        <v>0</v>
      </c>
      <c r="AJ79" s="166">
        <f>AI79/10*$Y79</f>
        <v>0</v>
      </c>
      <c r="AK79" s="162">
        <v>0</v>
      </c>
      <c r="AL79" s="167">
        <f>AK79/10*$Y79</f>
        <v>0</v>
      </c>
      <c r="AM79" s="162">
        <v>0</v>
      </c>
      <c r="AN79" s="168">
        <f>AM79/10*$Y79</f>
        <v>0</v>
      </c>
      <c r="AO79" s="162">
        <v>0</v>
      </c>
      <c r="AP79" s="169">
        <f>AO79/10*$Y79</f>
        <v>0</v>
      </c>
      <c r="AQ79" s="162">
        <v>0</v>
      </c>
      <c r="AR79" s="170">
        <f>AQ79/10*$Y79</f>
        <v>0</v>
      </c>
      <c r="AS79" s="171">
        <v>0</v>
      </c>
      <c r="AT79" s="172">
        <f>AS79/10*$Y79</f>
        <v>0</v>
      </c>
      <c r="AU79" s="171">
        <v>0</v>
      </c>
      <c r="AV79" s="173">
        <f>AU79/10*$Y79</f>
        <v>0</v>
      </c>
    </row>
    <row r="80" spans="1:48" ht="15" customHeight="1">
      <c r="A80" s="194"/>
      <c r="B80" s="199"/>
      <c r="C80" s="200"/>
      <c r="D80" s="200"/>
      <c r="E80" s="200"/>
      <c r="F80" s="200"/>
      <c r="G80" s="200"/>
      <c r="H80" s="200"/>
      <c r="I80" s="200"/>
      <c r="J80" s="201"/>
      <c r="K80" s="95"/>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row>
    <row r="81" spans="1:48" ht="15" customHeight="1">
      <c r="A81" s="194"/>
      <c r="B81" s="88" t="s">
        <v>80</v>
      </c>
      <c r="C81" s="107"/>
      <c r="D81" s="107"/>
      <c r="E81" s="107"/>
      <c r="F81" s="107"/>
      <c r="G81" s="107"/>
      <c r="H81" s="107"/>
      <c r="I81" s="107"/>
      <c r="J81" s="74"/>
      <c r="K81" s="74"/>
      <c r="AA81" s="174"/>
      <c r="AB81" s="174"/>
      <c r="AC81" s="174"/>
      <c r="AD81" s="174"/>
      <c r="AE81" s="174"/>
      <c r="AF81" s="174"/>
      <c r="AG81" s="174"/>
      <c r="AH81" s="174"/>
      <c r="AI81" s="174"/>
      <c r="AJ81" s="174"/>
      <c r="AK81" s="174"/>
      <c r="AL81" s="174"/>
      <c r="AM81" s="174"/>
      <c r="AN81" s="174"/>
      <c r="AO81" s="174"/>
      <c r="AP81" s="174"/>
      <c r="AQ81" s="174"/>
      <c r="AR81" s="174"/>
      <c r="AS81" s="174"/>
      <c r="AT81" s="174"/>
      <c r="AU81" s="174"/>
      <c r="AV81" s="174"/>
    </row>
    <row r="82" spans="1:48" ht="15" customHeight="1">
      <c r="A82" s="195"/>
      <c r="B82" s="204"/>
      <c r="C82" s="205"/>
      <c r="D82" s="205"/>
      <c r="E82" s="205"/>
      <c r="F82" s="205"/>
      <c r="G82" s="205"/>
      <c r="H82" s="205"/>
      <c r="I82" s="205"/>
      <c r="J82" s="206"/>
      <c r="K82" s="95"/>
      <c r="AA82" s="174"/>
      <c r="AB82" s="174"/>
      <c r="AC82" s="174"/>
      <c r="AD82" s="174"/>
      <c r="AE82" s="174"/>
      <c r="AF82" s="174"/>
      <c r="AG82" s="174"/>
      <c r="AH82" s="174"/>
      <c r="AI82" s="174"/>
      <c r="AJ82" s="174"/>
      <c r="AK82" s="174"/>
      <c r="AL82" s="174"/>
      <c r="AM82" s="174"/>
      <c r="AN82" s="174"/>
      <c r="AO82" s="174"/>
      <c r="AP82" s="174"/>
      <c r="AQ82" s="174"/>
      <c r="AR82" s="174"/>
      <c r="AS82" s="174"/>
      <c r="AT82" s="174"/>
      <c r="AU82" s="174"/>
      <c r="AV82" s="174"/>
    </row>
    <row r="83" spans="1:48" ht="15" customHeight="1">
      <c r="A83" s="210" t="s">
        <v>81</v>
      </c>
      <c r="B83" s="87" t="s">
        <v>82</v>
      </c>
      <c r="C83" s="72"/>
      <c r="D83" s="72"/>
      <c r="E83" s="72"/>
      <c r="F83" s="72"/>
      <c r="G83" s="72"/>
      <c r="H83" s="72"/>
      <c r="I83" s="72"/>
      <c r="J83" s="73"/>
      <c r="K83" s="73"/>
      <c r="AA83" s="160">
        <v>0.05</v>
      </c>
      <c r="AB83" s="161" t="s">
        <v>162</v>
      </c>
      <c r="AC83" s="162">
        <v>0</v>
      </c>
      <c r="AD83" s="163">
        <f>AC83/10*$Y83</f>
        <v>0</v>
      </c>
      <c r="AE83" s="162">
        <v>0</v>
      </c>
      <c r="AF83" s="164">
        <f>AE83/10*$Y83</f>
        <v>0</v>
      </c>
      <c r="AG83" s="162">
        <v>0</v>
      </c>
      <c r="AH83" s="165">
        <f>AG83/10*$Y83</f>
        <v>0</v>
      </c>
      <c r="AI83" s="162">
        <v>0</v>
      </c>
      <c r="AJ83" s="166">
        <f>AI83/10*$Y83</f>
        <v>0</v>
      </c>
      <c r="AK83" s="162">
        <v>0</v>
      </c>
      <c r="AL83" s="167">
        <f>AK83/10*$Y83</f>
        <v>0</v>
      </c>
      <c r="AM83" s="162">
        <v>0</v>
      </c>
      <c r="AN83" s="168">
        <f>AM83/10*$Y83</f>
        <v>0</v>
      </c>
      <c r="AO83" s="162">
        <v>0</v>
      </c>
      <c r="AP83" s="169">
        <f>AO83/10*$Y83</f>
        <v>0</v>
      </c>
      <c r="AQ83" s="162">
        <v>0</v>
      </c>
      <c r="AR83" s="170">
        <f>AQ83/10*$Y83</f>
        <v>0</v>
      </c>
      <c r="AS83" s="171">
        <v>0</v>
      </c>
      <c r="AT83" s="172">
        <f>AS83/10*$Y83</f>
        <v>0</v>
      </c>
      <c r="AU83" s="171">
        <v>0</v>
      </c>
      <c r="AV83" s="173">
        <f>AU83/10*$Y83</f>
        <v>0</v>
      </c>
    </row>
    <row r="84" spans="1:48" ht="15" customHeight="1">
      <c r="A84" s="194"/>
      <c r="B84" s="199"/>
      <c r="C84" s="200"/>
      <c r="D84" s="200"/>
      <c r="E84" s="200"/>
      <c r="F84" s="200"/>
      <c r="G84" s="200"/>
      <c r="H84" s="200"/>
      <c r="I84" s="200"/>
      <c r="J84" s="201"/>
      <c r="K84" s="95"/>
      <c r="AA84" s="174"/>
      <c r="AB84" s="174"/>
      <c r="AC84" s="174"/>
      <c r="AD84" s="174"/>
      <c r="AE84" s="174"/>
      <c r="AF84" s="174"/>
      <c r="AG84" s="174"/>
      <c r="AH84" s="174"/>
      <c r="AI84" s="174"/>
      <c r="AJ84" s="174"/>
      <c r="AK84" s="174"/>
      <c r="AL84" s="174"/>
      <c r="AM84" s="174"/>
      <c r="AN84" s="174"/>
      <c r="AO84" s="174"/>
      <c r="AP84" s="174"/>
      <c r="AQ84" s="174"/>
      <c r="AR84" s="174"/>
      <c r="AS84" s="174"/>
      <c r="AT84" s="174"/>
      <c r="AU84" s="174"/>
      <c r="AV84" s="174"/>
    </row>
    <row r="85" spans="1:48" ht="26.5" customHeight="1">
      <c r="A85" s="194"/>
      <c r="B85" s="214" t="s">
        <v>83</v>
      </c>
      <c r="C85" s="215"/>
      <c r="D85" s="215"/>
      <c r="E85" s="215"/>
      <c r="F85" s="215"/>
      <c r="G85" s="215"/>
      <c r="H85" s="215"/>
      <c r="I85" s="215"/>
      <c r="J85" s="216"/>
      <c r="K85" s="74"/>
      <c r="AA85" s="174"/>
      <c r="AB85" s="174"/>
      <c r="AC85" s="174"/>
      <c r="AD85" s="174"/>
      <c r="AE85" s="174"/>
      <c r="AF85" s="174"/>
      <c r="AG85" s="174"/>
      <c r="AH85" s="174"/>
      <c r="AI85" s="174"/>
      <c r="AJ85" s="174"/>
      <c r="AK85" s="174"/>
      <c r="AL85" s="174"/>
      <c r="AM85" s="174"/>
      <c r="AN85" s="174"/>
      <c r="AO85" s="174"/>
      <c r="AP85" s="174"/>
      <c r="AQ85" s="174"/>
      <c r="AR85" s="174"/>
      <c r="AS85" s="174"/>
      <c r="AT85" s="174"/>
      <c r="AU85" s="174"/>
      <c r="AV85" s="174"/>
    </row>
    <row r="86" spans="1:48" ht="15" customHeight="1">
      <c r="A86" s="195"/>
      <c r="B86" s="204"/>
      <c r="C86" s="205"/>
      <c r="D86" s="205"/>
      <c r="E86" s="205"/>
      <c r="F86" s="205"/>
      <c r="G86" s="205"/>
      <c r="H86" s="205"/>
      <c r="I86" s="205"/>
      <c r="J86" s="206"/>
      <c r="K86" s="95"/>
      <c r="AA86" s="174"/>
      <c r="AB86" s="174"/>
      <c r="AC86" s="174"/>
      <c r="AD86" s="174"/>
      <c r="AE86" s="174"/>
      <c r="AF86" s="174"/>
      <c r="AG86" s="174"/>
      <c r="AH86" s="174"/>
      <c r="AI86" s="174"/>
      <c r="AJ86" s="174"/>
      <c r="AK86" s="174"/>
      <c r="AL86" s="174"/>
      <c r="AM86" s="174"/>
      <c r="AN86" s="174"/>
      <c r="AO86" s="174"/>
      <c r="AP86" s="174"/>
      <c r="AQ86" s="174"/>
      <c r="AR86" s="174"/>
      <c r="AS86" s="174"/>
      <c r="AT86" s="174"/>
      <c r="AU86" s="174"/>
      <c r="AV86" s="174"/>
    </row>
    <row r="87" spans="1:48" ht="15" customHeight="1">
      <c r="A87" s="210" t="s">
        <v>84</v>
      </c>
      <c r="B87" s="196" t="s">
        <v>85</v>
      </c>
      <c r="C87" s="197"/>
      <c r="D87" s="197"/>
      <c r="E87" s="197"/>
      <c r="F87" s="197"/>
      <c r="G87" s="197"/>
      <c r="H87" s="197"/>
      <c r="I87" s="197"/>
      <c r="J87" s="198"/>
      <c r="K87" s="73"/>
      <c r="AA87" s="175"/>
      <c r="AB87" s="176"/>
      <c r="AC87" s="177"/>
      <c r="AD87" s="177"/>
      <c r="AE87" s="177"/>
      <c r="AF87" s="177"/>
      <c r="AG87" s="177"/>
      <c r="AH87" s="177"/>
      <c r="AI87" s="177"/>
      <c r="AJ87" s="177"/>
      <c r="AK87" s="177"/>
      <c r="AL87" s="177"/>
      <c r="AM87" s="177"/>
      <c r="AN87" s="177"/>
      <c r="AO87" s="177"/>
      <c r="AP87" s="177"/>
      <c r="AQ87" s="177"/>
      <c r="AR87" s="177"/>
      <c r="AS87" s="177"/>
      <c r="AT87" s="177"/>
      <c r="AU87" s="177"/>
      <c r="AV87" s="177"/>
    </row>
    <row r="88" spans="1:48" ht="15" customHeight="1">
      <c r="A88" s="194"/>
      <c r="B88" s="211"/>
      <c r="C88" s="212"/>
      <c r="D88" s="212"/>
      <c r="E88" s="212"/>
      <c r="F88" s="212"/>
      <c r="G88" s="212"/>
      <c r="H88" s="212"/>
      <c r="I88" s="212"/>
      <c r="J88" s="213"/>
      <c r="K88" s="95"/>
      <c r="AA88" s="131"/>
      <c r="AB88" s="145"/>
      <c r="AC88" s="142"/>
      <c r="AD88" s="142"/>
      <c r="AE88" s="142"/>
      <c r="AF88" s="142"/>
      <c r="AG88" s="142"/>
      <c r="AH88" s="142"/>
      <c r="AI88" s="142"/>
      <c r="AJ88" s="142"/>
      <c r="AK88" s="142"/>
      <c r="AL88" s="142"/>
      <c r="AM88" s="142"/>
      <c r="AN88" s="142"/>
      <c r="AO88" s="142"/>
      <c r="AP88" s="142"/>
      <c r="AQ88" s="142"/>
      <c r="AR88" s="142"/>
      <c r="AS88" s="142"/>
      <c r="AT88" s="142"/>
      <c r="AU88" s="142"/>
      <c r="AV88" s="142"/>
    </row>
    <row r="89" spans="1:48" ht="15" customHeight="1">
      <c r="A89" s="194"/>
      <c r="B89" s="202" t="s">
        <v>86</v>
      </c>
      <c r="C89" s="184"/>
      <c r="D89" s="184"/>
      <c r="E89" s="184"/>
      <c r="F89" s="184"/>
      <c r="G89" s="184"/>
      <c r="H89" s="184"/>
      <c r="I89" s="184"/>
      <c r="J89" s="203"/>
      <c r="K89" s="74"/>
      <c r="AA89" s="131"/>
      <c r="AB89" s="145"/>
      <c r="AC89" s="142"/>
      <c r="AD89" s="142"/>
      <c r="AE89" s="142"/>
      <c r="AF89" s="142"/>
      <c r="AG89" s="142"/>
      <c r="AH89" s="142"/>
      <c r="AI89" s="142"/>
      <c r="AJ89" s="142"/>
      <c r="AK89" s="142"/>
      <c r="AL89" s="142"/>
      <c r="AM89" s="142"/>
      <c r="AN89" s="142"/>
      <c r="AO89" s="142"/>
      <c r="AP89" s="142"/>
      <c r="AQ89" s="142"/>
      <c r="AR89" s="142"/>
      <c r="AS89" s="142"/>
      <c r="AT89" s="142"/>
      <c r="AU89" s="142"/>
      <c r="AV89" s="142"/>
    </row>
    <row r="90" spans="1:48" ht="15" customHeight="1">
      <c r="A90" s="194"/>
      <c r="B90" s="199"/>
      <c r="C90" s="200"/>
      <c r="D90" s="200"/>
      <c r="E90" s="200"/>
      <c r="F90" s="200"/>
      <c r="G90" s="200"/>
      <c r="H90" s="200"/>
      <c r="I90" s="200"/>
      <c r="J90" s="201"/>
      <c r="K90" s="95"/>
      <c r="AA90" s="131"/>
      <c r="AB90" s="145"/>
      <c r="AC90" s="142"/>
      <c r="AD90" s="142"/>
      <c r="AE90" s="142"/>
      <c r="AF90" s="142"/>
      <c r="AG90" s="142"/>
      <c r="AH90" s="142"/>
      <c r="AI90" s="142"/>
      <c r="AJ90" s="142"/>
      <c r="AK90" s="142"/>
      <c r="AL90" s="142"/>
      <c r="AM90" s="142"/>
      <c r="AN90" s="142"/>
      <c r="AO90" s="142"/>
      <c r="AP90" s="142"/>
      <c r="AQ90" s="142"/>
      <c r="AR90" s="142"/>
      <c r="AS90" s="142"/>
      <c r="AT90" s="142"/>
      <c r="AU90" s="142"/>
      <c r="AV90" s="142"/>
    </row>
    <row r="91" spans="1:48" ht="15" customHeight="1">
      <c r="A91" s="194"/>
      <c r="B91" s="202" t="s">
        <v>87</v>
      </c>
      <c r="C91" s="184"/>
      <c r="D91" s="184"/>
      <c r="E91" s="184"/>
      <c r="F91" s="184"/>
      <c r="G91" s="184"/>
      <c r="H91" s="184"/>
      <c r="I91" s="184"/>
      <c r="J91" s="203"/>
      <c r="K91" s="74"/>
      <c r="AA91" s="131"/>
      <c r="AB91" s="145"/>
      <c r="AC91" s="142"/>
      <c r="AD91" s="142"/>
      <c r="AE91" s="142"/>
      <c r="AF91" s="142"/>
      <c r="AG91" s="142"/>
      <c r="AH91" s="142"/>
      <c r="AI91" s="142"/>
      <c r="AJ91" s="142"/>
      <c r="AK91" s="142"/>
      <c r="AL91" s="142"/>
      <c r="AM91" s="142"/>
      <c r="AN91" s="142"/>
      <c r="AO91" s="142"/>
      <c r="AP91" s="142"/>
      <c r="AQ91" s="142"/>
      <c r="AR91" s="142"/>
      <c r="AS91" s="142"/>
      <c r="AT91" s="142"/>
      <c r="AU91" s="142"/>
      <c r="AV91" s="142"/>
    </row>
    <row r="92" spans="1:48" ht="15" customHeight="1">
      <c r="A92" s="194"/>
      <c r="B92" s="199"/>
      <c r="C92" s="200"/>
      <c r="D92" s="200"/>
      <c r="E92" s="200"/>
      <c r="F92" s="200"/>
      <c r="G92" s="200"/>
      <c r="H92" s="200"/>
      <c r="I92" s="200"/>
      <c r="J92" s="201"/>
      <c r="K92" s="95"/>
      <c r="AA92" s="131"/>
      <c r="AB92" s="145"/>
      <c r="AC92" s="142"/>
      <c r="AD92" s="142"/>
      <c r="AE92" s="142"/>
      <c r="AF92" s="142"/>
      <c r="AG92" s="142"/>
      <c r="AH92" s="142"/>
      <c r="AI92" s="142"/>
      <c r="AJ92" s="142"/>
      <c r="AK92" s="142"/>
      <c r="AL92" s="142"/>
      <c r="AM92" s="142"/>
      <c r="AN92" s="142"/>
      <c r="AO92" s="142"/>
      <c r="AP92" s="142"/>
      <c r="AQ92" s="142"/>
      <c r="AR92" s="142"/>
      <c r="AS92" s="142"/>
      <c r="AT92" s="142"/>
      <c r="AU92" s="142"/>
      <c r="AV92" s="142"/>
    </row>
    <row r="93" spans="1:48" ht="35">
      <c r="A93" s="194"/>
      <c r="B93" s="214" t="s">
        <v>88</v>
      </c>
      <c r="C93" s="215"/>
      <c r="D93" s="215"/>
      <c r="E93" s="215"/>
      <c r="F93" s="215"/>
      <c r="G93" s="215"/>
      <c r="H93" s="215"/>
      <c r="I93" s="215"/>
      <c r="J93" s="216"/>
      <c r="K93" s="95"/>
      <c r="AA93" s="131"/>
      <c r="AB93" s="145"/>
      <c r="AC93" s="142"/>
      <c r="AD93" s="142"/>
      <c r="AE93" s="142"/>
      <c r="AF93" s="142"/>
      <c r="AG93" s="142"/>
      <c r="AH93" s="142"/>
      <c r="AI93" s="142"/>
      <c r="AJ93" s="142"/>
      <c r="AK93" s="142"/>
      <c r="AL93" s="142"/>
      <c r="AM93" s="142"/>
      <c r="AN93" s="142"/>
      <c r="AO93" s="142"/>
      <c r="AP93" s="142"/>
      <c r="AQ93" s="142"/>
      <c r="AR93" s="142"/>
      <c r="AS93" s="142"/>
      <c r="AT93" s="142"/>
      <c r="AU93" s="142"/>
      <c r="AV93" s="142"/>
    </row>
    <row r="94" spans="1:48" ht="15" customHeight="1">
      <c r="A94" s="194"/>
      <c r="B94" s="85"/>
      <c r="C94" s="91"/>
      <c r="D94" s="91"/>
      <c r="E94" s="91"/>
      <c r="F94" s="91"/>
      <c r="G94" s="91"/>
      <c r="H94" s="91"/>
      <c r="I94" s="91"/>
      <c r="J94" s="86"/>
      <c r="K94" s="95"/>
      <c r="AA94" s="131"/>
      <c r="AB94" s="145"/>
      <c r="AC94" s="142"/>
      <c r="AD94" s="142"/>
      <c r="AE94" s="142"/>
      <c r="AF94" s="142"/>
      <c r="AG94" s="142"/>
      <c r="AH94" s="142"/>
      <c r="AI94" s="142"/>
      <c r="AJ94" s="142"/>
      <c r="AK94" s="142"/>
      <c r="AL94" s="142"/>
      <c r="AM94" s="142"/>
      <c r="AN94" s="142"/>
      <c r="AO94" s="142"/>
      <c r="AP94" s="142"/>
      <c r="AQ94" s="142"/>
      <c r="AR94" s="142"/>
      <c r="AS94" s="142"/>
      <c r="AT94" s="142"/>
      <c r="AU94" s="142"/>
      <c r="AV94" s="142"/>
    </row>
    <row r="95" spans="1:48" ht="35">
      <c r="A95" s="189" t="s">
        <v>89</v>
      </c>
      <c r="B95" s="221" t="s">
        <v>90</v>
      </c>
      <c r="C95" s="222"/>
      <c r="D95" s="222"/>
      <c r="E95" s="222"/>
      <c r="F95" s="222"/>
      <c r="G95" s="222"/>
      <c r="H95" s="222"/>
      <c r="I95" s="222"/>
      <c r="J95" s="223"/>
      <c r="K95" s="73"/>
      <c r="AA95" s="131"/>
      <c r="AB95" s="145"/>
      <c r="AC95" s="142"/>
      <c r="AD95" s="142"/>
      <c r="AE95" s="142"/>
      <c r="AF95" s="142"/>
      <c r="AG95" s="142"/>
      <c r="AH95" s="142"/>
      <c r="AI95" s="142"/>
      <c r="AJ95" s="142"/>
      <c r="AK95" s="142"/>
      <c r="AL95" s="142"/>
      <c r="AM95" s="142"/>
      <c r="AN95" s="142"/>
      <c r="AO95" s="142"/>
      <c r="AP95" s="142"/>
      <c r="AQ95" s="142"/>
      <c r="AR95" s="142"/>
      <c r="AS95" s="142"/>
      <c r="AT95" s="142"/>
      <c r="AU95" s="142"/>
      <c r="AV95" s="142"/>
    </row>
    <row r="96" spans="1:48" ht="15" customHeight="1">
      <c r="A96" s="269"/>
      <c r="B96" s="199"/>
      <c r="C96" s="200"/>
      <c r="D96" s="200"/>
      <c r="E96" s="200"/>
      <c r="F96" s="200"/>
      <c r="G96" s="200"/>
      <c r="H96" s="200"/>
      <c r="I96" s="200"/>
      <c r="J96" s="201"/>
      <c r="K96" s="95"/>
      <c r="AA96" s="131"/>
      <c r="AB96" s="145"/>
      <c r="AC96" s="142"/>
      <c r="AD96" s="142"/>
      <c r="AE96" s="142"/>
      <c r="AF96" s="142"/>
      <c r="AG96" s="142"/>
      <c r="AH96" s="142"/>
      <c r="AI96" s="142"/>
      <c r="AJ96" s="142"/>
      <c r="AK96" s="142"/>
      <c r="AL96" s="142"/>
      <c r="AM96" s="142"/>
      <c r="AN96" s="142"/>
      <c r="AO96" s="142"/>
      <c r="AP96" s="142"/>
      <c r="AQ96" s="142"/>
      <c r="AR96" s="142"/>
      <c r="AS96" s="142"/>
      <c r="AT96" s="142"/>
      <c r="AU96" s="142"/>
      <c r="AV96" s="142"/>
    </row>
    <row r="97" spans="1:48" ht="35">
      <c r="A97" s="269"/>
      <c r="B97" s="214" t="s">
        <v>91</v>
      </c>
      <c r="C97" s="215"/>
      <c r="D97" s="215"/>
      <c r="E97" s="215"/>
      <c r="F97" s="215"/>
      <c r="G97" s="215"/>
      <c r="H97" s="215"/>
      <c r="I97" s="215"/>
      <c r="J97" s="216"/>
      <c r="K97" s="73"/>
      <c r="AA97" s="131"/>
      <c r="AB97" s="145"/>
      <c r="AC97" s="142"/>
      <c r="AD97" s="142"/>
      <c r="AE97" s="142"/>
      <c r="AF97" s="142"/>
      <c r="AG97" s="142"/>
      <c r="AH97" s="142"/>
      <c r="AI97" s="142"/>
      <c r="AJ97" s="142"/>
      <c r="AK97" s="142"/>
      <c r="AL97" s="142"/>
      <c r="AM97" s="142"/>
      <c r="AN97" s="142"/>
      <c r="AO97" s="142"/>
      <c r="AP97" s="142"/>
      <c r="AQ97" s="142"/>
      <c r="AR97" s="142"/>
      <c r="AS97" s="142"/>
      <c r="AT97" s="142"/>
      <c r="AU97" s="142"/>
      <c r="AV97" s="142"/>
    </row>
    <row r="98" spans="1:48" ht="15" customHeight="1">
      <c r="A98" s="270"/>
      <c r="B98" s="204"/>
      <c r="C98" s="205"/>
      <c r="D98" s="205"/>
      <c r="E98" s="205"/>
      <c r="F98" s="205"/>
      <c r="G98" s="205"/>
      <c r="H98" s="205"/>
      <c r="I98" s="205"/>
      <c r="J98" s="206"/>
      <c r="K98" s="95"/>
      <c r="AA98" s="131"/>
      <c r="AB98" s="145"/>
      <c r="AC98" s="142"/>
      <c r="AD98" s="142"/>
      <c r="AE98" s="142"/>
      <c r="AF98" s="142"/>
      <c r="AG98" s="142"/>
      <c r="AH98" s="142"/>
      <c r="AI98" s="142"/>
      <c r="AJ98" s="142"/>
      <c r="AK98" s="142"/>
      <c r="AL98" s="142"/>
      <c r="AM98" s="142"/>
      <c r="AN98" s="142"/>
      <c r="AO98" s="142"/>
      <c r="AP98" s="142"/>
      <c r="AQ98" s="142"/>
      <c r="AR98" s="142"/>
      <c r="AS98" s="142"/>
      <c r="AT98" s="142"/>
      <c r="AU98" s="142"/>
      <c r="AV98" s="142"/>
    </row>
    <row r="99" spans="1:48" ht="16.25" customHeight="1">
      <c r="A99" s="75"/>
      <c r="J99" s="76"/>
      <c r="K99" s="108"/>
      <c r="AA99" s="131"/>
      <c r="AB99" s="145"/>
      <c r="AC99" s="142"/>
      <c r="AD99" s="142"/>
      <c r="AE99" s="142"/>
      <c r="AF99" s="142"/>
      <c r="AG99" s="142"/>
      <c r="AH99" s="142"/>
      <c r="AI99" s="142"/>
      <c r="AJ99" s="142"/>
      <c r="AK99" s="142"/>
      <c r="AL99" s="142"/>
      <c r="AM99" s="142"/>
      <c r="AN99" s="142"/>
      <c r="AO99" s="142"/>
      <c r="AP99" s="142"/>
      <c r="AQ99" s="142"/>
      <c r="AR99" s="142"/>
      <c r="AS99" s="142"/>
      <c r="AT99" s="142"/>
      <c r="AU99" s="142"/>
      <c r="AV99" s="142"/>
    </row>
    <row r="100" spans="1:48" ht="16.25" customHeight="1">
      <c r="A100" s="75"/>
      <c r="B100" s="2" t="s">
        <v>92</v>
      </c>
      <c r="C100" s="3"/>
      <c r="D100" s="3"/>
      <c r="E100" s="3"/>
      <c r="F100" s="3"/>
      <c r="G100" s="3"/>
      <c r="H100" s="3"/>
      <c r="I100" s="3"/>
      <c r="J100" s="4"/>
      <c r="K100" s="108"/>
      <c r="AA100" s="131"/>
      <c r="AB100" s="145"/>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row>
    <row r="101" spans="1:48" ht="15" customHeight="1">
      <c r="A101" s="210" t="s">
        <v>93</v>
      </c>
      <c r="B101" s="196" t="s">
        <v>94</v>
      </c>
      <c r="C101" s="197"/>
      <c r="D101" s="197"/>
      <c r="E101" s="197"/>
      <c r="F101" s="197"/>
      <c r="G101" s="197"/>
      <c r="H101" s="197"/>
      <c r="I101" s="197"/>
      <c r="J101" s="198"/>
      <c r="K101" s="73"/>
      <c r="AA101" s="131"/>
      <c r="AB101" s="145"/>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row>
    <row r="102" spans="1:48" ht="15" customHeight="1">
      <c r="A102" s="268"/>
      <c r="B102" s="90" t="s">
        <v>95</v>
      </c>
      <c r="C102" s="226"/>
      <c r="D102" s="226"/>
      <c r="E102" s="226"/>
      <c r="F102" s="226"/>
      <c r="G102" s="226"/>
      <c r="H102" s="226"/>
      <c r="I102" s="226"/>
      <c r="J102" s="227"/>
      <c r="K102" s="89"/>
      <c r="AA102" s="131"/>
      <c r="AB102" s="145"/>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row>
    <row r="103" spans="1:48" ht="15" customHeight="1">
      <c r="A103" s="268"/>
      <c r="B103" s="90" t="s">
        <v>96</v>
      </c>
      <c r="C103" s="226"/>
      <c r="D103" s="226"/>
      <c r="E103" s="226"/>
      <c r="F103" s="226"/>
      <c r="G103" s="226"/>
      <c r="H103" s="226"/>
      <c r="I103" s="226"/>
      <c r="J103" s="228"/>
      <c r="K103" s="89"/>
      <c r="AA103" s="131"/>
      <c r="AB103" s="145"/>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row>
    <row r="104" spans="1:48" ht="15" customHeight="1">
      <c r="A104" s="268"/>
      <c r="B104" s="90" t="s">
        <v>39</v>
      </c>
      <c r="C104" s="226"/>
      <c r="D104" s="226"/>
      <c r="E104" s="226"/>
      <c r="F104" s="226"/>
      <c r="G104" s="226"/>
      <c r="H104" s="226"/>
      <c r="I104" s="226"/>
      <c r="J104" s="228"/>
      <c r="K104" s="89"/>
      <c r="AA104" s="131"/>
      <c r="AB104" s="145"/>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row>
    <row r="105" spans="1:48" ht="29.5" customHeight="1">
      <c r="A105" s="194"/>
      <c r="B105" s="214" t="s">
        <v>97</v>
      </c>
      <c r="C105" s="215"/>
      <c r="D105" s="215"/>
      <c r="E105" s="215"/>
      <c r="F105" s="215"/>
      <c r="G105" s="215"/>
      <c r="H105" s="215"/>
      <c r="I105" s="215"/>
      <c r="J105" s="216"/>
      <c r="K105" s="74"/>
      <c r="AA105" s="131"/>
      <c r="AB105" s="145"/>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row>
    <row r="106" spans="1:48" ht="15" customHeight="1">
      <c r="A106" s="194"/>
      <c r="B106" s="199"/>
      <c r="C106" s="200"/>
      <c r="D106" s="200"/>
      <c r="E106" s="200"/>
      <c r="F106" s="200"/>
      <c r="G106" s="200"/>
      <c r="H106" s="200"/>
      <c r="I106" s="200"/>
      <c r="J106" s="201"/>
      <c r="K106" s="95"/>
      <c r="AA106" s="131"/>
      <c r="AB106" s="145"/>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row>
    <row r="107" spans="1:48" ht="15" customHeight="1">
      <c r="A107" s="269"/>
      <c r="B107" s="202" t="s">
        <v>98</v>
      </c>
      <c r="C107" s="184"/>
      <c r="D107" s="184"/>
      <c r="E107" s="184"/>
      <c r="F107" s="184"/>
      <c r="G107" s="184"/>
      <c r="H107" s="184"/>
      <c r="I107" s="184"/>
      <c r="J107" s="203"/>
      <c r="K107" s="74"/>
      <c r="AA107" s="131"/>
      <c r="AB107" s="145"/>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row>
    <row r="108" spans="1:48" ht="15" customHeight="1">
      <c r="A108" s="269"/>
      <c r="B108" s="199"/>
      <c r="C108" s="200"/>
      <c r="D108" s="200"/>
      <c r="E108" s="200"/>
      <c r="F108" s="200"/>
      <c r="G108" s="200"/>
      <c r="H108" s="200"/>
      <c r="I108" s="200"/>
      <c r="J108" s="201"/>
      <c r="K108" s="95"/>
      <c r="AA108" s="131"/>
      <c r="AB108" s="145"/>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row>
    <row r="109" spans="1:48" ht="15" customHeight="1">
      <c r="A109" s="269"/>
      <c r="B109" s="202" t="s">
        <v>99</v>
      </c>
      <c r="C109" s="184"/>
      <c r="D109" s="184"/>
      <c r="E109" s="184"/>
      <c r="F109" s="184"/>
      <c r="G109" s="184"/>
      <c r="H109" s="184"/>
      <c r="I109" s="184"/>
      <c r="J109" s="203"/>
      <c r="K109" s="74"/>
      <c r="AA109" s="131"/>
      <c r="AB109" s="145"/>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row>
    <row r="110" spans="1:48" ht="15" customHeight="1">
      <c r="A110" s="269"/>
      <c r="B110" s="199"/>
      <c r="C110" s="200"/>
      <c r="D110" s="200"/>
      <c r="E110" s="200"/>
      <c r="F110" s="200"/>
      <c r="G110" s="200"/>
      <c r="H110" s="200"/>
      <c r="I110" s="200"/>
      <c r="J110" s="201"/>
      <c r="K110" s="95"/>
      <c r="AA110" s="131"/>
      <c r="AB110" s="145"/>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row>
    <row r="111" spans="1:48" ht="15" customHeight="1">
      <c r="A111" s="269"/>
      <c r="B111" s="202" t="s">
        <v>100</v>
      </c>
      <c r="C111" s="184"/>
      <c r="D111" s="184"/>
      <c r="E111" s="184"/>
      <c r="F111" s="184"/>
      <c r="G111" s="184"/>
      <c r="H111" s="184"/>
      <c r="I111" s="184"/>
      <c r="J111" s="203"/>
      <c r="K111" s="74"/>
      <c r="AA111" s="131"/>
      <c r="AB111" s="145"/>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row>
    <row r="112" spans="1:48" ht="15" customHeight="1">
      <c r="A112" s="270"/>
      <c r="B112" s="199"/>
      <c r="C112" s="200"/>
      <c r="D112" s="200"/>
      <c r="E112" s="200"/>
      <c r="F112" s="200"/>
      <c r="G112" s="200"/>
      <c r="H112" s="200"/>
      <c r="I112" s="200"/>
      <c r="J112" s="201"/>
      <c r="K112" s="95"/>
      <c r="AA112" s="131"/>
      <c r="AB112" s="145"/>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row>
    <row r="113" spans="1:48" ht="15" customHeight="1">
      <c r="A113" s="210" t="s">
        <v>101</v>
      </c>
      <c r="B113" s="196" t="s">
        <v>102</v>
      </c>
      <c r="C113" s="197"/>
      <c r="D113" s="197"/>
      <c r="E113" s="197"/>
      <c r="F113" s="197"/>
      <c r="G113" s="197"/>
      <c r="H113" s="197"/>
      <c r="I113" s="197"/>
      <c r="J113" s="198"/>
      <c r="K113" s="73"/>
      <c r="AA113" s="131"/>
      <c r="AB113" s="145"/>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row>
    <row r="114" spans="1:48" ht="15" customHeight="1">
      <c r="A114" s="194"/>
      <c r="B114" s="211"/>
      <c r="C114" s="212"/>
      <c r="D114" s="212"/>
      <c r="E114" s="212"/>
      <c r="F114" s="212"/>
      <c r="G114" s="212"/>
      <c r="H114" s="212"/>
      <c r="I114" s="212"/>
      <c r="J114" s="213"/>
      <c r="K114" s="95"/>
      <c r="AA114" s="131"/>
      <c r="AB114" s="145"/>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row>
    <row r="115" spans="1:48" ht="29.5" customHeight="1">
      <c r="A115" s="194"/>
      <c r="B115" s="214" t="s">
        <v>103</v>
      </c>
      <c r="C115" s="266"/>
      <c r="D115" s="266"/>
      <c r="E115" s="266"/>
      <c r="F115" s="266"/>
      <c r="G115" s="266"/>
      <c r="H115" s="266"/>
      <c r="I115" s="266"/>
      <c r="J115" s="267"/>
      <c r="K115" s="74"/>
      <c r="AA115" s="131"/>
      <c r="AB115" s="145"/>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row>
    <row r="116" spans="1:48" ht="15" customHeight="1">
      <c r="A116" s="194"/>
      <c r="B116" s="211"/>
      <c r="C116" s="212"/>
      <c r="D116" s="212"/>
      <c r="E116" s="212"/>
      <c r="F116" s="212"/>
      <c r="G116" s="212"/>
      <c r="H116" s="212"/>
      <c r="I116" s="212"/>
      <c r="J116" s="213"/>
      <c r="K116" s="95"/>
      <c r="AA116" s="131"/>
      <c r="AB116" s="145"/>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row>
    <row r="117" spans="1:48" ht="35">
      <c r="A117" s="194"/>
      <c r="B117" s="214" t="s">
        <v>104</v>
      </c>
      <c r="C117" s="266"/>
      <c r="D117" s="266"/>
      <c r="E117" s="266"/>
      <c r="F117" s="266"/>
      <c r="G117" s="266"/>
      <c r="H117" s="266"/>
      <c r="I117" s="266"/>
      <c r="J117" s="267"/>
      <c r="K117" s="74"/>
      <c r="AA117" s="131"/>
      <c r="AB117" s="145"/>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row>
    <row r="118" spans="1:48" ht="15" customHeight="1">
      <c r="A118" s="195"/>
      <c r="B118" s="211"/>
      <c r="C118" s="212"/>
      <c r="D118" s="212"/>
      <c r="E118" s="212"/>
      <c r="F118" s="212"/>
      <c r="G118" s="212"/>
      <c r="H118" s="212"/>
      <c r="I118" s="212"/>
      <c r="J118" s="213"/>
      <c r="K118" s="95"/>
      <c r="AA118" s="131"/>
      <c r="AB118" s="145"/>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row>
    <row r="119" spans="1:48" ht="15" customHeight="1">
      <c r="A119" s="20" t="s">
        <v>105</v>
      </c>
      <c r="B119" s="196" t="s">
        <v>106</v>
      </c>
      <c r="C119" s="197"/>
      <c r="D119" s="197"/>
      <c r="E119" s="197"/>
      <c r="F119" s="197"/>
      <c r="G119" s="197"/>
      <c r="H119" s="197"/>
      <c r="I119" s="197"/>
      <c r="J119" s="198"/>
      <c r="K119" s="73"/>
      <c r="AA119" s="131"/>
      <c r="AB119" s="145"/>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row>
    <row r="120" spans="1:48" ht="15" customHeight="1">
      <c r="A120" s="21"/>
      <c r="B120" s="211"/>
      <c r="C120" s="212"/>
      <c r="D120" s="212"/>
      <c r="E120" s="212"/>
      <c r="F120" s="212"/>
      <c r="G120" s="212"/>
      <c r="H120" s="212"/>
      <c r="I120" s="212"/>
      <c r="J120" s="213"/>
      <c r="K120" s="95"/>
      <c r="AA120" s="131"/>
      <c r="AB120" s="145"/>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row>
    <row r="121" spans="1:48" ht="35">
      <c r="A121" s="21"/>
      <c r="B121" s="214" t="s">
        <v>107</v>
      </c>
      <c r="C121" s="215"/>
      <c r="D121" s="215"/>
      <c r="E121" s="215"/>
      <c r="F121" s="215"/>
      <c r="G121" s="215"/>
      <c r="H121" s="215"/>
      <c r="I121" s="215"/>
      <c r="J121" s="216"/>
      <c r="K121" s="74"/>
      <c r="AA121" s="131"/>
      <c r="AB121" s="145"/>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row>
    <row r="122" spans="1:48" ht="15" customHeight="1">
      <c r="A122" s="21"/>
      <c r="B122" s="199"/>
      <c r="C122" s="200"/>
      <c r="D122" s="200"/>
      <c r="E122" s="200"/>
      <c r="F122" s="200"/>
      <c r="G122" s="200"/>
      <c r="H122" s="200"/>
      <c r="I122" s="200"/>
      <c r="J122" s="201"/>
      <c r="K122" s="95"/>
      <c r="AA122" s="131"/>
      <c r="AB122" s="145"/>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row>
    <row r="123" spans="1:48" ht="35">
      <c r="A123" s="21"/>
      <c r="B123" s="214" t="s">
        <v>108</v>
      </c>
      <c r="C123" s="215"/>
      <c r="D123" s="215"/>
      <c r="E123" s="215"/>
      <c r="F123" s="215"/>
      <c r="G123" s="215"/>
      <c r="H123" s="215"/>
      <c r="I123" s="215"/>
      <c r="J123" s="216"/>
      <c r="K123" s="74"/>
      <c r="AA123" s="131"/>
      <c r="AB123" s="145"/>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row>
    <row r="124" spans="1:48" ht="15" customHeight="1">
      <c r="A124" s="21"/>
      <c r="B124" s="199"/>
      <c r="C124" s="200"/>
      <c r="D124" s="200"/>
      <c r="E124" s="200"/>
      <c r="F124" s="200"/>
      <c r="G124" s="200"/>
      <c r="H124" s="200"/>
      <c r="I124" s="200"/>
      <c r="J124" s="201"/>
      <c r="K124" s="95"/>
      <c r="AA124" s="131"/>
      <c r="AB124" s="145"/>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row>
    <row r="125" spans="1:48" ht="29.5" customHeight="1">
      <c r="A125" s="21"/>
      <c r="B125" s="214" t="s">
        <v>109</v>
      </c>
      <c r="C125" s="215"/>
      <c r="D125" s="215"/>
      <c r="E125" s="215"/>
      <c r="F125" s="215"/>
      <c r="G125" s="215"/>
      <c r="H125" s="215"/>
      <c r="I125" s="215"/>
      <c r="J125" s="216"/>
      <c r="K125" s="74"/>
    </row>
    <row r="126" spans="1:48" ht="15" customHeight="1" thickBot="1">
      <c r="A126" s="78"/>
      <c r="B126" s="263"/>
      <c r="C126" s="264"/>
      <c r="D126" s="264"/>
      <c r="E126" s="264"/>
      <c r="F126" s="264"/>
      <c r="G126" s="264"/>
      <c r="H126" s="264"/>
      <c r="I126" s="264"/>
      <c r="J126" s="265"/>
      <c r="K126" s="95"/>
    </row>
    <row r="127" spans="1:48" ht="13">
      <c r="A127" s="75"/>
      <c r="J127" s="119"/>
      <c r="K127" s="108"/>
    </row>
    <row r="128" spans="1:48" ht="30" customHeight="1">
      <c r="A128" s="79" t="s">
        <v>110</v>
      </c>
      <c r="B128" s="84" t="s">
        <v>111</v>
      </c>
      <c r="C128" s="118"/>
      <c r="D128" s="118"/>
      <c r="E128" s="118"/>
      <c r="F128" s="118"/>
      <c r="G128" s="118"/>
      <c r="H128" s="118"/>
      <c r="I128" s="118"/>
      <c r="J128" s="120"/>
      <c r="K128" s="109"/>
    </row>
    <row r="129" spans="1:11" ht="30" customHeight="1" thickBot="1">
      <c r="A129" s="111"/>
      <c r="B129" s="112" t="s">
        <v>112</v>
      </c>
      <c r="C129" s="113"/>
      <c r="D129" s="114"/>
      <c r="E129" s="114"/>
      <c r="F129" s="114"/>
      <c r="G129" s="114"/>
      <c r="H129" s="115"/>
      <c r="I129" s="115"/>
      <c r="J129" s="116"/>
      <c r="K129" s="117"/>
    </row>
    <row r="130" spans="1:11" ht="14.5" customHeight="1">
      <c r="A130" s="80"/>
      <c r="B130" s="81"/>
      <c r="C130" s="81"/>
      <c r="D130" s="81"/>
      <c r="E130" s="82"/>
      <c r="F130" s="82"/>
      <c r="G130" s="82"/>
      <c r="H130" s="81"/>
      <c r="I130" s="81"/>
      <c r="J130" s="81"/>
      <c r="K130" s="77"/>
    </row>
    <row r="131" spans="1:11" ht="259.25" customHeight="1">
      <c r="B131" s="183" t="s">
        <v>113</v>
      </c>
      <c r="C131" s="184"/>
      <c r="D131" s="184"/>
      <c r="E131" s="184"/>
      <c r="F131" s="184"/>
      <c r="G131" s="184"/>
      <c r="H131" s="184"/>
      <c r="I131" s="184"/>
      <c r="J131" s="184"/>
    </row>
  </sheetData>
  <mergeCells count="142">
    <mergeCell ref="B112:J112"/>
    <mergeCell ref="A101:A112"/>
    <mergeCell ref="A87:A94"/>
    <mergeCell ref="B87:J87"/>
    <mergeCell ref="B88:J88"/>
    <mergeCell ref="B89:J89"/>
    <mergeCell ref="B90:J90"/>
    <mergeCell ref="B91:J91"/>
    <mergeCell ref="B92:J92"/>
    <mergeCell ref="B93:J93"/>
    <mergeCell ref="B97:J97"/>
    <mergeCell ref="B98:J98"/>
    <mergeCell ref="A95:A98"/>
    <mergeCell ref="B107:J107"/>
    <mergeCell ref="B108:J108"/>
    <mergeCell ref="B109:J109"/>
    <mergeCell ref="B110:J110"/>
    <mergeCell ref="B111:J111"/>
    <mergeCell ref="A20:A25"/>
    <mergeCell ref="B121:J121"/>
    <mergeCell ref="B122:J122"/>
    <mergeCell ref="B123:J123"/>
    <mergeCell ref="B124:J124"/>
    <mergeCell ref="B125:J125"/>
    <mergeCell ref="B126:J126"/>
    <mergeCell ref="B119:J119"/>
    <mergeCell ref="B120:J120"/>
    <mergeCell ref="A113:A118"/>
    <mergeCell ref="B113:J113"/>
    <mergeCell ref="B114:J114"/>
    <mergeCell ref="B115:J115"/>
    <mergeCell ref="B116:J116"/>
    <mergeCell ref="B117:J117"/>
    <mergeCell ref="B118:J118"/>
    <mergeCell ref="B95:J95"/>
    <mergeCell ref="B96:J96"/>
    <mergeCell ref="B101:J101"/>
    <mergeCell ref="C102:J102"/>
    <mergeCell ref="C103:J103"/>
    <mergeCell ref="C104:J104"/>
    <mergeCell ref="B105:J105"/>
    <mergeCell ref="B106:J106"/>
    <mergeCell ref="C73:D73"/>
    <mergeCell ref="A79:A82"/>
    <mergeCell ref="B80:J80"/>
    <mergeCell ref="B82:J82"/>
    <mergeCell ref="A83:A86"/>
    <mergeCell ref="B84:J84"/>
    <mergeCell ref="B85:J85"/>
    <mergeCell ref="B86:J86"/>
    <mergeCell ref="A62:A73"/>
    <mergeCell ref="C64:D64"/>
    <mergeCell ref="C65:D65"/>
    <mergeCell ref="C66:D66"/>
    <mergeCell ref="C67:D67"/>
    <mergeCell ref="C68:D68"/>
    <mergeCell ref="C69:D69"/>
    <mergeCell ref="C70:D70"/>
    <mergeCell ref="C71:D71"/>
    <mergeCell ref="C72:D72"/>
    <mergeCell ref="A58:A61"/>
    <mergeCell ref="B59:D59"/>
    <mergeCell ref="E59:G59"/>
    <mergeCell ref="H59:J59"/>
    <mergeCell ref="B60:D60"/>
    <mergeCell ref="E60:G60"/>
    <mergeCell ref="H60:J60"/>
    <mergeCell ref="B61:D61"/>
    <mergeCell ref="E61:G61"/>
    <mergeCell ref="H61:J61"/>
    <mergeCell ref="B52:J52"/>
    <mergeCell ref="B53:J53"/>
    <mergeCell ref="D54:J54"/>
    <mergeCell ref="D55:J55"/>
    <mergeCell ref="D56:J56"/>
    <mergeCell ref="D57:J57"/>
    <mergeCell ref="C47:F47"/>
    <mergeCell ref="H47:J47"/>
    <mergeCell ref="B48:J48"/>
    <mergeCell ref="B49:J49"/>
    <mergeCell ref="B50:J50"/>
    <mergeCell ref="B51:J51"/>
    <mergeCell ref="B39:J39"/>
    <mergeCell ref="B40:J40"/>
    <mergeCell ref="B27:J27"/>
    <mergeCell ref="B28:J28"/>
    <mergeCell ref="B29:J29"/>
    <mergeCell ref="B41:J41"/>
    <mergeCell ref="A42:A46"/>
    <mergeCell ref="B43:J43"/>
    <mergeCell ref="B44:F44"/>
    <mergeCell ref="G44:K44"/>
    <mergeCell ref="C45:F45"/>
    <mergeCell ref="H45:J45"/>
    <mergeCell ref="C46:F46"/>
    <mergeCell ref="H46:J46"/>
    <mergeCell ref="B21:J21"/>
    <mergeCell ref="B22:J22"/>
    <mergeCell ref="B23:J23"/>
    <mergeCell ref="B26:J26"/>
    <mergeCell ref="B34:J34"/>
    <mergeCell ref="B35:J35"/>
    <mergeCell ref="B36:J36"/>
    <mergeCell ref="B38:J38"/>
    <mergeCell ref="B24:J24"/>
    <mergeCell ref="B25:J25"/>
    <mergeCell ref="B131:J131"/>
    <mergeCell ref="A4:G4"/>
    <mergeCell ref="A6:G6"/>
    <mergeCell ref="A5:G5"/>
    <mergeCell ref="A7:G7"/>
    <mergeCell ref="A74:A75"/>
    <mergeCell ref="D15:J15"/>
    <mergeCell ref="A16:A19"/>
    <mergeCell ref="B16:J16"/>
    <mergeCell ref="B17:J17"/>
    <mergeCell ref="B18:J18"/>
    <mergeCell ref="B19:J19"/>
    <mergeCell ref="D9:J9"/>
    <mergeCell ref="D10:J10"/>
    <mergeCell ref="D11:J11"/>
    <mergeCell ref="D12:J12"/>
    <mergeCell ref="D13:J13"/>
    <mergeCell ref="D14:J14"/>
    <mergeCell ref="A30:A39"/>
    <mergeCell ref="B30:J30"/>
    <mergeCell ref="B31:J31"/>
    <mergeCell ref="B32:J32"/>
    <mergeCell ref="B33:J33"/>
    <mergeCell ref="B20:J20"/>
    <mergeCell ref="AQ1:AQ2"/>
    <mergeCell ref="AS1:AS2"/>
    <mergeCell ref="AU1:AU2"/>
    <mergeCell ref="AA1:AA2"/>
    <mergeCell ref="AB1:AB2"/>
    <mergeCell ref="AC1:AC2"/>
    <mergeCell ref="AE1:AE2"/>
    <mergeCell ref="AG1:AG2"/>
    <mergeCell ref="AI1:AI2"/>
    <mergeCell ref="AK1:AK2"/>
    <mergeCell ref="AM1:AM2"/>
    <mergeCell ref="AO1:AO2"/>
  </mergeCells>
  <conditionalFormatting sqref="E59:E60 K59:K61 H61">
    <cfRule type="expression" dxfId="5" priority="15" stopIfTrue="1">
      <formula>#REF!="implementatieproject"</formula>
    </cfRule>
  </conditionalFormatting>
  <conditionalFormatting sqref="E61">
    <cfRule type="expression" dxfId="4" priority="7" stopIfTrue="1">
      <formula>#REF!="implementatieproject"</formula>
    </cfRule>
  </conditionalFormatting>
  <conditionalFormatting sqref="F75:G78">
    <cfRule type="expression" dxfId="3" priority="8" stopIfTrue="1">
      <formula>#REF!="Implementatieproject"</formula>
    </cfRule>
  </conditionalFormatting>
  <conditionalFormatting sqref="H59:H60">
    <cfRule type="expression" dxfId="2" priority="6" stopIfTrue="1">
      <formula>#REF!="implementatieproject"</formula>
    </cfRule>
  </conditionalFormatting>
  <conditionalFormatting sqref="H75:I78 K75:K78">
    <cfRule type="expression" dxfId="1" priority="12" stopIfTrue="1">
      <formula>#REF!="Implementatieproject"</formula>
    </cfRule>
  </conditionalFormatting>
  <conditionalFormatting sqref="J75:J78">
    <cfRule type="expression" dxfId="0" priority="11" stopIfTrue="1">
      <formula>#REF!="Implementatieproject"</formula>
    </cfRule>
  </conditionalFormatting>
  <pageMargins left="0.70866141732283472" right="0.70866141732283472" top="0.74803149606299213" bottom="0.74803149606299213" header="0.31496062992125984" footer="0.31496062992125984"/>
  <pageSetup paperSize="9" scale="35" fitToHeight="3" orientation="portrait" r:id="rId1"/>
  <headerFooter>
    <oddHeader>&amp;C&amp;20&amp;UDATA CAPABILITIES</oddHeader>
    <oddFooter>&amp;L&amp;F&amp;RPage &amp;P de &amp;N</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Fiche de projet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Nelissen Andries</dc:creator>
  <cp:lastModifiedBy>Jean Claude havaux</cp:lastModifiedBy>
  <cp:lastPrinted>2024-01-16T09:18:22Z</cp:lastPrinted>
  <dcterms:created xsi:type="dcterms:W3CDTF">2023-03-17T10:30:09Z</dcterms:created>
  <dcterms:modified xsi:type="dcterms:W3CDTF">2024-01-16T09:19:35Z</dcterms:modified>
</cp:coreProperties>
</file>