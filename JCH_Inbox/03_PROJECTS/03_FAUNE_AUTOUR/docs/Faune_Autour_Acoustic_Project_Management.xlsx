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7085fcce3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13168be9b34072"/>
    <x:sheet xmlns:r="http://schemas.openxmlformats.org/officeDocument/2006/relationships" name="Workplan" sheetId="2" r:id="R822f65f9d64a4431"/>
    <x:sheet xmlns:r="http://schemas.openxmlformats.org/officeDocument/2006/relationships" name="Dependencies" sheetId="3" r:id="R01e9aba5193f410c"/>
    <x:sheet xmlns:r="http://schemas.openxmlformats.org/officeDocument/2006/relationships" name="Competences_RACI" sheetId="4" r:id="R3f7154ca99c24e9c"/>
    <x:sheet xmlns:r="http://schemas.openxmlformats.org/officeDocument/2006/relationships" name="Risks" sheetId="5" r:id="Rbf229e27709f4a6d"/>
    <x:sheet xmlns:r="http://schemas.openxmlformats.org/officeDocument/2006/relationships" name="Lists" sheetId="6" r:id="R431e58f80ca9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34E4A"/>
      </x:patternFill>
    </x:fill>
    <x:fill>
      <x:patternFill patternType="solid">
        <x:fgColor rgb="CCFBF1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DCFCE7"/>
        </x:patternFill>
      </x:fill>
    </x:dxf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ont>
        <x:b/>
      </x:font>
      <x:fill>
        <x:patternFill>
          <x:bgColor rgb="FCA5A5"/>
        </x:patternFill>
      </x:fill>
    </x:dxf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e44a35bf54cbc" /><Relationship Type="http://schemas.openxmlformats.org/officeDocument/2006/relationships/theme" Target="/xl/theme/theme1.xml" Id="Rc16363d35ef34e0f" /><Relationship Type="http://schemas.openxmlformats.org/officeDocument/2006/relationships/sharedStrings" Target="/xl/sharedStrings.xml" Id="R699e019117904a17" /><Relationship Type="http://schemas.openxmlformats.org/officeDocument/2006/relationships/worksheet" Target="/xl/worksheets/sheet1.xml" Id="R1a13168be9b34072" /><Relationship Type="http://schemas.openxmlformats.org/officeDocument/2006/relationships/worksheet" Target="/xl/worksheets/sheet2.xml" Id="R822f65f9d64a4431" /><Relationship Type="http://schemas.openxmlformats.org/officeDocument/2006/relationships/worksheet" Target="/xl/worksheets/sheet3.xml" Id="R01e9aba5193f410c" /><Relationship Type="http://schemas.openxmlformats.org/officeDocument/2006/relationships/worksheet" Target="/xl/worksheets/sheet4.xml" Id="R3f7154ca99c24e9c" /><Relationship Type="http://schemas.openxmlformats.org/officeDocument/2006/relationships/worksheet" Target="/xl/worksheets/sheet5.xml" Id="Rbf229e27709f4a6d" /><Relationship Type="http://schemas.openxmlformats.org/officeDocument/2006/relationships/worksheet" Target="/xl/worksheets/sheet6.xml" Id="R431e58f80ca94b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2f7ba414d741a4" /><Relationship Type="http://schemas.openxmlformats.org/officeDocument/2006/relationships/chart" Target="/xl/drawings/charts/chart2.xml" Id="Rb2563634164c4fa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Tasks</c:v>
          </c:tx>
          <c:cat>
            <c:strRef>
              <c:f>'Dashboard'!$A$13:$A$22</c:f>
              <c:strCache>
                <c:ptCount val="0"/>
              </c:strCache>
            </c:strRef>
          </c:cat>
          <c:val>
            <c:numRef>
              <c:f>'Dashboard'!$B$13:$B$22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Progress</c:v>
          </c:tx>
          <c:cat>
            <c:strRef>
              <c:f>'Dashboard'!$A$13:$A$22</c:f>
              <c:strCache>
                <c:ptCount val="0"/>
              </c:strCache>
            </c:strRef>
          </c:cat>
          <c:val>
            <c:numRef>
              <c:f>'Dashboard'!$D$13:$D$22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2f7ba414d741a4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563634164c4f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sTable" displayName="TasksTable" ref="A1:O32" headerRowCount="1">
  <x:tableColumns count="15">
    <x:tableColumn id="1" name="ID"/>
    <x:tableColumn id="2" name="Phase"/>
    <x:tableColumn id="3" name="Workstream"/>
    <x:tableColumn id="4" name="Task"/>
    <x:tableColumn id="5" name="Deliverable"/>
    <x:tableColumn id="6" name="Owner role"/>
    <x:tableColumn id="7" name="Start"/>
    <x:tableColumn id="8" name="Duration days"/>
    <x:tableColumn id="9" name="End"/>
    <x:tableColumn id="10" name="Depends on"/>
    <x:tableColumn id="11" name="Status"/>
    <x:tableColumn id="12" name="Priority"/>
    <x:tableColumn id="13" name="Progress %"/>
    <x:tableColumn id="14" name="Dependency OK?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pendenciesTable" displayName="DependenciesTable" ref="A1:F51" headerRowCount="1">
  <x:tableColumns count="6">
    <x:tableColumn id="1" name="Task ID"/>
    <x:tableColumn id="2" name="Task"/>
    <x:tableColumn id="3" name="Depends on"/>
    <x:tableColumn id="4" name="Dependency type"/>
    <x:tableColumn id="5" name="Impact if late"/>
    <x:tableColumn id="6" name="Mitigation / comment"/>
  </x:tableColumns>
  <x:tableStyleInfo name="TableStyleMedium2" showRowStripes="1"/>
</x:table>
</file>

<file path=xl/tables/table3.xml><?xml version="1.0" encoding="utf-8"?>
<x:table xmlns:x="http://schemas.openxmlformats.org/spreadsheetml/2006/main" id="3" name="RACITable" displayName="RACITable" ref="A1:H12" headerRowCount="1">
  <x:tableColumns count="8">
    <x:tableColumn id="1" name="Competence / Role"/>
    <x:tableColumn id="2" name="Main responsibility"/>
    <x:tableColumn id="3" name="Phase involvement"/>
    <x:tableColumn id="4" name="R"/>
    <x:tableColumn id="5" name="A"/>
    <x:tableColumn id="6" name="C"/>
    <x:tableColumn id="7" name="I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isksTable" displayName="RisksTable" ref="A1:J11" headerRowCount="1">
  <x:tableColumns count="10">
    <x:tableColumn id="1" name="Risk ID"/>
    <x:tableColumn id="2" name="Category"/>
    <x:tableColumn id="3" name="Risk"/>
    <x:tableColumn id="4" name="Probability 1-5"/>
    <x:tableColumn id="5" name="Impact 1-5"/>
    <x:tableColumn id="6" name="Score"/>
    <x:tableColumn id="7" name="Level"/>
    <x:tableColumn id="8" name="Mitigation"/>
    <x:tableColumn id="9" name="Owner role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3b79ac5d9845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a94e7c310e48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a228fd0f3143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5f9e4200e74e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c601d48d71419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2" t="str">
        <x:v>Faune Autour Acoustic Sensor — Project Management Dashboard</x:v>
      </x:c>
      <x:c r="B1" s="33"/>
      <x:c r="C1" s="33"/>
      <x:c r="D1" s="33"/>
      <x:c r="E1" s="33"/>
      <x:c r="F1" s="33"/>
      <x:c r="G1" s="33"/>
      <x:c r="H1" s="33"/>
    </x:row>
    <x:row r="3">
      <x:c r="A3" s="6" t="str">
        <x:v>Metric</x:v>
      </x:c>
      <x:c r="B3" s="6" t="str">
        <x:v>Value</x:v>
      </x:c>
    </x:row>
    <x:row r="4">
      <x:c r="A4" t="str">
        <x:v>Total tasks</x:v>
      </x:c>
      <x:c r="B4" t="n">
        <x:f>COUNTA(Workplan!$A$2:$A$200)</x:f>
        <x:v>31</x:v>
      </x:c>
    </x:row>
    <x:row r="5">
      <x:c r="A5" t="str">
        <x:v>Done</x:v>
      </x:c>
      <x:c r="B5" t="n">
        <x:f>COUNTIF(Workplan!$K$2:$K$200,"Done")</x:f>
        <x:v>0</x:v>
      </x:c>
    </x:row>
    <x:row r="6">
      <x:c r="A6" t="str">
        <x:v>In progress</x:v>
      </x:c>
      <x:c r="B6" t="n">
        <x:f>COUNTIF(Workplan!$K$2:$K$200,"In Progress")</x:f>
        <x:v>1</x:v>
      </x:c>
    </x:row>
    <x:row r="7">
      <x:c r="A7" t="str">
        <x:v>Blocked</x:v>
      </x:c>
      <x:c r="B7" t="n">
        <x:f>COUNTIF(Workplan!$K$2:$K$200,"Blocked")</x:f>
        <x:v>0</x:v>
      </x:c>
    </x:row>
    <x:row r="8">
      <x:c r="A8" t="str">
        <x:v>Average progress</x:v>
      </x:c>
      <x:c r="B8" s="24" t="n">
        <x:f>AVERAGE(Workplan!$M$2:$M$200)</x:f>
        <x:v>0.016129032258064516</x:v>
      </x:c>
    </x:row>
    <x:row r="9">
      <x:c r="A9" t="str">
        <x:v>Critical risks</x:v>
      </x:c>
      <x:c r="B9" t="n">
        <x:f>COUNTIF(Risks!$G$2:$G$100,"Critical")</x:f>
        <x:v>1</x:v>
      </x:c>
    </x:row>
    <x:row r="10">
      <x:c r="A10" t="str">
        <x:v>High risks</x:v>
      </x:c>
      <x:c r="B10" t="n">
        <x:f>COUNTIF(Risks!$G$2:$G$100,"High")</x:f>
        <x:v>8</x:v>
      </x:c>
    </x:row>
    <x:row r="12">
      <x:c r="A12" s="6" t="str">
        <x:v>Phase</x:v>
      </x:c>
      <x:c r="B12" s="6" t="str">
        <x:v>Tasks</x:v>
      </x:c>
      <x:c r="C12" s="6" t="str">
        <x:v>Done</x:v>
      </x:c>
      <x:c r="D12" s="6" t="str">
        <x:v>Avg progress</x:v>
      </x:c>
    </x:row>
    <x:row r="13">
      <x:c r="A13" t="str">
        <x:v>0 - Product framing</x:v>
      </x:c>
      <x:c r="B13" t="n">
        <x:f>COUNTIF(Workplan!$B:$B,A13)</x:f>
        <x:v>3</x:v>
      </x:c>
      <x:c r="C13" t="n">
        <x:f>COUNTIFS(Workplan!$B:$B,A13,Workplan!$K:$K,"Done")</x:f>
        <x:v>0</x:v>
      </x:c>
      <x:c r="D13" s="24" t="n">
        <x:f>IFERROR(AVERAGEIF(Workplan!$B:$B,A13,Workplan!$M:$M),0)</x:f>
        <x:v>0.16666666666666666</x:v>
      </x:c>
    </x:row>
    <x:row r="14">
      <x:c r="A14" t="str">
        <x:v>1 - Technical proof of concept</x:v>
      </x:c>
      <x:c r="B14" t="n">
        <x:f>COUNTIF(Workplan!$B:$B,A14)</x:f>
        <x:v>4</x:v>
      </x:c>
      <x:c r="C14" t="n">
        <x:f>COUNTIFS(Workplan!$B:$B,A14,Workplan!$K:$K,"Done")</x:f>
        <x:v>0</x:v>
      </x:c>
      <x:c r="D14" s="24" t="n">
        <x:f>IFERROR(AVERAGEIF(Workplan!$B:$B,A14,Workplan!$M:$M),0)</x:f>
        <x:v>0</x:v>
      </x:c>
    </x:row>
    <x:row r="15">
      <x:c r="A15" t="str">
        <x:v>2 - Local connector &amp; schema</x:v>
      </x:c>
      <x:c r="B15" t="n">
        <x:f>COUNTIF(Workplan!$B:$B,A15)</x:f>
        <x:v>3</x:v>
      </x:c>
      <x:c r="C15" t="n">
        <x:f>COUNTIFS(Workplan!$B:$B,A15,Workplan!$K:$K,"Done")</x:f>
        <x:v>0</x:v>
      </x:c>
      <x:c r="D15" s="24" t="n">
        <x:f>IFERROR(AVERAGEIF(Workplan!$B:$B,A15,Workplan!$M:$M),0)</x:f>
        <x:v>0</x:v>
      </x:c>
    </x:row>
    <x:row r="16">
      <x:c r="A16" t="str">
        <x:v>3 - Backend API &amp; database</x:v>
      </x:c>
      <x:c r="B16" t="n">
        <x:f>COUNTIF(Workplan!$B:$B,A16)</x:f>
        <x:v>4</x:v>
      </x:c>
      <x:c r="C16" t="n">
        <x:f>COUNTIFS(Workplan!$B:$B,A16,Workplan!$K:$K,"Done")</x:f>
        <x:v>0</x:v>
      </x:c>
      <x:c r="D16" s="24" t="n">
        <x:f>IFERROR(AVERAGEIF(Workplan!$B:$B,A16,Workplan!$M:$M),0)</x:f>
        <x:v>0</x:v>
      </x:c>
    </x:row>
    <x:row r="17">
      <x:c r="A17" t="str">
        <x:v>4 - Web dashboard / PWA</x:v>
      </x:c>
      <x:c r="B17" t="n">
        <x:f>COUNTIF(Workplan!$B:$B,A17)</x:f>
        <x:v>3</x:v>
      </x:c>
      <x:c r="C17" t="n">
        <x:f>COUNTIFS(Workplan!$B:$B,A17,Workplan!$K:$K,"Done")</x:f>
        <x:v>0</x:v>
      </x:c>
      <x:c r="D17" s="24" t="n">
        <x:f>IFERROR(AVERAGEIF(Workplan!$B:$B,A17,Workplan!$M:$M),0)</x:f>
        <x:v>0</x:v>
      </x:c>
    </x:row>
    <x:row r="18">
      <x:c r="A18" t="str">
        <x:v>5 - Ecological intelligence layer</x:v>
      </x:c>
      <x:c r="B18" t="n">
        <x:f>COUNTIF(Workplan!$B:$B,A18)</x:f>
        <x:v>3</x:v>
      </x:c>
      <x:c r="C18" t="n">
        <x:f>COUNTIFS(Workplan!$B:$B,A18,Workplan!$K:$K,"Done")</x:f>
        <x:v>0</x:v>
      </x:c>
      <x:c r="D18" s="24" t="n">
        <x:f>IFERROR(AVERAGEIF(Workplan!$B:$B,A18,Workplan!$M:$M),0)</x:f>
        <x:v>0</x:v>
      </x:c>
    </x:row>
    <x:row r="19">
      <x:c r="A19" t="str">
        <x:v>6 - Outdoor autonomous prototype</x:v>
      </x:c>
      <x:c r="B19" t="n">
        <x:f>COUNTIF(Workplan!$B:$B,A19)</x:f>
        <x:v>4</x:v>
      </x:c>
      <x:c r="C19" t="n">
        <x:f>COUNTIFS(Workplan!$B:$B,A19,Workplan!$K:$K,"Done")</x:f>
        <x:v>0</x:v>
      </x:c>
      <x:c r="D19" s="24" t="n">
        <x:f>IFERROR(AVERAGEIF(Workplan!$B:$B,A19,Workplan!$M:$M),0)</x:f>
        <x:v>0</x:v>
      </x:c>
    </x:row>
    <x:row r="20">
      <x:c r="A20" t="str">
        <x:v>7 - Validation &amp; quality control</x:v>
      </x:c>
      <x:c r="B20" t="n">
        <x:f>COUNTIF(Workplan!$B:$B,A20)</x:f>
        <x:v>2</x:v>
      </x:c>
      <x:c r="C20" t="n">
        <x:f>COUNTIFS(Workplan!$B:$B,A20,Workplan!$K:$K,"Done")</x:f>
        <x:v>0</x:v>
      </x:c>
      <x:c r="D20" s="24" t="n">
        <x:f>IFERROR(AVERAGEIF(Workplan!$B:$B,A20,Workplan!$M:$M),0)</x:f>
        <x:v>0</x:v>
      </x:c>
    </x:row>
    <x:row r="21">
      <x:c r="A21" t="str">
        <x:v>8 - Multi-station network mode</x:v>
      </x:c>
      <x:c r="B21" t="n">
        <x:f>COUNTIF(Workplan!$B:$B,A21)</x:f>
        <x:v>2</x:v>
      </x:c>
      <x:c r="C21" t="n">
        <x:f>COUNTIFS(Workplan!$B:$B,A21,Workplan!$K:$K,"Done")</x:f>
        <x:v>0</x:v>
      </x:c>
      <x:c r="D21" s="24" t="n">
        <x:f>IFERROR(AVERAGEIF(Workplan!$B:$B,A21,Workplan!$M:$M),0)</x:f>
        <x:v>0</x:v>
      </x:c>
    </x:row>
    <x:row r="22">
      <x:c r="A22" t="str">
        <x:v>9 - Productization</x:v>
      </x:c>
      <x:c r="B22" t="n">
        <x:f>COUNTIF(Workplan!$B:$B,A22)</x:f>
        <x:v>3</x:v>
      </x:c>
      <x:c r="C22" t="n">
        <x:f>COUNTIFS(Workplan!$B:$B,A22,Workplan!$K:$K,"Done")</x:f>
        <x:v>0</x:v>
      </x:c>
      <x:c r="D22" s="24" t="n">
        <x:f>IFERROR(AVERAGEIF(Workplan!$B:$B,A22,Workplan!$M:$M),0)</x:f>
        <x:v>0</x:v>
      </x:c>
    </x:row>
    <x:row r="25">
      <x:c r="A25" s="28" t="str">
        <x:v>How to use this workbook</x:v>
      </x:c>
      <x:c r="B25" t="str"/>
      <x:c r="C25" t="str"/>
      <x:c r="D25" t="str"/>
      <x:c r="E25" t="str"/>
      <x:c r="F25" t="str"/>
      <x:c r="G25" t="str"/>
      <x:c r="H25" t="str"/>
    </x:row>
    <x:row r="26">
      <x:c r="A26" t="str">
        <x:v>1</x:v>
      </x:c>
      <x:c r="B26" t="str">
        <x:v>Edit tasks in Workplan: owner, dates, status and progress.</x:v>
      </x:c>
      <x:c r="C26" t="str"/>
      <x:c r="D26" t="str"/>
      <x:c r="E26" t="str"/>
      <x:c r="F26" t="str"/>
      <x:c r="G26" t="str"/>
      <x:c r="H26" t="str"/>
    </x:row>
    <x:row r="27">
      <x:c r="A27" t="str">
        <x:v>2</x:v>
      </x:c>
      <x:c r="B27" t="str">
        <x:v>Use Dependencies to review technical blockers and sequence risks.</x:v>
      </x:c>
      <x:c r="C27" t="str"/>
      <x:c r="D27" t="str"/>
      <x:c r="E27" t="str"/>
      <x:c r="F27" t="str"/>
      <x:c r="G27" t="str"/>
      <x:c r="H27" t="str"/>
    </x:row>
    <x:row r="28">
      <x:c r="A28" t="str">
        <x:v>3</x:v>
      </x:c>
      <x:c r="B28" t="str">
        <x:v>Use Competences_RACI to brief/hire the right profiles.</x:v>
      </x:c>
      <x:c r="C28" t="str"/>
      <x:c r="D28" t="str"/>
      <x:c r="E28" t="str"/>
      <x:c r="F28" t="str"/>
      <x:c r="G28" t="str"/>
      <x:c r="H28" t="str"/>
    </x:row>
    <x:row r="29">
      <x:c r="A29" t="str">
        <x:v>4</x:v>
      </x:c>
      <x:c r="B29" t="str">
        <x:v>Use Risks weekly; the Score and Level columns are formula-based.</x:v>
      </x:c>
      <x:c r="C29" t="str"/>
      <x:c r="D29" t="str"/>
      <x:c r="E29" t="str"/>
      <x:c r="F29" t="str"/>
      <x:c r="G29" t="str"/>
      <x:c r="H29" t="str"/>
    </x:row>
    <x:row r="30">
      <x:c r="A30" t="str">
        <x:v>5</x:v>
      </x:c>
      <x:c r="B30" t="str">
        <x:v>Dashboard updates automatically from Workplan and Risks.</x:v>
      </x:c>
      <x:c r="C30" t="str"/>
      <x:c r="D30" t="str"/>
      <x:c r="E30" t="str"/>
      <x:c r="F30" t="str"/>
      <x:c r="G30" t="str"/>
      <x:c r="H30" t="str"/>
    </x:row>
    <x:row r="31">
      <x:c r="A31" t="str">
        <x:v>6</x:v>
      </x:c>
      <x:c r="B31" t="str">
        <x:v>For precise scheduling, replace tentative dates with your actual start date.</x:v>
      </x:c>
      <x:c r="C31" t="str"/>
      <x:c r="D31" t="str"/>
      <x:c r="E31" t="str"/>
      <x:c r="F31" t="str"/>
      <x:c r="G31" t="str"/>
      <x:c r="H31" t="str"/>
    </x:row>
  </x:sheetData>
  <x:mergeCells>
    <x:mergeCell ref="A1:H1"/>
    <x:mergeCell ref="A25:H25"/>
  </x:mergeCells>
  <x:pageMargins left="0.7" right="0.7" top="0.75" bottom="0.75" header="0.3" footer="0.3"/>
  <x:drawing xmlns:r="http://schemas.openxmlformats.org/officeDocument/2006/relationships" r:id="R5d3b79ac5d9845db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34" hidden="0" customWidth="1"/>
    <x:col min="5" max="5" width="30" hidden="0" customWidth="1"/>
    <x:col min="6" max="6" width="28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4" hidden="0" customWidth="1"/>
    <x:col min="12" max="12" width="12" hidden="0" customWidth="1"/>
    <x:col min="13" max="13" width="12" hidden="0" customWidth="1"/>
    <x:col min="14" max="14" width="22" hidden="0" customWidth="1"/>
    <x:col min="15" max="15" width="36" hidden="0" customWidth="1"/>
  </x:cols>
  <x:sheetData>
    <x:row r="1">
      <x:c r="A1" s="6" t="str">
        <x:v>ID</x:v>
      </x:c>
      <x:c r="B1" s="6" t="str">
        <x:v>Phase</x:v>
      </x:c>
      <x:c r="C1" s="6" t="str">
        <x:v>Workstream</x:v>
      </x:c>
      <x:c r="D1" s="6" t="str">
        <x:v>Task</x:v>
      </x:c>
      <x:c r="E1" s="6" t="str">
        <x:v>Deliverable</x:v>
      </x:c>
      <x:c r="F1" s="6" t="str">
        <x:v>Owner role</x:v>
      </x:c>
      <x:c r="G1" s="12" t="str">
        <x:v>Start</x:v>
      </x:c>
      <x:c r="H1" s="6" t="str">
        <x:v>Duration days</x:v>
      </x:c>
      <x:c r="I1" s="12" t="str">
        <x:v>End</x:v>
      </x:c>
      <x:c r="J1" s="6" t="str">
        <x:v>Depends on</x:v>
      </x:c>
      <x:c r="K1" s="6" t="str">
        <x:v>Status</x:v>
      </x:c>
      <x:c r="L1" s="6" t="str">
        <x:v>Priority</x:v>
      </x:c>
      <x:c r="M1" s="14" t="str">
        <x:v>Progress %</x:v>
      </x:c>
      <x:c r="N1" s="6" t="str">
        <x:v>Dependency OK?</x:v>
      </x:c>
      <x:c r="O1" s="6" t="str">
        <x:v>Notes</x:v>
      </x:c>
    </x:row>
    <x:row r="2">
      <x:c r="A2" t="str">
        <x:v>T001</x:v>
      </x:c>
      <x:c r="B2" t="str">
        <x:v>0 - Product framing</x:v>
      </x:c>
      <x:c r="C2" t="str">
        <x:v>Product</x:v>
      </x:c>
      <x:c r="D2" t="str">
        <x:v>Define MVP: fixed Wi-Fi bird station</x:v>
      </x:c>
      <x:c r="E2" t="str">
        <x:v>MVP scope note</x:v>
      </x:c>
      <x:c r="F2" t="str">
        <x:v>Product owner / scientific lead</x:v>
      </x:c>
      <x:c r="G2" t="n">
        <x:v>46148</x:v>
      </x:c>
      <x:c r="H2" t="n">
        <x:v>2</x:v>
      </x:c>
      <x:c r="I2" t="n">
        <x:f>G2+H2-1</x:f>
        <x:v>46149</x:v>
      </x:c>
      <x:c r="J2" t="str"/>
      <x:c r="K2" t="str">
        <x:v>In Progress</x:v>
      </x:c>
      <x:c r="L2" t="str">
        <x:v>Critical</x:v>
      </x:c>
      <x:c r="M2" t="n">
        <x:v>0.5</x:v>
      </x:c>
      <x:c r="N2" t="str">
        <x:f>IF(J2="","No dependency",IF(COUNTIF($A$2:$A$200,J2)&gt;0,"Single dependency tracked","Check multi-dependency"))</x:f>
        <x:v>No dependency</x:v>
      </x:c>
      <x:c r="O2" t="str">
        <x:v>Birds first; fixed station first</x:v>
      </x:c>
    </x:row>
    <x:row r="3">
      <x:c r="A3" t="str">
        <x:v>T002</x:v>
      </x:c>
      <x:c r="B3" t="str">
        <x:v>0 - Product framing</x:v>
      </x:c>
      <x:c r="C3" t="str">
        <x:v>Scientific</x:v>
      </x:c>
      <x:c r="D3" t="str">
        <x:v>Define target taxa and initial species filters</x:v>
      </x:c>
      <x:c r="E3" t="str">
        <x:v>Target species/filter list</x:v>
      </x:c>
      <x:c r="F3" t="str">
        <x:v>Bioacoustics / zoology</x:v>
      </x:c>
      <x:c r="G3" t="n">
        <x:v>46149</x:v>
      </x:c>
      <x:c r="H3" t="n">
        <x:v>3</x:v>
      </x:c>
      <x:c r="I3" t="n">
        <x:f>G3+H3-1</x:f>
        <x:v>46151</x:v>
      </x:c>
      <x:c r="J3" t="str">
        <x:v>T001</x:v>
      </x:c>
      <x:c r="K3" t="str">
        <x:v>Not Started</x:v>
      </x:c>
      <x:c r="L3" t="str">
        <x:v>High</x:v>
      </x:c>
      <x:c r="M3" t="n">
        <x:v>0</x:v>
      </x:c>
      <x:c r="N3" t="str">
        <x:f>IF(J3="","No dependency",IF(COUNTIF($A$2:$A$200,J3)&gt;0,"Single dependency tracked","Check multi-dependency"))</x:f>
        <x:v>Single dependency tracked</x:v>
      </x:c>
      <x:c r="O3" t="str">
        <x:v>Start with local birds</x:v>
      </x:c>
    </x:row>
    <x:row r="4">
      <x:c r="A4" t="str">
        <x:v>T003</x:v>
      </x:c>
      <x:c r="B4" t="str">
        <x:v>0 - Product framing</x:v>
      </x:c>
      <x:c r="C4" t="str">
        <x:v>Product</x:v>
      </x:c>
      <x:c r="D4" t="str">
        <x:v>Define success criteria and field test protocol</x:v>
      </x:c>
      <x:c r="E4" t="str">
        <x:v>Acceptance criteria</x:v>
      </x:c>
      <x:c r="F4" t="str">
        <x:v>Product owner / scientific lead</x:v>
      </x:c>
      <x:c r="G4" t="n">
        <x:v>46150</x:v>
      </x:c>
      <x:c r="H4" t="n">
        <x:v>2</x:v>
      </x:c>
      <x:c r="I4" t="n">
        <x:f>G4+H4-1</x:f>
        <x:v>46151</x:v>
      </x:c>
      <x:c r="J4" t="str">
        <x:v>T001</x:v>
      </x:c>
      <x:c r="K4" t="str">
        <x:v>Not Started</x:v>
      </x:c>
      <x:c r="L4" t="str">
        <x:v>High</x:v>
      </x:c>
      <x:c r="M4" t="n">
        <x:v>0</x:v>
      </x:c>
      <x:c r="N4" t="str">
        <x:f>IF(J4="","No dependency",IF(COUNTIF($A$2:$A$200,J4)&gt;0,"Single dependency tracked","Check multi-dependency"))</x:f>
        <x:v>Single dependency tracked</x:v>
      </x:c>
      <x:c r="O4" t="str">
        <x:v>7-day stability test</x:v>
      </x:c>
    </x:row>
    <x:row r="5">
      <x:c r="A5" t="str">
        <x:v>T004</x:v>
      </x:c>
      <x:c r="B5" t="str">
        <x:v>1 - Technical proof of concept</x:v>
      </x:c>
      <x:c r="C5" t="str">
        <x:v>Hardware</x:v>
      </x:c>
      <x:c r="D5" t="str">
        <x:v>Select Raspberry Pi, microphone, storage kit</x:v>
      </x:c>
      <x:c r="E5" t="str">
        <x:v>Bill of materials v1</x:v>
      </x:c>
      <x:c r="F5" t="str">
        <x:v>Audio hardware / electronics</x:v>
      </x:c>
      <x:c r="G5" t="n">
        <x:v>46152</x:v>
      </x:c>
      <x:c r="H5" t="n">
        <x:v>2</x:v>
      </x:c>
      <x:c r="I5" t="n">
        <x:f>G5+H5-1</x:f>
        <x:v>46153</x:v>
      </x:c>
      <x:c r="J5" t="str">
        <x:v>T001</x:v>
      </x:c>
      <x:c r="K5" t="str">
        <x:v>Not Started</x:v>
      </x:c>
      <x:c r="L5" t="str">
        <x:v>Critical</x:v>
      </x:c>
      <x:c r="M5" t="n">
        <x:v>0</x:v>
      </x:c>
      <x:c r="N5" t="str">
        <x:f>IF(J5="","No dependency",IF(COUNTIF($A$2:$A$200,J5)&gt;0,"Single dependency tracked","Check multi-dependency"))</x:f>
        <x:v>Single dependency tracked</x:v>
      </x:c>
      <x:c r="O5" t="str">
        <x:v>Pi 4/5 + USB mic</x:v>
      </x:c>
    </x:row>
    <x:row r="6">
      <x:c r="A6" t="str">
        <x:v>T005</x:v>
      </x:c>
      <x:c r="B6" t="str">
        <x:v>1 - Technical proof of concept</x:v>
      </x:c>
      <x:c r="C6" t="str">
        <x:v>Edge software</x:v>
      </x:c>
      <x:c r="D6" t="str">
        <x:v>Install OS and configure audio capture</x:v>
      </x:c>
      <x:c r="E6" t="str">
        <x:v>Working audio input</x:v>
      </x:c>
      <x:c r="F6" t="str">
        <x:v>Raspberry Pi / Linux</x:v>
      </x:c>
      <x:c r="G6" t="n">
        <x:v>46154</x:v>
      </x:c>
      <x:c r="H6" t="n">
        <x:v>2</x:v>
      </x:c>
      <x:c r="I6" t="n">
        <x:f>G6+H6-1</x:f>
        <x:v>46155</x:v>
      </x:c>
      <x:c r="J6" t="str">
        <x:v>T004</x:v>
      </x:c>
      <x:c r="K6" t="str">
        <x:v>Not Started</x:v>
      </x:c>
      <x:c r="L6" t="str">
        <x:v>Critical</x:v>
      </x:c>
      <x:c r="M6" t="n">
        <x:v>0</x:v>
      </x:c>
      <x:c r="N6" t="str">
        <x:f>IF(J6="","No dependency",IF(COUNTIF($A$2:$A$200,J6)&gt;0,"Single dependency tracked","Check multi-dependency"))</x:f>
        <x:v>Single dependency tracked</x:v>
      </x:c>
      <x:c r="O6" t="str">
        <x:v>Check gain/noise</x:v>
      </x:c>
    </x:row>
    <x:row r="7">
      <x:c r="A7" t="str">
        <x:v>T006</x:v>
      </x:c>
      <x:c r="B7" t="str">
        <x:v>1 - Technical proof of concept</x:v>
      </x:c>
      <x:c r="C7" t="str">
        <x:v>Edge software</x:v>
      </x:c>
      <x:c r="D7" t="str">
        <x:v>Install and configure BirdNET-Go</x:v>
      </x:c>
      <x:c r="E7" t="str">
        <x:v>BirdNET-Go running</x:v>
      </x:c>
      <x:c r="F7" t="str">
        <x:v>Raspberry Pi / Linux</x:v>
      </x:c>
      <x:c r="G7" t="n">
        <x:v>46156</x:v>
      </x:c>
      <x:c r="H7" t="n">
        <x:v>3</x:v>
      </x:c>
      <x:c r="I7" t="n">
        <x:f>G7+H7-1</x:f>
        <x:v>46158</x:v>
      </x:c>
      <x:c r="J7" t="str">
        <x:v>T005</x:v>
      </x:c>
      <x:c r="K7" t="str">
        <x:v>Not Started</x:v>
      </x:c>
      <x:c r="L7" t="str">
        <x:v>Critical</x:v>
      </x:c>
      <x:c r="M7" t="n">
        <x:v>0</x:v>
      </x:c>
      <x:c r="N7" t="str">
        <x:f>IF(J7="","No dependency",IF(COUNTIF($A$2:$A$200,J7)&gt;0,"Single dependency tracked","Check multi-dependency"))</x:f>
        <x:v>Single dependency tracked</x:v>
      </x:c>
      <x:c r="O7" t="str">
        <x:v>Use local processing</x:v>
      </x:c>
    </x:row>
    <x:row r="8">
      <x:c r="A8" t="str">
        <x:v>T007</x:v>
      </x:c>
      <x:c r="B8" t="str">
        <x:v>1 - Technical proof of concept</x:v>
      </x:c>
      <x:c r="C8" t="str">
        <x:v>Scientific</x:v>
      </x:c>
      <x:c r="D8" t="str">
        <x:v>Run first 24-hour detection test</x:v>
      </x:c>
      <x:c r="E8" t="str">
        <x:v>First detection log</x:v>
      </x:c>
      <x:c r="F8" t="str">
        <x:v>Bioacoustics / zoology</x:v>
      </x:c>
      <x:c r="G8" t="n">
        <x:v>46159</x:v>
      </x:c>
      <x:c r="H8" t="n">
        <x:v>2</x:v>
      </x:c>
      <x:c r="I8" t="n">
        <x:f>G8+H8-1</x:f>
        <x:v>46160</x:v>
      </x:c>
      <x:c r="J8" t="str">
        <x:v>T006</x:v>
      </x:c>
      <x:c r="K8" t="str">
        <x:v>Not Started</x:v>
      </x:c>
      <x:c r="L8" t="str">
        <x:v>High</x:v>
      </x:c>
      <x:c r="M8" t="n">
        <x:v>0</x:v>
      </x:c>
      <x:c r="N8" t="str">
        <x:f>IF(J8="","No dependency",IF(COUNTIF($A$2:$A$200,J8)&gt;0,"Single dependency tracked","Check multi-dependency"))</x:f>
        <x:v>Single dependency tracked</x:v>
      </x:c>
      <x:c r="O8" t="str">
        <x:v>Initial false-positive check</x:v>
      </x:c>
    </x:row>
    <x:row r="9">
      <x:c r="A9" t="str">
        <x:v>T008</x:v>
      </x:c>
      <x:c r="B9" t="str">
        <x:v>2 - Local connector &amp; schema</x:v>
      </x:c>
      <x:c r="C9" t="str">
        <x:v>Data</x:v>
      </x:c>
      <x:c r="D9" t="str">
        <x:v>Define Faune Autour detection JSON schema</x:v>
      </x:c>
      <x:c r="E9" t="str">
        <x:v>Detection schema v1</x:v>
      </x:c>
      <x:c r="F9" t="str">
        <x:v>Backend/API development</x:v>
      </x:c>
      <x:c r="G9" t="n">
        <x:v>46157</x:v>
      </x:c>
      <x:c r="H9" t="n">
        <x:v>3</x:v>
      </x:c>
      <x:c r="I9" t="n">
        <x:f>G9+H9-1</x:f>
        <x:v>46159</x:v>
      </x:c>
      <x:c r="J9" t="str">
        <x:v>T002</x:v>
      </x:c>
      <x:c r="K9" t="str">
        <x:v>Not Started</x:v>
      </x:c>
      <x:c r="L9" t="str">
        <x:v>Critical</x:v>
      </x:c>
      <x:c r="M9" t="n">
        <x:v>0</x:v>
      </x:c>
      <x:c r="N9" t="str">
        <x:f>IF(J9="","No dependency",IF(COUNTIF($A$2:$A$200,J9)&gt;0,"Single dependency tracked","Check multi-dependency"))</x:f>
        <x:v>Single dependency tracked</x:v>
      </x:c>
      <x:c r="O9" t="str">
        <x:v>Scientific name as master key</x:v>
      </x:c>
    </x:row>
    <x:row r="10">
      <x:c r="A10" t="str">
        <x:v>T009</x:v>
      </x:c>
      <x:c r="B10" t="str">
        <x:v>2 - Local connector &amp; schema</x:v>
      </x:c>
      <x:c r="C10" t="str">
        <x:v>Edge software</x:v>
      </x:c>
      <x:c r="D10" t="str">
        <x:v>Create local SQLite queue and log schema</x:v>
      </x:c>
      <x:c r="E10" t="str">
        <x:v>Local queue database</x:v>
      </x:c>
      <x:c r="F10" t="str">
        <x:v>Raspberry Pi / Linux</x:v>
      </x:c>
      <x:c r="G10" t="n">
        <x:v>46160</x:v>
      </x:c>
      <x:c r="H10" t="n">
        <x:v>3</x:v>
      </x:c>
      <x:c r="I10" t="n">
        <x:f>G10+H10-1</x:f>
        <x:v>46162</x:v>
      </x:c>
      <x:c r="J10" t="str">
        <x:v>T008</x:v>
      </x:c>
      <x:c r="K10" t="str">
        <x:v>Not Started</x:v>
      </x:c>
      <x:c r="L10" t="str">
        <x:v>Critical</x:v>
      </x:c>
      <x:c r="M10" t="n">
        <x:v>0</x:v>
      </x:c>
      <x:c r="N10" t="str">
        <x:f>IF(J10="","No dependency",IF(COUNTIF($A$2:$A$200,J10)&gt;0,"Single dependency tracked","Check multi-dependency"))</x:f>
        <x:v>Single dependency tracked</x:v>
      </x:c>
      <x:c r="O10" t="str">
        <x:v>Offline-first</x:v>
      </x:c>
    </x:row>
    <x:row r="11">
      <x:c r="A11" t="str">
        <x:v>T010</x:v>
      </x:c>
      <x:c r="B11" t="str">
        <x:v>2 - Local connector &amp; schema</x:v>
      </x:c>
      <x:c r="C11" t="str">
        <x:v>Edge software</x:v>
      </x:c>
      <x:c r="D11" t="str">
        <x:v>Build connector from BirdNET-Go to Faune schema</x:v>
      </x:c>
      <x:c r="E11" t="str">
        <x:v>Connector service v1</x:v>
      </x:c>
      <x:c r="F11" t="str">
        <x:v>Raspberry Pi / Linux</x:v>
      </x:c>
      <x:c r="G11" t="n">
        <x:v>46163</x:v>
      </x:c>
      <x:c r="H11" t="n">
        <x:v>5</x:v>
      </x:c>
      <x:c r="I11" t="n">
        <x:f>G11+H11-1</x:f>
        <x:v>46167</x:v>
      </x:c>
      <x:c r="J11" t="str">
        <x:v>T006,T008,T009</x:v>
      </x:c>
      <x:c r="K11" t="str">
        <x:v>Not Started</x:v>
      </x:c>
      <x:c r="L11" t="str">
        <x:v>Critical</x:v>
      </x:c>
      <x:c r="M11" t="n">
        <x:v>0</x:v>
      </x:c>
      <x:c r="N11" t="str">
        <x:f>IF(J11="","No dependency",IF(COUNTIF($A$2:$A$200,J11)&gt;0,"Single dependency tracked","Check multi-dependency"))</x:f>
        <x:v>Check multi-dependency</x:v>
      </x:c>
      <x:c r="O11" t="str">
        <x:v>Python or Go service</x:v>
      </x:c>
    </x:row>
    <x:row r="12">
      <x:c r="A12" t="str">
        <x:v>T011</x:v>
      </x:c>
      <x:c r="B12" t="str">
        <x:v>3 - Backend API &amp; database</x:v>
      </x:c>
      <x:c r="C12" t="str">
        <x:v>Backend</x:v>
      </x:c>
      <x:c r="D12" t="str">
        <x:v>Design PostgreSQL/PostGIS schema</x:v>
      </x:c>
      <x:c r="E12" t="str">
        <x:v>Server database schema</x:v>
      </x:c>
      <x:c r="F12" t="str">
        <x:v>Database / GIS / PostGIS</x:v>
      </x:c>
      <x:c r="G12" t="n">
        <x:v>46162</x:v>
      </x:c>
      <x:c r="H12" t="n">
        <x:v>4</x:v>
      </x:c>
      <x:c r="I12" t="n">
        <x:f>G12+H12-1</x:f>
        <x:v>46165</x:v>
      </x:c>
      <x:c r="J12" t="str">
        <x:v>T008</x:v>
      </x:c>
      <x:c r="K12" t="str">
        <x:v>Not Started</x:v>
      </x:c>
      <x:c r="L12" t="str">
        <x:v>Critical</x:v>
      </x:c>
      <x:c r="M12" t="n">
        <x:v>0</x:v>
      </x:c>
      <x:c r="N12" t="str">
        <x:f>IF(J12="","No dependency",IF(COUNTIF($A$2:$A$200,J12)&gt;0,"Single dependency tracked","Check multi-dependency"))</x:f>
        <x:v>Single dependency tracked</x:v>
      </x:c>
      <x:c r="O12" t="str">
        <x:v>Stations, devices, detections</x:v>
      </x:c>
    </x:row>
    <x:row r="13">
      <x:c r="A13" t="str">
        <x:v>T012</x:v>
      </x:c>
      <x:c r="B13" t="str">
        <x:v>3 - Backend API &amp; database</x:v>
      </x:c>
      <x:c r="C13" t="str">
        <x:v>Backend</x:v>
      </x:c>
      <x:c r="D13" t="str">
        <x:v>Build device authentication and registration</x:v>
      </x:c>
      <x:c r="E13" t="str">
        <x:v>Device registration API</x:v>
      </x:c>
      <x:c r="F13" t="str">
        <x:v>Backend/API development</x:v>
      </x:c>
      <x:c r="G13" t="n">
        <x:v>46166</x:v>
      </x:c>
      <x:c r="H13" t="n">
        <x:v>3</x:v>
      </x:c>
      <x:c r="I13" t="n">
        <x:f>G13+H13-1</x:f>
        <x:v>46168</x:v>
      </x:c>
      <x:c r="J13" t="str">
        <x:v>T011</x:v>
      </x:c>
      <x:c r="K13" t="str">
        <x:v>Not Started</x:v>
      </x:c>
      <x:c r="L13" t="str">
        <x:v>Critical</x:v>
      </x:c>
      <x:c r="M13" t="n">
        <x:v>0</x:v>
      </x:c>
      <x:c r="N13" t="str">
        <x:f>IF(J13="","No dependency",IF(COUNTIF($A$2:$A$200,J13)&gt;0,"Single dependency tracked","Check multi-dependency"))</x:f>
        <x:v>Single dependency tracked</x:v>
      </x:c>
      <x:c r="O13" t="str">
        <x:v>Token-based auth</x:v>
      </x:c>
    </x:row>
    <x:row r="14">
      <x:c r="A14" t="str">
        <x:v>T013</x:v>
      </x:c>
      <x:c r="B14" t="str">
        <x:v>3 - Backend API &amp; database</x:v>
      </x:c>
      <x:c r="C14" t="str">
        <x:v>Backend</x:v>
      </x:c>
      <x:c r="D14" t="str">
        <x:v>Build detection ingestion endpoint</x:v>
      </x:c>
      <x:c r="E14" t="str">
        <x:v>POST /detections</x:v>
      </x:c>
      <x:c r="F14" t="str">
        <x:v>Backend/API development</x:v>
      </x:c>
      <x:c r="G14" t="n">
        <x:v>46169</x:v>
      </x:c>
      <x:c r="H14" t="n">
        <x:v>4</x:v>
      </x:c>
      <x:c r="I14" t="n">
        <x:f>G14+H14-1</x:f>
        <x:v>46172</x:v>
      </x:c>
      <x:c r="J14" t="str">
        <x:v>T011,T012</x:v>
      </x:c>
      <x:c r="K14" t="str">
        <x:v>Not Started</x:v>
      </x:c>
      <x:c r="L14" t="str">
        <x:v>Critical</x:v>
      </x:c>
      <x:c r="M14" t="n">
        <x:v>0</x:v>
      </x:c>
      <x:c r="N14" t="str">
        <x:f>IF(J14="","No dependency",IF(COUNTIF($A$2:$A$200,J14)&gt;0,"Single dependency tracked","Check multi-dependency"))</x:f>
        <x:v>Check multi-dependency</x:v>
      </x:c>
      <x:c r="O14" t="str">
        <x:v>Accept metadata first</x:v>
      </x:c>
    </x:row>
    <x:row r="15">
      <x:c r="A15" t="str">
        <x:v>T014</x:v>
      </x:c>
      <x:c r="B15" t="str">
        <x:v>3 - Backend API &amp; database</x:v>
      </x:c>
      <x:c r="C15" t="str">
        <x:v>Backend</x:v>
      </x:c>
      <x:c r="D15" t="str">
        <x:v>Build map/query/export endpoints</x:v>
      </x:c>
      <x:c r="E15" t="str">
        <x:v>Map + CSV/GeoJSON API</x:v>
      </x:c>
      <x:c r="F15" t="str">
        <x:v>Backend/API development</x:v>
      </x:c>
      <x:c r="G15" t="n">
        <x:v>46173</x:v>
      </x:c>
      <x:c r="H15" t="n">
        <x:v>4</x:v>
      </x:c>
      <x:c r="I15" t="n">
        <x:f>G15+H15-1</x:f>
        <x:v>46176</x:v>
      </x:c>
      <x:c r="J15" t="str">
        <x:v>T013</x:v>
      </x:c>
      <x:c r="K15" t="str">
        <x:v>Not Started</x:v>
      </x:c>
      <x:c r="L15" t="str">
        <x:v>High</x:v>
      </x:c>
      <x:c r="M15" t="n">
        <x:v>0</x:v>
      </x:c>
      <x:c r="N15" t="str">
        <x:f>IF(J15="","No dependency",IF(COUNTIF($A$2:$A$200,J15)&gt;0,"Single dependency tracked","Check multi-dependency"))</x:f>
        <x:v>Single dependency tracked</x:v>
      </x:c>
      <x:c r="O15" t="str">
        <x:v>Support dashboard</x:v>
      </x:c>
    </x:row>
    <x:row r="16">
      <x:c r="A16" t="str">
        <x:v>T015</x:v>
      </x:c>
      <x:c r="B16" t="str">
        <x:v>4 - Web dashboard / PWA</x:v>
      </x:c>
      <x:c r="C16" t="str">
        <x:v>Frontend</x:v>
      </x:c>
      <x:c r="D16" t="str">
        <x:v>Create station map and latest detections view</x:v>
      </x:c>
      <x:c r="E16" t="str">
        <x:v>Dashboard v1</x:v>
      </x:c>
      <x:c r="F16" t="str">
        <x:v>Frontend / PWA / UX</x:v>
      </x:c>
      <x:c r="G16" t="n">
        <x:v>46176</x:v>
      </x:c>
      <x:c r="H16" t="n">
        <x:v>5</x:v>
      </x:c>
      <x:c r="I16" t="n">
        <x:f>G16+H16-1</x:f>
        <x:v>46180</x:v>
      </x:c>
      <x:c r="J16" t="str">
        <x:v>T014</x:v>
      </x:c>
      <x:c r="K16" t="str">
        <x:v>Not Started</x:v>
      </x:c>
      <x:c r="L16" t="str">
        <x:v>Critical</x:v>
      </x:c>
      <x:c r="M16" t="n">
        <x:v>0</x:v>
      </x:c>
      <x:c r="N16" t="str">
        <x:f>IF(J16="","No dependency",IF(COUNTIF($A$2:$A$200,J16)&gt;0,"Single dependency tracked","Check multi-dependency"))</x:f>
        <x:v>Single dependency tracked</x:v>
      </x:c>
      <x:c r="O16" t="str">
        <x:v>MapLibre/Leaflet</x:v>
      </x:c>
    </x:row>
    <x:row r="17">
      <x:c r="A17" t="str">
        <x:v>T016</x:v>
      </x:c>
      <x:c r="B17" t="str">
        <x:v>4 - Web dashboard / PWA</x:v>
      </x:c>
      <x:c r="C17" t="str">
        <x:v>Frontend</x:v>
      </x:c>
      <x:c r="D17" t="str">
        <x:v>Create species timeline and confidence filters</x:v>
      </x:c>
      <x:c r="E17" t="str">
        <x:v>Timeline view</x:v>
      </x:c>
      <x:c r="F17" t="str">
        <x:v>Frontend / PWA / UX</x:v>
      </x:c>
      <x:c r="G17" t="n">
        <x:v>46181</x:v>
      </x:c>
      <x:c r="H17" t="n">
        <x:v>4</x:v>
      </x:c>
      <x:c r="I17" t="n">
        <x:f>G17+H17-1</x:f>
        <x:v>46184</x:v>
      </x:c>
      <x:c r="J17" t="str">
        <x:v>T015</x:v>
      </x:c>
      <x:c r="K17" t="str">
        <x:v>Not Started</x:v>
      </x:c>
      <x:c r="L17" t="str">
        <x:v>High</x:v>
      </x:c>
      <x:c r="M17" t="n">
        <x:v>0</x:v>
      </x:c>
      <x:c r="N17" t="str">
        <x:f>IF(J17="","No dependency",IF(COUNTIF($A$2:$A$200,J17)&gt;0,"Single dependency tracked","Check multi-dependency"))</x:f>
        <x:v>Single dependency tracked</x:v>
      </x:c>
      <x:c r="O17" t="str">
        <x:v>Filter by confidence/status</x:v>
      </x:c>
    </x:row>
    <x:row r="18">
      <x:c r="A18" t="str">
        <x:v>T017</x:v>
      </x:c>
      <x:c r="B18" t="str">
        <x:v>4 - Web dashboard / PWA</x:v>
      </x:c>
      <x:c r="C18" t="str">
        <x:v>Frontend</x:v>
      </x:c>
      <x:c r="D18" t="str">
        <x:v>Create station health panel</x:v>
      </x:c>
      <x:c r="E18" t="str">
        <x:v>Device health screen</x:v>
      </x:c>
      <x:c r="F18" t="str">
        <x:v>Frontend / PWA / UX</x:v>
      </x:c>
      <x:c r="G18" t="n">
        <x:v>46183</x:v>
      </x:c>
      <x:c r="H18" t="n">
        <x:v>3</x:v>
      </x:c>
      <x:c r="I18" t="n">
        <x:f>G18+H18-1</x:f>
        <x:v>46185</x:v>
      </x:c>
      <x:c r="J18" t="str">
        <x:v>T012,T013</x:v>
      </x:c>
      <x:c r="K18" t="str">
        <x:v>Not Started</x:v>
      </x:c>
      <x:c r="L18" t="str">
        <x:v>Medium</x:v>
      </x:c>
      <x:c r="M18" t="n">
        <x:v>0</x:v>
      </x:c>
      <x:c r="N18" t="str">
        <x:f>IF(J18="","No dependency",IF(COUNTIF($A$2:$A$200,J18)&gt;0,"Single dependency tracked","Check multi-dependency"))</x:f>
        <x:v>Check multi-dependency</x:v>
      </x:c>
      <x:c r="O18" t="str">
        <x:v>Battery/network/storage later</x:v>
      </x:c>
    </x:row>
    <x:row r="19">
      <x:c r="A19" t="str">
        <x:v>T018</x:v>
      </x:c>
      <x:c r="B19" t="str">
        <x:v>5 - Ecological intelligence layer</x:v>
      </x:c>
      <x:c r="C19" t="str">
        <x:v>Integration</x:v>
      </x:c>
      <x:c r="D19" t="str">
        <x:v>Connect BirdWeather API for nearby detections</x:v>
      </x:c>
      <x:c r="E19" t="str">
        <x:v>BirdWeather connector</x:v>
      </x:c>
      <x:c r="F19" t="str">
        <x:v>API integration / data engineering</x:v>
      </x:c>
      <x:c r="G19" t="n">
        <x:v>46185</x:v>
      </x:c>
      <x:c r="H19" t="n">
        <x:v>4</x:v>
      </x:c>
      <x:c r="I19" t="n">
        <x:f>G19+H19-1</x:f>
        <x:v>46188</x:v>
      </x:c>
      <x:c r="J19" t="str">
        <x:v>T014</x:v>
      </x:c>
      <x:c r="K19" t="str">
        <x:v>Not Started</x:v>
      </x:c>
      <x:c r="L19" t="str">
        <x:v>Medium</x:v>
      </x:c>
      <x:c r="M19" t="n">
        <x:v>0</x:v>
      </x:c>
      <x:c r="N19" t="str">
        <x:f>IF(J19="","No dependency",IF(COUNTIF($A$2:$A$200,J19)&gt;0,"Single dependency tracked","Check multi-dependency"))</x:f>
        <x:v>Single dependency tracked</x:v>
      </x:c>
      <x:c r="O19" t="str">
        <x:v>Import/public compare</x:v>
      </x:c>
    </x:row>
    <x:row r="20">
      <x:c r="A20" t="str">
        <x:v>T019</x:v>
      </x:c>
      <x:c r="B20" t="str">
        <x:v>5 - Ecological intelligence layer</x:v>
      </x:c>
      <x:c r="C20" t="str">
        <x:v>Integration</x:v>
      </x:c>
      <x:c r="D20" t="str">
        <x:v>Connect occurrence/habitat/weather sources</x:v>
      </x:c>
      <x:c r="E20" t="str">
        <x:v>External enrichment connector</x:v>
      </x:c>
      <x:c r="F20" t="str">
        <x:v>API integration / data engineering</x:v>
      </x:c>
      <x:c r="G20" t="n">
        <x:v>46189</x:v>
      </x:c>
      <x:c r="H20" t="n">
        <x:v>6</x:v>
      </x:c>
      <x:c r="I20" t="n">
        <x:f>G20+H20-1</x:f>
        <x:v>46194</x:v>
      </x:c>
      <x:c r="J20" t="str">
        <x:v>T014</x:v>
      </x:c>
      <x:c r="K20" t="str">
        <x:v>Not Started</x:v>
      </x:c>
      <x:c r="L20" t="str">
        <x:v>High</x:v>
      </x:c>
      <x:c r="M20" t="n">
        <x:v>0</x:v>
      </x:c>
      <x:c r="N20" t="str">
        <x:f>IF(J20="","No dependency",IF(COUNTIF($A$2:$A$200,J20)&gt;0,"Single dependency tracked","Check multi-dependency"))</x:f>
        <x:v>Single dependency tracked</x:v>
      </x:c>
      <x:c r="O20" t="str">
        <x:v>GBIF/iNat/OSM/weather</x:v>
      </x:c>
    </x:row>
    <x:row r="21">
      <x:c r="A21" t="str">
        <x:v>T020</x:v>
      </x:c>
      <x:c r="B21" t="str">
        <x:v>5 - Ecological intelligence layer</x:v>
      </x:c>
      <x:c r="C21" t="str">
        <x:v>Scientific</x:v>
      </x:c>
      <x:c r="D21" t="str">
        <x:v>Build expected vs detected logic</x:v>
      </x:c>
      <x:c r="E21" t="str">
        <x:v>Ecological interpretation engine</x:v>
      </x:c>
      <x:c r="F21" t="str">
        <x:v>Bioacoustics / zoology</x:v>
      </x:c>
      <x:c r="G21" t="n">
        <x:v>46195</x:v>
      </x:c>
      <x:c r="H21" t="n">
        <x:v>5</x:v>
      </x:c>
      <x:c r="I21" t="n">
        <x:f>G21+H21-1</x:f>
        <x:v>46199</x:v>
      </x:c>
      <x:c r="J21" t="str">
        <x:v>T018,T019,T002</x:v>
      </x:c>
      <x:c r="K21" t="str">
        <x:v>Not Started</x:v>
      </x:c>
      <x:c r="L21" t="str">
        <x:v>High</x:v>
      </x:c>
      <x:c r="M21" t="n">
        <x:v>0</x:v>
      </x:c>
      <x:c r="N21" t="str">
        <x:f>IF(J21="","No dependency",IF(COUNTIF($A$2:$A$200,J21)&gt;0,"Single dependency tracked","Check multi-dependency"))</x:f>
        <x:v>Check multi-dependency</x:v>
      </x:c>
      <x:c r="O21" t="str">
        <x:v>Observed vs expected</x:v>
      </x:c>
    </x:row>
    <x:row r="22">
      <x:c r="A22" t="str">
        <x:v>T021</x:v>
      </x:c>
      <x:c r="B22" t="str">
        <x:v>6 - Outdoor autonomous prototype</x:v>
      </x:c>
      <x:c r="C22" t="str">
        <x:v>Hardware</x:v>
      </x:c>
      <x:c r="D22" t="str">
        <x:v>Design enclosure and microphone protection</x:v>
      </x:c>
      <x:c r="E22" t="str">
        <x:v>Outdoor enclosure v1</x:v>
      </x:c>
      <x:c r="F22" t="str">
        <x:v>Audio hardware / electronics</x:v>
      </x:c>
      <x:c r="G22" t="n">
        <x:v>46193</x:v>
      </x:c>
      <x:c r="H22" t="n">
        <x:v>5</x:v>
      </x:c>
      <x:c r="I22" t="n">
        <x:f>G22+H22-1</x:f>
        <x:v>46197</x:v>
      </x:c>
      <x:c r="J22" t="str">
        <x:v>T004</x:v>
      </x:c>
      <x:c r="K22" t="str">
        <x:v>Not Started</x:v>
      </x:c>
      <x:c r="L22" t="str">
        <x:v>High</x:v>
      </x:c>
      <x:c r="M22" t="n">
        <x:v>0</x:v>
      </x:c>
      <x:c r="N22" t="str">
        <x:f>IF(J22="","No dependency",IF(COUNTIF($A$2:$A$200,J22)&gt;0,"Single dependency tracked","Check multi-dependency"))</x:f>
        <x:v>Single dependency tracked</x:v>
      </x:c>
      <x:c r="O22" t="str">
        <x:v>Condensation and wind/rain</x:v>
      </x:c>
    </x:row>
    <x:row r="23">
      <x:c r="A23" t="str">
        <x:v>T022</x:v>
      </x:c>
      <x:c r="B23" t="str">
        <x:v>6 - Outdoor autonomous prototype</x:v>
      </x:c>
      <x:c r="C23" t="str">
        <x:v>Hardware</x:v>
      </x:c>
      <x:c r="D23" t="str">
        <x:v>Define battery/solar power budget</x:v>
      </x:c>
      <x:c r="E23" t="str">
        <x:v>Energy design note</x:v>
      </x:c>
      <x:c r="F23" t="str">
        <x:v>Audio hardware / electronics</x:v>
      </x:c>
      <x:c r="G23" t="n">
        <x:v>46198</x:v>
      </x:c>
      <x:c r="H23" t="n">
        <x:v>4</x:v>
      </x:c>
      <x:c r="I23" t="n">
        <x:f>G23+H23-1</x:f>
        <x:v>46201</x:v>
      </x:c>
      <x:c r="J23" t="str">
        <x:v>T021</x:v>
      </x:c>
      <x:c r="K23" t="str">
        <x:v>Not Started</x:v>
      </x:c>
      <x:c r="L23" t="str">
        <x:v>High</x:v>
      </x:c>
      <x:c r="M23" t="n">
        <x:v>0</x:v>
      </x:c>
      <x:c r="N23" t="str">
        <x:f>IF(J23="","No dependency",IF(COUNTIF($A$2:$A$200,J23)&gt;0,"Single dependency tracked","Check multi-dependency"))</x:f>
        <x:v>Single dependency tracked</x:v>
      </x:c>
      <x:c r="O23" t="str">
        <x:v>Wh/day and margin</x:v>
      </x:c>
    </x:row>
    <x:row r="24">
      <x:c r="A24" t="str">
        <x:v>T023</x:v>
      </x:c>
      <x:c r="B24" t="str">
        <x:v>6 - Outdoor autonomous prototype</x:v>
      </x:c>
      <x:c r="C24" t="str">
        <x:v>Connectivity</x:v>
      </x:c>
      <x:c r="D24" t="str">
        <x:v>Integrate 4G/LTE and offline sync test</x:v>
      </x:c>
      <x:c r="E24" t="str">
        <x:v>Field connectivity test</x:v>
      </x:c>
      <x:c r="F24" t="str">
        <x:v>Raspberry Pi / Linux</x:v>
      </x:c>
      <x:c r="G24" t="n">
        <x:v>46202</x:v>
      </x:c>
      <x:c r="H24" t="n">
        <x:v>5</x:v>
      </x:c>
      <x:c r="I24" t="n">
        <x:f>G24+H24-1</x:f>
        <x:v>46206</x:v>
      </x:c>
      <x:c r="J24" t="str">
        <x:v>T010,T013,T022</x:v>
      </x:c>
      <x:c r="K24" t="str">
        <x:v>Not Started</x:v>
      </x:c>
      <x:c r="L24" t="str">
        <x:v>High</x:v>
      </x:c>
      <x:c r="M24" t="n">
        <x:v>0</x:v>
      </x:c>
      <x:c r="N24" t="str">
        <x:f>IF(J24="","No dependency",IF(COUNTIF($A$2:$A$200,J24)&gt;0,"Single dependency tracked","Check multi-dependency"))</x:f>
        <x:v>Check multi-dependency</x:v>
      </x:c>
      <x:c r="O24" t="str">
        <x:v>Retry queue</x:v>
      </x:c>
    </x:row>
    <x:row r="25">
      <x:c r="A25" t="str">
        <x:v>T024</x:v>
      </x:c>
      <x:c r="B25" t="str">
        <x:v>6 - Outdoor autonomous prototype</x:v>
      </x:c>
      <x:c r="C25" t="str">
        <x:v>Field test</x:v>
      </x:c>
      <x:c r="D25" t="str">
        <x:v>Run 7-day outdoor field test</x:v>
      </x:c>
      <x:c r="E25" t="str">
        <x:v>Field test report</x:v>
      </x:c>
      <x:c r="F25" t="str">
        <x:v>Product owner / scientific lead</x:v>
      </x:c>
      <x:c r="G25" t="n">
        <x:v>46209</x:v>
      </x:c>
      <x:c r="H25" t="n">
        <x:v>7</x:v>
      </x:c>
      <x:c r="I25" t="n">
        <x:f>G25+H25-1</x:f>
        <x:v>46215</x:v>
      </x:c>
      <x:c r="J25" t="str">
        <x:v>T015,T016,T023</x:v>
      </x:c>
      <x:c r="K25" t="str">
        <x:v>Not Started</x:v>
      </x:c>
      <x:c r="L25" t="str">
        <x:v>Critical</x:v>
      </x:c>
      <x:c r="M25" t="n">
        <x:v>0</x:v>
      </x:c>
      <x:c r="N25" t="str">
        <x:f>IF(J25="","No dependency",IF(COUNTIF($A$2:$A$200,J25)&gt;0,"Single dependency tracked","Check multi-dependency"))</x:f>
        <x:v>Check multi-dependency</x:v>
      </x:c>
      <x:c r="O25" t="str">
        <x:v>Reliability + accuracy</x:v>
      </x:c>
    </x:row>
    <x:row r="26">
      <x:c r="A26" t="str">
        <x:v>T025</x:v>
      </x:c>
      <x:c r="B26" t="str">
        <x:v>7 - Validation &amp; quality control</x:v>
      </x:c>
      <x:c r="C26" t="str">
        <x:v>Scientific</x:v>
      </x:c>
      <x:c r="D26" t="str">
        <x:v>Define validation statuses and thresholds</x:v>
      </x:c>
      <x:c r="E26" t="str">
        <x:v>Validation protocol</x:v>
      </x:c>
      <x:c r="F26" t="str">
        <x:v>Bioacoustics / zoology</x:v>
      </x:c>
      <x:c r="G26" t="n">
        <x:v>46201</x:v>
      </x:c>
      <x:c r="H26" t="n">
        <x:v>4</x:v>
      </x:c>
      <x:c r="I26" t="n">
        <x:f>G26+H26-1</x:f>
        <x:v>46204</x:v>
      </x:c>
      <x:c r="J26" t="str">
        <x:v>T007,T020</x:v>
      </x:c>
      <x:c r="K26" t="str">
        <x:v>Not Started</x:v>
      </x:c>
      <x:c r="L26" t="str">
        <x:v>High</x:v>
      </x:c>
      <x:c r="M26" t="n">
        <x:v>0</x:v>
      </x:c>
      <x:c r="N26" t="str">
        <x:f>IF(J26="","No dependency",IF(COUNTIF($A$2:$A$200,J26)&gt;0,"Single dependency tracked","Check multi-dependency"))</x:f>
        <x:v>Check multi-dependency</x:v>
      </x:c>
      <x:c r="O26" t="str">
        <x:v>Unverified/probable/validated/rejected</x:v>
      </x:c>
    </x:row>
    <x:row r="27">
      <x:c r="A27" t="str">
        <x:v>T026</x:v>
      </x:c>
      <x:c r="B27" t="str">
        <x:v>7 - Validation &amp; quality control</x:v>
      </x:c>
      <x:c r="C27" t="str">
        <x:v>Frontend/Backend</x:v>
      </x:c>
      <x:c r="D27" t="str">
        <x:v>Build expert validation screen and audit trail</x:v>
      </x:c>
      <x:c r="E27" t="str">
        <x:v>Validation workflow v1</x:v>
      </x:c>
      <x:c r="F27" t="str">
        <x:v>Frontend / PWA / UX</x:v>
      </x:c>
      <x:c r="G27" t="n">
        <x:v>46205</x:v>
      </x:c>
      <x:c r="H27" t="n">
        <x:v>6</x:v>
      </x:c>
      <x:c r="I27" t="n">
        <x:f>G27+H27-1</x:f>
        <x:v>46210</x:v>
      </x:c>
      <x:c r="J27" t="str">
        <x:v>T025,T015,T013</x:v>
      </x:c>
      <x:c r="K27" t="str">
        <x:v>Not Started</x:v>
      </x:c>
      <x:c r="L27" t="str">
        <x:v>Medium</x:v>
      </x:c>
      <x:c r="M27" t="n">
        <x:v>0</x:v>
      </x:c>
      <x:c r="N27" t="str">
        <x:f>IF(J27="","No dependency",IF(COUNTIF($A$2:$A$200,J27)&gt;0,"Single dependency tracked","Check multi-dependency"))</x:f>
        <x:v>Check multi-dependency</x:v>
      </x:c>
      <x:c r="O27" t="str">
        <x:v>Store review decisions</x:v>
      </x:c>
    </x:row>
    <x:row r="28">
      <x:c r="A28" t="str">
        <x:v>T027</x:v>
      </x:c>
      <x:c r="B28" t="str">
        <x:v>8 - Multi-station network mode</x:v>
      </x:c>
      <x:c r="C28" t="str">
        <x:v>Backend</x:v>
      </x:c>
      <x:c r="D28" t="str">
        <x:v>Add user accounts and station groups</x:v>
      </x:c>
      <x:c r="E28" t="str">
        <x:v>Multi-station backend</x:v>
      </x:c>
      <x:c r="F28" t="str">
        <x:v>Backend/API development</x:v>
      </x:c>
      <x:c r="G28" t="n">
        <x:v>46211</x:v>
      </x:c>
      <x:c r="H28" t="n">
        <x:v>6</x:v>
      </x:c>
      <x:c r="I28" t="n">
        <x:f>G28+H28-1</x:f>
        <x:v>46216</x:v>
      </x:c>
      <x:c r="J28" t="str">
        <x:v>T014</x:v>
      </x:c>
      <x:c r="K28" t="str">
        <x:v>Not Started</x:v>
      </x:c>
      <x:c r="L28" t="str">
        <x:v>Medium</x:v>
      </x:c>
      <x:c r="M28" t="n">
        <x:v>0</x:v>
      </x:c>
      <x:c r="N28" t="str">
        <x:f>IF(J28="","No dependency",IF(COUNTIF($A$2:$A$200,J28)&gt;0,"Single dependency tracked","Check multi-dependency"))</x:f>
        <x:v>Single dependency tracked</x:v>
      </x:c>
      <x:c r="O28" t="str">
        <x:v>Public/private stations</x:v>
      </x:c>
    </x:row>
    <x:row r="29">
      <x:c r="A29" t="str">
        <x:v>T028</x:v>
      </x:c>
      <x:c r="B29" t="str">
        <x:v>8 - Multi-station network mode</x:v>
      </x:c>
      <x:c r="C29" t="str">
        <x:v>DevOps</x:v>
      </x:c>
      <x:c r="D29" t="str">
        <x:v>Deploy staging environment with backups and monitoring</x:v>
      </x:c>
      <x:c r="E29" t="str">
        <x:v>Staging platform</x:v>
      </x:c>
      <x:c r="F29" t="str">
        <x:v>DevOps / cloud deployment</x:v>
      </x:c>
      <x:c r="G29" t="n">
        <x:v>46213</x:v>
      </x:c>
      <x:c r="H29" t="n">
        <x:v>5</x:v>
      </x:c>
      <x:c r="I29" t="n">
        <x:f>G29+H29-1</x:f>
        <x:v>46217</x:v>
      </x:c>
      <x:c r="J29" t="str">
        <x:v>T013,T014</x:v>
      </x:c>
      <x:c r="K29" t="str">
        <x:v>Not Started</x:v>
      </x:c>
      <x:c r="L29" t="str">
        <x:v>High</x:v>
      </x:c>
      <x:c r="M29" t="n">
        <x:v>0</x:v>
      </x:c>
      <x:c r="N29" t="str">
        <x:f>IF(J29="","No dependency",IF(COUNTIF($A$2:$A$200,J29)&gt;0,"Single dependency tracked","Check multi-dependency"))</x:f>
        <x:v>Check multi-dependency</x:v>
      </x:c>
      <x:c r="O29" t="str">
        <x:v>Docker + HTTPS + backups</x:v>
      </x:c>
    </x:row>
    <x:row r="30">
      <x:c r="A30" t="str">
        <x:v>T029</x:v>
      </x:c>
      <x:c r="B30" t="str">
        <x:v>9 - Productization</x:v>
      </x:c>
      <x:c r="C30" t="str">
        <x:v>Documentation</x:v>
      </x:c>
      <x:c r="D30" t="str">
        <x:v>Write install, maintenance and user guide</x:v>
      </x:c>
      <x:c r="E30" t="str">
        <x:v>Documentation pack</x:v>
      </x:c>
      <x:c r="F30" t="str">
        <x:v>Technical writing / documentation</x:v>
      </x:c>
      <x:c r="G30" t="n">
        <x:v>46218</x:v>
      </x:c>
      <x:c r="H30" t="n">
        <x:v>5</x:v>
      </x:c>
      <x:c r="I30" t="n">
        <x:f>G30+H30-1</x:f>
        <x:v>46222</x:v>
      </x:c>
      <x:c r="J30" t="str">
        <x:v>T024,T026</x:v>
      </x:c>
      <x:c r="K30" t="str">
        <x:v>Not Started</x:v>
      </x:c>
      <x:c r="L30" t="str">
        <x:v>Medium</x:v>
      </x:c>
      <x:c r="M30" t="n">
        <x:v>0</x:v>
      </x:c>
      <x:c r="N30" t="str">
        <x:f>IF(J30="","No dependency",IF(COUNTIF($A$2:$A$200,J30)&gt;0,"Single dependency tracked","Check multi-dependency"))</x:f>
        <x:v>Check multi-dependency</x:v>
      </x:c>
      <x:c r="O30" t="str">
        <x:v>Mac-friendly user instructions later</x:v>
      </x:c>
    </x:row>
    <x:row r="31">
      <x:c r="A31" t="str">
        <x:v>T030</x:v>
      </x:c>
      <x:c r="B31" t="str">
        <x:v>9 - Productization</x:v>
      </x:c>
      <x:c r="C31" t="str">
        <x:v>Legal</x:v>
      </x:c>
      <x:c r="D31" t="str">
        <x:v>Draft privacy/GDPR and sensitive species policy</x:v>
      </x:c>
      <x:c r="E31" t="str">
        <x:v>Data governance note</x:v>
      </x:c>
      <x:c r="F31" t="str">
        <x:v>Legal / privacy / GDPR</x:v>
      </x:c>
      <x:c r="G31" t="n">
        <x:v>46218</x:v>
      </x:c>
      <x:c r="H31" t="n">
        <x:v>5</x:v>
      </x:c>
      <x:c r="I31" t="n">
        <x:f>G31+H31-1</x:f>
        <x:v>46222</x:v>
      </x:c>
      <x:c r="J31" t="str">
        <x:v>T008,T013,T026</x:v>
      </x:c>
      <x:c r="K31" t="str">
        <x:v>Not Started</x:v>
      </x:c>
      <x:c r="L31" t="str">
        <x:v>High</x:v>
      </x:c>
      <x:c r="M31" t="n">
        <x:v>0</x:v>
      </x:c>
      <x:c r="N31" t="str">
        <x:f>IF(J31="","No dependency",IF(COUNTIF($A$2:$A$200,J31)&gt;0,"Single dependency tracked","Check multi-dependency"))</x:f>
        <x:v>Check multi-dependency</x:v>
      </x:c>
      <x:c r="O31" t="str">
        <x:v>Audio/location/privacy</x:v>
      </x:c>
    </x:row>
    <x:row r="32">
      <x:c r="A32" t="str">
        <x:v>T031</x:v>
      </x:c>
      <x:c r="B32" t="str">
        <x:v>9 - Productization</x:v>
      </x:c>
      <x:c r="C32" t="str">
        <x:v>Product</x:v>
      </x:c>
      <x:c r="D32" t="str">
        <x:v>Finalize v1 product specification and next budget</x:v>
      </x:c>
      <x:c r="E32" t="str">
        <x:v>Product spec v1</x:v>
      </x:c>
      <x:c r="F32" t="str">
        <x:v>Product owner / scientific lead</x:v>
      </x:c>
      <x:c r="G32" t="n">
        <x:v>46225</x:v>
      </x:c>
      <x:c r="H32" t="n">
        <x:v>4</x:v>
      </x:c>
      <x:c r="I32" t="n">
        <x:f>G32+H32-1</x:f>
        <x:v>46228</x:v>
      </x:c>
      <x:c r="J32" t="str">
        <x:v>T024,T028,T029,T030</x:v>
      </x:c>
      <x:c r="K32" t="str">
        <x:v>Not Started</x:v>
      </x:c>
      <x:c r="L32" t="str">
        <x:v>Critical</x:v>
      </x:c>
      <x:c r="M32" t="n">
        <x:v>0</x:v>
      </x:c>
      <x:c r="N32" t="str">
        <x:f>IF(J32="","No dependency",IF(COUNTIF($A$2:$A$200,J32)&gt;0,"Single dependency tracked","Check multi-dependency"))</x:f>
        <x:v>Check multi-dependency</x:v>
      </x:c>
      <x:c r="O32" t="str">
        <x:v>Decision: prototype to pilot</x:v>
      </x:c>
    </x:row>
  </x:sheetData>
  <x:conditionalFormatting sqref="K2:K200">
    <x:cfRule type="expression" dxfId="0" priority="1">
      <x:formula>$K2="Done"</x:formula>
    </x:cfRule>
    <x:cfRule type="expression" dxfId="1" priority="2">
      <x:formula>$K2="Blocked"</x:formula>
    </x:cfRule>
    <x:cfRule type="expression" dxfId="2" priority="3">
      <x:formula>$K2="In Progress"</x:formula>
    </x:cfRule>
  </x:conditionalFormatting>
  <x:conditionalFormatting sqref="M2:M200">
    <x:cfRule type="dataBar" priority="4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{4A1A20D4-D832-1781-F368-48E6A347038C}</x14:id>
        </x:ext>
      </x:extLst>
    </x:cfRule>
  </x:conditionalFormatting>
  <x:dataValidations count="4">
    <x:dataValidation type="list" sqref="K2:K200">
      <x:formula1>Lists!$A$2:$A$6</x:formula1>
    </x:dataValidation>
    <x:dataValidation type="list" sqref="L2:L200">
      <x:formula1>Lists!$B$2:$B$5</x:formula1>
    </x:dataValidation>
    <x:dataValidation type="list" sqref="B2:B200">
      <x:formula1>Lists!$C$2:$C$11</x:formula1>
    </x:dataValidation>
    <x:dataValidation type="list" sqref="F2:F200">
      <x:formula1>Lists!$D$2:$D$12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a94e7c310e484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4A1A20D4-D832-1781-F368-48E6A347038C}">
            <x14:dataBar gradient="1">
              <x14:cfvo type="min"/>
              <x14:cfvo type="max"/>
              <x14:fillColor rgb="0F766E"/>
            </x14:dataBar>
          </x14:cfRule>
          <xm:sqref>M2:M200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18" hidden="0" customWidth="1"/>
    <x:col min="5" max="5" width="26" hidden="0" customWidth="1"/>
    <x:col min="6" max="6" width="34" hidden="0" customWidth="1"/>
  </x:cols>
  <x:sheetData>
    <x:row r="1">
      <x:c r="A1" s="6" t="str">
        <x:v>Task ID</x:v>
      </x:c>
      <x:c r="B1" s="6" t="str">
        <x:v>Task</x:v>
      </x:c>
      <x:c r="C1" s="6" t="str">
        <x:v>Depends on</x:v>
      </x:c>
      <x:c r="D1" s="6" t="str">
        <x:v>Dependency type</x:v>
      </x:c>
      <x:c r="E1" s="6" t="str">
        <x:v>Impact if late</x:v>
      </x:c>
      <x:c r="F1" s="6" t="str">
        <x:v>Mitigation / comment</x:v>
      </x:c>
    </x:row>
    <x:row r="2">
      <x:c r="A2" t="str">
        <x:v>T002</x:v>
      </x:c>
      <x:c r="B2" t="str">
        <x:v>Define target taxa and initial species filters</x:v>
      </x:c>
      <x:c r="C2" t="str">
        <x:v>T001</x:v>
      </x:c>
      <x:c r="D2" t="str">
        <x:v>Finish-to-start</x:v>
      </x:c>
      <x:c r="E2" t="str">
        <x:v>Delays downstream task</x:v>
      </x:c>
      <x:c r="F2" t="str">
        <x:v>Review dependency weekly</x:v>
      </x:c>
    </x:row>
    <x:row r="3">
      <x:c r="A3" t="str">
        <x:v>T003</x:v>
      </x:c>
      <x:c r="B3" t="str">
        <x:v>Define success criteria and field test protocol</x:v>
      </x:c>
      <x:c r="C3" t="str">
        <x:v>T001</x:v>
      </x:c>
      <x:c r="D3" t="str">
        <x:v>Finish-to-start</x:v>
      </x:c>
      <x:c r="E3" t="str">
        <x:v>Delays downstream task</x:v>
      </x:c>
      <x:c r="F3" t="str">
        <x:v>Review dependency weekly</x:v>
      </x:c>
    </x:row>
    <x:row r="4">
      <x:c r="A4" t="str">
        <x:v>T004</x:v>
      </x:c>
      <x:c r="B4" t="str">
        <x:v>Select Raspberry Pi, microphone, storage kit</x:v>
      </x:c>
      <x:c r="C4" t="str">
        <x:v>T001</x:v>
      </x:c>
      <x:c r="D4" t="str">
        <x:v>Finish-to-start</x:v>
      </x:c>
      <x:c r="E4" t="str">
        <x:v>Delays downstream task</x:v>
      </x:c>
      <x:c r="F4" t="str">
        <x:v>Review dependency weekly</x:v>
      </x:c>
    </x:row>
    <x:row r="5">
      <x:c r="A5" t="str">
        <x:v>T005</x:v>
      </x:c>
      <x:c r="B5" t="str">
        <x:v>Install OS and configure audio capture</x:v>
      </x:c>
      <x:c r="C5" t="str">
        <x:v>T004</x:v>
      </x:c>
      <x:c r="D5" t="str">
        <x:v>Finish-to-start</x:v>
      </x:c>
      <x:c r="E5" t="str">
        <x:v>Delays downstream task</x:v>
      </x:c>
      <x:c r="F5" t="str">
        <x:v>Review dependency weekly</x:v>
      </x:c>
    </x:row>
    <x:row r="6">
      <x:c r="A6" t="str">
        <x:v>T006</x:v>
      </x:c>
      <x:c r="B6" t="str">
        <x:v>Install and configure BirdNET-Go</x:v>
      </x:c>
      <x:c r="C6" t="str">
        <x:v>T005</x:v>
      </x:c>
      <x:c r="D6" t="str">
        <x:v>Finish-to-start</x:v>
      </x:c>
      <x:c r="E6" t="str">
        <x:v>Delays downstream task</x:v>
      </x:c>
      <x:c r="F6" t="str">
        <x:v>Review dependency weekly</x:v>
      </x:c>
    </x:row>
    <x:row r="7">
      <x:c r="A7" t="str">
        <x:v>T007</x:v>
      </x:c>
      <x:c r="B7" t="str">
        <x:v>Run first 24-hour detection test</x:v>
      </x:c>
      <x:c r="C7" t="str">
        <x:v>T006</x:v>
      </x:c>
      <x:c r="D7" t="str">
        <x:v>Finish-to-start</x:v>
      </x:c>
      <x:c r="E7" t="str">
        <x:v>Delays downstream task</x:v>
      </x:c>
      <x:c r="F7" t="str">
        <x:v>Review dependency weekly</x:v>
      </x:c>
    </x:row>
    <x:row r="8">
      <x:c r="A8" t="str">
        <x:v>T008</x:v>
      </x:c>
      <x:c r="B8" t="str">
        <x:v>Define Faune Autour detection JSON schema</x:v>
      </x:c>
      <x:c r="C8" t="str">
        <x:v>T002</x:v>
      </x:c>
      <x:c r="D8" t="str">
        <x:v>Finish-to-start</x:v>
      </x:c>
      <x:c r="E8" t="str">
        <x:v>Delays downstream task</x:v>
      </x:c>
      <x:c r="F8" t="str">
        <x:v>Review dependency weekly</x:v>
      </x:c>
    </x:row>
    <x:row r="9">
      <x:c r="A9" t="str">
        <x:v>T009</x:v>
      </x:c>
      <x:c r="B9" t="str">
        <x:v>Create local SQLite queue and log schema</x:v>
      </x:c>
      <x:c r="C9" t="str">
        <x:v>T008</x:v>
      </x:c>
      <x:c r="D9" t="str">
        <x:v>Finish-to-start</x:v>
      </x:c>
      <x:c r="E9" t="str">
        <x:v>Delays downstream task</x:v>
      </x:c>
      <x:c r="F9" t="str">
        <x:v>Review dependency weekly</x:v>
      </x:c>
    </x:row>
    <x:row r="10">
      <x:c r="A10" t="str">
        <x:v>T010</x:v>
      </x:c>
      <x:c r="B10" t="str">
        <x:v>Build connector from BirdNET-Go to Faune schema</x:v>
      </x:c>
      <x:c r="C10" t="str">
        <x:v>T006</x:v>
      </x:c>
      <x:c r="D10" t="str">
        <x:v>Finish-to-start</x:v>
      </x:c>
      <x:c r="E10" t="str">
        <x:v>Delays downstream task</x:v>
      </x:c>
      <x:c r="F10" t="str">
        <x:v>Review dependency weekly</x:v>
      </x:c>
    </x:row>
    <x:row r="11">
      <x:c r="A11" t="str">
        <x:v>T010</x:v>
      </x:c>
      <x:c r="B11" t="str">
        <x:v>Build connector from BirdNET-Go to Faune schema</x:v>
      </x:c>
      <x:c r="C11" t="str">
        <x:v>T008</x:v>
      </x:c>
      <x:c r="D11" t="str">
        <x:v>Finish-to-start</x:v>
      </x:c>
      <x:c r="E11" t="str">
        <x:v>Delays downstream task</x:v>
      </x:c>
      <x:c r="F11" t="str">
        <x:v>Review dependency weekly</x:v>
      </x:c>
    </x:row>
    <x:row r="12">
      <x:c r="A12" t="str">
        <x:v>T010</x:v>
      </x:c>
      <x:c r="B12" t="str">
        <x:v>Build connector from BirdNET-Go to Faune schema</x:v>
      </x:c>
      <x:c r="C12" t="str">
        <x:v>T009</x:v>
      </x:c>
      <x:c r="D12" t="str">
        <x:v>Finish-to-start</x:v>
      </x:c>
      <x:c r="E12" t="str">
        <x:v>Delays downstream task</x:v>
      </x:c>
      <x:c r="F12" t="str">
        <x:v>Review dependency weekly</x:v>
      </x:c>
    </x:row>
    <x:row r="13">
      <x:c r="A13" t="str">
        <x:v>T011</x:v>
      </x:c>
      <x:c r="B13" t="str">
        <x:v>Design PostgreSQL/PostGIS schema</x:v>
      </x:c>
      <x:c r="C13" t="str">
        <x:v>T008</x:v>
      </x:c>
      <x:c r="D13" t="str">
        <x:v>Finish-to-start</x:v>
      </x:c>
      <x:c r="E13" t="str">
        <x:v>Delays downstream task</x:v>
      </x:c>
      <x:c r="F13" t="str">
        <x:v>Review dependency weekly</x:v>
      </x:c>
    </x:row>
    <x:row r="14">
      <x:c r="A14" t="str">
        <x:v>T012</x:v>
      </x:c>
      <x:c r="B14" t="str">
        <x:v>Build device authentication and registration</x:v>
      </x:c>
      <x:c r="C14" t="str">
        <x:v>T011</x:v>
      </x:c>
      <x:c r="D14" t="str">
        <x:v>Finish-to-start</x:v>
      </x:c>
      <x:c r="E14" t="str">
        <x:v>Delays downstream task</x:v>
      </x:c>
      <x:c r="F14" t="str">
        <x:v>Review dependency weekly</x:v>
      </x:c>
    </x:row>
    <x:row r="15">
      <x:c r="A15" t="str">
        <x:v>T013</x:v>
      </x:c>
      <x:c r="B15" t="str">
        <x:v>Build detection ingestion endpoint</x:v>
      </x:c>
      <x:c r="C15" t="str">
        <x:v>T011</x:v>
      </x:c>
      <x:c r="D15" t="str">
        <x:v>Finish-to-start</x:v>
      </x:c>
      <x:c r="E15" t="str">
        <x:v>Delays downstream task</x:v>
      </x:c>
      <x:c r="F15" t="str">
        <x:v>Review dependency weekly</x:v>
      </x:c>
    </x:row>
    <x:row r="16">
      <x:c r="A16" t="str">
        <x:v>T013</x:v>
      </x:c>
      <x:c r="B16" t="str">
        <x:v>Build detection ingestion endpoint</x:v>
      </x:c>
      <x:c r="C16" t="str">
        <x:v>T012</x:v>
      </x:c>
      <x:c r="D16" t="str">
        <x:v>Finish-to-start</x:v>
      </x:c>
      <x:c r="E16" t="str">
        <x:v>Delays downstream task</x:v>
      </x:c>
      <x:c r="F16" t="str">
        <x:v>Review dependency weekly</x:v>
      </x:c>
    </x:row>
    <x:row r="17">
      <x:c r="A17" t="str">
        <x:v>T014</x:v>
      </x:c>
      <x:c r="B17" t="str">
        <x:v>Build map/query/export endpoints</x:v>
      </x:c>
      <x:c r="C17" t="str">
        <x:v>T013</x:v>
      </x:c>
      <x:c r="D17" t="str">
        <x:v>Finish-to-start</x:v>
      </x:c>
      <x:c r="E17" t="str">
        <x:v>Delays downstream task</x:v>
      </x:c>
      <x:c r="F17" t="str">
        <x:v>Review dependency weekly</x:v>
      </x:c>
    </x:row>
    <x:row r="18">
      <x:c r="A18" t="str">
        <x:v>T015</x:v>
      </x:c>
      <x:c r="B18" t="str">
        <x:v>Create station map and latest detections view</x:v>
      </x:c>
      <x:c r="C18" t="str">
        <x:v>T014</x:v>
      </x:c>
      <x:c r="D18" t="str">
        <x:v>Finish-to-start</x:v>
      </x:c>
      <x:c r="E18" t="str">
        <x:v>Delays downstream task</x:v>
      </x:c>
      <x:c r="F18" t="str">
        <x:v>Review dependency weekly</x:v>
      </x:c>
    </x:row>
    <x:row r="19">
      <x:c r="A19" t="str">
        <x:v>T016</x:v>
      </x:c>
      <x:c r="B19" t="str">
        <x:v>Create species timeline and confidence filters</x:v>
      </x:c>
      <x:c r="C19" t="str">
        <x:v>T015</x:v>
      </x:c>
      <x:c r="D19" t="str">
        <x:v>Finish-to-start</x:v>
      </x:c>
      <x:c r="E19" t="str">
        <x:v>Delays downstream task</x:v>
      </x:c>
      <x:c r="F19" t="str">
        <x:v>Review dependency weekly</x:v>
      </x:c>
    </x:row>
    <x:row r="20">
      <x:c r="A20" t="str">
        <x:v>T017</x:v>
      </x:c>
      <x:c r="B20" t="str">
        <x:v>Create station health panel</x:v>
      </x:c>
      <x:c r="C20" t="str">
        <x:v>T012</x:v>
      </x:c>
      <x:c r="D20" t="str">
        <x:v>Finish-to-start</x:v>
      </x:c>
      <x:c r="E20" t="str">
        <x:v>Delays downstream task</x:v>
      </x:c>
      <x:c r="F20" t="str">
        <x:v>Review dependency weekly</x:v>
      </x:c>
    </x:row>
    <x:row r="21">
      <x:c r="A21" t="str">
        <x:v>T017</x:v>
      </x:c>
      <x:c r="B21" t="str">
        <x:v>Create station health panel</x:v>
      </x:c>
      <x:c r="C21" t="str">
        <x:v>T013</x:v>
      </x:c>
      <x:c r="D21" t="str">
        <x:v>Finish-to-start</x:v>
      </x:c>
      <x:c r="E21" t="str">
        <x:v>Delays downstream task</x:v>
      </x:c>
      <x:c r="F21" t="str">
        <x:v>Review dependency weekly</x:v>
      </x:c>
    </x:row>
    <x:row r="22">
      <x:c r="A22" t="str">
        <x:v>T018</x:v>
      </x:c>
      <x:c r="B22" t="str">
        <x:v>Connect BirdWeather API for nearby detections</x:v>
      </x:c>
      <x:c r="C22" t="str">
        <x:v>T014</x:v>
      </x:c>
      <x:c r="D22" t="str">
        <x:v>Finish-to-start</x:v>
      </x:c>
      <x:c r="E22" t="str">
        <x:v>Delays downstream task</x:v>
      </x:c>
      <x:c r="F22" t="str">
        <x:v>Review dependency weekly</x:v>
      </x:c>
    </x:row>
    <x:row r="23">
      <x:c r="A23" t="str">
        <x:v>T019</x:v>
      </x:c>
      <x:c r="B23" t="str">
        <x:v>Connect occurrence/habitat/weather sources</x:v>
      </x:c>
      <x:c r="C23" t="str">
        <x:v>T014</x:v>
      </x:c>
      <x:c r="D23" t="str">
        <x:v>Finish-to-start</x:v>
      </x:c>
      <x:c r="E23" t="str">
        <x:v>Delays downstream task</x:v>
      </x:c>
      <x:c r="F23" t="str">
        <x:v>Review dependency weekly</x:v>
      </x:c>
    </x:row>
    <x:row r="24">
      <x:c r="A24" t="str">
        <x:v>T020</x:v>
      </x:c>
      <x:c r="B24" t="str">
        <x:v>Build expected vs detected logic</x:v>
      </x:c>
      <x:c r="C24" t="str">
        <x:v>T018</x:v>
      </x:c>
      <x:c r="D24" t="str">
        <x:v>Finish-to-start</x:v>
      </x:c>
      <x:c r="E24" t="str">
        <x:v>Delays downstream task</x:v>
      </x:c>
      <x:c r="F24" t="str">
        <x:v>Review dependency weekly</x:v>
      </x:c>
    </x:row>
    <x:row r="25">
      <x:c r="A25" t="str">
        <x:v>T020</x:v>
      </x:c>
      <x:c r="B25" t="str">
        <x:v>Build expected vs detected logic</x:v>
      </x:c>
      <x:c r="C25" t="str">
        <x:v>T019</x:v>
      </x:c>
      <x:c r="D25" t="str">
        <x:v>Finish-to-start</x:v>
      </x:c>
      <x:c r="E25" t="str">
        <x:v>Delays downstream task</x:v>
      </x:c>
      <x:c r="F25" t="str">
        <x:v>Review dependency weekly</x:v>
      </x:c>
    </x:row>
    <x:row r="26">
      <x:c r="A26" t="str">
        <x:v>T020</x:v>
      </x:c>
      <x:c r="B26" t="str">
        <x:v>Build expected vs detected logic</x:v>
      </x:c>
      <x:c r="C26" t="str">
        <x:v>T002</x:v>
      </x:c>
      <x:c r="D26" t="str">
        <x:v>Finish-to-start</x:v>
      </x:c>
      <x:c r="E26" t="str">
        <x:v>Delays downstream task</x:v>
      </x:c>
      <x:c r="F26" t="str">
        <x:v>Review dependency weekly</x:v>
      </x:c>
    </x:row>
    <x:row r="27">
      <x:c r="A27" t="str">
        <x:v>T021</x:v>
      </x:c>
      <x:c r="B27" t="str">
        <x:v>Design enclosure and microphone protection</x:v>
      </x:c>
      <x:c r="C27" t="str">
        <x:v>T004</x:v>
      </x:c>
      <x:c r="D27" t="str">
        <x:v>Finish-to-start</x:v>
      </x:c>
      <x:c r="E27" t="str">
        <x:v>Delays downstream task</x:v>
      </x:c>
      <x:c r="F27" t="str">
        <x:v>Review dependency weekly</x:v>
      </x:c>
    </x:row>
    <x:row r="28">
      <x:c r="A28" t="str">
        <x:v>T022</x:v>
      </x:c>
      <x:c r="B28" t="str">
        <x:v>Define battery/solar power budget</x:v>
      </x:c>
      <x:c r="C28" t="str">
        <x:v>T021</x:v>
      </x:c>
      <x:c r="D28" t="str">
        <x:v>Finish-to-start</x:v>
      </x:c>
      <x:c r="E28" t="str">
        <x:v>Delays downstream task</x:v>
      </x:c>
      <x:c r="F28" t="str">
        <x:v>Review dependency weekly</x:v>
      </x:c>
    </x:row>
    <x:row r="29">
      <x:c r="A29" t="str">
        <x:v>T023</x:v>
      </x:c>
      <x:c r="B29" t="str">
        <x:v>Integrate 4G/LTE and offline sync test</x:v>
      </x:c>
      <x:c r="C29" t="str">
        <x:v>T010</x:v>
      </x:c>
      <x:c r="D29" t="str">
        <x:v>Finish-to-start</x:v>
      </x:c>
      <x:c r="E29" t="str">
        <x:v>Delays downstream task</x:v>
      </x:c>
      <x:c r="F29" t="str">
        <x:v>Review dependency weekly</x:v>
      </x:c>
    </x:row>
    <x:row r="30">
      <x:c r="A30" t="str">
        <x:v>T023</x:v>
      </x:c>
      <x:c r="B30" t="str">
        <x:v>Integrate 4G/LTE and offline sync test</x:v>
      </x:c>
      <x:c r="C30" t="str">
        <x:v>T013</x:v>
      </x:c>
      <x:c r="D30" t="str">
        <x:v>Finish-to-start</x:v>
      </x:c>
      <x:c r="E30" t="str">
        <x:v>Delays downstream task</x:v>
      </x:c>
      <x:c r="F30" t="str">
        <x:v>Review dependency weekly</x:v>
      </x:c>
    </x:row>
    <x:row r="31">
      <x:c r="A31" t="str">
        <x:v>T023</x:v>
      </x:c>
      <x:c r="B31" t="str">
        <x:v>Integrate 4G/LTE and offline sync test</x:v>
      </x:c>
      <x:c r="C31" t="str">
        <x:v>T022</x:v>
      </x:c>
      <x:c r="D31" t="str">
        <x:v>Finish-to-start</x:v>
      </x:c>
      <x:c r="E31" t="str">
        <x:v>Delays downstream task</x:v>
      </x:c>
      <x:c r="F31" t="str">
        <x:v>Review dependency weekly</x:v>
      </x:c>
    </x:row>
    <x:row r="32">
      <x:c r="A32" t="str">
        <x:v>T024</x:v>
      </x:c>
      <x:c r="B32" t="str">
        <x:v>Run 7-day outdoor field test</x:v>
      </x:c>
      <x:c r="C32" t="str">
        <x:v>T015</x:v>
      </x:c>
      <x:c r="D32" t="str">
        <x:v>Finish-to-start</x:v>
      </x:c>
      <x:c r="E32" t="str">
        <x:v>Delays downstream task</x:v>
      </x:c>
      <x:c r="F32" t="str">
        <x:v>Review dependency weekly</x:v>
      </x:c>
    </x:row>
    <x:row r="33">
      <x:c r="A33" t="str">
        <x:v>T024</x:v>
      </x:c>
      <x:c r="B33" t="str">
        <x:v>Run 7-day outdoor field test</x:v>
      </x:c>
      <x:c r="C33" t="str">
        <x:v>T016</x:v>
      </x:c>
      <x:c r="D33" t="str">
        <x:v>Finish-to-start</x:v>
      </x:c>
      <x:c r="E33" t="str">
        <x:v>Delays downstream task</x:v>
      </x:c>
      <x:c r="F33" t="str">
        <x:v>Review dependency weekly</x:v>
      </x:c>
    </x:row>
    <x:row r="34">
      <x:c r="A34" t="str">
        <x:v>T024</x:v>
      </x:c>
      <x:c r="B34" t="str">
        <x:v>Run 7-day outdoor field test</x:v>
      </x:c>
      <x:c r="C34" t="str">
        <x:v>T023</x:v>
      </x:c>
      <x:c r="D34" t="str">
        <x:v>Finish-to-start</x:v>
      </x:c>
      <x:c r="E34" t="str">
        <x:v>Delays downstream task</x:v>
      </x:c>
      <x:c r="F34" t="str">
        <x:v>Review dependency weekly</x:v>
      </x:c>
    </x:row>
    <x:row r="35">
      <x:c r="A35" t="str">
        <x:v>T025</x:v>
      </x:c>
      <x:c r="B35" t="str">
        <x:v>Define validation statuses and thresholds</x:v>
      </x:c>
      <x:c r="C35" t="str">
        <x:v>T007</x:v>
      </x:c>
      <x:c r="D35" t="str">
        <x:v>Finish-to-start</x:v>
      </x:c>
      <x:c r="E35" t="str">
        <x:v>Delays downstream task</x:v>
      </x:c>
      <x:c r="F35" t="str">
        <x:v>Review dependency weekly</x:v>
      </x:c>
    </x:row>
    <x:row r="36">
      <x:c r="A36" t="str">
        <x:v>T025</x:v>
      </x:c>
      <x:c r="B36" t="str">
        <x:v>Define validation statuses and thresholds</x:v>
      </x:c>
      <x:c r="C36" t="str">
        <x:v>T020</x:v>
      </x:c>
      <x:c r="D36" t="str">
        <x:v>Finish-to-start</x:v>
      </x:c>
      <x:c r="E36" t="str">
        <x:v>Delays downstream task</x:v>
      </x:c>
      <x:c r="F36" t="str">
        <x:v>Review dependency weekly</x:v>
      </x:c>
    </x:row>
    <x:row r="37">
      <x:c r="A37" t="str">
        <x:v>T026</x:v>
      </x:c>
      <x:c r="B37" t="str">
        <x:v>Build expert validation screen and audit trail</x:v>
      </x:c>
      <x:c r="C37" t="str">
        <x:v>T025</x:v>
      </x:c>
      <x:c r="D37" t="str">
        <x:v>Finish-to-start</x:v>
      </x:c>
      <x:c r="E37" t="str">
        <x:v>Delays downstream task</x:v>
      </x:c>
      <x:c r="F37" t="str">
        <x:v>Review dependency weekly</x:v>
      </x:c>
    </x:row>
    <x:row r="38">
      <x:c r="A38" t="str">
        <x:v>T026</x:v>
      </x:c>
      <x:c r="B38" t="str">
        <x:v>Build expert validation screen and audit trail</x:v>
      </x:c>
      <x:c r="C38" t="str">
        <x:v>T015</x:v>
      </x:c>
      <x:c r="D38" t="str">
        <x:v>Finish-to-start</x:v>
      </x:c>
      <x:c r="E38" t="str">
        <x:v>Delays downstream task</x:v>
      </x:c>
      <x:c r="F38" t="str">
        <x:v>Review dependency weekly</x:v>
      </x:c>
    </x:row>
    <x:row r="39">
      <x:c r="A39" t="str">
        <x:v>T026</x:v>
      </x:c>
      <x:c r="B39" t="str">
        <x:v>Build expert validation screen and audit trail</x:v>
      </x:c>
      <x:c r="C39" t="str">
        <x:v>T013</x:v>
      </x:c>
      <x:c r="D39" t="str">
        <x:v>Finish-to-start</x:v>
      </x:c>
      <x:c r="E39" t="str">
        <x:v>Delays downstream task</x:v>
      </x:c>
      <x:c r="F39" t="str">
        <x:v>Review dependency weekly</x:v>
      </x:c>
    </x:row>
    <x:row r="40">
      <x:c r="A40" t="str">
        <x:v>T027</x:v>
      </x:c>
      <x:c r="B40" t="str">
        <x:v>Add user accounts and station groups</x:v>
      </x:c>
      <x:c r="C40" t="str">
        <x:v>T014</x:v>
      </x:c>
      <x:c r="D40" t="str">
        <x:v>Finish-to-start</x:v>
      </x:c>
      <x:c r="E40" t="str">
        <x:v>Delays downstream task</x:v>
      </x:c>
      <x:c r="F40" t="str">
        <x:v>Review dependency weekly</x:v>
      </x:c>
    </x:row>
    <x:row r="41">
      <x:c r="A41" t="str">
        <x:v>T028</x:v>
      </x:c>
      <x:c r="B41" t="str">
        <x:v>Deploy staging environment with backups and monitoring</x:v>
      </x:c>
      <x:c r="C41" t="str">
        <x:v>T013</x:v>
      </x:c>
      <x:c r="D41" t="str">
        <x:v>Finish-to-start</x:v>
      </x:c>
      <x:c r="E41" t="str">
        <x:v>Delays downstream task</x:v>
      </x:c>
      <x:c r="F41" t="str">
        <x:v>Review dependency weekly</x:v>
      </x:c>
    </x:row>
    <x:row r="42">
      <x:c r="A42" t="str">
        <x:v>T028</x:v>
      </x:c>
      <x:c r="B42" t="str">
        <x:v>Deploy staging environment with backups and monitoring</x:v>
      </x:c>
      <x:c r="C42" t="str">
        <x:v>T014</x:v>
      </x:c>
      <x:c r="D42" t="str">
        <x:v>Finish-to-start</x:v>
      </x:c>
      <x:c r="E42" t="str">
        <x:v>Delays downstream task</x:v>
      </x:c>
      <x:c r="F42" t="str">
        <x:v>Review dependency weekly</x:v>
      </x:c>
    </x:row>
    <x:row r="43">
      <x:c r="A43" t="str">
        <x:v>T029</x:v>
      </x:c>
      <x:c r="B43" t="str">
        <x:v>Write install, maintenance and user guide</x:v>
      </x:c>
      <x:c r="C43" t="str">
        <x:v>T024</x:v>
      </x:c>
      <x:c r="D43" t="str">
        <x:v>Finish-to-start</x:v>
      </x:c>
      <x:c r="E43" t="str">
        <x:v>Delays downstream task</x:v>
      </x:c>
      <x:c r="F43" t="str">
        <x:v>Review dependency weekly</x:v>
      </x:c>
    </x:row>
    <x:row r="44">
      <x:c r="A44" t="str">
        <x:v>T029</x:v>
      </x:c>
      <x:c r="B44" t="str">
        <x:v>Write install, maintenance and user guide</x:v>
      </x:c>
      <x:c r="C44" t="str">
        <x:v>T026</x:v>
      </x:c>
      <x:c r="D44" t="str">
        <x:v>Finish-to-start</x:v>
      </x:c>
      <x:c r="E44" t="str">
        <x:v>Delays downstream task</x:v>
      </x:c>
      <x:c r="F44" t="str">
        <x:v>Review dependency weekly</x:v>
      </x:c>
    </x:row>
    <x:row r="45">
      <x:c r="A45" t="str">
        <x:v>T030</x:v>
      </x:c>
      <x:c r="B45" t="str">
        <x:v>Draft privacy/GDPR and sensitive species policy</x:v>
      </x:c>
      <x:c r="C45" t="str">
        <x:v>T008</x:v>
      </x:c>
      <x:c r="D45" t="str">
        <x:v>Finish-to-start</x:v>
      </x:c>
      <x:c r="E45" t="str">
        <x:v>Delays downstream task</x:v>
      </x:c>
      <x:c r="F45" t="str">
        <x:v>Review dependency weekly</x:v>
      </x:c>
    </x:row>
    <x:row r="46">
      <x:c r="A46" t="str">
        <x:v>T030</x:v>
      </x:c>
      <x:c r="B46" t="str">
        <x:v>Draft privacy/GDPR and sensitive species policy</x:v>
      </x:c>
      <x:c r="C46" t="str">
        <x:v>T013</x:v>
      </x:c>
      <x:c r="D46" t="str">
        <x:v>Finish-to-start</x:v>
      </x:c>
      <x:c r="E46" t="str">
        <x:v>Delays downstream task</x:v>
      </x:c>
      <x:c r="F46" t="str">
        <x:v>Review dependency weekly</x:v>
      </x:c>
    </x:row>
    <x:row r="47">
      <x:c r="A47" t="str">
        <x:v>T030</x:v>
      </x:c>
      <x:c r="B47" t="str">
        <x:v>Draft privacy/GDPR and sensitive species policy</x:v>
      </x:c>
      <x:c r="C47" t="str">
        <x:v>T026</x:v>
      </x:c>
      <x:c r="D47" t="str">
        <x:v>Finish-to-start</x:v>
      </x:c>
      <x:c r="E47" t="str">
        <x:v>Delays downstream task</x:v>
      </x:c>
      <x:c r="F47" t="str">
        <x:v>Review dependency weekly</x:v>
      </x:c>
    </x:row>
    <x:row r="48">
      <x:c r="A48" t="str">
        <x:v>T031</x:v>
      </x:c>
      <x:c r="B48" t="str">
        <x:v>Finalize v1 product specification and next budget</x:v>
      </x:c>
      <x:c r="C48" t="str">
        <x:v>T024</x:v>
      </x:c>
      <x:c r="D48" t="str">
        <x:v>Finish-to-start</x:v>
      </x:c>
      <x:c r="E48" t="str">
        <x:v>Delays downstream task</x:v>
      </x:c>
      <x:c r="F48" t="str">
        <x:v>Review dependency weekly</x:v>
      </x:c>
    </x:row>
    <x:row r="49">
      <x:c r="A49" t="str">
        <x:v>T031</x:v>
      </x:c>
      <x:c r="B49" t="str">
        <x:v>Finalize v1 product specification and next budget</x:v>
      </x:c>
      <x:c r="C49" t="str">
        <x:v>T028</x:v>
      </x:c>
      <x:c r="D49" t="str">
        <x:v>Finish-to-start</x:v>
      </x:c>
      <x:c r="E49" t="str">
        <x:v>Delays downstream task</x:v>
      </x:c>
      <x:c r="F49" t="str">
        <x:v>Review dependency weekly</x:v>
      </x:c>
    </x:row>
    <x:row r="50">
      <x:c r="A50" t="str">
        <x:v>T031</x:v>
      </x:c>
      <x:c r="B50" t="str">
        <x:v>Finalize v1 product specification and next budget</x:v>
      </x:c>
      <x:c r="C50" t="str">
        <x:v>T029</x:v>
      </x:c>
      <x:c r="D50" t="str">
        <x:v>Finish-to-start</x:v>
      </x:c>
      <x:c r="E50" t="str">
        <x:v>Delays downstream task</x:v>
      </x:c>
      <x:c r="F50" t="str">
        <x:v>Review dependency weekly</x:v>
      </x:c>
    </x:row>
    <x:row r="51">
      <x:c r="A51" t="str">
        <x:v>T031</x:v>
      </x:c>
      <x:c r="B51" t="str">
        <x:v>Finalize v1 product specification and next budget</x:v>
      </x:c>
      <x:c r="C51" t="str">
        <x:v>T030</x:v>
      </x:c>
      <x:c r="D51" t="str">
        <x:v>Finish-to-start</x:v>
      </x:c>
      <x:c r="E51" t="str">
        <x:v>Delays downstream task</x:v>
      </x:c>
      <x:c r="F51" t="str">
        <x:v>Review dependency weekly</x:v>
      </x:c>
    </x:row>
  </x:sheetData>
  <x:pageMargins left="0.7" right="0.7" top="0.75" bottom="0.75" header="0.3" footer="0.3"/>
  <x:tableParts count="1">
    <x:tablePart xmlns:r="http://schemas.openxmlformats.org/officeDocument/2006/relationships" r:id="R98a228fd0f3143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38" hidden="0" customWidth="1"/>
  </x:cols>
  <x:sheetData>
    <x:row r="1">
      <x:c r="A1" s="6" t="str">
        <x:v>Competence / Role</x:v>
      </x:c>
      <x:c r="B1" s="6" t="str">
        <x:v>Main responsibility</x:v>
      </x:c>
      <x:c r="C1" s="6" t="str">
        <x:v>Phase involvement</x:v>
      </x:c>
      <x:c r="D1" s="6" t="str">
        <x:v>R</x:v>
      </x:c>
      <x:c r="E1" s="6" t="str">
        <x:v>A</x:v>
      </x:c>
      <x:c r="F1" s="6" t="str">
        <x:v>C</x:v>
      </x:c>
      <x:c r="G1" s="6" t="str">
        <x:v>I</x:v>
      </x:c>
      <x:c r="H1" s="6" t="str">
        <x:v>Notes</x:v>
      </x:c>
    </x:row>
    <x:row r="2">
      <x:c r="A2" t="str">
        <x:v>Product owner / scientific lead</x:v>
      </x:c>
      <x:c r="B2" t="str">
        <x:v>Product scope, priorities, field validation</x:v>
      </x:c>
      <x:c r="C2" t="str">
        <x:v>All phases</x:v>
      </x:c>
      <x:c r="D2" t="str">
        <x:v>Yes</x:v>
      </x:c>
      <x:c r="E2" t="str">
        <x:v>Yes</x:v>
      </x:c>
      <x:c r="F2" t="str">
        <x:v>Yes</x:v>
      </x:c>
      <x:c r="G2" t="str"/>
      <x:c r="H2" t="str">
        <x:v>Could be JC</x:v>
      </x:c>
    </x:row>
    <x:row r="3">
      <x:c r="A3" t="str">
        <x:v>Bioacoustics / zoology</x:v>
      </x:c>
      <x:c r="B3" t="str">
        <x:v>Species filters, thresholds, validation, ecology</x:v>
      </x:c>
      <x:c r="C3" t="str">
        <x:v>0,1,5,7</x:v>
      </x:c>
      <x:c r="D3" t="str">
        <x:v>Yes</x:v>
      </x:c>
      <x:c r="E3" t="str">
        <x:v>Yes</x:v>
      </x:c>
      <x:c r="F3" t="str">
        <x:v>Yes</x:v>
      </x:c>
      <x:c r="G3" t="str"/>
      <x:c r="H3" t="str">
        <x:v>Protects scientific credibility</x:v>
      </x:c>
    </x:row>
    <x:row r="4">
      <x:c r="A4" t="str">
        <x:v>Raspberry Pi / Linux</x:v>
      </x:c>
      <x:c r="B4" t="str">
        <x:v>Device OS, BirdNET-Go, local queue, services</x:v>
      </x:c>
      <x:c r="C4" t="str">
        <x:v>1,2,6</x:v>
      </x:c>
      <x:c r="D4" t="str">
        <x:v>Yes</x:v>
      </x:c>
      <x:c r="E4" t="str"/>
      <x:c r="F4" t="str">
        <x:v>Yes</x:v>
      </x:c>
      <x:c r="G4" t="str"/>
      <x:c r="H4" t="str">
        <x:v>Critical prototype role</x:v>
      </x:c>
    </x:row>
    <x:row r="5">
      <x:c r="A5" t="str">
        <x:v>Audio hardware / electronics</x:v>
      </x:c>
      <x:c r="B5" t="str">
        <x:v>Microphone, enclosure, power, solar/battery</x:v>
      </x:c>
      <x:c r="C5" t="str">
        <x:v>1,6</x:v>
      </x:c>
      <x:c r="D5" t="str">
        <x:v>Yes</x:v>
      </x:c>
      <x:c r="E5" t="str"/>
      <x:c r="F5" t="str">
        <x:v>Yes</x:v>
      </x:c>
      <x:c r="G5" t="str"/>
      <x:c r="H5" t="str">
        <x:v>Critical for outdoor version</x:v>
      </x:c>
    </x:row>
    <x:row r="6">
      <x:c r="A6" t="str">
        <x:v>Backend/API development</x:v>
      </x:c>
      <x:c r="B6" t="str">
        <x:v>Server API, authentication, ingestion, station data</x:v>
      </x:c>
      <x:c r="C6" t="str">
        <x:v>2,3,8</x:v>
      </x:c>
      <x:c r="D6" t="str">
        <x:v>Yes</x:v>
      </x:c>
      <x:c r="E6" t="str">
        <x:v>Yes</x:v>
      </x:c>
      <x:c r="F6" t="str">
        <x:v>Yes</x:v>
      </x:c>
      <x:c r="G6" t="str"/>
      <x:c r="H6" t="str">
        <x:v>Core platform</x:v>
      </x:c>
    </x:row>
    <x:row r="7">
      <x:c r="A7" t="str">
        <x:v>Database / GIS / PostGIS</x:v>
      </x:c>
      <x:c r="B7" t="str">
        <x:v>Geospatial schema, queries, exports</x:v>
      </x:c>
      <x:c r="C7" t="str">
        <x:v>3,5,8</x:v>
      </x:c>
      <x:c r="D7" t="str">
        <x:v>Yes</x:v>
      </x:c>
      <x:c r="E7" t="str"/>
      <x:c r="F7" t="str">
        <x:v>Yes</x:v>
      </x:c>
      <x:c r="G7" t="str"/>
      <x:c r="H7" t="str">
        <x:v>Map and biodiversity queries</x:v>
      </x:c>
    </x:row>
    <x:row r="8">
      <x:c r="A8" t="str">
        <x:v>Frontend / PWA / UX</x:v>
      </x:c>
      <x:c r="B8" t="str">
        <x:v>Dashboard, map, validation interface</x:v>
      </x:c>
      <x:c r="C8" t="str">
        <x:v>4,7,8</x:v>
      </x:c>
      <x:c r="D8" t="str">
        <x:v>Yes</x:v>
      </x:c>
      <x:c r="E8" t="str"/>
      <x:c r="F8" t="str">
        <x:v>Yes</x:v>
      </x:c>
      <x:c r="G8" t="str"/>
      <x:c r="H8" t="str">
        <x:v>User-facing clarity</x:v>
      </x:c>
    </x:row>
    <x:row r="9">
      <x:c r="A9" t="str">
        <x:v>API integration / data engineering</x:v>
      </x:c>
      <x:c r="B9" t="str">
        <x:v>BirdWeather, GBIF, weather, OSM integrations</x:v>
      </x:c>
      <x:c r="C9" t="str">
        <x:v>5</x:v>
      </x:c>
      <x:c r="D9" t="str">
        <x:v>Yes</x:v>
      </x:c>
      <x:c r="E9" t="str"/>
      <x:c r="F9" t="str">
        <x:v>Yes</x:v>
      </x:c>
      <x:c r="G9" t="str"/>
      <x:c r="H9" t="str">
        <x:v>Phase 2 enrichment</x:v>
      </x:c>
    </x:row>
    <x:row r="10">
      <x:c r="A10" t="str">
        <x:v>DevOps / cloud deployment</x:v>
      </x:c>
      <x:c r="B10" t="str">
        <x:v>Docker, staging, backups, monitoring, HTTPS</x:v>
      </x:c>
      <x:c r="C10" t="str">
        <x:v>3,8,9</x:v>
      </x:c>
      <x:c r="D10" t="str">
        <x:v>Yes</x:v>
      </x:c>
      <x:c r="E10" t="str"/>
      <x:c r="F10" t="str">
        <x:v>Yes</x:v>
      </x:c>
      <x:c r="G10" t="str"/>
      <x:c r="H10" t="str">
        <x:v>Needed before pilot</x:v>
      </x:c>
    </x:row>
    <x:row r="11">
      <x:c r="A11" t="str">
        <x:v>Legal / privacy / GDPR</x:v>
      </x:c>
      <x:c r="B11" t="str">
        <x:v>Audio, location, consent, sensitive species rules</x:v>
      </x:c>
      <x:c r="C11" t="str">
        <x:v>7,9</x:v>
      </x:c>
      <x:c r="D11" t="str">
        <x:v>Yes</x:v>
      </x:c>
      <x:c r="E11" t="str">
        <x:v>Yes</x:v>
      </x:c>
      <x:c r="F11" t="str">
        <x:v>Yes</x:v>
      </x:c>
      <x:c r="G11" t="str"/>
      <x:c r="H11" t="str">
        <x:v>Before public launch</x:v>
      </x:c>
    </x:row>
    <x:row r="12">
      <x:c r="A12" t="str">
        <x:v>Technical writing / documentation</x:v>
      </x:c>
      <x:c r="B12" t="str">
        <x:v>Install and maintenance docs</x:v>
      </x:c>
      <x:c r="C12" t="str">
        <x:v>9</x:v>
      </x:c>
      <x:c r="D12" t="str">
        <x:v>Yes</x:v>
      </x:c>
      <x:c r="E12" t="str"/>
      <x:c r="F12" t="str">
        <x:v>Yes</x:v>
      </x:c>
      <x:c r="G12" t="str"/>
      <x:c r="H12" t="str">
        <x:v>Productization</x:v>
      </x:c>
    </x:row>
  </x:sheetData>
  <x:pageMargins left="0.7" right="0.7" top="0.75" bottom="0.75" header="0.3" footer="0.3"/>
  <x:tableParts count="1">
    <x:tablePart xmlns:r="http://schemas.openxmlformats.org/officeDocument/2006/relationships" r:id="Rcb5f9e4200e74e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8" hidden="0" customWidth="1"/>
    <x:col min="4" max="4" width="14" hidden="0" customWidth="1"/>
    <x:col min="5" max="5" width="12" hidden="0" customWidth="1"/>
    <x:col min="6" max="6" width="10" hidden="0" customWidth="1"/>
    <x:col min="7" max="7" width="12" hidden="0" customWidth="1"/>
    <x:col min="8" max="8" width="46" hidden="0" customWidth="1"/>
    <x:col min="9" max="9" width="28" hidden="0" customWidth="1"/>
    <x:col min="10" max="10" width="12" hidden="0" customWidth="1"/>
  </x:cols>
  <x:sheetData>
    <x:row r="1">
      <x:c r="A1" s="6" t="str">
        <x:v>Risk ID</x:v>
      </x:c>
      <x:c r="B1" s="6" t="str">
        <x:v>Category</x:v>
      </x:c>
      <x:c r="C1" s="6" t="str">
        <x:v>Risk</x:v>
      </x:c>
      <x:c r="D1" s="6" t="str">
        <x:v>Probability 1-5</x:v>
      </x:c>
      <x:c r="E1" s="6" t="str">
        <x:v>Impact 1-5</x:v>
      </x:c>
      <x:c r="F1" s="6" t="str">
        <x:v>Score</x:v>
      </x:c>
      <x:c r="G1" s="6" t="str">
        <x:v>Level</x:v>
      </x:c>
      <x:c r="H1" s="6" t="str">
        <x:v>Mitigation</x:v>
      </x:c>
      <x:c r="I1" s="6" t="str">
        <x:v>Owner role</x:v>
      </x:c>
      <x:c r="J1" s="6" t="str">
        <x:v>Status</x:v>
      </x:c>
    </x:row>
    <x:row r="2">
      <x:c r="A2" t="str">
        <x:v>R001</x:v>
      </x:c>
      <x:c r="B2" t="str">
        <x:v>Scientific</x:v>
      </x:c>
      <x:c r="C2" t="str">
        <x:v>False positives create unreliable species list</x:v>
      </x:c>
      <x:c r="D2" t="n">
        <x:v>4</x:v>
      </x:c>
      <x:c r="E2" t="n">
        <x:v>5</x:v>
      </x:c>
      <x:c r="F2" t="n">
        <x:f>D2*E2</x:f>
        <x:v>20</x:v>
      </x:c>
      <x:c r="G2" t="str">
        <x:f>IF(F2&gt;=20,"Critical",IF(F2&gt;=12,"High",IF(F2&gt;=6,"Medium","Low")))</x:f>
        <x:v>Critical</x:v>
      </x:c>
      <x:c r="H2" t="str">
        <x:v>Use confidence thresholds, geographic/seasonal filters, expert validation</x:v>
      </x:c>
      <x:c r="I2" t="str">
        <x:v>Bioacoustics / zoology</x:v>
      </x:c>
      <x:c r="J2" t="str">
        <x:v>Open</x:v>
      </x:c>
    </x:row>
    <x:row r="3">
      <x:c r="A3" t="str">
        <x:v>R002</x:v>
      </x:c>
      <x:c r="B3" t="str">
        <x:v>Technical</x:v>
      </x:c>
      <x:c r="C3" t="str">
        <x:v>Raspberry Pi unstable during continuous inference</x:v>
      </x:c>
      <x:c r="D3" t="n">
        <x:v>3</x:v>
      </x:c>
      <x:c r="E3" t="n">
        <x:v>4</x:v>
      </x:c>
      <x:c r="F3" t="n">
        <x:f>D3*E3</x:f>
        <x:v>12</x:v>
      </x:c>
      <x:c r="G3" t="str">
        <x:f>IF(F3&gt;=20,"Critical",IF(F3&gt;=12,"High",IF(F3&gt;=6,"Medium","Low")))</x:f>
        <x:v>High</x:v>
      </x:c>
      <x:c r="H3" t="str">
        <x:v>Watchdog, logs, thermal monitoring, staged tests</x:v>
      </x:c>
      <x:c r="I3" t="str">
        <x:v>Raspberry Pi / Linux</x:v>
      </x:c>
      <x:c r="J3" t="str">
        <x:v>Open</x:v>
      </x:c>
    </x:row>
    <x:row r="4">
      <x:c r="A4" t="str">
        <x:v>R003</x:v>
      </x:c>
      <x:c r="B4" t="str">
        <x:v>Hardware</x:v>
      </x:c>
      <x:c r="C4" t="str">
        <x:v>Microphone quality insufficient outdoors</x:v>
      </x:c>
      <x:c r="D4" t="n">
        <x:v>3</x:v>
      </x:c>
      <x:c r="E4" t="n">
        <x:v>5</x:v>
      </x:c>
      <x:c r="F4" t="n">
        <x:f>D4*E4</x:f>
        <x:v>15</x:v>
      </x:c>
      <x:c r="G4" t="str">
        <x:f>IF(F4&gt;=20,"Critical",IF(F4&gt;=12,"High",IF(F4&gt;=6,"Medium","Low")))</x:f>
        <x:v>High</x:v>
      </x:c>
      <x:c r="H4" t="str">
        <x:v>Field microphone tests, wind/rain protection, gain calibration</x:v>
      </x:c>
      <x:c r="I4" t="str">
        <x:v>Audio hardware / electronics</x:v>
      </x:c>
      <x:c r="J4" t="str">
        <x:v>Open</x:v>
      </x:c>
    </x:row>
    <x:row r="5">
      <x:c r="A5" t="str">
        <x:v>R004</x:v>
      </x:c>
      <x:c r="B5" t="str">
        <x:v>Connectivity</x:v>
      </x:c>
      <x:c r="C5" t="str">
        <x:v>Outdoor station loses network connection</x:v>
      </x:c>
      <x:c r="D5" t="n">
        <x:v>4</x:v>
      </x:c>
      <x:c r="E5" t="n">
        <x:v>3</x:v>
      </x:c>
      <x:c r="F5" t="n">
        <x:f>D5*E5</x:f>
        <x:v>12</x:v>
      </x:c>
      <x:c r="G5" t="str">
        <x:f>IF(F5&gt;=20,"Critical",IF(F5&gt;=12,"High",IF(F5&gt;=6,"Medium","Low")))</x:f>
        <x:v>High</x:v>
      </x:c>
      <x:c r="H5" t="str">
        <x:v>Offline queue, retry logic, 4G antenna, local storage</x:v>
      </x:c>
      <x:c r="I5" t="str">
        <x:v>Raspberry Pi / Linux</x:v>
      </x:c>
      <x:c r="J5" t="str">
        <x:v>Open</x:v>
      </x:c>
    </x:row>
    <x:row r="6">
      <x:c r="A6" t="str">
        <x:v>R005</x:v>
      </x:c>
      <x:c r="B6" t="str">
        <x:v>Energy</x:v>
      </x:c>
      <x:c r="C6" t="str">
        <x:v>Solar/battery autonomy underestimated</x:v>
      </x:c>
      <x:c r="D6" t="n">
        <x:v>3</x:v>
      </x:c>
      <x:c r="E6" t="n">
        <x:v>5</x:v>
      </x:c>
      <x:c r="F6" t="n">
        <x:f>D6*E6</x:f>
        <x:v>15</x:v>
      </x:c>
      <x:c r="G6" t="str">
        <x:f>IF(F6&gt;=20,"Critical",IF(F6&gt;=12,"High",IF(F6&gt;=6,"Medium","Low")))</x:f>
        <x:v>High</x:v>
      </x:c>
      <x:c r="H6" t="str">
        <x:v>Measure real Wh/day, oversized battery, scheduling</x:v>
      </x:c>
      <x:c r="I6" t="str">
        <x:v>Audio hardware / electronics</x:v>
      </x:c>
      <x:c r="J6" t="str">
        <x:v>Open</x:v>
      </x:c>
    </x:row>
    <x:row r="7">
      <x:c r="A7" t="str">
        <x:v>R006</x:v>
      </x:c>
      <x:c r="B7" t="str">
        <x:v>Privacy</x:v>
      </x:c>
      <x:c r="C7" t="str">
        <x:v>Device records human voices or sensitive location data</x:v>
      </x:c>
      <x:c r="D7" t="n">
        <x:v>3</x:v>
      </x:c>
      <x:c r="E7" t="n">
        <x:v>5</x:v>
      </x:c>
      <x:c r="F7" t="n">
        <x:f>D7*E7</x:f>
        <x:v>15</x:v>
      </x:c>
      <x:c r="G7" t="str">
        <x:f>IF(F7&gt;=20,"Critical",IF(F7&gt;=12,"High",IF(F7&gt;=6,"Medium","Low")))</x:f>
        <x:v>High</x:v>
      </x:c>
      <x:c r="H7" t="str">
        <x:v>Local processing, no raw audio upload by default, GDPR policy</x:v>
      </x:c>
      <x:c r="I7" t="str">
        <x:v>Legal / privacy / GDPR</x:v>
      </x:c>
      <x:c r="J7" t="str">
        <x:v>Open</x:v>
      </x:c>
    </x:row>
    <x:row r="8">
      <x:c r="A8" t="str">
        <x:v>R007</x:v>
      </x:c>
      <x:c r="B8" t="str">
        <x:v>Data</x:v>
      </x:c>
      <x:c r="C8" t="str">
        <x:v>Taxonomy mismatch between sources</x:v>
      </x:c>
      <x:c r="D8" t="n">
        <x:v>3</x:v>
      </x:c>
      <x:c r="E8" t="n">
        <x:v>4</x:v>
      </x:c>
      <x:c r="F8" t="n">
        <x:f>D8*E8</x:f>
        <x:v>12</x:v>
      </x:c>
      <x:c r="G8" t="str">
        <x:f>IF(F8&gt;=20,"Critical",IF(F8&gt;=12,"High",IF(F8&gt;=6,"Medium","Low")))</x:f>
        <x:v>High</x:v>
      </x:c>
      <x:c r="H8" t="str">
        <x:v>Use scientific name and taxon IDs as master keys</x:v>
      </x:c>
      <x:c r="I8" t="str">
        <x:v>Database / GIS / PostGIS</x:v>
      </x:c>
      <x:c r="J8" t="str">
        <x:v>Open</x:v>
      </x:c>
    </x:row>
    <x:row r="9">
      <x:c r="A9" t="str">
        <x:v>R008</x:v>
      </x:c>
      <x:c r="B9" t="str">
        <x:v>Product</x:v>
      </x:c>
      <x:c r="C9" t="str">
        <x:v>Scope creep: birds, bats, insects too early</x:v>
      </x:c>
      <x:c r="D9" t="n">
        <x:v>4</x:v>
      </x:c>
      <x:c r="E9" t="n">
        <x:v>4</x:v>
      </x:c>
      <x:c r="F9" t="n">
        <x:f>D9*E9</x:f>
        <x:v>16</x:v>
      </x:c>
      <x:c r="G9" t="str">
        <x:f>IF(F9&gt;=20,"Critical",IF(F9&gt;=12,"High",IF(F9&gt;=6,"Medium","Low")))</x:f>
        <x:v>High</x:v>
      </x:c>
      <x:c r="H9" t="str">
        <x:v>Birds-only MVP; add taxa in later phases</x:v>
      </x:c>
      <x:c r="I9" t="str">
        <x:v>Product owner / scientific lead</x:v>
      </x:c>
      <x:c r="J9" t="str">
        <x:v>Open</x:v>
      </x:c>
    </x:row>
    <x:row r="10">
      <x:c r="A10" t="str">
        <x:v>R009</x:v>
      </x:c>
      <x:c r="B10" t="str">
        <x:v>API</x:v>
      </x:c>
      <x:c r="C10" t="str">
        <x:v>External API limits or terms block integration</x:v>
      </x:c>
      <x:c r="D10" t="n">
        <x:v>2</x:v>
      </x:c>
      <x:c r="E10" t="n">
        <x:v>4</x:v>
      </x:c>
      <x:c r="F10" t="n">
        <x:f>D10*E10</x:f>
        <x:v>8</x:v>
      </x:c>
      <x:c r="G10" t="str">
        <x:f>IF(F10&gt;=20,"Critical",IF(F10&gt;=12,"High",IF(F10&gt;=6,"Medium","Low")))</x:f>
        <x:v>Medium</x:v>
      </x:c>
      <x:c r="H10" t="str">
        <x:v>Cache data, respect terms, avoid single-provider dependency</x:v>
      </x:c>
      <x:c r="I10" t="str">
        <x:v>API integration / data engineering</x:v>
      </x:c>
      <x:c r="J10" t="str">
        <x:v>Open</x:v>
      </x:c>
    </x:row>
    <x:row r="11">
      <x:c r="A11" t="str">
        <x:v>R010</x:v>
      </x:c>
      <x:c r="B11" t="str">
        <x:v>Deployment</x:v>
      </x:c>
      <x:c r="C11" t="str">
        <x:v>No backups/monitoring before pilot</x:v>
      </x:c>
      <x:c r="D11" t="n">
        <x:v>3</x:v>
      </x:c>
      <x:c r="E11" t="n">
        <x:v>4</x:v>
      </x:c>
      <x:c r="F11" t="n">
        <x:f>D11*E11</x:f>
        <x:v>12</x:v>
      </x:c>
      <x:c r="G11" t="str">
        <x:f>IF(F11&gt;=20,"Critical",IF(F11&gt;=12,"High",IF(F11&gt;=6,"Medium","Low")))</x:f>
        <x:v>High</x:v>
      </x:c>
      <x:c r="H11" t="str">
        <x:v>Deploy staging with automated backup and monitoring</x:v>
      </x:c>
      <x:c r="I11" t="str">
        <x:v>DevOps / cloud deployment</x:v>
      </x:c>
      <x:c r="J11" t="str">
        <x:v>Open</x:v>
      </x:c>
    </x:row>
  </x:sheetData>
  <x:conditionalFormatting sqref="G2:G100">
    <x:cfRule type="expression" dxfId="3" priority="1">
      <x:formula>$G2="Critical"</x:formula>
    </x:cfRule>
    <x:cfRule type="expression" dxfId="4" priority="2">
      <x:formula>$G2="High"</x:formula>
    </x:cfRule>
    <x:cfRule type="expression" dxfId="5" priority="3">
      <x:formula>$G2="Medium"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c601d48d7141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" t="str">
        <x:v>Status</x:v>
      </x:c>
      <x:c r="B1" s="6" t="str">
        <x:v>Priority</x:v>
      </x:c>
      <x:c r="C1" s="6" t="str">
        <x:v>Phase</x:v>
      </x:c>
      <x:c r="D1" s="6" t="str">
        <x:v>Competence</x:v>
      </x:c>
      <x:c r="E1" s="6" t="str">
        <x:v>RACI</x:v>
      </x:c>
      <x:c r="F1" s="6" t="str">
        <x:v>Risk Level</x:v>
      </x:c>
    </x:row>
    <x:row r="2">
      <x:c r="A2" t="str">
        <x:v>Not Started</x:v>
      </x:c>
      <x:c r="B2" t="str">
        <x:v>Critical</x:v>
      </x:c>
      <x:c r="C2" t="str">
        <x:v>0 - Product framing</x:v>
      </x:c>
      <x:c r="D2" t="str">
        <x:v>Product owner / scientific lead</x:v>
      </x:c>
      <x:c r="E2" t="str">
        <x:v>Responsible</x:v>
      </x:c>
      <x:c r="F2" t="str">
        <x:v>Low</x:v>
      </x:c>
    </x:row>
    <x:row r="3">
      <x:c r="A3" t="str">
        <x:v>In Progress</x:v>
      </x:c>
      <x:c r="B3" t="str">
        <x:v>High</x:v>
      </x:c>
      <x:c r="C3" t="str">
        <x:v>1 - Technical proof of concept</x:v>
      </x:c>
      <x:c r="D3" t="str">
        <x:v>Bioacoustics / zoology</x:v>
      </x:c>
      <x:c r="E3" t="str">
        <x:v>Accountable</x:v>
      </x:c>
      <x:c r="F3" t="str">
        <x:v>Medium</x:v>
      </x:c>
    </x:row>
    <x:row r="4">
      <x:c r="A4" t="str">
        <x:v>Blocked</x:v>
      </x:c>
      <x:c r="B4" t="str">
        <x:v>Medium</x:v>
      </x:c>
      <x:c r="C4" t="str">
        <x:v>2 - Local connector &amp; schema</x:v>
      </x:c>
      <x:c r="D4" t="str">
        <x:v>Raspberry Pi / Linux</x:v>
      </x:c>
      <x:c r="E4" t="str">
        <x:v>Consulted</x:v>
      </x:c>
      <x:c r="F4" t="str">
        <x:v>High</x:v>
      </x:c>
    </x:row>
    <x:row r="5">
      <x:c r="A5" t="str">
        <x:v>Done</x:v>
      </x:c>
      <x:c r="B5" t="str">
        <x:v>Low</x:v>
      </x:c>
      <x:c r="C5" t="str">
        <x:v>3 - Backend API &amp; database</x:v>
      </x:c>
      <x:c r="D5" t="str">
        <x:v>Audio hardware / electronics</x:v>
      </x:c>
      <x:c r="E5" t="str">
        <x:v>Informed</x:v>
      </x:c>
      <x:c r="F5" t="str">
        <x:v>Critical</x:v>
      </x:c>
    </x:row>
    <x:row r="6">
      <x:c r="A6" t="str">
        <x:v>Deferred</x:v>
      </x:c>
      <x:c r="B6" t="str"/>
      <x:c r="C6" t="str">
        <x:v>4 - Web dashboard / PWA</x:v>
      </x:c>
      <x:c r="D6" t="str">
        <x:v>Backend/API development</x:v>
      </x:c>
      <x:c r="E6" t="str"/>
      <x:c r="F6" t="str"/>
    </x:row>
    <x:row r="7">
      <x:c r="A7" t="str"/>
      <x:c r="B7" t="str"/>
      <x:c r="C7" t="str">
        <x:v>5 - Ecological intelligence layer</x:v>
      </x:c>
      <x:c r="D7" t="str">
        <x:v>Database / GIS / PostGIS</x:v>
      </x:c>
      <x:c r="E7" t="str"/>
      <x:c r="F7" t="str"/>
    </x:row>
    <x:row r="8">
      <x:c r="A8" t="str"/>
      <x:c r="B8" t="str"/>
      <x:c r="C8" t="str">
        <x:v>6 - Outdoor autonomous prototype</x:v>
      </x:c>
      <x:c r="D8" t="str">
        <x:v>Frontend / PWA / UX</x:v>
      </x:c>
      <x:c r="E8" t="str"/>
      <x:c r="F8" t="str"/>
    </x:row>
    <x:row r="9">
      <x:c r="A9" t="str"/>
      <x:c r="B9" t="str"/>
      <x:c r="C9" t="str">
        <x:v>7 - Validation &amp; quality control</x:v>
      </x:c>
      <x:c r="D9" t="str">
        <x:v>API integration / data engineering</x:v>
      </x:c>
      <x:c r="E9" t="str"/>
      <x:c r="F9" t="str"/>
    </x:row>
    <x:row r="10">
      <x:c r="A10" t="str"/>
      <x:c r="B10" t="str"/>
      <x:c r="C10" t="str">
        <x:v>8 - Multi-station network mode</x:v>
      </x:c>
      <x:c r="D10" t="str">
        <x:v>DevOps / cloud deployment</x:v>
      </x:c>
      <x:c r="E10" t="str"/>
      <x:c r="F10" t="str"/>
    </x:row>
    <x:row r="11">
      <x:c r="A11" t="str"/>
      <x:c r="B11" t="str"/>
      <x:c r="C11" t="str">
        <x:v>9 - Productization</x:v>
      </x:c>
      <x:c r="D11" t="str">
        <x:v>Legal / privacy / GDPR</x:v>
      </x:c>
      <x:c r="E11" t="str"/>
      <x:c r="F11" t="str"/>
    </x:row>
    <x:row r="12">
      <x:c r="A12" t="str"/>
      <x:c r="B12" t="str"/>
      <x:c r="C12" t="str"/>
      <x:c r="D12" t="str">
        <x:v>Technical writing / documentation</x:v>
      </x:c>
      <x:c r="E12" t="str"/>
      <x:c r="F12" t="str"/>
    </x:row>
  </x:sheetData>
  <x:pageMargins left="0.7" right="0.7" top="0.75" bottom="0.75" header="0.3" footer="0.3"/>
</x:worksheet>
</file>